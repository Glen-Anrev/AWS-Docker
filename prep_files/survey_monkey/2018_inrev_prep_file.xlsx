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inrev.sharepoint.com/sites/INREVTeam/Shared Documents/IT/_Data Team/cr_survey/mappings/prep_files/survey_monkey/"/>
    </mc:Choice>
  </mc:AlternateContent>
  <xr:revisionPtr revIDLastSave="7" documentId="14_{2B2CE64A-EDE6-4A92-8F5E-FE86D48622E8}" xr6:coauthVersionLast="46" xr6:coauthVersionMax="46" xr10:uidLastSave="{35141B21-283C-4981-96B3-7CE3C1878A5E}"/>
  <bookViews>
    <workbookView xWindow="-98" yWindow="-98" windowWidth="19396" windowHeight="10395" firstSheet="2" activeTab="2" xr2:uid="{3F68E4D8-BAE4-4940-9826-29A1CC50D874}"/>
  </bookViews>
  <sheets>
    <sheet name="DFsmonkeyCompl" sheetId="33" r:id="rId1"/>
    <sheet name="DFanalysis" sheetId="34" r:id="rId2"/>
    <sheet name="df_headers" sheetId="26" r:id="rId3"/>
    <sheet name="df_edited_headers" sheetId="37" r:id="rId4"/>
    <sheet name="FoFsmonkeyCompl" sheetId="35" r:id="rId5"/>
    <sheet name="fof_edited_headers" sheetId="38" r:id="rId6"/>
    <sheet name="fof_headers" sheetId="39" r:id="rId7"/>
    <sheet name="FoFsanalysis" sheetId="36" r:id="rId8"/>
  </sheets>
  <definedNames>
    <definedName name="ExternalData_1" localSheetId="3" hidden="1">df_edited_headers!$B$2:$AM$13</definedName>
    <definedName name="ExternalData_1" localSheetId="1" hidden="1">DFanalysis!$A$1:$AC$13</definedName>
    <definedName name="ExternalData_1" localSheetId="0" hidden="1">DFsmonkeyCompl!$A$1:$AG$12</definedName>
    <definedName name="ExternalData_1" localSheetId="5" hidden="1">fof_edited_headers!$B$2:$AM$14</definedName>
    <definedName name="ExternalData_1" localSheetId="7" hidden="1">FoFsanalysis!$A$1:$AC$13</definedName>
    <definedName name="ExternalData_1" localSheetId="4" hidden="1">FoFsmonkeyCompl!$A$1:$AG$14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38" l="1"/>
  <c r="P4" i="38"/>
  <c r="P5" i="38"/>
  <c r="P6" i="38"/>
  <c r="P7" i="38"/>
  <c r="P8" i="38"/>
  <c r="P9" i="38"/>
  <c r="P10" i="38"/>
  <c r="P11" i="38"/>
  <c r="P12" i="38"/>
  <c r="P13" i="38"/>
  <c r="P14" i="38"/>
  <c r="O3" i="38"/>
  <c r="O5" i="38"/>
  <c r="O6" i="38"/>
  <c r="O7" i="38"/>
  <c r="O8" i="38"/>
  <c r="O9" i="38"/>
  <c r="O10" i="38"/>
  <c r="O11" i="38"/>
  <c r="O12" i="38"/>
  <c r="O13" i="38"/>
  <c r="O14" i="38"/>
  <c r="N3" i="38"/>
  <c r="N4" i="38"/>
  <c r="N5" i="38"/>
  <c r="N6" i="38"/>
  <c r="N7" i="38"/>
  <c r="N8" i="38"/>
  <c r="N9" i="38"/>
  <c r="N10" i="38"/>
  <c r="N11" i="38"/>
  <c r="N12" i="38"/>
  <c r="N13" i="38"/>
  <c r="N14" i="38"/>
  <c r="M3" i="38"/>
  <c r="M4" i="38"/>
  <c r="M5" i="38"/>
  <c r="M6" i="38"/>
  <c r="M7" i="38"/>
  <c r="M8" i="38"/>
  <c r="M9" i="38"/>
  <c r="M10" i="38"/>
  <c r="M11" i="38"/>
  <c r="M12" i="38"/>
  <c r="M13" i="38"/>
  <c r="M14" i="38"/>
  <c r="L3" i="38"/>
  <c r="L4" i="38"/>
  <c r="L5" i="38"/>
  <c r="L6" i="38"/>
  <c r="L7" i="38"/>
  <c r="L8" i="38"/>
  <c r="L9" i="38"/>
  <c r="L10" i="38"/>
  <c r="L11" i="38"/>
  <c r="L12" i="38"/>
  <c r="L13" i="38"/>
  <c r="L14" i="38"/>
  <c r="P3" i="37" l="1"/>
  <c r="P4" i="37"/>
  <c r="P5" i="37"/>
  <c r="P6" i="37"/>
  <c r="P7" i="37"/>
  <c r="P8" i="37"/>
  <c r="P9" i="37"/>
  <c r="P10" i="37"/>
  <c r="P11" i="37"/>
  <c r="P12" i="37"/>
  <c r="P13" i="37"/>
  <c r="O3" i="37"/>
  <c r="O4" i="37"/>
  <c r="O5" i="37"/>
  <c r="O6" i="37"/>
  <c r="O7" i="37"/>
  <c r="O8" i="37"/>
  <c r="O9" i="37"/>
  <c r="O10" i="37"/>
  <c r="O11" i="37"/>
  <c r="O12" i="37"/>
  <c r="O13" i="37"/>
  <c r="N3" i="37"/>
  <c r="N4" i="37"/>
  <c r="N5" i="37"/>
  <c r="N6" i="37"/>
  <c r="N7" i="37"/>
  <c r="N8" i="37"/>
  <c r="N9" i="37"/>
  <c r="N10" i="37"/>
  <c r="N11" i="37"/>
  <c r="N12" i="37"/>
  <c r="N13" i="37"/>
  <c r="M3" i="37"/>
  <c r="M4" i="37"/>
  <c r="M5" i="37"/>
  <c r="M6" i="37"/>
  <c r="M7" i="37"/>
  <c r="M8" i="37"/>
  <c r="M9" i="37"/>
  <c r="M10" i="37"/>
  <c r="M11" i="37"/>
  <c r="M12" i="37"/>
  <c r="M13" i="37"/>
  <c r="L3" i="37"/>
  <c r="L4" i="37"/>
  <c r="L5" i="37"/>
  <c r="L6" i="37"/>
  <c r="L7" i="37"/>
  <c r="L8" i="37"/>
  <c r="L9" i="37"/>
  <c r="L10" i="37"/>
  <c r="L11" i="37"/>
  <c r="L12" i="37"/>
  <c r="L13"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0EBDE1-5A3A-4F6B-A034-3CBD05576359}" keepAlive="1" name="Query - DFanalysis" description="Connection to the 'DFanalysis' query in the workbook." type="5" refreshedVersion="6" background="1" saveData="1">
    <dbPr connection="Provider=Microsoft.Mashup.OleDb.1;Data Source=$Workbook$;Location=DFanalysis;Extended Properties=&quot;&quot;" command="SELECT * FROM [DFanalysis]"/>
  </connection>
  <connection id="2" xr16:uid="{420ED09C-2B2C-4B67-AE14-25A14E6A0E7D}" keepAlive="1" name="Query - DFsmonkeyCompl" description="Connection to the 'DFsmonkeyCompl' query in the workbook." type="5" refreshedVersion="6" background="1" saveData="1">
    <dbPr connection="Provider=Microsoft.Mashup.OleDb.1;Data Source=$Workbook$;Location=DFsmonkeyCompl;Extended Properties=&quot;&quot;" command="SELECT * FROM [DFsmonkeyCompl]"/>
  </connection>
  <connection id="3" xr16:uid="{35ECFCF5-04FE-49B0-825E-333E1DD9D36C}" keepAlive="1" name="Query - DFsmonkeyCompl (2)" description="Connection to the 'DFsmonkeyCompl (2)' query in the workbook." type="5" refreshedVersion="6" background="1" saveData="1">
    <dbPr connection="Provider=Microsoft.Mashup.OleDb.1;Data Source=$Workbook$;Location=&quot;DFsmonkeyCompl (2)&quot;;Extended Properties=&quot;&quot;" command="SELECT * FROM [DFsmonkeyCompl (2)]"/>
  </connection>
  <connection id="4" xr16:uid="{8199755D-0489-4924-84BA-7363095ACC9E}" keepAlive="1" name="Query - FoFsanalysis" description="Connection to the 'FoFsanalysis' query in the workbook." type="5" refreshedVersion="6" background="1" saveData="1">
    <dbPr connection="Provider=Microsoft.Mashup.OleDb.1;Data Source=$Workbook$;Location=FoFsanalysis;Extended Properties=&quot;&quot;" command="SELECT * FROM [FoFsanalysis]"/>
  </connection>
  <connection id="5" xr16:uid="{98389B90-72F2-43BA-8C07-A50C0A74032A}" keepAlive="1" name="Query - FoFsmonkeyCompl" description="Connection to the 'FoFsmonkeyCompl' query in the workbook." type="5" refreshedVersion="6" background="1" saveData="1">
    <dbPr connection="Provider=Microsoft.Mashup.OleDb.1;Data Source=$Workbook$;Location=FoFsmonkeyCompl;Extended Properties=&quot;&quot;" command="SELECT * FROM [FoFsmonkeyCompl]"/>
  </connection>
  <connection id="6" xr16:uid="{2F8B9E89-AF87-487E-834A-0E9BB02B372F}" keepAlive="1" name="Query - FoFsmonkeyCompl (2)" description="Connection to the 'FoFsmonkeyCompl (2)' query in the workbook." type="5" refreshedVersion="6" background="1" saveData="1">
    <dbPr connection="Provider=Microsoft.Mashup.OleDb.1;Data Source=$Workbook$;Location=&quot;FoFsmonkeyCompl (2)&quot;;Extended Properties=&quot;&quot;" command="SELECT * FROM [FoFsmonkeyCompl (2)]"/>
  </connection>
  <connection id="7" xr16:uid="{0C4282FA-B532-46CA-A250-DE1976307C8D}" keepAlive="1" name="Query - RawData" description="Connection to the 'RawData' query in the workbook." type="5" refreshedVersion="6" background="1" saveData="1">
    <dbPr connection="Provider=Microsoft.Mashup.OleDb.1;Data Source=$Workbook$;Location=RawData;Extended Properties=&quot;&quot;" command="SELECT * FROM [RawData]"/>
  </connection>
  <connection id="8" xr16:uid="{E982F9D0-BF4E-42EC-B2D1-C550DF1C7ABA}" keepAlive="1" name="Query - RawData (2)" description="Connection to the 'RawData (2)' query in the workbook." type="5" refreshedVersion="6" background="1" saveData="1">
    <dbPr connection="Provider=Microsoft.Mashup.OleDb.1;Data Source=$Workbook$;Location=&quot;RawData (2)&quot;;Extended Properties=&quot;&quot;" command="SELECT * FROM [RawData (2)]"/>
  </connection>
  <connection id="9" xr16:uid="{C9DBA98C-0592-41C1-B398-A63FA19C226A}" keepAlive="1" name="Query - RawDataAdj" description="Connection to the 'RawDataAdj' query in the workbook." type="5" refreshedVersion="6" background="1" saveData="1">
    <dbPr connection="Provider=Microsoft.Mashup.OleDb.1;Data Source=$Workbook$;Location=RawDataAdj;Extended Properties=&quot;&quot;" command="SELECT * FROM [RawDataAdj]"/>
  </connection>
  <connection id="10" xr16:uid="{36D1951E-F24E-44CF-9B5A-A79462188F7B}" keepAlive="1" name="Query - RawDataAdj1" description="Connection to the 'RawDataAdj1' query in the workbook." type="5" refreshedVersion="6" background="1" saveData="1">
    <dbPr connection="Provider=Microsoft.Mashup.OleDb.1;Data Source=$Workbook$;Location=RawDataAdj1;Extended Properties=&quot;&quot;" command="SELECT * FROM [RawDataAdj1]"/>
  </connection>
</connections>
</file>

<file path=xl/sharedStrings.xml><?xml version="1.0" encoding="utf-8"?>
<sst xmlns="http://schemas.openxmlformats.org/spreadsheetml/2006/main" count="1194" uniqueCount="211">
  <si>
    <t>Other (please specify)</t>
  </si>
  <si>
    <t>EUR</t>
  </si>
  <si>
    <t>PensionFunds</t>
  </si>
  <si>
    <t>Government</t>
  </si>
  <si>
    <t>Charities</t>
  </si>
  <si>
    <t>HNWI</t>
  </si>
  <si>
    <t>Other</t>
  </si>
  <si>
    <t>Europe</t>
  </si>
  <si>
    <t>APAC</t>
  </si>
  <si>
    <t>NorthAmerica</t>
  </si>
  <si>
    <t>SouthAmerica</t>
  </si>
  <si>
    <t>Africa</t>
  </si>
  <si>
    <t>PlacementAgent</t>
  </si>
  <si>
    <t>Other2</t>
  </si>
  <si>
    <t>Expectations</t>
  </si>
  <si>
    <t>Name</t>
  </si>
  <si>
    <t>Core</t>
  </si>
  <si>
    <t/>
  </si>
  <si>
    <t>GBP</t>
  </si>
  <si>
    <t>question</t>
  </si>
  <si>
    <t>question_code</t>
  </si>
  <si>
    <t>answer</t>
  </si>
  <si>
    <t>answer_code</t>
  </si>
  <si>
    <t>format</t>
  </si>
  <si>
    <t>respondentId</t>
  </si>
  <si>
    <t>TEXT</t>
  </si>
  <si>
    <t>collectorId</t>
  </si>
  <si>
    <t>dateStarted</t>
  </si>
  <si>
    <t>dateEnded</t>
  </si>
  <si>
    <t>IP Address</t>
  </si>
  <si>
    <t>ipAddress</t>
  </si>
  <si>
    <t>Email Address</t>
  </si>
  <si>
    <t>email</t>
  </si>
  <si>
    <t>First Name</t>
  </si>
  <si>
    <t>firstname</t>
  </si>
  <si>
    <t>lastname</t>
  </si>
  <si>
    <t>customData1</t>
  </si>
  <si>
    <t>Open-Ended Response</t>
  </si>
  <si>
    <t>qfundname</t>
  </si>
  <si>
    <t>Currency</t>
  </si>
  <si>
    <t>qcurrency</t>
  </si>
  <si>
    <t>loan_strategy</t>
  </si>
  <si>
    <t>qfundstructure</t>
  </si>
  <si>
    <t>first_closing_year</t>
  </si>
  <si>
    <t>q1</t>
  </si>
  <si>
    <t>Response</t>
  </si>
  <si>
    <t>q2</t>
  </si>
  <si>
    <t>q2other</t>
  </si>
  <si>
    <t>q3</t>
  </si>
  <si>
    <t>currency</t>
  </si>
  <si>
    <t>q4</t>
  </si>
  <si>
    <t>Pension funds</t>
  </si>
  <si>
    <t>q4_1</t>
  </si>
  <si>
    <t>Insurance companies</t>
  </si>
  <si>
    <t>q4_2</t>
  </si>
  <si>
    <t>Sovereign wealth fund</t>
  </si>
  <si>
    <t>q4_3</t>
  </si>
  <si>
    <t>Government institutions</t>
  </si>
  <si>
    <t>q4_4</t>
  </si>
  <si>
    <t>Charities, foundations, non-profit organisations</t>
  </si>
  <si>
    <t>q4_5</t>
  </si>
  <si>
    <t>Fund of funds</t>
  </si>
  <si>
    <t>q4_6</t>
  </si>
  <si>
    <t>High net worth individulas / Family offices</t>
  </si>
  <si>
    <t>q4_7</t>
  </si>
  <si>
    <t>q4_8</t>
  </si>
  <si>
    <t>q5</t>
  </si>
  <si>
    <t>q5_1</t>
  </si>
  <si>
    <t>Asia Pacific</t>
  </si>
  <si>
    <t>q5_2</t>
  </si>
  <si>
    <t>North America</t>
  </si>
  <si>
    <t>q5_3</t>
  </si>
  <si>
    <t>South America</t>
  </si>
  <si>
    <t>q5_4</t>
  </si>
  <si>
    <t>q5_5</t>
  </si>
  <si>
    <t>q6</t>
  </si>
  <si>
    <t>Placement agent (%)</t>
  </si>
  <si>
    <t>q6_1</t>
  </si>
  <si>
    <t>%</t>
  </si>
  <si>
    <t>Investors contacting you directly (%)</t>
  </si>
  <si>
    <t>q6_2</t>
  </si>
  <si>
    <t>Your own direct relationship with investors (%)</t>
  </si>
  <si>
    <t>q6_3</t>
  </si>
  <si>
    <t>Other (%)</t>
  </si>
  <si>
    <t>q6_4</t>
  </si>
  <si>
    <t>How do you expect capital raising activities to develop for non-listed real estate funds over the next two years?</t>
  </si>
  <si>
    <t>q7</t>
  </si>
  <si>
    <t>Would you like the name of your company to be included in the list of participants?</t>
  </si>
  <si>
    <t>q8</t>
  </si>
  <si>
    <t>Style</t>
  </si>
  <si>
    <t>qstyle</t>
  </si>
  <si>
    <t>Vintage</t>
  </si>
  <si>
    <t>Sovereign wealth funds</t>
  </si>
  <si>
    <t>High net worth individuals / Family offices</t>
  </si>
  <si>
    <t>Increase</t>
  </si>
  <si>
    <t>Yes</t>
  </si>
  <si>
    <t>No change</t>
  </si>
  <si>
    <t>No</t>
  </si>
  <si>
    <t>keep</t>
  </si>
  <si>
    <t>yes</t>
  </si>
  <si>
    <t>Open end</t>
  </si>
  <si>
    <t>Closed end</t>
  </si>
  <si>
    <t>LoanStrategy</t>
  </si>
  <si>
    <t>CapitalRaisedTotal</t>
  </si>
  <si>
    <t>Senior</t>
  </si>
  <si>
    <t>Pan-Europe</t>
  </si>
  <si>
    <t>Mixed: Senior + Subordinated + Preferred equity</t>
  </si>
  <si>
    <t>Subordinated: Junior + Mezzanine + Preferred equity</t>
  </si>
  <si>
    <t>Western Europe excluding Nordics, Southern Europe and UK</t>
  </si>
  <si>
    <t>UK</t>
  </si>
  <si>
    <t>Mixed: Senior + Subordinated</t>
  </si>
  <si>
    <t>Nordics (Denmark, Finland, Norway and Sweden)</t>
  </si>
  <si>
    <t>USD</t>
  </si>
  <si>
    <t>Column13</t>
  </si>
  <si>
    <t>Column17</t>
  </si>
  <si>
    <t>Column21</t>
  </si>
  <si>
    <t>Column24</t>
  </si>
  <si>
    <t>Column26</t>
  </si>
  <si>
    <t>Column30</t>
  </si>
  <si>
    <t>Column31</t>
  </si>
  <si>
    <t>194.143.182.29</t>
  </si>
  <si>
    <t>108.171.128.175</t>
  </si>
  <si>
    <t>185.23.36.251</t>
  </si>
  <si>
    <t>Opportunity</t>
  </si>
  <si>
    <t>195.191.225.4</t>
  </si>
  <si>
    <t>HI-Immobilien-Multi Manager-Fonds II</t>
  </si>
  <si>
    <t>Structure</t>
  </si>
  <si>
    <t>Respondent ID</t>
  </si>
  <si>
    <t>Collector ID</t>
  </si>
  <si>
    <t>Start Date</t>
  </si>
  <si>
    <t>End Date</t>
  </si>
  <si>
    <t>Last Name</t>
  </si>
  <si>
    <t>Custom Data 1</t>
  </si>
  <si>
    <t>Vehicle ID / Name</t>
  </si>
  <si>
    <t>Did your company raise capital for this vehicle in 2017?</t>
  </si>
  <si>
    <t>Please state the reason why?</t>
  </si>
  <si>
    <t>What was the total amount of capital raised for this vehicle in 2017? (millions)</t>
  </si>
  <si>
    <t>How much capital was raised for this vehicle in 2017 from Institutional Investors by investor type? (millions)Please ensure that the total values provided match the values you entered in Q3</t>
  </si>
  <si>
    <t>How much capital was raised for this vehicle in 2017 from Institutional Investors by investor domicile? (millions)Please ensure that the total values provided match the values you entered in Q3 - total capital raised</t>
  </si>
  <si>
    <t>What percentage of the total capital was raised via...?Total figure should sum up to 100%</t>
  </si>
  <si>
    <t xml:space="preserve">LaSalle Residential Finance Fund III </t>
  </si>
  <si>
    <t xml:space="preserve">LaSalle Real Estate Debt Strategies III </t>
  </si>
  <si>
    <t>185.29.113.86</t>
  </si>
  <si>
    <t>Brunswick Real Estate Capital II</t>
  </si>
  <si>
    <t>Pramerica Real Estate Capital VI, LP</t>
  </si>
  <si>
    <t>213.251.23.92</t>
  </si>
  <si>
    <t>ICG-Longbow Senior Debt Programme Vintage III</t>
  </si>
  <si>
    <t>192.166.106.126</t>
  </si>
  <si>
    <t>DE000DK0AYR6 / Deka Realkredit Klassik</t>
  </si>
  <si>
    <t>194.140.225.246</t>
  </si>
  <si>
    <t>SELFII</t>
  </si>
  <si>
    <t>217.10.134.222</t>
  </si>
  <si>
    <t>DRC UK Whole Loan Fund</t>
  </si>
  <si>
    <t>DRC European Real Estate Debt Fund III</t>
  </si>
  <si>
    <t>80.169.207.154</t>
  </si>
  <si>
    <t>AgFe Real Estate Senior Debt Fund II</t>
  </si>
  <si>
    <t>Fundraising environment</t>
  </si>
  <si>
    <t>Column16</t>
  </si>
  <si>
    <t>Column18</t>
  </si>
  <si>
    <t>Column19</t>
  </si>
  <si>
    <t>Column20</t>
  </si>
  <si>
    <t>Column22</t>
  </si>
  <si>
    <t>Column25</t>
  </si>
  <si>
    <t>Column27</t>
  </si>
  <si>
    <t>Column29</t>
  </si>
  <si>
    <t>VehicleID</t>
  </si>
  <si>
    <t>ID</t>
  </si>
  <si>
    <t>CountryStrategy</t>
  </si>
  <si>
    <t>RaisedCapital</t>
  </si>
  <si>
    <t>WhyNo</t>
  </si>
  <si>
    <t>InsuranceCompanies</t>
  </si>
  <si>
    <t>SWFs</t>
  </si>
  <si>
    <t>FundOfFunds</t>
  </si>
  <si>
    <t>InvestorsContacting</t>
  </si>
  <si>
    <t>OwnRelationship</t>
  </si>
  <si>
    <t>N/A</t>
  </si>
  <si>
    <t>SEK</t>
  </si>
  <si>
    <t>Whole loans</t>
  </si>
  <si>
    <t>How much capital was raised for this vehicle in 2017 from Institutional Investors by investor domicile? (millions)Please ensure that the total values provided match the values you entered in Q3</t>
  </si>
  <si>
    <t>185.69.116.107</t>
  </si>
  <si>
    <t>CBRE Global Investment Partners Segregated Accounts</t>
  </si>
  <si>
    <t xml:space="preserve">CBRE Global Investment Partners UK Osiris Property Fund </t>
  </si>
  <si>
    <t>CBRE Global Investment Partners Global Alpha Fund</t>
  </si>
  <si>
    <t>Altan IV Global IICIICIL</t>
  </si>
  <si>
    <t>77.59.199.231</t>
  </si>
  <si>
    <t>Crown Small Cap Real Estate Fund II</t>
  </si>
  <si>
    <t>Completing investment period</t>
  </si>
  <si>
    <t>185.69.116.106</t>
  </si>
  <si>
    <t>CBRE Global Investment Partners Global Alpha Fund Series FCP-SIF</t>
  </si>
  <si>
    <t>HI-Immobilien-Multi Manager-Fonds III</t>
  </si>
  <si>
    <t>Already raised</t>
  </si>
  <si>
    <t>212.114.207.108</t>
  </si>
  <si>
    <t>PATRIZIA Multi Managers Global IV</t>
  </si>
  <si>
    <t>CapitalRaised</t>
  </si>
  <si>
    <t>OtherInvestors</t>
  </si>
  <si>
    <t>OtherAgency</t>
  </si>
  <si>
    <t>Oppurtunity</t>
  </si>
  <si>
    <t>Value added</t>
  </si>
  <si>
    <t>universeFundID</t>
  </si>
  <si>
    <t>country_strategy</t>
  </si>
  <si>
    <t>How much capital was raised for this vehicle in 2017 from Institutional Investors by investor type? (millions)Please ensure that the total values provided match the values you entered in Q4</t>
  </si>
  <si>
    <t>How much capital was raised for this vehicle in 2017 from Institutional Investors by investor type? (millions)Please ensure that the total values provided match the values you entered in Q5</t>
  </si>
  <si>
    <t>How much capital was raised for this vehicle in 2017 from Institutional Investors by investor type? (millions)Please ensure that the total values provided match the values you entered in Q6</t>
  </si>
  <si>
    <t>How much capital was raised for this vehicle in 2017 from Institutional Investors by investor type? (millions)Please ensure that the total values provided match the values you entered in Q7</t>
  </si>
  <si>
    <t>How much capital was raised for this vehicle in 2017 from Institutional Investors by investor type? (millions)Please ensure that the total values provided match the values you entered in Q8</t>
  </si>
  <si>
    <t>How much capital was raised for this vehicle in 2017 from Institutional Investors by investor type? (millions)Please ensure that the total values provided match the values you entered in Q9</t>
  </si>
  <si>
    <t>How much capital was raised for this vehicle in 2017 from Institutional Investors by investor type? (millions)Please ensure that the total values provided match the values you entered in Q10</t>
  </si>
  <si>
    <t>How much capital was raised for this vehicle in 2017 from Institutional Investors by investor domicile? (millions)Please ensure that the total values provided match the values you entered in Q4</t>
  </si>
  <si>
    <t>How much capital was raised for this vehicle in 2017 from Institutional Investors by investor domicile? (millions)Please ensure that the total values provided match the values you entered in Q5</t>
  </si>
  <si>
    <t>How much capital was raised for this vehicle in 2017 from Institutional Investors by investor domicile? (millions)Please ensure that the total values provided match the values you entered in Q6</t>
  </si>
  <si>
    <t>How much capital was raised for this vehicle in 2017 from Institutional Investors by investor domicile? (millions)Please ensure that the total values provided match the values you entered in 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</si>
</sst>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8"/>
      <name val="Arial"/>
      <family val="2"/>
    </font>
    <font>
      <sz val="10"/>
      <name val="Segoe UI"/>
      <family val="2"/>
    </font>
  </fonts>
  <fills count="2">
    <fill>
      <patternFill patternType="none"/>
    </fill>
    <fill>
      <patternFill patternType="gray125"/>
    </fill>
  </fills>
  <borders count="1">
    <border>
      <left/>
      <right/>
      <top/>
      <bottom/>
      <diagonal/>
    </border>
  </borders>
  <cellStyleXfs count="8">
    <xf numFmtId="0" fontId="0" fillId="0" borderId="0"/>
    <xf numFmtId="0" fontId="6" fillId="0" borderId="0"/>
    <xf numFmtId="0" fontId="5" fillId="0" borderId="0"/>
    <xf numFmtId="0" fontId="5" fillId="0" borderId="0"/>
    <xf numFmtId="0" fontId="5" fillId="0" borderId="0"/>
    <xf numFmtId="0" fontId="4" fillId="0" borderId="0"/>
    <xf numFmtId="0" fontId="4" fillId="0" borderId="0"/>
    <xf numFmtId="0" fontId="8" fillId="0" borderId="0"/>
  </cellStyleXfs>
  <cellXfs count="10">
    <xf numFmtId="0" fontId="0" fillId="0" borderId="0" xfId="0"/>
    <xf numFmtId="0" fontId="5" fillId="0" borderId="0" xfId="2"/>
    <xf numFmtId="0" fontId="0" fillId="0" borderId="0" xfId="0" applyNumberFormat="1"/>
    <xf numFmtId="0" fontId="5" fillId="0" borderId="0" xfId="2" applyFill="1"/>
    <xf numFmtId="22" fontId="0" fillId="0" borderId="0" xfId="0" applyNumberFormat="1"/>
    <xf numFmtId="0" fontId="3" fillId="0" borderId="0" xfId="2" applyFont="1"/>
    <xf numFmtId="0" fontId="3" fillId="0" borderId="0" xfId="2" applyFont="1" applyFill="1"/>
    <xf numFmtId="0" fontId="2" fillId="0" borderId="0" xfId="2" applyFont="1" applyFill="1"/>
    <xf numFmtId="0" fontId="1" fillId="0" borderId="0" xfId="2" applyFont="1" applyFill="1"/>
    <xf numFmtId="0" fontId="8" fillId="0" borderId="0" xfId="7"/>
  </cellXfs>
  <cellStyles count="8">
    <cellStyle name="General" xfId="1" xr:uid="{BAF158E4-2D0D-42B5-A1A7-2908577C4989}"/>
    <cellStyle name="Normal" xfId="0" builtinId="0"/>
    <cellStyle name="Normal 12" xfId="4" xr:uid="{A9427879-3AB5-4D22-BA77-918EF0CE554B}"/>
    <cellStyle name="Normal 12 2" xfId="6" xr:uid="{0C52F178-EB74-479F-A872-EB8F49CC65C7}"/>
    <cellStyle name="Normal 16" xfId="7" xr:uid="{EBEBE6FE-3295-40AC-9000-AD405FBE532E}"/>
    <cellStyle name="Normal 2" xfId="2" xr:uid="{09743B72-CBCE-4BFB-B36C-A60E1A14658F}"/>
    <cellStyle name="Normal 9" xfId="3" xr:uid="{D7801203-BEC6-4346-A9A1-A60D77FD0D09}"/>
    <cellStyle name="Normal 9 2" xfId="5" xr:uid="{F85A5163-9717-4AB8-A82F-9B2F4E7293B4}"/>
  </cellStyles>
  <dxfs count="7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EBEBEB"/>
        </patternFill>
      </fill>
      <border>
        <left style="thick">
          <color theme="0"/>
        </left>
        <right style="thick">
          <color theme="0"/>
        </right>
        <top style="thick">
          <color theme="0"/>
        </top>
        <bottom style="thick">
          <color theme="0"/>
        </bottom>
        <vertical style="thick">
          <color theme="0"/>
        </vertical>
        <horizontal style="thick">
          <color theme="0"/>
        </horizontal>
      </border>
    </dxf>
    <dxf>
      <font>
        <color auto="1"/>
      </font>
      <fill>
        <patternFill>
          <bgColor rgb="FFF9F9F9"/>
        </patternFill>
      </fill>
      <border>
        <left style="thin">
          <color theme="0"/>
        </left>
        <right style="thin">
          <color theme="0"/>
        </right>
        <top style="thin">
          <color theme="0"/>
        </top>
        <bottom style="thin">
          <color theme="0"/>
        </bottom>
        <vertical style="thick">
          <color theme="0"/>
        </vertical>
        <horizontal style="thick">
          <color theme="0"/>
        </horizontal>
      </border>
    </dxf>
    <dxf>
      <font>
        <b/>
        <i val="0"/>
        <color theme="0"/>
      </font>
      <fill>
        <patternFill>
          <bgColor rgb="FF55585A"/>
        </patternFill>
      </fill>
      <border>
        <left style="thick">
          <color theme="0"/>
        </left>
        <right style="thick">
          <color theme="0"/>
        </right>
        <top style="thick">
          <color theme="0"/>
        </top>
        <bottom style="thick">
          <color theme="0"/>
        </bottom>
        <vertical style="thick">
          <color theme="0"/>
        </vertical>
        <horizontal style="thick">
          <color theme="0"/>
        </horizontal>
      </border>
    </dxf>
    <dxf>
      <font>
        <b/>
        <i val="0"/>
        <color theme="0"/>
      </font>
      <fill>
        <patternFill>
          <bgColor rgb="FF232425"/>
        </patternFill>
      </fill>
      <border>
        <left style="thick">
          <color theme="0"/>
        </left>
        <right style="thick">
          <color theme="0"/>
        </right>
        <top style="thick">
          <color theme="0"/>
        </top>
        <bottom style="thick">
          <color theme="0"/>
        </bottom>
        <vertical style="thick">
          <color theme="0"/>
        </vertical>
        <horizontal style="thick">
          <color theme="0"/>
        </horizontal>
      </border>
    </dxf>
    <dxf>
      <border>
        <bottom style="thin">
          <color auto="1"/>
        </bottom>
      </border>
    </dxf>
  </dxfs>
  <tableStyles count="1" defaultTableStyle="TableStyleMedium2" defaultPivotStyle="PivotStyleLight16">
    <tableStyle name="INREV Data" pivot="0" count="5" xr9:uid="{D70CB442-5EF9-4688-A88C-96173CA56AE8}">
      <tableStyleElement type="wholeTable" dxfId="77"/>
      <tableStyleElement type="headerRow" dxfId="76"/>
      <tableStyleElement type="totalRow" dxfId="75"/>
      <tableStyleElement type="firstRowStripe" dxfId="74"/>
      <tableStyleElement type="secondRowStripe" dxfId="7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114F127-A84C-450F-B09E-7D439C33D22A}" autoFormatId="16" applyNumberFormats="0" applyBorderFormats="0" applyFontFormats="0" applyPatternFormats="0" applyAlignmentFormats="0" applyWidthHeightFormats="0">
  <queryTableRefresh nextId="34">
    <queryTableFields count="33">
      <queryTableField id="1" name="Respondent ID" tableColumnId="1"/>
      <queryTableField id="2" name="Collector ID" tableColumnId="2"/>
      <queryTableField id="3" name="Start Date" tableColumnId="3"/>
      <queryTableField id="4" name="End Date" tableColumnId="4"/>
      <queryTableField id="5" name="IP Address" tableColumnId="5"/>
      <queryTableField id="6" name="Email Address" tableColumnId="6"/>
      <queryTableField id="7" name="First Name" tableColumnId="7"/>
      <queryTableField id="8" name="Last Name" tableColumnId="8"/>
      <queryTableField id="9" name="Custom Data 1" tableColumnId="9"/>
      <queryTableField id="10" name="Vehicle ID / Name" tableColumnId="10"/>
      <queryTableField id="11" name="Did your company raise capital for this vehicle in 2017?" tableColumnId="11"/>
      <queryTableField id="12" name="Please state the reason why?" tableColumnId="12"/>
      <queryTableField id="13" name="Column13" tableColumnId="13"/>
      <queryTableField id="14" name="What was the total amount of capital raised for this vehicle in 2017? (millions)" tableColumnId="14"/>
      <queryTableField id="15" name="How much capital was raised for this vehicle in 2017 from Institutional Investors by investor type? (millions)Please ensure that the total values provided match the values you entered in Q3"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How much capital was raised for this vehicle in 2017 from Institutional Investors by investor domicile? (millions)Please ensure that the total values provided match the values you entered in Q3 - total capital raised" tableColumnId="23"/>
      <queryTableField id="24" name="Column24" tableColumnId="24"/>
      <queryTableField id="25" name="Column25" tableColumnId="25"/>
      <queryTableField id="26" name="Column26" tableColumnId="26"/>
      <queryTableField id="27" name="Column27" tableColumnId="27"/>
      <queryTableField id="28" name="What percentage of the total capital was raised via...?Total figure should sum up to 100%" tableColumnId="28"/>
      <queryTableField id="29" name="Column29" tableColumnId="29"/>
      <queryTableField id="30" name="Column30" tableColumnId="30"/>
      <queryTableField id="31" name="Column31" tableColumnId="31"/>
      <queryTableField id="32" name="How do you expect capital raising activities to develop for non-listed real estate funds over the next two years?" tableColumnId="32"/>
      <queryTableField id="33" name="Would you like the name of your company to be included in the list of participants?"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B8BA839-E153-4800-945D-49ED385D5DA3}" autoFormatId="16" applyNumberFormats="0" applyBorderFormats="0" applyFontFormats="0" applyPatternFormats="0" applyAlignmentFormats="0" applyWidthHeightFormats="0">
  <queryTableRefresh nextId="30">
    <queryTableFields count="29">
      <queryTableField id="1" name="VehicleID" tableColumnId="1"/>
      <queryTableField id="2" name="ID" tableColumnId="2"/>
      <queryTableField id="3" name="LoanStrategy" tableColumnId="3"/>
      <queryTableField id="4" name="CountryStrategy" tableColumnId="4"/>
      <queryTableField id="5" name="Vintage" tableColumnId="5"/>
      <queryTableField id="6" name="RaisedCapital" tableColumnId="6"/>
      <queryTableField id="7" name="WhyNo" tableColumnId="7"/>
      <queryTableField id="8" name="Currency" tableColumnId="8"/>
      <queryTableField id="9" name="EUR" tableColumnId="9"/>
      <queryTableField id="10" name="CapitalRaisedTotal" tableColumnId="10"/>
      <queryTableField id="11" name="PensionFunds" tableColumnId="11"/>
      <queryTableField id="12" name="InsuranceCompanies" tableColumnId="12"/>
      <queryTableField id="13" name="SWFs" tableColumnId="13"/>
      <queryTableField id="14" name="Government" tableColumnId="14"/>
      <queryTableField id="15" name="Charities" tableColumnId="15"/>
      <queryTableField id="16" name="FundOfFunds" tableColumnId="16"/>
      <queryTableField id="17" name="HNWI" tableColumnId="17"/>
      <queryTableField id="18" name="Other" tableColumnId="18"/>
      <queryTableField id="19" name="Europe" tableColumnId="19"/>
      <queryTableField id="20" name="APAC" tableColumnId="20"/>
      <queryTableField id="21" name="NorthAmerica" tableColumnId="21"/>
      <queryTableField id="22" name="SouthAmerica" tableColumnId="22"/>
      <queryTableField id="23" name="Africa" tableColumnId="23"/>
      <queryTableField id="24" name="PlacementAgent" tableColumnId="24"/>
      <queryTableField id="25" name="InvestorsContacting" tableColumnId="25"/>
      <queryTableField id="26" name="OwnRelationship" tableColumnId="26"/>
      <queryTableField id="27" name="Other2" tableColumnId="27"/>
      <queryTableField id="28" name="Expectations" tableColumnId="28"/>
      <queryTableField id="29" name="Name" tableColumnId="2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43DAC73-24AD-47D8-8EC3-7A6CAE0A2F26}" autoFormatId="16" applyNumberFormats="0" applyBorderFormats="0" applyFontFormats="0" applyPatternFormats="0" applyAlignmentFormats="0" applyWidthHeightFormats="0">
  <queryTableRefresh nextId="39">
    <queryTableFields count="38">
      <queryTableField id="1" name="Respondent ID" tableColumnId="1"/>
      <queryTableField id="2" name="Collector ID" tableColumnId="2"/>
      <queryTableField id="3" name="Start Date" tableColumnId="3"/>
      <queryTableField id="4" name="End Date" tableColumnId="4"/>
      <queryTableField id="5" name="IP Address" tableColumnId="5"/>
      <queryTableField id="6" name="Email Address" tableColumnId="6"/>
      <queryTableField id="7" name="First Name" tableColumnId="7"/>
      <queryTableField id="8" name="Last Name" tableColumnId="8"/>
      <queryTableField id="9" name="Custom Data 1" tableColumnId="9"/>
      <queryTableField id="10" name="Vehicle ID / Name" tableColumnId="10"/>
      <queryTableField id="35" dataBound="0" tableColumnId="35"/>
      <queryTableField id="37" dataBound="0" tableColumnId="37"/>
      <queryTableField id="36" dataBound="0" tableColumnId="36"/>
      <queryTableField id="34" dataBound="0" tableColumnId="34"/>
      <queryTableField id="38" dataBound="0" tableColumnId="38"/>
      <queryTableField id="11" name="Did your company raise capital for this vehicle in 2017?" tableColumnId="11"/>
      <queryTableField id="12" name="Please state the reason why?" tableColumnId="12"/>
      <queryTableField id="13" name="Column13" tableColumnId="13"/>
      <queryTableField id="14" name="What was the total amount of capital raised for this vehicle in 2017? (millions)" tableColumnId="14"/>
      <queryTableField id="15" name="How much capital was raised for this vehicle in 2017 from Institutional Investors by investor type? (millions)Please ensure that the total values provided match the values you entered in Q3"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How much capital was raised for this vehicle in 2017 from Institutional Investors by investor domicile? (millions)Please ensure that the total values provided match the values you entered in Q3 - total capital raised" tableColumnId="23"/>
      <queryTableField id="24" name="Column24" tableColumnId="24"/>
      <queryTableField id="25" name="Column25" tableColumnId="25"/>
      <queryTableField id="26" name="Column26" tableColumnId="26"/>
      <queryTableField id="27" name="Column27" tableColumnId="27"/>
      <queryTableField id="28" name="What percentage of the total capital was raised via...?Total figure should sum up to 100%" tableColumnId="28"/>
      <queryTableField id="29" name="Column29" tableColumnId="29"/>
      <queryTableField id="30" name="Column30" tableColumnId="30"/>
      <queryTableField id="31" name="Column31" tableColumnId="31"/>
      <queryTableField id="32" name="How do you expect capital raising activities to develop for non-listed real estate funds over the next two years?" tableColumnId="32"/>
      <queryTableField id="33" name="Would you like the name of your company to be included in the list of participants?" tableColumnId="3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58BB9BC-991D-4DA5-9DB2-892394F6D28C}" autoFormatId="16" applyNumberFormats="0" applyBorderFormats="0" applyFontFormats="0" applyPatternFormats="0" applyAlignmentFormats="0" applyWidthHeightFormats="0">
  <queryTableRefresh nextId="34">
    <queryTableFields count="33">
      <queryTableField id="1" name="Respondent ID" tableColumnId="1"/>
      <queryTableField id="2" name="Collector ID" tableColumnId="2"/>
      <queryTableField id="3" name="Start Date" tableColumnId="3"/>
      <queryTableField id="4" name="End Date" tableColumnId="4"/>
      <queryTableField id="5" name="IP Address" tableColumnId="5"/>
      <queryTableField id="6" name="Email Address" tableColumnId="6"/>
      <queryTableField id="7" name="First Name" tableColumnId="7"/>
      <queryTableField id="8" name="Last Name" tableColumnId="8"/>
      <queryTableField id="9" name="Custom Data 1" tableColumnId="9"/>
      <queryTableField id="10" name="Vehicle ID / Name" tableColumnId="10"/>
      <queryTableField id="11" name="Did your company raise capital for this vehicle in 2017?" tableColumnId="11"/>
      <queryTableField id="12" name="Please state the reason why?" tableColumnId="12"/>
      <queryTableField id="13" name="Column13" tableColumnId="13"/>
      <queryTableField id="14" name="What was the total amount of capital raised for this vehicle in 2017? (millions)" tableColumnId="14"/>
      <queryTableField id="15" name="How much capital was raised for this vehicle in 2017 from Institutional Investors by investor type? (millions)Please ensure that the total values provided match the values you entered in Q3"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How much capital was raised for this vehicle in 2017 from Institutional Investors by investor domicile? (millions)Please ensure that the total values provided match the values you entered in Q3" tableColumnId="23"/>
      <queryTableField id="24" name="Column24" tableColumnId="24"/>
      <queryTableField id="25" name="Column25" tableColumnId="25"/>
      <queryTableField id="26" name="Column26" tableColumnId="26"/>
      <queryTableField id="27" name="Column27" tableColumnId="27"/>
      <queryTableField id="28" name="What percentage of the total capital was raised via...?Total figure should sum up to 100%" tableColumnId="28"/>
      <queryTableField id="29" name="Column29" tableColumnId="29"/>
      <queryTableField id="30" name="Column30" tableColumnId="30"/>
      <queryTableField id="31" name="Column31" tableColumnId="31"/>
      <queryTableField id="32" name="How do you expect capital raising activities to develop for non-listed real estate funds over the next two years?" tableColumnId="32"/>
      <queryTableField id="33" name="Would you like the name of your company to be included in the list of participants?" tableColumnId="3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31A079F8-6195-4707-B62F-345289E7C1D8}" autoFormatId="16" applyNumberFormats="0" applyBorderFormats="0" applyFontFormats="0" applyPatternFormats="0" applyAlignmentFormats="0" applyWidthHeightFormats="0">
  <queryTableRefresh nextId="39">
    <queryTableFields count="38">
      <queryTableField id="1" name="Respondent ID" tableColumnId="1"/>
      <queryTableField id="2" name="Collector ID" tableColumnId="2"/>
      <queryTableField id="3" name="Start Date" tableColumnId="3"/>
      <queryTableField id="4" name="End Date" tableColumnId="4"/>
      <queryTableField id="5" name="IP Address" tableColumnId="5"/>
      <queryTableField id="6" name="Email Address" tableColumnId="6"/>
      <queryTableField id="7" name="First Name" tableColumnId="7"/>
      <queryTableField id="8" name="Last Name" tableColumnId="8"/>
      <queryTableField id="9" name="Custom Data 1" tableColumnId="9"/>
      <queryTableField id="10" name="Vehicle ID / Name" tableColumnId="10"/>
      <queryTableField id="38" dataBound="0" tableColumnId="38"/>
      <queryTableField id="37" dataBound="0" tableColumnId="37"/>
      <queryTableField id="36" dataBound="0" tableColumnId="36"/>
      <queryTableField id="35" dataBound="0" tableColumnId="35"/>
      <queryTableField id="34" dataBound="0" tableColumnId="34"/>
      <queryTableField id="11" name="Did your company raise capital for this vehicle in 2017?" tableColumnId="11"/>
      <queryTableField id="12" name="Please state the reason why?" tableColumnId="12"/>
      <queryTableField id="13" name="Column13" tableColumnId="13"/>
      <queryTableField id="14" name="What was the total amount of capital raised for this vehicle in 2017? (millions)" tableColumnId="14"/>
      <queryTableField id="15" name="How much capital was raised for this vehicle in 2017 from Institutional Investors by investor type? (millions)Please ensure that the total values provided match the values you entered in Q3"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How much capital was raised for this vehicle in 2017 from Institutional Investors by investor domicile? (millions)Please ensure that the total values provided match the values you entered in Q3" tableColumnId="23"/>
      <queryTableField id="24" name="Column24" tableColumnId="24"/>
      <queryTableField id="25" name="Column25" tableColumnId="25"/>
      <queryTableField id="26" name="Column26" tableColumnId="26"/>
      <queryTableField id="27" name="Column27" tableColumnId="27"/>
      <queryTableField id="28" name="What percentage of the total capital was raised via...?Total figure should sum up to 100%" tableColumnId="28"/>
      <queryTableField id="29" name="Column29" tableColumnId="29"/>
      <queryTableField id="30" name="Column30" tableColumnId="30"/>
      <queryTableField id="31" name="Column31" tableColumnId="31"/>
      <queryTableField id="32" name="How do you expect capital raising activities to develop for non-listed real estate funds over the next two years?" tableColumnId="32"/>
      <queryTableField id="33" name="Would you like the name of your company to be included in the list of participants?" tableColumnId="3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9144E561-13FA-4065-8661-27FADB3489BF}" autoFormatId="16" applyNumberFormats="0" applyBorderFormats="0" applyFontFormats="0" applyPatternFormats="0" applyAlignmentFormats="0" applyWidthHeightFormats="0">
  <queryTableRefresh nextId="30">
    <queryTableFields count="29">
      <queryTableField id="1" name="VehicleID" tableColumnId="1"/>
      <queryTableField id="2" name="ID" tableColumnId="2"/>
      <queryTableField id="3" name="Style" tableColumnId="3"/>
      <queryTableField id="4" name="Structure" tableColumnId="4"/>
      <queryTableField id="5" name="Vintage" tableColumnId="5"/>
      <queryTableField id="6" name="RaisedCapital" tableColumnId="6"/>
      <queryTableField id="7" name="WhyNo" tableColumnId="7"/>
      <queryTableField id="8" name="Currency" tableColumnId="8"/>
      <queryTableField id="9" name="EUR" tableColumnId="9"/>
      <queryTableField id="10" name="CapitalRaised" tableColumnId="10"/>
      <queryTableField id="11" name="PensionFunds" tableColumnId="11"/>
      <queryTableField id="12" name="InsuranceCompanies" tableColumnId="12"/>
      <queryTableField id="13" name="SWFs" tableColumnId="13"/>
      <queryTableField id="14" name="Government" tableColumnId="14"/>
      <queryTableField id="15" name="Charities" tableColumnId="15"/>
      <queryTableField id="16" name="FundOfFunds" tableColumnId="16"/>
      <queryTableField id="17" name="HNWI" tableColumnId="17"/>
      <queryTableField id="18" name="OtherInvestors" tableColumnId="18"/>
      <queryTableField id="19" name="Europe" tableColumnId="19"/>
      <queryTableField id="20" name="APAC" tableColumnId="20"/>
      <queryTableField id="21" name="NorthAmerica" tableColumnId="21"/>
      <queryTableField id="22" name="SouthAmerica" tableColumnId="22"/>
      <queryTableField id="23" name="Africa" tableColumnId="23"/>
      <queryTableField id="24" name="PlacementAgent" tableColumnId="24"/>
      <queryTableField id="25" name="InvestorsContacting" tableColumnId="25"/>
      <queryTableField id="26" name="OwnRelationship" tableColumnId="26"/>
      <queryTableField id="27" name="OtherAgency" tableColumnId="27"/>
      <queryTableField id="28" name="Expectations" tableColumnId="28"/>
      <queryTableField id="29" name="Name" tableColumnId="2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90781-531F-48EB-A374-53D3A4C25FF3}" name="DFsmonkeyCompl" displayName="DFsmonkeyCompl" ref="A1:AG12" tableType="queryTable" totalsRowShown="0">
  <autoFilter ref="A1:AG12" xr:uid="{0956FA1E-EFF7-408B-98B1-094B82292A89}"/>
  <tableColumns count="33">
    <tableColumn id="1" xr3:uid="{6FDFF416-7E01-43F2-B433-BA1DBF031E82}" uniqueName="1" name="Respondent ID" queryTableFieldId="1"/>
    <tableColumn id="2" xr3:uid="{A517D7F2-3AB7-452B-95DD-9CB71D4446FF}" uniqueName="2" name="Collector ID" queryTableFieldId="2"/>
    <tableColumn id="3" xr3:uid="{BDEAC020-3D8F-4D6F-8108-DCEB6FE4D732}" uniqueName="3" name="Start Date" queryTableFieldId="3"/>
    <tableColumn id="4" xr3:uid="{021D3AB4-B5BF-4FFC-80E9-194439572FF7}" uniqueName="4" name="End Date" queryTableFieldId="4"/>
    <tableColumn id="5" xr3:uid="{8A6429E7-9909-49FA-94C3-2009D5482209}" uniqueName="5" name="IP Address" queryTableFieldId="5" dataDxfId="72"/>
    <tableColumn id="6" xr3:uid="{F7F8F15A-7782-4F01-9BA3-00FBF7BD5EEA}" uniqueName="6" name="Email Address" queryTableFieldId="6"/>
    <tableColumn id="7" xr3:uid="{D3D94A57-202E-440D-85A2-1AED10FBCC8D}" uniqueName="7" name="First Name" queryTableFieldId="7"/>
    <tableColumn id="8" xr3:uid="{2EE235F9-9F48-4C71-BD93-376CB486A579}" uniqueName="8" name="Last Name" queryTableFieldId="8"/>
    <tableColumn id="9" xr3:uid="{17E7E4A6-698A-4088-B064-4DC6AD1F2C89}" uniqueName="9" name="Custom Data 1" queryTableFieldId="9"/>
    <tableColumn id="10" xr3:uid="{72362AF5-00F2-4A9D-89E1-7061F37365E5}" uniqueName="10" name="Vehicle ID / Name" queryTableFieldId="10" dataDxfId="71"/>
    <tableColumn id="11" xr3:uid="{2F8133C3-3AE6-456B-9DAD-5C5E2262ECFD}" uniqueName="11" name="Did your company raise capital for this vehicle in 2017?" queryTableFieldId="11" dataDxfId="70"/>
    <tableColumn id="12" xr3:uid="{DF917098-9C29-4CCA-B9C0-B7E1EDCF2605}" uniqueName="12" name="Please state the reason why?" queryTableFieldId="12" dataDxfId="69"/>
    <tableColumn id="13" xr3:uid="{EC54B122-B7D9-493C-BCCA-93D15844C3C2}" uniqueName="13" name="Column13" queryTableFieldId="13" dataDxfId="68"/>
    <tableColumn id="14" xr3:uid="{A4F42088-79DB-4B14-9DAF-A6B5B3E3DEBC}" uniqueName="14" name="What was the total amount of capital raised for this vehicle in 2017? (millions)" queryTableFieldId="14"/>
    <tableColumn id="15" xr3:uid="{E77B58E3-CE60-4310-9F85-73B349A80578}" uniqueName="15" name="How much capital was raised for this vehicle in 2017 from Institutional Investors by investor type? (millions)Please ensure that the total values provided match the values you entered in Q3" queryTableFieldId="15"/>
    <tableColumn id="16" xr3:uid="{A5876693-FD2E-4888-8CD9-91EB8C764B93}" uniqueName="16" name="Column16" queryTableFieldId="16"/>
    <tableColumn id="17" xr3:uid="{6FCB70FC-4F6D-4B9F-BBDA-C1FB9B0255D1}" uniqueName="17" name="Column17" queryTableFieldId="17"/>
    <tableColumn id="18" xr3:uid="{B1DFDF4D-9056-4D5E-9E6C-F1038868EFBF}" uniqueName="18" name="Column18" queryTableFieldId="18"/>
    <tableColumn id="19" xr3:uid="{FCCC2EB8-AB99-4812-96BA-2D40C5C33FAD}" uniqueName="19" name="Column19" queryTableFieldId="19"/>
    <tableColumn id="20" xr3:uid="{8B25C3D2-13BE-4710-97E3-B08084CCB3DE}" uniqueName="20" name="Column20" queryTableFieldId="20"/>
    <tableColumn id="21" xr3:uid="{7AA45A8F-0113-4AF8-8871-0FD52B6DEC63}" uniqueName="21" name="Column21" queryTableFieldId="21"/>
    <tableColumn id="22" xr3:uid="{95A6156C-BB98-4866-B879-139963744705}" uniqueName="22" name="Column22" queryTableFieldId="22"/>
    <tableColumn id="23" xr3:uid="{9BDB85E0-C866-46EB-B5D0-9CE288F48709}" uniqueName="23" name="How much capital was raised for this vehicle in 2017 from Institutional Investors by investor domicile? (millions)Please ensure that the total values provided match the values you entered in Q3 - total capital raised" queryTableFieldId="23"/>
    <tableColumn id="24" xr3:uid="{0397DD84-81F2-4786-B62A-6F2F6228017D}" uniqueName="24" name="Column24" queryTableFieldId="24"/>
    <tableColumn id="25" xr3:uid="{FA9B8B4E-EE02-435C-8917-327566040E5E}" uniqueName="25" name="Column25" queryTableFieldId="25"/>
    <tableColumn id="26" xr3:uid="{A837262F-163B-4279-89FB-7D5D748D3679}" uniqueName="26" name="Column26" queryTableFieldId="26"/>
    <tableColumn id="27" xr3:uid="{E57A7BE7-0778-4A8E-BB50-445424D441BD}" uniqueName="27" name="Column27" queryTableFieldId="27"/>
    <tableColumn id="28" xr3:uid="{A367616E-B1AE-4A0D-8955-F32A52FC19D0}" uniqueName="28" name="What percentage of the total capital was raised via...?Total figure should sum up to 100%" queryTableFieldId="28"/>
    <tableColumn id="29" xr3:uid="{F9AA44C6-CCD0-495C-8A15-415486415987}" uniqueName="29" name="Column29" queryTableFieldId="29"/>
    <tableColumn id="30" xr3:uid="{C55456A5-751C-462A-9263-BFA80E241BE2}" uniqueName="30" name="Column30" queryTableFieldId="30"/>
    <tableColumn id="31" xr3:uid="{9D04AFB9-36BE-422B-A3C0-F526A0CF8A87}" uniqueName="31" name="Column31" queryTableFieldId="31"/>
    <tableColumn id="32" xr3:uid="{79DBB2C7-6C5A-4FC9-AC7A-F40AE4C82D42}" uniqueName="32" name="How do you expect capital raising activities to develop for non-listed real estate funds over the next two years?" queryTableFieldId="32" dataDxfId="67"/>
    <tableColumn id="33" xr3:uid="{64BA84DC-7A29-4AD7-BC12-5BFB0A0E1F15}" uniqueName="33" name="Would you like the name of your company to be included in the list of participants?" queryTableFieldId="33"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47D95B-A1E5-4BA9-863E-E4E9FE7FBCB7}" name="DFanalysis" displayName="DFanalysis" ref="A1:AC13" tableType="queryTable" totalsRowShown="0">
  <autoFilter ref="A1:AC13" xr:uid="{2522C695-717C-4BEB-B8BA-E4E67CA4460B}"/>
  <tableColumns count="29">
    <tableColumn id="1" xr3:uid="{2896FB74-E63A-4C86-B5CF-00FFC6387780}" uniqueName="1" name="VehicleID" queryTableFieldId="1" dataDxfId="65"/>
    <tableColumn id="2" xr3:uid="{73D204D8-E43F-4BEA-8840-2BB463FBD4BB}" uniqueName="2" name="ID" queryTableFieldId="2"/>
    <tableColumn id="3" xr3:uid="{99D3F9A2-A0B5-485B-9EC7-68ECBB338CEE}" uniqueName="3" name="LoanStrategy" queryTableFieldId="3" dataDxfId="64"/>
    <tableColumn id="4" xr3:uid="{B161231B-AE47-4224-8DAE-E93F8CF232FD}" uniqueName="4" name="CountryStrategy" queryTableFieldId="4" dataDxfId="63"/>
    <tableColumn id="5" xr3:uid="{054D2574-39C4-4C24-ABF0-71B1A5E710B8}" uniqueName="5" name="Vintage" queryTableFieldId="5"/>
    <tableColumn id="6" xr3:uid="{CE986F23-F4B4-45B5-A7A4-9EC3744A3A2F}" uniqueName="6" name="RaisedCapital" queryTableFieldId="6" dataDxfId="62"/>
    <tableColumn id="7" xr3:uid="{5047CECD-428C-44CC-A9DF-D388ED943A3D}" uniqueName="7" name="WhyNo" queryTableFieldId="7" dataDxfId="61"/>
    <tableColumn id="8" xr3:uid="{3E371013-002B-443A-847A-72864B594898}" uniqueName="8" name="Currency" queryTableFieldId="8" dataDxfId="60"/>
    <tableColumn id="9" xr3:uid="{8BFEA6EB-DAE8-40A9-ADC7-6533A9B9F106}" uniqueName="9" name="EUR" queryTableFieldId="9"/>
    <tableColumn id="10" xr3:uid="{0EE6E727-FDCD-4891-850E-FC64A086F13D}" uniqueName="10" name="CapitalRaisedTotal" queryTableFieldId="10"/>
    <tableColumn id="11" xr3:uid="{5B0CFED7-0A01-42A3-BC5B-2BB99715CC7D}" uniqueName="11" name="PensionFunds" queryTableFieldId="11"/>
    <tableColumn id="12" xr3:uid="{F7E71059-E173-4904-9BEA-966590030DEA}" uniqueName="12" name="InsuranceCompanies" queryTableFieldId="12"/>
    <tableColumn id="13" xr3:uid="{D4A0B77F-CE68-4C73-A83E-3F3D6593D0A2}" uniqueName="13" name="SWFs" queryTableFieldId="13"/>
    <tableColumn id="14" xr3:uid="{1DF83153-AF1E-4411-9899-51FD0AD96DDA}" uniqueName="14" name="Government" queryTableFieldId="14"/>
    <tableColumn id="15" xr3:uid="{FDF065B3-6AAE-454B-AAA7-EA41897A0078}" uniqueName="15" name="Charities" queryTableFieldId="15"/>
    <tableColumn id="16" xr3:uid="{488FD490-8243-4741-A31C-01208EC705C1}" uniqueName="16" name="FundOfFunds" queryTableFieldId="16"/>
    <tableColumn id="17" xr3:uid="{11D0D639-CA09-4E7B-A3E7-3685D7A3533A}" uniqueName="17" name="HNWI" queryTableFieldId="17" dataDxfId="59"/>
    <tableColumn id="18" xr3:uid="{EAAD4050-036B-475A-81C3-33B70EF515E5}" uniqueName="18" name="Other" queryTableFieldId="18"/>
    <tableColumn id="19" xr3:uid="{C3A615C7-10B6-4220-A758-62DDAE1E7096}" uniqueName="19" name="Europe" queryTableFieldId="19"/>
    <tableColumn id="20" xr3:uid="{9555E237-80D2-4926-9C18-E6B1555A49CC}" uniqueName="20" name="APAC" queryTableFieldId="20"/>
    <tableColumn id="21" xr3:uid="{C8CF5FC2-7C04-4A6E-A19F-1F6742ACE627}" uniqueName="21" name="NorthAmerica" queryTableFieldId="21"/>
    <tableColumn id="22" xr3:uid="{05AB3582-0C64-4D07-B46D-6ADD0D62B078}" uniqueName="22" name="SouthAmerica" queryTableFieldId="22" dataDxfId="58"/>
    <tableColumn id="23" xr3:uid="{D68F31F8-5F3E-45C3-88B3-AD8E43AF21AE}" uniqueName="23" name="Africa" queryTableFieldId="23" dataDxfId="57"/>
    <tableColumn id="24" xr3:uid="{4B069F9B-F3A6-4C40-B629-B712D1D47153}" uniqueName="24" name="PlacementAgent" queryTableFieldId="24"/>
    <tableColumn id="25" xr3:uid="{3E85F970-C137-4473-9D1C-A9C939FED863}" uniqueName="25" name="InvestorsContacting" queryTableFieldId="25"/>
    <tableColumn id="26" xr3:uid="{702D7D5C-1F8D-4545-9A07-A06DDF98B1D1}" uniqueName="26" name="OwnRelationship" queryTableFieldId="26"/>
    <tableColumn id="27" xr3:uid="{FBADE801-410F-41C2-82F3-C4421876813C}" uniqueName="27" name="Other2" queryTableFieldId="27"/>
    <tableColumn id="28" xr3:uid="{6C1C9D55-39C7-4A8C-9C5D-DEFC7A2DDE6E}" uniqueName="28" name="Expectations" queryTableFieldId="28" dataDxfId="56"/>
    <tableColumn id="29" xr3:uid="{F6F6A9D9-EDFD-4BB8-8232-BF60616ED3CD}" uniqueName="29" name="Name" queryTableFieldId="29" dataDxfId="5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14C2CC-4697-411B-89CD-656059749722}" name="DFsmonkeyCompl9" displayName="DFsmonkeyCompl9" ref="B2:AM13" tableType="queryTable" totalsRowShown="0">
  <autoFilter ref="B2:AM13" xr:uid="{0956FA1E-EFF7-408B-98B1-094B82292A89}"/>
  <tableColumns count="38">
    <tableColumn id="1" xr3:uid="{B7885B61-74C4-4A3D-BD95-5EA7AA3C0B4B}" uniqueName="1" name="Respondent ID" queryTableFieldId="1"/>
    <tableColumn id="2" xr3:uid="{919C00A7-076B-4CDA-B72D-C2803A0B967D}" uniqueName="2" name="Collector ID" queryTableFieldId="2"/>
    <tableColumn id="3" xr3:uid="{AB232D76-B66C-4916-9AB7-880F4C03D254}" uniqueName="3" name="Start Date" queryTableFieldId="3"/>
    <tableColumn id="4" xr3:uid="{8D8AC77E-D5EB-4B27-8120-156EF177BF07}" uniqueName="4" name="End Date" queryTableFieldId="4"/>
    <tableColumn id="5" xr3:uid="{1C7F1A29-D73B-42BA-863E-7B8268C10D1D}" uniqueName="5" name="IP Address" queryTableFieldId="5" dataDxfId="54"/>
    <tableColumn id="6" xr3:uid="{6E55AC6C-AD95-4804-9717-E36B124D0DCB}" uniqueName="6" name="Email Address" queryTableFieldId="6"/>
    <tableColumn id="7" xr3:uid="{D782BECA-B76F-4D05-A9DB-C0ACCEA72699}" uniqueName="7" name="First Name" queryTableFieldId="7"/>
    <tableColumn id="8" xr3:uid="{D67CE1C3-0B7E-426F-93DA-9C0DD16B1027}" uniqueName="8" name="Last Name" queryTableFieldId="8"/>
    <tableColumn id="9" xr3:uid="{9C9D0B42-8098-49E2-9C30-0021293D5CCC}" uniqueName="9" name="Custom Data 1" queryTableFieldId="9"/>
    <tableColumn id="10" xr3:uid="{66FB7974-A557-42F4-B7E6-2A261BCB3731}" uniqueName="10" name="Vehicle ID / Name" queryTableFieldId="10" dataDxfId="53"/>
    <tableColumn id="35" xr3:uid="{4593F052-51BB-42EC-A406-80176505406E}" uniqueName="35" name="ID" queryTableFieldId="35" dataDxfId="52">
      <calculatedColumnFormula>VLOOKUP(DFsmonkeyCompl9[[#This Row],[Vehicle ID / Name]],DFanalysis!A:E,2,FALSE)</calculatedColumnFormula>
    </tableColumn>
    <tableColumn id="37" xr3:uid="{1E47AE57-EE01-45E7-AF68-93ABD0AC1E86}" uniqueName="37" name="LoanStrategy" queryTableFieldId="37" dataDxfId="51">
      <calculatedColumnFormula>VLOOKUP(DFsmonkeyCompl9[[#This Row],[Vehicle ID / Name]],DFanalysis!A:F,3,FALSE)</calculatedColumnFormula>
    </tableColumn>
    <tableColumn id="36" xr3:uid="{7C583D1A-B8CD-4E64-9A47-87CF4095E0C0}" uniqueName="36" name="CountryStrategy" queryTableFieldId="36" dataDxfId="50">
      <calculatedColumnFormula>VLOOKUP(DFsmonkeyCompl9[[#This Row],[Vehicle ID / Name]],DFanalysis!A:G,4,FALSE)</calculatedColumnFormula>
    </tableColumn>
    <tableColumn id="34" xr3:uid="{FD4E3C95-E1BB-41B5-AB97-64D477088102}" uniqueName="34" name="Vintage" queryTableFieldId="34" dataDxfId="49">
      <calculatedColumnFormula>VLOOKUP(DFsmonkeyCompl9[[#This Row],[Vehicle ID / Name]],DFanalysis!A:H,5,FALSE)</calculatedColumnFormula>
    </tableColumn>
    <tableColumn id="38" xr3:uid="{A7A19D10-5D56-40F6-9271-9DC770383943}" uniqueName="38" name="Currency" queryTableFieldId="38" dataDxfId="48">
      <calculatedColumnFormula>VLOOKUP(DFsmonkeyCompl9[[#This Row],[Vehicle ID / Name]],DFanalysis!A:I,8,FALSE)</calculatedColumnFormula>
    </tableColumn>
    <tableColumn id="11" xr3:uid="{FBFE1B31-9E0E-49D8-ABCA-377E39C00E9C}" uniqueName="11" name="Did your company raise capital for this vehicle in 2017?" queryTableFieldId="11" dataDxfId="47"/>
    <tableColumn id="12" xr3:uid="{91124C39-4F9A-489C-A838-E637374BEADB}" uniqueName="12" name="Please state the reason why?" queryTableFieldId="12" dataDxfId="46"/>
    <tableColumn id="13" xr3:uid="{12C61053-FF83-4252-AF57-42B40870864F}" uniqueName="13" name="Column13" queryTableFieldId="13" dataDxfId="45"/>
    <tableColumn id="14" xr3:uid="{CD30F641-38B5-4C9B-8C4F-6246F5EAFB1D}" uniqueName="14" name="What was the total amount of capital raised for this vehicle in 2017? (millions)" queryTableFieldId="14"/>
    <tableColumn id="15" xr3:uid="{41FA6542-971F-4CDE-9B6B-01A9C9F7CEA6}" uniqueName="15" name="How much capital was raised for this vehicle in 2017 from Institutional Investors by investor type? (millions)Please ensure that the total values provided match the values you entered in Q3" queryTableFieldId="15"/>
    <tableColumn id="16" xr3:uid="{94A8C70B-1DCE-4683-91B1-A118817BD3CF}" uniqueName="16" name="Column16" queryTableFieldId="16"/>
    <tableColumn id="17" xr3:uid="{FE91AB4E-1B9B-46AE-ABF1-0FA807A54E63}" uniqueName="17" name="Column17" queryTableFieldId="17"/>
    <tableColumn id="18" xr3:uid="{48D22D75-4D9A-4FFE-9048-10A47F124DC2}" uniqueName="18" name="Column18" queryTableFieldId="18"/>
    <tableColumn id="19" xr3:uid="{12200CA4-42B9-46A8-9D13-B29A8EB6B9EA}" uniqueName="19" name="Column19" queryTableFieldId="19"/>
    <tableColumn id="20" xr3:uid="{12BB41EC-BB6D-4B22-8F7C-94055AE69CEF}" uniqueName="20" name="Column20" queryTableFieldId="20"/>
    <tableColumn id="21" xr3:uid="{A293F002-2205-4F8A-8AD2-777CD34F5F78}" uniqueName="21" name="Column21" queryTableFieldId="21"/>
    <tableColumn id="22" xr3:uid="{69BA6E91-F77A-440C-A72A-EACE2DB90417}" uniqueName="22" name="Column22" queryTableFieldId="22"/>
    <tableColumn id="23" xr3:uid="{4556B3EF-EA67-4A74-8341-EBEC89966E6A}" uniqueName="23" name="How much capital was raised for this vehicle in 2017 from Institutional Investors by investor domicile? (millions)Please ensure that the total values provided match the values you entered in Q3 - total capital raised" queryTableFieldId="23"/>
    <tableColumn id="24" xr3:uid="{7900FFEF-0DDF-429A-8C66-543E876237AB}" uniqueName="24" name="Column24" queryTableFieldId="24"/>
    <tableColumn id="25" xr3:uid="{ED14636A-DD34-4466-B641-3BBC03684EB5}" uniqueName="25" name="Column25" queryTableFieldId="25"/>
    <tableColumn id="26" xr3:uid="{071E5F5B-D13D-4D38-A648-03F3DB0C7EFF}" uniqueName="26" name="Column26" queryTableFieldId="26"/>
    <tableColumn id="27" xr3:uid="{CA215BE1-2D04-4C0B-88BE-6A3BAA7FF0D7}" uniqueName="27" name="Column27" queryTableFieldId="27"/>
    <tableColumn id="28" xr3:uid="{41047A12-ABA0-4F55-AEEB-20F094498243}" uniqueName="28" name="What percentage of the total capital was raised via...?Total figure should sum up to 100%" queryTableFieldId="28"/>
    <tableColumn id="29" xr3:uid="{FCAB4BEC-BE40-41F0-B819-89E2DCF1C36A}" uniqueName="29" name="Column29" queryTableFieldId="29"/>
    <tableColumn id="30" xr3:uid="{6F09AD2D-CE73-4AF3-A422-A2725FB0B6CA}" uniqueName="30" name="Column30" queryTableFieldId="30"/>
    <tableColumn id="31" xr3:uid="{D89C5992-4D01-4395-8512-489974E3A91B}" uniqueName="31" name="Column31" queryTableFieldId="31"/>
    <tableColumn id="32" xr3:uid="{5343C28F-4F5C-4D08-AF5A-6758AB32C0A8}" uniqueName="32" name="How do you expect capital raising activities to develop for non-listed real estate funds over the next two years?" queryTableFieldId="32" dataDxfId="44"/>
    <tableColumn id="33" xr3:uid="{2F986213-871A-4D4E-A72E-33ACDF443565}" uniqueName="33" name="Would you like the name of your company to be included in the list of participants?" queryTableFieldId="33"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2FE3D5-5895-417E-A668-BB8C841F24DF}" name="FoFsmonkeyCompl" displayName="FoFsmonkeyCompl" ref="A1:AG14" tableType="queryTable" totalsRowShown="0">
  <autoFilter ref="A1:AG14" xr:uid="{B9F5CCFD-C6E7-4DFE-A939-5711F5FB235D}"/>
  <tableColumns count="33">
    <tableColumn id="1" xr3:uid="{34EAA03B-9736-473C-A471-A3A794CA1505}" uniqueName="1" name="Respondent ID" queryTableFieldId="1"/>
    <tableColumn id="2" xr3:uid="{268D2CCB-6792-42FF-B674-7ECF1BF74AD1}" uniqueName="2" name="Collector ID" queryTableFieldId="2"/>
    <tableColumn id="3" xr3:uid="{5B89912A-BD7A-4446-9B18-F4B243ED211D}" uniqueName="3" name="Start Date" queryTableFieldId="3" dataDxfId="42"/>
    <tableColumn id="4" xr3:uid="{D480FAF0-5CB7-434A-94B0-1D709AAC7023}" uniqueName="4" name="End Date" queryTableFieldId="4" dataDxfId="41"/>
    <tableColumn id="5" xr3:uid="{CDC2CA35-3A12-408C-9C58-02CBC4185C49}" uniqueName="5" name="IP Address" queryTableFieldId="5" dataDxfId="40"/>
    <tableColumn id="6" xr3:uid="{1F5E9284-136A-4ED0-9B0C-6C350F9E22AB}" uniqueName="6" name="Email Address" queryTableFieldId="6"/>
    <tableColumn id="7" xr3:uid="{9D87AA4D-8E5E-49AA-AA33-B344A3ECC895}" uniqueName="7" name="First Name" queryTableFieldId="7"/>
    <tableColumn id="8" xr3:uid="{4F8F81B1-EA33-409D-A070-03F5F28D8362}" uniqueName="8" name="Last Name" queryTableFieldId="8"/>
    <tableColumn id="9" xr3:uid="{58C43C32-325C-488D-B799-66107BFE9978}" uniqueName="9" name="Custom Data 1" queryTableFieldId="9"/>
    <tableColumn id="10" xr3:uid="{90DBBD06-D345-4FEC-BC28-91F522A4803C}" uniqueName="10" name="Vehicle ID / Name" queryTableFieldId="10" dataDxfId="39"/>
    <tableColumn id="11" xr3:uid="{F9FD50AD-B244-415D-ABB7-BA1D0DD8812D}" uniqueName="11" name="Did your company raise capital for this vehicle in 2017?" queryTableFieldId="11" dataDxfId="38"/>
    <tableColumn id="12" xr3:uid="{A66BDB98-3DA7-493E-88D8-56AD3AC7140B}" uniqueName="12" name="Please state the reason why?" queryTableFieldId="12" dataDxfId="37"/>
    <tableColumn id="13" xr3:uid="{F96C177E-FB18-4457-A11F-6DA30F8E10E9}" uniqueName="13" name="Column13" queryTableFieldId="13" dataDxfId="36"/>
    <tableColumn id="14" xr3:uid="{8900E6B7-56B2-4CDD-82A2-70BB26A1A31C}" uniqueName="14" name="What was the total amount of capital raised for this vehicle in 2017? (millions)" queryTableFieldId="14"/>
    <tableColumn id="15" xr3:uid="{DFF0537A-D5EE-4543-8B56-A482D9E9F765}" uniqueName="15" name="How much capital was raised for this vehicle in 2017 from Institutional Investors by investor type? (millions)Please ensure that the total values provided match the values you entered in Q3" queryTableFieldId="15"/>
    <tableColumn id="16" xr3:uid="{5216DDA8-A57C-4081-BE27-1D9E12221DAA}" uniqueName="16" name="Column16" queryTableFieldId="16"/>
    <tableColumn id="17" xr3:uid="{CED0877F-6121-4DFF-8B79-1E15786856F3}" uniqueName="17" name="Column17" queryTableFieldId="17"/>
    <tableColumn id="18" xr3:uid="{B941A047-6986-492E-8E3B-6A4A5A839B12}" uniqueName="18" name="Column18" queryTableFieldId="18"/>
    <tableColumn id="19" xr3:uid="{7375747B-8500-4C66-97BF-D32A708FB9DB}" uniqueName="19" name="Column19" queryTableFieldId="19"/>
    <tableColumn id="20" xr3:uid="{CAC5FFA6-E7EF-436D-9BAD-C52F553D429C}" uniqueName="20" name="Column20" queryTableFieldId="20"/>
    <tableColumn id="21" xr3:uid="{B282F5F1-648C-44AA-8DB2-8F41531FAEE2}" uniqueName="21" name="Column21" queryTableFieldId="21"/>
    <tableColumn id="22" xr3:uid="{5589D47A-9A03-4D8C-8B54-ECB1602F5D1C}" uniqueName="22" name="Column22" queryTableFieldId="22"/>
    <tableColumn id="23" xr3:uid="{7FB2B4AC-C5FA-4EBF-810E-5A1E8F40CBD6}" uniqueName="23" name="How much capital was raised for this vehicle in 2017 from Institutional Investors by investor domicile? (millions)Please ensure that the total values provided match the values you entered in Q3" queryTableFieldId="23"/>
    <tableColumn id="24" xr3:uid="{E3DBC4DA-1C2F-49F7-B7EE-F64DC12678BB}" uniqueName="24" name="Column24" queryTableFieldId="24"/>
    <tableColumn id="25" xr3:uid="{0BDCF4F5-D99B-497B-8C2B-3447FA844A2A}" uniqueName="25" name="Column25" queryTableFieldId="25"/>
    <tableColumn id="26" xr3:uid="{CCC6CD05-2460-4147-831F-24F36177AEB7}" uniqueName="26" name="Column26" queryTableFieldId="26" dataDxfId="35"/>
    <tableColumn id="27" xr3:uid="{072E9988-71F6-4FD6-989A-24221571E58B}" uniqueName="27" name="Column27" queryTableFieldId="27" dataDxfId="34"/>
    <tableColumn id="28" xr3:uid="{1308EC6C-63C7-4388-B695-4CC627683DFC}" uniqueName="28" name="What percentage of the total capital was raised via...?Total figure should sum up to 100%" queryTableFieldId="28"/>
    <tableColumn id="29" xr3:uid="{8A538484-06CE-44BB-ABC4-EB759163FB90}" uniqueName="29" name="Column29" queryTableFieldId="29" dataDxfId="33"/>
    <tableColumn id="30" xr3:uid="{ACBB5429-A1FE-4772-BBC3-B2D21CD7217B}" uniqueName="30" name="Column30" queryTableFieldId="30"/>
    <tableColumn id="31" xr3:uid="{DDFF7ACF-8686-48E9-A6BA-2631B622E2C7}" uniqueName="31" name="Column31" queryTableFieldId="31" dataDxfId="32"/>
    <tableColumn id="32" xr3:uid="{34A32A79-9025-428B-8003-197F1DA483C8}" uniqueName="32" name="How do you expect capital raising activities to develop for non-listed real estate funds over the next two years?" queryTableFieldId="32" dataDxfId="31"/>
    <tableColumn id="33" xr3:uid="{BEC1A26A-67A6-425B-8B1B-745C04B1DC57}" uniqueName="33" name="Would you like the name of your company to be included in the list of participants?" queryTableFieldId="33"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7B5F55-6DCE-4C38-8103-996BF2DD5642}" name="FoFsmonkeyCompl10" displayName="FoFsmonkeyCompl10" ref="B2:AM14" tableType="queryTable" totalsRowShown="0">
  <autoFilter ref="B2:AM14" xr:uid="{B9F5CCFD-C6E7-4DFE-A939-5711F5FB235D}"/>
  <tableColumns count="38">
    <tableColumn id="1" xr3:uid="{C4217A65-3B16-43D5-9914-7DF54ECC6B2D}" uniqueName="1" name="Respondent ID" queryTableFieldId="1"/>
    <tableColumn id="2" xr3:uid="{ED670508-6D65-45DD-98B3-E8B2A6C234BF}" uniqueName="2" name="Collector ID" queryTableFieldId="2"/>
    <tableColumn id="3" xr3:uid="{F046B586-07B7-46C9-B330-A41FA1C67C11}" uniqueName="3" name="Start Date" queryTableFieldId="3" dataDxfId="29"/>
    <tableColumn id="4" xr3:uid="{D7CBA59D-C9B8-4D7D-8FBA-B249939B8632}" uniqueName="4" name="End Date" queryTableFieldId="4" dataDxfId="28"/>
    <tableColumn id="5" xr3:uid="{71EDFAAD-195E-4617-9204-53DED7574DB6}" uniqueName="5" name="IP Address" queryTableFieldId="5" dataDxfId="27"/>
    <tableColumn id="6" xr3:uid="{124BA5E9-1A1D-42F0-954B-C3BB9EAAF671}" uniqueName="6" name="Email Address" queryTableFieldId="6"/>
    <tableColumn id="7" xr3:uid="{050AA511-24A0-41CF-90A4-E7DEE19BD43D}" uniqueName="7" name="First Name" queryTableFieldId="7"/>
    <tableColumn id="8" xr3:uid="{53A37B06-D52D-4DA5-8E40-BF4E558631DB}" uniqueName="8" name="Last Name" queryTableFieldId="8"/>
    <tableColumn id="9" xr3:uid="{9B63033B-AB5A-4197-8C96-0AFC932E3734}" uniqueName="9" name="Custom Data 1" queryTableFieldId="9"/>
    <tableColumn id="10" xr3:uid="{32ADAAC4-DEC0-44A9-B4BB-FA81E894C482}" uniqueName="10" name="Vehicle ID / Name" queryTableFieldId="10" dataDxfId="26"/>
    <tableColumn id="38" xr3:uid="{6A088096-00F8-4D12-AF11-A2A2FECAA600}" uniqueName="38" name="ID" queryTableFieldId="38" dataDxfId="25">
      <calculatedColumnFormula>VLOOKUP(FoFsmonkeyCompl10[[#This Row],[Vehicle ID / Name]],FoFsanalysis!A:E,2,FALSE)</calculatedColumnFormula>
    </tableColumn>
    <tableColumn id="37" xr3:uid="{63EF0D09-82E6-486C-9C53-6DE12E403D97}" uniqueName="37" name="Style" queryTableFieldId="37" dataDxfId="24">
      <calculatedColumnFormula>VLOOKUP(FoFsmonkeyCompl10[[#This Row],[Vehicle ID / Name]],FoFsanalysis!A:F,3,FALSE)</calculatedColumnFormula>
    </tableColumn>
    <tableColumn id="36" xr3:uid="{8B5549BB-5C21-4548-B64C-DAC24605D785}" uniqueName="36" name="Structure" queryTableFieldId="36" dataDxfId="23">
      <calculatedColumnFormula>VLOOKUP(FoFsmonkeyCompl10[[#This Row],[Vehicle ID / Name]],FoFsanalysis!A:G,4,FALSE)</calculatedColumnFormula>
    </tableColumn>
    <tableColumn id="35" xr3:uid="{7844E4AD-88CA-4739-8291-DCD0EFC49451}" uniqueName="35" name="Vintage" queryTableFieldId="35" dataDxfId="22">
      <calculatedColumnFormula>VLOOKUP(FoFsmonkeyCompl10[[#This Row],[Vehicle ID / Name]],FoFsanalysis!A:H,5,FALSE)</calculatedColumnFormula>
    </tableColumn>
    <tableColumn id="34" xr3:uid="{5BB8ABB0-E384-4486-BA6A-1EDE4F56C560}" uniqueName="34" name="Currency" queryTableFieldId="34" dataDxfId="21">
      <calculatedColumnFormula>VLOOKUP(FoFsmonkeyCompl10[[#This Row],[Vehicle ID / Name]],FoFsanalysis!A:H,8,FALSE)</calculatedColumnFormula>
    </tableColumn>
    <tableColumn id="11" xr3:uid="{A6A15C75-B097-4E23-9686-B980D234F4B2}" uniqueName="11" name="Did your company raise capital for this vehicle in 2017?" queryTableFieldId="11" dataDxfId="20"/>
    <tableColumn id="12" xr3:uid="{F4C53A70-F21B-4ACA-AB0D-1A0592B99161}" uniqueName="12" name="Please state the reason why?" queryTableFieldId="12" dataDxfId="19"/>
    <tableColumn id="13" xr3:uid="{9FBBA745-14D2-453C-ADAE-9ACA89A8B4AB}" uniqueName="13" name="Column13" queryTableFieldId="13" dataDxfId="18"/>
    <tableColumn id="14" xr3:uid="{D9602B77-1B7E-4163-AD4A-5DD45C7189BB}" uniqueName="14" name="What was the total amount of capital raised for this vehicle in 2017? (millions)" queryTableFieldId="14"/>
    <tableColumn id="15" xr3:uid="{CF1C447E-B755-4B73-9092-C6304FAD3D0A}" uniqueName="15" name="How much capital was raised for this vehicle in 2017 from Institutional Investors by investor type? (millions)Please ensure that the total values provided match the values you entered in Q3" queryTableFieldId="15"/>
    <tableColumn id="16" xr3:uid="{6072DCD3-E245-4C02-A705-754044B8C428}" uniqueName="16" name="Column16" queryTableFieldId="16"/>
    <tableColumn id="17" xr3:uid="{9340D087-D52C-429C-9A37-659D5FA87A82}" uniqueName="17" name="Column17" queryTableFieldId="17"/>
    <tableColumn id="18" xr3:uid="{75DFE560-74EE-4BB3-B7BA-108C65B1B311}" uniqueName="18" name="Column18" queryTableFieldId="18"/>
    <tableColumn id="19" xr3:uid="{C597D063-BAAB-4CBA-B2EF-2C3E633FFDFA}" uniqueName="19" name="Column19" queryTableFieldId="19"/>
    <tableColumn id="20" xr3:uid="{578D152B-1A1C-4A4E-94A9-CE004CAA7409}" uniqueName="20" name="Column20" queryTableFieldId="20"/>
    <tableColumn id="21" xr3:uid="{5C0EB803-C32C-4A33-8664-C72D6F0FF89F}" uniqueName="21" name="Column21" queryTableFieldId="21"/>
    <tableColumn id="22" xr3:uid="{23C47859-5505-43F6-A5FD-FF52729675F0}" uniqueName="22" name="Column22" queryTableFieldId="22"/>
    <tableColumn id="23" xr3:uid="{6F47CDAE-4B0B-45CB-BA75-D7850395F32F}" uniqueName="23" name="How much capital was raised for this vehicle in 2017 from Institutional Investors by investor domicile? (millions)Please ensure that the total values provided match the values you entered in Q3" queryTableFieldId="23"/>
    <tableColumn id="24" xr3:uid="{FCCC3976-6556-4290-A651-446F1358ADA7}" uniqueName="24" name="Column24" queryTableFieldId="24"/>
    <tableColumn id="25" xr3:uid="{163D3F3C-34A3-4B8B-A2DD-73058FC47612}" uniqueName="25" name="Column25" queryTableFieldId="25"/>
    <tableColumn id="26" xr3:uid="{C302BA29-AF2A-46BD-8809-22A88D7FDA94}" uniqueName="26" name="Column26" queryTableFieldId="26" dataDxfId="17"/>
    <tableColumn id="27" xr3:uid="{3C5972A4-172D-414D-A12A-EE9A04966340}" uniqueName="27" name="Column27" queryTableFieldId="27" dataDxfId="16"/>
    <tableColumn id="28" xr3:uid="{978132DD-F21D-45B6-8A6E-F06B051CBE67}" uniqueName="28" name="What percentage of the total capital was raised via...?Total figure should sum up to 100%" queryTableFieldId="28"/>
    <tableColumn id="29" xr3:uid="{FE8AD07B-CA53-4AE5-A302-E84803319817}" uniqueName="29" name="Column29" queryTableFieldId="29" dataDxfId="15"/>
    <tableColumn id="30" xr3:uid="{2C5408CA-0BDC-4B5F-BBE4-349725646B59}" uniqueName="30" name="Column30" queryTableFieldId="30"/>
    <tableColumn id="31" xr3:uid="{13BB89B7-E58F-4635-B72C-0390BEDD5647}" uniqueName="31" name="Column31" queryTableFieldId="31" dataDxfId="14"/>
    <tableColumn id="32" xr3:uid="{CE3F055E-9798-4E3D-A75D-D78A1B96A1E1}" uniqueName="32" name="How do you expect capital raising activities to develop for non-listed real estate funds over the next two years?" queryTableFieldId="32" dataDxfId="13"/>
    <tableColumn id="33" xr3:uid="{D94BE85B-F2E5-4D6B-9F7D-BEF10BD9AB73}" uniqueName="33" name="Would you like the name of your company to be included in the list of participants?" queryTableFieldId="33" dataDxf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2C68D2-0438-4B27-989D-D917577F44D0}" name="FoFsanalysis" displayName="FoFsanalysis" ref="A1:AC13" tableType="queryTable" totalsRowShown="0">
  <autoFilter ref="A1:AC13" xr:uid="{FB66B704-3BC8-4785-9CB6-00295A1728F0}"/>
  <tableColumns count="29">
    <tableColumn id="1" xr3:uid="{7DA8336E-C52E-45B3-810B-826FEE1003D8}" uniqueName="1" name="VehicleID" queryTableFieldId="1" dataDxfId="11"/>
    <tableColumn id="2" xr3:uid="{30E5A9A3-F32F-4398-B5DB-17B1E42E057A}" uniqueName="2" name="ID" queryTableFieldId="2"/>
    <tableColumn id="3" xr3:uid="{99C6F39A-15C3-4C44-8FB3-1555E8BA6158}" uniqueName="3" name="Style" queryTableFieldId="3" dataDxfId="10"/>
    <tableColumn id="4" xr3:uid="{3B380C8E-6434-4831-BBF5-828437B50D43}" uniqueName="4" name="Structure" queryTableFieldId="4" dataDxfId="9"/>
    <tableColumn id="5" xr3:uid="{ACA92326-5F60-4313-8EA6-964E470DA170}" uniqueName="5" name="Vintage" queryTableFieldId="5"/>
    <tableColumn id="6" xr3:uid="{7B234C2A-8A11-4FDE-858C-481C25EB415E}" uniqueName="6" name="RaisedCapital" queryTableFieldId="6" dataDxfId="8"/>
    <tableColumn id="7" xr3:uid="{F238AB44-3A69-4F7D-96C6-6965F77700CC}" uniqueName="7" name="WhyNo" queryTableFieldId="7" dataDxfId="7"/>
    <tableColumn id="8" xr3:uid="{C966F5AC-745D-4924-A3B8-8E4BA08DC0AB}" uniqueName="8" name="Currency" queryTableFieldId="8" dataDxfId="6"/>
    <tableColumn id="9" xr3:uid="{89E38999-5E0C-494B-9BCB-4DF2FF82959A}" uniqueName="9" name="EUR" queryTableFieldId="9"/>
    <tableColumn id="10" xr3:uid="{96FCC13E-A9CC-456F-82C5-E258D3515635}" uniqueName="10" name="CapitalRaised" queryTableFieldId="10"/>
    <tableColumn id="11" xr3:uid="{BFE3F10C-3DB1-4478-BA3A-DC701621B963}" uniqueName="11" name="PensionFunds" queryTableFieldId="11"/>
    <tableColumn id="12" xr3:uid="{2D74D972-E6F6-47DF-BF9B-05EFAA69A7FA}" uniqueName="12" name="InsuranceCompanies" queryTableFieldId="12"/>
    <tableColumn id="13" xr3:uid="{70D833B5-985C-47D5-B322-ED87AB2A103B}" uniqueName="13" name="SWFs" queryTableFieldId="13"/>
    <tableColumn id="14" xr3:uid="{D3E75C94-2DF8-46A7-A543-C3A2F7503402}" uniqueName="14" name="Government" queryTableFieldId="14"/>
    <tableColumn id="15" xr3:uid="{8CBC6621-8C91-49E5-A27A-71003D319F70}" uniqueName="15" name="Charities" queryTableFieldId="15"/>
    <tableColumn id="16" xr3:uid="{F8BC4B8D-CE22-4E75-B085-82B825D2B075}" uniqueName="16" name="FundOfFunds" queryTableFieldId="16"/>
    <tableColumn id="17" xr3:uid="{D734C370-F3C1-4D95-B164-7DC4012EDDAC}" uniqueName="17" name="HNWI" queryTableFieldId="17"/>
    <tableColumn id="18" xr3:uid="{4FBA5573-F693-42A9-ACF3-9AEE6E61AA2D}" uniqueName="18" name="OtherInvestors" queryTableFieldId="18"/>
    <tableColumn id="19" xr3:uid="{84FD1302-EE65-4F1B-9859-2B06C6B1089A}" uniqueName="19" name="Europe" queryTableFieldId="19"/>
    <tableColumn id="20" xr3:uid="{0962FA68-24D7-40AF-BDA1-6E41081C00D1}" uniqueName="20" name="APAC" queryTableFieldId="20"/>
    <tableColumn id="21" xr3:uid="{35B73819-4C50-4BC6-90BA-4CEF3B2B48F4}" uniqueName="21" name="NorthAmerica" queryTableFieldId="21"/>
    <tableColumn id="22" xr3:uid="{AE449DBF-D57E-4864-B56A-7D9E19510FEF}" uniqueName="22" name="SouthAmerica" queryTableFieldId="22" dataDxfId="5"/>
    <tableColumn id="23" xr3:uid="{89F0BF0A-24C9-496D-9C7D-F6936A3BF33B}" uniqueName="23" name="Africa" queryTableFieldId="23" dataDxfId="4"/>
    <tableColumn id="24" xr3:uid="{DD813B50-3DC5-40B9-80CE-2208D89BF927}" uniqueName="24" name="PlacementAgent" queryTableFieldId="24"/>
    <tableColumn id="25" xr3:uid="{8997105A-48BF-40D6-96C3-EA98B388E99C}" uniqueName="25" name="InvestorsContacting" queryTableFieldId="25" dataDxfId="3"/>
    <tableColumn id="26" xr3:uid="{F1361C9D-1A9B-4010-B432-754B84C4EF65}" uniqueName="26" name="OwnRelationship" queryTableFieldId="26"/>
    <tableColumn id="27" xr3:uid="{3A0D6903-91EA-4BBC-83B6-3CC3BAEB3064}" uniqueName="27" name="OtherAgency" queryTableFieldId="27" dataDxfId="2"/>
    <tableColumn id="28" xr3:uid="{3E075D39-2B6B-49EE-819F-DDB99AC8F002}" uniqueName="28" name="Expectations" queryTableFieldId="28" dataDxfId="1"/>
    <tableColumn id="29" xr3:uid="{163E487D-E5C0-4A3E-B6C2-07022319E9D0}" uniqueName="29" name="Name" queryTableFieldId="2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2311-4F3C-4D91-9E42-9658CD6AA8A2}">
  <dimension ref="A1:AG12"/>
  <sheetViews>
    <sheetView workbookViewId="0">
      <selection activeCell="O18" sqref="O18"/>
    </sheetView>
  </sheetViews>
  <sheetFormatPr defaultRowHeight="13.2" x14ac:dyDescent="0.25"/>
  <cols>
    <col min="1" max="1" width="16" bestFit="1" customWidth="1"/>
    <col min="2" max="2" width="13.33203125" bestFit="1" customWidth="1"/>
    <col min="3" max="4" width="11.77734375" bestFit="1" customWidth="1"/>
    <col min="5" max="5" width="14.44140625" bestFit="1" customWidth="1"/>
    <col min="6" max="6" width="15.77734375" bestFit="1" customWidth="1"/>
    <col min="7" max="7" width="12.5546875" bestFit="1" customWidth="1"/>
    <col min="8" max="8" width="12.21875" bestFit="1" customWidth="1"/>
    <col min="9" max="9" width="15.88671875" bestFit="1" customWidth="1"/>
    <col min="10" max="10" width="41" bestFit="1" customWidth="1"/>
    <col min="11" max="11" width="52.33203125" bestFit="1" customWidth="1"/>
    <col min="12" max="12" width="28.6640625" bestFit="1" customWidth="1"/>
    <col min="13" max="13" width="20.77734375" bestFit="1" customWidth="1"/>
    <col min="14" max="15" width="64.6640625" bestFit="1" customWidth="1"/>
    <col min="16" max="16" width="18.109375" bestFit="1" customWidth="1"/>
    <col min="17" max="17" width="18.6640625" bestFit="1" customWidth="1"/>
    <col min="18" max="18" width="19.88671875" bestFit="1" customWidth="1"/>
    <col min="19" max="19" width="38.77734375" bestFit="1" customWidth="1"/>
    <col min="20" max="20" width="11.88671875" bestFit="1" customWidth="1"/>
    <col min="21" max="21" width="34.44140625" bestFit="1" customWidth="1"/>
    <col min="22" max="22" width="18.6640625" bestFit="1" customWidth="1"/>
    <col min="23" max="23" width="64.6640625" bestFit="1" customWidth="1"/>
    <col min="24" max="24" width="11.88671875" bestFit="1" customWidth="1"/>
    <col min="25" max="25" width="12.21875" bestFit="1" customWidth="1"/>
    <col min="26" max="26" width="12.5546875" bestFit="1" customWidth="1"/>
    <col min="27" max="27" width="11.88671875" bestFit="1" customWidth="1"/>
    <col min="28" max="28" width="64.6640625" bestFit="1" customWidth="1"/>
    <col min="29" max="29" width="30.44140625" bestFit="1" customWidth="1"/>
    <col min="30" max="30" width="38.44140625" bestFit="1" customWidth="1"/>
    <col min="31" max="31" width="11.88671875" bestFit="1" customWidth="1"/>
    <col min="32" max="33" width="64.6640625" bestFit="1" customWidth="1"/>
  </cols>
  <sheetData>
    <row r="1" spans="1:33" x14ac:dyDescent="0.25">
      <c r="A1" t="s">
        <v>127</v>
      </c>
      <c r="B1" t="s">
        <v>128</v>
      </c>
      <c r="C1" t="s">
        <v>129</v>
      </c>
      <c r="D1" t="s">
        <v>130</v>
      </c>
      <c r="E1" t="s">
        <v>29</v>
      </c>
      <c r="F1" t="s">
        <v>31</v>
      </c>
      <c r="G1" t="s">
        <v>33</v>
      </c>
      <c r="H1" t="s">
        <v>131</v>
      </c>
      <c r="I1" t="s">
        <v>132</v>
      </c>
      <c r="J1" t="s">
        <v>133</v>
      </c>
      <c r="K1" t="s">
        <v>134</v>
      </c>
      <c r="L1" t="s">
        <v>135</v>
      </c>
      <c r="M1" t="s">
        <v>113</v>
      </c>
      <c r="N1" t="s">
        <v>136</v>
      </c>
      <c r="O1" t="s">
        <v>137</v>
      </c>
      <c r="P1" t="s">
        <v>157</v>
      </c>
      <c r="Q1" t="s">
        <v>114</v>
      </c>
      <c r="R1" t="s">
        <v>158</v>
      </c>
      <c r="S1" t="s">
        <v>159</v>
      </c>
      <c r="T1" t="s">
        <v>160</v>
      </c>
      <c r="U1" t="s">
        <v>115</v>
      </c>
      <c r="V1" t="s">
        <v>161</v>
      </c>
      <c r="W1" t="s">
        <v>138</v>
      </c>
      <c r="X1" t="s">
        <v>116</v>
      </c>
      <c r="Y1" t="s">
        <v>162</v>
      </c>
      <c r="Z1" t="s">
        <v>117</v>
      </c>
      <c r="AA1" t="s">
        <v>163</v>
      </c>
      <c r="AB1" t="s">
        <v>139</v>
      </c>
      <c r="AC1" t="s">
        <v>164</v>
      </c>
      <c r="AD1" t="s">
        <v>118</v>
      </c>
      <c r="AE1" t="s">
        <v>119</v>
      </c>
      <c r="AF1" t="s">
        <v>85</v>
      </c>
      <c r="AG1" t="s">
        <v>87</v>
      </c>
    </row>
    <row r="2" spans="1:33" x14ac:dyDescent="0.25">
      <c r="E2" s="2"/>
      <c r="J2" s="2" t="s">
        <v>37</v>
      </c>
      <c r="K2" s="2" t="s">
        <v>45</v>
      </c>
      <c r="L2" s="2" t="s">
        <v>45</v>
      </c>
      <c r="M2" s="2" t="s">
        <v>0</v>
      </c>
      <c r="N2" t="s">
        <v>37</v>
      </c>
      <c r="O2" t="s">
        <v>51</v>
      </c>
      <c r="P2" t="s">
        <v>53</v>
      </c>
      <c r="Q2" t="s">
        <v>55</v>
      </c>
      <c r="R2" t="s">
        <v>57</v>
      </c>
      <c r="S2" t="s">
        <v>59</v>
      </c>
      <c r="T2" t="s">
        <v>61</v>
      </c>
      <c r="U2" t="s">
        <v>63</v>
      </c>
      <c r="V2" t="s">
        <v>0</v>
      </c>
      <c r="W2" t="s">
        <v>7</v>
      </c>
      <c r="X2" t="s">
        <v>68</v>
      </c>
      <c r="Y2" t="s">
        <v>70</v>
      </c>
      <c r="Z2" t="s">
        <v>72</v>
      </c>
      <c r="AA2" t="s">
        <v>11</v>
      </c>
      <c r="AB2" t="s">
        <v>76</v>
      </c>
      <c r="AC2" t="s">
        <v>79</v>
      </c>
      <c r="AD2" t="s">
        <v>81</v>
      </c>
      <c r="AE2" t="s">
        <v>83</v>
      </c>
      <c r="AF2" s="2" t="s">
        <v>45</v>
      </c>
      <c r="AG2" s="2" t="s">
        <v>45</v>
      </c>
    </row>
    <row r="3" spans="1:33" x14ac:dyDescent="0.25">
      <c r="A3">
        <v>6714543559</v>
      </c>
      <c r="B3">
        <v>162871627</v>
      </c>
      <c r="C3">
        <v>43154.677858796298</v>
      </c>
      <c r="D3">
        <v>43154.678298611114</v>
      </c>
      <c r="E3" s="2" t="s">
        <v>121</v>
      </c>
      <c r="J3" s="2" t="s">
        <v>140</v>
      </c>
      <c r="K3" s="2" t="s">
        <v>95</v>
      </c>
      <c r="L3" s="2"/>
      <c r="M3" s="2"/>
      <c r="N3">
        <v>264</v>
      </c>
      <c r="O3">
        <v>95</v>
      </c>
      <c r="V3">
        <v>5</v>
      </c>
      <c r="W3">
        <v>100</v>
      </c>
      <c r="AD3">
        <v>100</v>
      </c>
      <c r="AF3" s="2" t="s">
        <v>96</v>
      </c>
      <c r="AG3" s="2" t="s">
        <v>95</v>
      </c>
    </row>
    <row r="4" spans="1:33" x14ac:dyDescent="0.25">
      <c r="A4">
        <v>6714482559</v>
      </c>
      <c r="B4">
        <v>162871627</v>
      </c>
      <c r="C4">
        <v>43154.66128472222</v>
      </c>
      <c r="D4">
        <v>43154.677395833336</v>
      </c>
      <c r="E4" s="2" t="s">
        <v>121</v>
      </c>
      <c r="J4" s="2" t="s">
        <v>141</v>
      </c>
      <c r="K4" s="2" t="s">
        <v>95</v>
      </c>
      <c r="L4" s="2"/>
      <c r="M4" s="2"/>
      <c r="N4">
        <v>804</v>
      </c>
      <c r="O4">
        <v>68</v>
      </c>
      <c r="P4">
        <v>15</v>
      </c>
      <c r="R4">
        <v>10</v>
      </c>
      <c r="V4">
        <v>8</v>
      </c>
      <c r="W4">
        <v>62</v>
      </c>
      <c r="X4">
        <v>35</v>
      </c>
      <c r="Y4">
        <v>2</v>
      </c>
      <c r="AB4">
        <v>0</v>
      </c>
      <c r="AC4">
        <v>0</v>
      </c>
      <c r="AD4">
        <v>75</v>
      </c>
      <c r="AE4">
        <v>25</v>
      </c>
      <c r="AF4" s="2" t="s">
        <v>96</v>
      </c>
      <c r="AG4" s="2" t="s">
        <v>95</v>
      </c>
    </row>
    <row r="5" spans="1:33" x14ac:dyDescent="0.25">
      <c r="A5">
        <v>6713894109</v>
      </c>
      <c r="B5">
        <v>162871627</v>
      </c>
      <c r="C5">
        <v>43154.419050925928</v>
      </c>
      <c r="D5">
        <v>43154.42864583333</v>
      </c>
      <c r="E5" s="2" t="s">
        <v>142</v>
      </c>
      <c r="J5" s="2" t="s">
        <v>143</v>
      </c>
      <c r="K5" s="2" t="s">
        <v>95</v>
      </c>
      <c r="L5" s="2"/>
      <c r="M5" s="2"/>
      <c r="N5">
        <v>16</v>
      </c>
      <c r="V5">
        <v>16</v>
      </c>
      <c r="W5">
        <v>16</v>
      </c>
      <c r="AD5">
        <v>100</v>
      </c>
      <c r="AF5" s="2" t="s">
        <v>94</v>
      </c>
      <c r="AG5" s="2" t="s">
        <v>97</v>
      </c>
    </row>
    <row r="6" spans="1:33" x14ac:dyDescent="0.25">
      <c r="A6">
        <v>6711242519</v>
      </c>
      <c r="B6">
        <v>162871627</v>
      </c>
      <c r="C6">
        <v>43153.412627314807</v>
      </c>
      <c r="D6">
        <v>43153.568391203713</v>
      </c>
      <c r="E6" s="2" t="s">
        <v>120</v>
      </c>
      <c r="J6" s="2" t="s">
        <v>144</v>
      </c>
      <c r="K6" s="2" t="s">
        <v>95</v>
      </c>
      <c r="L6" s="2"/>
      <c r="M6" s="2"/>
      <c r="N6">
        <v>1017</v>
      </c>
      <c r="O6">
        <v>793</v>
      </c>
      <c r="P6">
        <v>70</v>
      </c>
      <c r="Q6">
        <v>52</v>
      </c>
      <c r="R6">
        <v>70</v>
      </c>
      <c r="S6">
        <v>31</v>
      </c>
      <c r="V6">
        <v>1</v>
      </c>
      <c r="W6">
        <v>231</v>
      </c>
      <c r="X6">
        <v>47</v>
      </c>
      <c r="Y6">
        <v>739</v>
      </c>
      <c r="AD6">
        <v>97</v>
      </c>
      <c r="AE6">
        <v>3</v>
      </c>
      <c r="AF6" s="2" t="s">
        <v>94</v>
      </c>
      <c r="AG6" s="2" t="s">
        <v>95</v>
      </c>
    </row>
    <row r="7" spans="1:33" x14ac:dyDescent="0.25">
      <c r="A7">
        <v>6708670587</v>
      </c>
      <c r="B7">
        <v>162871627</v>
      </c>
      <c r="C7">
        <v>43152.482592592591</v>
      </c>
      <c r="D7">
        <v>43152.486724537041</v>
      </c>
      <c r="E7" s="2" t="s">
        <v>145</v>
      </c>
      <c r="J7" s="2" t="s">
        <v>146</v>
      </c>
      <c r="K7" s="2" t="s">
        <v>95</v>
      </c>
      <c r="L7" s="2"/>
      <c r="M7" s="2"/>
      <c r="N7">
        <v>370</v>
      </c>
      <c r="O7">
        <v>370</v>
      </c>
      <c r="W7">
        <v>370</v>
      </c>
      <c r="AD7">
        <v>100</v>
      </c>
      <c r="AF7" s="2" t="s">
        <v>94</v>
      </c>
      <c r="AG7" s="2" t="s">
        <v>95</v>
      </c>
    </row>
    <row r="8" spans="1:33" x14ac:dyDescent="0.25">
      <c r="A8">
        <v>6696842089</v>
      </c>
      <c r="B8">
        <v>162871627</v>
      </c>
      <c r="C8">
        <v>43146.433472222219</v>
      </c>
      <c r="D8">
        <v>43146.448645833327</v>
      </c>
      <c r="E8" s="2" t="s">
        <v>147</v>
      </c>
      <c r="J8" s="2" t="s">
        <v>148</v>
      </c>
      <c r="K8" s="2" t="s">
        <v>95</v>
      </c>
      <c r="L8" s="2"/>
      <c r="M8" s="2"/>
      <c r="N8">
        <v>68</v>
      </c>
      <c r="V8">
        <v>100</v>
      </c>
      <c r="W8">
        <v>68</v>
      </c>
      <c r="AC8">
        <v>100</v>
      </c>
      <c r="AF8" s="2" t="s">
        <v>94</v>
      </c>
      <c r="AG8" s="2" t="s">
        <v>95</v>
      </c>
    </row>
    <row r="9" spans="1:33" x14ac:dyDescent="0.25">
      <c r="A9">
        <v>6692350030</v>
      </c>
      <c r="B9">
        <v>162871627</v>
      </c>
      <c r="C9">
        <v>43144.712256944447</v>
      </c>
      <c r="D9">
        <v>43144.713240740741</v>
      </c>
      <c r="E9" s="2" t="s">
        <v>149</v>
      </c>
      <c r="J9" s="2" t="s">
        <v>150</v>
      </c>
      <c r="K9" s="2" t="s">
        <v>95</v>
      </c>
      <c r="L9" s="2"/>
      <c r="M9" s="2"/>
      <c r="N9">
        <v>126</v>
      </c>
      <c r="P9">
        <v>126</v>
      </c>
      <c r="W9">
        <v>126</v>
      </c>
      <c r="AD9">
        <v>100</v>
      </c>
      <c r="AF9" s="2" t="s">
        <v>94</v>
      </c>
      <c r="AG9" s="2" t="s">
        <v>95</v>
      </c>
    </row>
    <row r="10" spans="1:33" x14ac:dyDescent="0.25">
      <c r="A10">
        <v>6662314847</v>
      </c>
      <c r="B10">
        <v>162871627</v>
      </c>
      <c r="C10">
        <v>43130.735162037039</v>
      </c>
      <c r="D10">
        <v>43130.735590277778</v>
      </c>
      <c r="E10" s="2" t="s">
        <v>151</v>
      </c>
      <c r="J10" s="2" t="s">
        <v>152</v>
      </c>
      <c r="K10" s="2" t="s">
        <v>95</v>
      </c>
      <c r="L10" s="2"/>
      <c r="M10" s="2"/>
      <c r="N10">
        <v>211</v>
      </c>
      <c r="O10">
        <v>211</v>
      </c>
      <c r="P10">
        <v>0</v>
      </c>
      <c r="Q10">
        <v>0</v>
      </c>
      <c r="R10">
        <v>0</v>
      </c>
      <c r="S10">
        <v>0</v>
      </c>
      <c r="T10">
        <v>0</v>
      </c>
      <c r="U10">
        <v>0</v>
      </c>
      <c r="V10">
        <v>0</v>
      </c>
      <c r="W10">
        <v>211</v>
      </c>
      <c r="X10">
        <v>0</v>
      </c>
      <c r="Y10">
        <v>0</v>
      </c>
      <c r="Z10">
        <v>0</v>
      </c>
      <c r="AA10">
        <v>0</v>
      </c>
      <c r="AB10">
        <v>0</v>
      </c>
      <c r="AC10">
        <v>0</v>
      </c>
      <c r="AD10">
        <v>100</v>
      </c>
      <c r="AE10">
        <v>0</v>
      </c>
      <c r="AF10" s="2" t="s">
        <v>94</v>
      </c>
      <c r="AG10" s="2" t="s">
        <v>95</v>
      </c>
    </row>
    <row r="11" spans="1:33" x14ac:dyDescent="0.25">
      <c r="A11">
        <v>6662228763</v>
      </c>
      <c r="B11">
        <v>162871627</v>
      </c>
      <c r="C11">
        <v>43130.711724537039</v>
      </c>
      <c r="D11">
        <v>43130.732511574082</v>
      </c>
      <c r="E11" s="2" t="s">
        <v>151</v>
      </c>
      <c r="J11" s="2" t="s">
        <v>153</v>
      </c>
      <c r="K11" s="2" t="s">
        <v>95</v>
      </c>
      <c r="L11" s="2"/>
      <c r="M11" s="2"/>
      <c r="N11">
        <v>268</v>
      </c>
      <c r="O11">
        <v>218</v>
      </c>
      <c r="P11">
        <v>33</v>
      </c>
      <c r="Q11">
        <v>0</v>
      </c>
      <c r="R11">
        <v>0</v>
      </c>
      <c r="S11">
        <v>0</v>
      </c>
      <c r="T11">
        <v>14</v>
      </c>
      <c r="U11">
        <v>0</v>
      </c>
      <c r="V11">
        <v>3</v>
      </c>
      <c r="W11">
        <v>204</v>
      </c>
      <c r="X11">
        <v>0</v>
      </c>
      <c r="Y11">
        <v>64</v>
      </c>
      <c r="Z11">
        <v>0</v>
      </c>
      <c r="AA11">
        <v>0</v>
      </c>
      <c r="AB11">
        <v>62</v>
      </c>
      <c r="AC11">
        <v>7</v>
      </c>
      <c r="AD11">
        <v>31</v>
      </c>
      <c r="AE11">
        <v>0</v>
      </c>
      <c r="AF11" s="2" t="s">
        <v>94</v>
      </c>
      <c r="AG11" s="2" t="s">
        <v>95</v>
      </c>
    </row>
    <row r="12" spans="1:33" x14ac:dyDescent="0.25">
      <c r="A12">
        <v>6647044991</v>
      </c>
      <c r="B12">
        <v>162871627</v>
      </c>
      <c r="C12">
        <v>43123.541238425933</v>
      </c>
      <c r="D12">
        <v>43123.543240740742</v>
      </c>
      <c r="E12" s="2" t="s">
        <v>154</v>
      </c>
      <c r="J12" s="2" t="s">
        <v>155</v>
      </c>
      <c r="K12" s="2" t="s">
        <v>97</v>
      </c>
      <c r="L12" s="2" t="s">
        <v>0</v>
      </c>
      <c r="M12" s="2" t="s">
        <v>156</v>
      </c>
      <c r="AF12" s="2" t="s">
        <v>94</v>
      </c>
      <c r="AG12" s="2" t="s">
        <v>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173A-C993-42BF-806D-CA898038F4AA}">
  <dimension ref="A1:AC13"/>
  <sheetViews>
    <sheetView workbookViewId="0">
      <selection activeCell="H1" sqref="H1"/>
    </sheetView>
  </sheetViews>
  <sheetFormatPr defaultRowHeight="13.2" x14ac:dyDescent="0.25"/>
  <cols>
    <col min="1" max="1" width="41" bestFit="1" customWidth="1"/>
    <col min="2" max="2" width="5.77734375" bestFit="1" customWidth="1"/>
    <col min="3" max="3" width="43.6640625" bestFit="1" customWidth="1"/>
    <col min="4" max="4" width="50.6640625" bestFit="1" customWidth="1"/>
    <col min="5" max="5" width="9.5546875" bestFit="1" customWidth="1"/>
    <col min="6" max="6" width="15.109375" bestFit="1" customWidth="1"/>
    <col min="7" max="7" width="20.77734375" bestFit="1" customWidth="1"/>
    <col min="8" max="8" width="11" bestFit="1" customWidth="1"/>
    <col min="9" max="9" width="8.77734375" bestFit="1" customWidth="1"/>
    <col min="10" max="10" width="19.6640625" bestFit="1" customWidth="1"/>
    <col min="11" max="11" width="15.6640625" bestFit="1" customWidth="1"/>
    <col min="12" max="12" width="21.77734375" bestFit="1" customWidth="1"/>
    <col min="13" max="13" width="8.77734375" bestFit="1" customWidth="1"/>
    <col min="14" max="14" width="13.77734375" bestFit="1" customWidth="1"/>
    <col min="15" max="15" width="10.77734375" bestFit="1" customWidth="1"/>
    <col min="16" max="16" width="15.109375" bestFit="1" customWidth="1"/>
    <col min="17" max="17" width="7.88671875" bestFit="1" customWidth="1"/>
    <col min="18" max="18" width="8.77734375" bestFit="1" customWidth="1"/>
    <col min="19" max="19" width="9.77734375" bestFit="1" customWidth="1"/>
    <col min="20" max="20" width="8.77734375" bestFit="1" customWidth="1"/>
    <col min="21" max="21" width="15.21875" bestFit="1" customWidth="1"/>
    <col min="22" max="22" width="15.44140625" bestFit="1" customWidth="1"/>
    <col min="23" max="23" width="8.109375" bestFit="1" customWidth="1"/>
    <col min="24" max="24" width="17.33203125" bestFit="1" customWidth="1"/>
    <col min="25" max="25" width="20.77734375" bestFit="1" customWidth="1"/>
    <col min="26" max="26" width="18" bestFit="1" customWidth="1"/>
    <col min="27" max="27" width="8.88671875" bestFit="1" customWidth="1"/>
    <col min="28" max="28" width="14.21875" bestFit="1" customWidth="1"/>
    <col min="29" max="29" width="8" bestFit="1" customWidth="1"/>
  </cols>
  <sheetData>
    <row r="1" spans="1:29" x14ac:dyDescent="0.25">
      <c r="A1" t="s">
        <v>165</v>
      </c>
      <c r="B1" t="s">
        <v>166</v>
      </c>
      <c r="C1" t="s">
        <v>102</v>
      </c>
      <c r="D1" t="s">
        <v>167</v>
      </c>
      <c r="E1" t="s">
        <v>91</v>
      </c>
      <c r="F1" t="s">
        <v>168</v>
      </c>
      <c r="G1" t="s">
        <v>169</v>
      </c>
      <c r="H1" t="s">
        <v>39</v>
      </c>
      <c r="I1" t="s">
        <v>1</v>
      </c>
      <c r="J1" t="s">
        <v>103</v>
      </c>
      <c r="K1" t="s">
        <v>2</v>
      </c>
      <c r="L1" t="s">
        <v>170</v>
      </c>
      <c r="M1" t="s">
        <v>171</v>
      </c>
      <c r="N1" t="s">
        <v>3</v>
      </c>
      <c r="O1" t="s">
        <v>4</v>
      </c>
      <c r="P1" t="s">
        <v>172</v>
      </c>
      <c r="Q1" t="s">
        <v>5</v>
      </c>
      <c r="R1" t="s">
        <v>6</v>
      </c>
      <c r="S1" t="s">
        <v>7</v>
      </c>
      <c r="T1" t="s">
        <v>8</v>
      </c>
      <c r="U1" t="s">
        <v>9</v>
      </c>
      <c r="V1" t="s">
        <v>10</v>
      </c>
      <c r="W1" t="s">
        <v>11</v>
      </c>
      <c r="X1" t="s">
        <v>12</v>
      </c>
      <c r="Y1" t="s">
        <v>173</v>
      </c>
      <c r="Z1" t="s">
        <v>174</v>
      </c>
      <c r="AA1" t="s">
        <v>13</v>
      </c>
      <c r="AB1" t="s">
        <v>14</v>
      </c>
      <c r="AC1" t="s">
        <v>15</v>
      </c>
    </row>
    <row r="2" spans="1:29" x14ac:dyDescent="0.25">
      <c r="A2" s="2" t="s">
        <v>140</v>
      </c>
      <c r="B2" t="s">
        <v>175</v>
      </c>
      <c r="C2" s="2" t="s">
        <v>104</v>
      </c>
      <c r="D2" s="2" t="s">
        <v>109</v>
      </c>
      <c r="E2">
        <v>2017</v>
      </c>
      <c r="F2" s="2" t="s">
        <v>95</v>
      </c>
      <c r="G2" s="2" t="s">
        <v>17</v>
      </c>
      <c r="H2" s="2" t="s">
        <v>18</v>
      </c>
      <c r="I2">
        <v>1.1735599999999999</v>
      </c>
      <c r="J2">
        <v>309.81984</v>
      </c>
      <c r="K2">
        <v>111.48819999999999</v>
      </c>
      <c r="Q2" s="2" t="s">
        <v>17</v>
      </c>
      <c r="R2">
        <v>5.8677999999999999</v>
      </c>
      <c r="S2">
        <v>117.35599999999999</v>
      </c>
      <c r="V2" s="2" t="s">
        <v>17</v>
      </c>
      <c r="W2" s="2" t="s">
        <v>17</v>
      </c>
      <c r="Z2">
        <v>100</v>
      </c>
      <c r="AB2" s="2" t="s">
        <v>96</v>
      </c>
      <c r="AC2" s="2" t="s">
        <v>95</v>
      </c>
    </row>
    <row r="3" spans="1:29" x14ac:dyDescent="0.25">
      <c r="A3" s="2" t="s">
        <v>141</v>
      </c>
      <c r="B3" t="s">
        <v>175</v>
      </c>
      <c r="C3" s="2" t="s">
        <v>110</v>
      </c>
      <c r="D3" s="2" t="s">
        <v>108</v>
      </c>
      <c r="E3">
        <v>2017</v>
      </c>
      <c r="F3" s="2" t="s">
        <v>95</v>
      </c>
      <c r="G3" s="2" t="s">
        <v>17</v>
      </c>
      <c r="H3" s="2" t="s">
        <v>18</v>
      </c>
      <c r="I3">
        <v>1.1735599999999999</v>
      </c>
      <c r="J3">
        <v>943.54223999999999</v>
      </c>
      <c r="K3">
        <v>79.802079999999989</v>
      </c>
      <c r="L3">
        <v>17.603400000000001</v>
      </c>
      <c r="N3">
        <v>11.7356</v>
      </c>
      <c r="Q3" s="2" t="s">
        <v>17</v>
      </c>
      <c r="R3">
        <v>9.3884799999999995</v>
      </c>
      <c r="S3">
        <v>72.760719999999992</v>
      </c>
      <c r="T3">
        <v>41.074599999999997</v>
      </c>
      <c r="U3">
        <v>2.3471199999999999</v>
      </c>
      <c r="V3" s="2" t="s">
        <v>17</v>
      </c>
      <c r="W3" s="2" t="s">
        <v>17</v>
      </c>
      <c r="Z3">
        <v>75</v>
      </c>
      <c r="AA3">
        <v>25</v>
      </c>
      <c r="AB3" s="2" t="s">
        <v>96</v>
      </c>
      <c r="AC3" s="2" t="s">
        <v>95</v>
      </c>
    </row>
    <row r="4" spans="1:29" x14ac:dyDescent="0.25">
      <c r="A4" s="2" t="s">
        <v>143</v>
      </c>
      <c r="B4" t="s">
        <v>175</v>
      </c>
      <c r="C4" s="2" t="s">
        <v>104</v>
      </c>
      <c r="D4" s="2" t="s">
        <v>111</v>
      </c>
      <c r="E4">
        <v>2016</v>
      </c>
      <c r="F4" s="2" t="s">
        <v>95</v>
      </c>
      <c r="G4" s="2" t="s">
        <v>17</v>
      </c>
      <c r="H4" s="2" t="s">
        <v>176</v>
      </c>
      <c r="I4">
        <v>0.104811</v>
      </c>
      <c r="J4">
        <v>18.776959999999999</v>
      </c>
      <c r="Q4" s="2" t="s">
        <v>17</v>
      </c>
      <c r="R4">
        <v>18.776959999999999</v>
      </c>
      <c r="S4">
        <v>18.776959999999999</v>
      </c>
      <c r="V4" s="2" t="s">
        <v>17</v>
      </c>
      <c r="W4" s="2" t="s">
        <v>17</v>
      </c>
      <c r="Z4">
        <v>100</v>
      </c>
      <c r="AB4" s="2" t="s">
        <v>94</v>
      </c>
      <c r="AC4" s="2" t="s">
        <v>97</v>
      </c>
    </row>
    <row r="5" spans="1:29" x14ac:dyDescent="0.25">
      <c r="A5" s="2" t="s">
        <v>144</v>
      </c>
      <c r="B5">
        <v>17370</v>
      </c>
      <c r="C5" s="2" t="s">
        <v>107</v>
      </c>
      <c r="D5" s="2" t="s">
        <v>105</v>
      </c>
      <c r="E5">
        <v>2013</v>
      </c>
      <c r="F5" s="2" t="s">
        <v>95</v>
      </c>
      <c r="G5" s="2" t="s">
        <v>17</v>
      </c>
      <c r="H5" s="2" t="s">
        <v>18</v>
      </c>
      <c r="I5">
        <v>1.1735599999999999</v>
      </c>
      <c r="J5">
        <v>1193.51052</v>
      </c>
      <c r="K5">
        <v>930.63307999999995</v>
      </c>
      <c r="L5">
        <v>82.149199999999993</v>
      </c>
      <c r="M5">
        <v>61.025119999999994</v>
      </c>
      <c r="N5">
        <v>82.149199999999993</v>
      </c>
      <c r="O5">
        <v>36.380359999999996</v>
      </c>
      <c r="Q5" s="2" t="s">
        <v>17</v>
      </c>
      <c r="R5">
        <v>1.1735599999999999</v>
      </c>
      <c r="S5">
        <v>271.09235999999999</v>
      </c>
      <c r="T5">
        <v>55.157319999999999</v>
      </c>
      <c r="U5">
        <v>867.26083999999992</v>
      </c>
      <c r="V5" s="2" t="s">
        <v>17</v>
      </c>
      <c r="W5" s="2" t="s">
        <v>17</v>
      </c>
      <c r="Z5">
        <v>97</v>
      </c>
      <c r="AA5">
        <v>3</v>
      </c>
      <c r="AB5" s="2" t="s">
        <v>94</v>
      </c>
      <c r="AC5" s="2" t="s">
        <v>95</v>
      </c>
    </row>
    <row r="6" spans="1:29" x14ac:dyDescent="0.25">
      <c r="A6" s="2" t="s">
        <v>146</v>
      </c>
      <c r="B6">
        <v>18137</v>
      </c>
      <c r="C6" s="2" t="s">
        <v>104</v>
      </c>
      <c r="D6" s="2" t="s">
        <v>109</v>
      </c>
      <c r="E6">
        <v>2016</v>
      </c>
      <c r="F6" s="2" t="s">
        <v>95</v>
      </c>
      <c r="G6" s="2" t="s">
        <v>17</v>
      </c>
      <c r="H6" s="2" t="s">
        <v>18</v>
      </c>
      <c r="I6">
        <v>1.1735599999999999</v>
      </c>
      <c r="J6">
        <v>434.21719999999999</v>
      </c>
      <c r="K6">
        <v>434.21719999999999</v>
      </c>
      <c r="Q6" s="2" t="s">
        <v>17</v>
      </c>
      <c r="S6">
        <v>434.21719999999999</v>
      </c>
      <c r="V6" s="2" t="s">
        <v>17</v>
      </c>
      <c r="W6" s="2" t="s">
        <v>17</v>
      </c>
      <c r="Z6">
        <v>100</v>
      </c>
      <c r="AB6" s="2" t="s">
        <v>94</v>
      </c>
      <c r="AC6" s="2" t="s">
        <v>95</v>
      </c>
    </row>
    <row r="7" spans="1:29" x14ac:dyDescent="0.25">
      <c r="A7" s="2" t="s">
        <v>148</v>
      </c>
      <c r="B7">
        <v>17375</v>
      </c>
      <c r="C7" s="2" t="s">
        <v>104</v>
      </c>
      <c r="D7" s="2" t="s">
        <v>108</v>
      </c>
      <c r="E7">
        <v>2009</v>
      </c>
      <c r="F7" s="2" t="s">
        <v>95</v>
      </c>
      <c r="G7" s="2" t="s">
        <v>17</v>
      </c>
      <c r="H7" s="2" t="s">
        <v>1</v>
      </c>
      <c r="I7">
        <v>1</v>
      </c>
      <c r="J7">
        <v>79.802079999999989</v>
      </c>
      <c r="Q7" s="2" t="s">
        <v>17</v>
      </c>
      <c r="R7">
        <v>117.35599999999999</v>
      </c>
      <c r="S7">
        <v>79.802079999999989</v>
      </c>
      <c r="V7" s="2" t="s">
        <v>17</v>
      </c>
      <c r="W7" s="2" t="s">
        <v>17</v>
      </c>
      <c r="Y7">
        <v>100</v>
      </c>
      <c r="AB7" s="2" t="s">
        <v>94</v>
      </c>
      <c r="AC7" s="2" t="s">
        <v>95</v>
      </c>
    </row>
    <row r="8" spans="1:29" x14ac:dyDescent="0.25">
      <c r="A8" s="2" t="s">
        <v>150</v>
      </c>
      <c r="B8">
        <v>18134</v>
      </c>
      <c r="C8" s="2" t="s">
        <v>104</v>
      </c>
      <c r="D8" s="2" t="s">
        <v>108</v>
      </c>
      <c r="E8">
        <v>2016</v>
      </c>
      <c r="F8" s="2" t="s">
        <v>95</v>
      </c>
      <c r="G8" s="2" t="s">
        <v>17</v>
      </c>
      <c r="H8" s="2" t="s">
        <v>1</v>
      </c>
      <c r="I8">
        <v>1</v>
      </c>
      <c r="J8">
        <v>147.86856</v>
      </c>
      <c r="L8">
        <v>147.86856</v>
      </c>
      <c r="Q8" s="2" t="s">
        <v>17</v>
      </c>
      <c r="S8">
        <v>147.86856</v>
      </c>
      <c r="V8" s="2" t="s">
        <v>17</v>
      </c>
      <c r="W8" s="2" t="s">
        <v>17</v>
      </c>
      <c r="Z8">
        <v>100</v>
      </c>
      <c r="AB8" s="2" t="s">
        <v>94</v>
      </c>
      <c r="AC8" s="2" t="s">
        <v>95</v>
      </c>
    </row>
    <row r="9" spans="1:29" x14ac:dyDescent="0.25">
      <c r="A9" s="2" t="s">
        <v>152</v>
      </c>
      <c r="B9" t="s">
        <v>175</v>
      </c>
      <c r="C9" s="2" t="s">
        <v>177</v>
      </c>
      <c r="D9" s="2" t="s">
        <v>108</v>
      </c>
      <c r="E9">
        <v>2016</v>
      </c>
      <c r="F9" s="2" t="s">
        <v>95</v>
      </c>
      <c r="G9" s="2" t="s">
        <v>17</v>
      </c>
      <c r="H9" s="2" t="s">
        <v>18</v>
      </c>
      <c r="I9">
        <v>1.1735599999999999</v>
      </c>
      <c r="J9">
        <v>247.62115999999997</v>
      </c>
      <c r="K9">
        <v>247.62115999999997</v>
      </c>
      <c r="Q9" s="2" t="s">
        <v>17</v>
      </c>
      <c r="S9">
        <v>247.62115999999997</v>
      </c>
      <c r="V9" s="2" t="s">
        <v>17</v>
      </c>
      <c r="W9" s="2" t="s">
        <v>17</v>
      </c>
      <c r="Z9">
        <v>100</v>
      </c>
      <c r="AB9" s="2" t="s">
        <v>94</v>
      </c>
      <c r="AC9" s="2" t="s">
        <v>95</v>
      </c>
    </row>
    <row r="10" spans="1:29" x14ac:dyDescent="0.25">
      <c r="A10" s="2" t="s">
        <v>153</v>
      </c>
      <c r="B10">
        <v>18127</v>
      </c>
      <c r="C10" s="2" t="s">
        <v>104</v>
      </c>
      <c r="D10" s="2" t="s">
        <v>108</v>
      </c>
      <c r="E10">
        <v>2015</v>
      </c>
      <c r="F10" s="2" t="s">
        <v>95</v>
      </c>
      <c r="G10" s="2" t="s">
        <v>17</v>
      </c>
      <c r="H10" s="2" t="s">
        <v>18</v>
      </c>
      <c r="I10">
        <v>1.1735599999999999</v>
      </c>
      <c r="J10">
        <v>314.51407999999998</v>
      </c>
      <c r="K10">
        <v>255.83607999999998</v>
      </c>
      <c r="L10">
        <v>38.72748</v>
      </c>
      <c r="P10">
        <v>16.429839999999999</v>
      </c>
      <c r="Q10" s="2" t="s">
        <v>17</v>
      </c>
      <c r="R10">
        <v>3.5206799999999996</v>
      </c>
      <c r="S10">
        <v>239.40624</v>
      </c>
      <c r="U10">
        <v>75.107839999999996</v>
      </c>
      <c r="V10" s="2" t="s">
        <v>17</v>
      </c>
      <c r="W10" s="2" t="s">
        <v>17</v>
      </c>
      <c r="X10">
        <v>62</v>
      </c>
      <c r="Y10">
        <v>7</v>
      </c>
      <c r="Z10">
        <v>31</v>
      </c>
      <c r="AB10" s="2" t="s">
        <v>94</v>
      </c>
      <c r="AC10" s="2" t="s">
        <v>95</v>
      </c>
    </row>
    <row r="11" spans="1:29" x14ac:dyDescent="0.25">
      <c r="A11" s="2" t="s">
        <v>155</v>
      </c>
      <c r="B11" t="s">
        <v>175</v>
      </c>
      <c r="C11" s="2" t="s">
        <v>106</v>
      </c>
      <c r="D11" s="2" t="s">
        <v>109</v>
      </c>
      <c r="E11">
        <v>2016</v>
      </c>
      <c r="F11" s="2" t="s">
        <v>97</v>
      </c>
      <c r="G11" s="2" t="s">
        <v>156</v>
      </c>
      <c r="H11" s="2" t="s">
        <v>18</v>
      </c>
      <c r="I11">
        <v>1.1735599999999999</v>
      </c>
      <c r="Q11" s="2" t="s">
        <v>17</v>
      </c>
      <c r="V11" s="2" t="s">
        <v>17</v>
      </c>
      <c r="W11" s="2" t="s">
        <v>17</v>
      </c>
      <c r="AB11" s="2" t="s">
        <v>94</v>
      </c>
      <c r="AC11" s="2" t="s">
        <v>95</v>
      </c>
    </row>
    <row r="12" spans="1:29" x14ac:dyDescent="0.25">
      <c r="A12" s="2"/>
      <c r="C12" s="2"/>
      <c r="D12" s="2"/>
      <c r="F12" s="2"/>
      <c r="G12" s="2"/>
      <c r="H12" s="2"/>
      <c r="Q12" s="2"/>
      <c r="V12" s="2"/>
      <c r="W12" s="2"/>
      <c r="AB12" s="2"/>
      <c r="AC12" s="2"/>
    </row>
    <row r="13" spans="1:29" x14ac:dyDescent="0.25">
      <c r="A13" s="2"/>
      <c r="C13" s="2"/>
      <c r="D13" s="2"/>
      <c r="F13" s="2"/>
      <c r="G13" s="2"/>
      <c r="H13" s="2"/>
      <c r="Q13" s="2"/>
      <c r="V13" s="2"/>
      <c r="W13" s="2"/>
      <c r="AB13" s="2"/>
      <c r="AC13"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543F-0A2C-40AC-9309-C307EBEB3420}">
  <dimension ref="A1:E40"/>
  <sheetViews>
    <sheetView tabSelected="1" topLeftCell="A8" workbookViewId="0">
      <selection activeCell="B25" sqref="B25"/>
    </sheetView>
  </sheetViews>
  <sheetFormatPr defaultRowHeight="13.2" x14ac:dyDescent="0.25"/>
  <cols>
    <col min="1" max="2" width="24.44140625" customWidth="1"/>
    <col min="3" max="3" width="22" customWidth="1"/>
    <col min="4" max="4" width="21.88671875" customWidth="1"/>
  </cols>
  <sheetData>
    <row r="1" spans="1:5" x14ac:dyDescent="0.25">
      <c r="A1" t="s">
        <v>19</v>
      </c>
      <c r="B1" t="s">
        <v>20</v>
      </c>
      <c r="C1" t="s">
        <v>21</v>
      </c>
      <c r="D1" t="s">
        <v>22</v>
      </c>
      <c r="E1" t="s">
        <v>23</v>
      </c>
    </row>
    <row r="2" spans="1:5" x14ac:dyDescent="0.25">
      <c r="A2" t="s">
        <v>98</v>
      </c>
      <c r="D2" t="s">
        <v>98</v>
      </c>
      <c r="E2" t="s">
        <v>25</v>
      </c>
    </row>
    <row r="3" spans="1:5" ht="14.4" x14ac:dyDescent="0.3">
      <c r="A3" t="s">
        <v>127</v>
      </c>
      <c r="D3" s="5" t="s">
        <v>24</v>
      </c>
      <c r="E3" t="s">
        <v>25</v>
      </c>
    </row>
    <row r="4" spans="1:5" ht="14.4" x14ac:dyDescent="0.3">
      <c r="A4" t="s">
        <v>128</v>
      </c>
      <c r="D4" s="1" t="s">
        <v>26</v>
      </c>
      <c r="E4" t="s">
        <v>25</v>
      </c>
    </row>
    <row r="5" spans="1:5" ht="14.4" x14ac:dyDescent="0.3">
      <c r="A5" t="s">
        <v>129</v>
      </c>
      <c r="D5" s="1" t="s">
        <v>27</v>
      </c>
      <c r="E5" t="s">
        <v>25</v>
      </c>
    </row>
    <row r="6" spans="1:5" ht="14.4" x14ac:dyDescent="0.3">
      <c r="A6" t="s">
        <v>130</v>
      </c>
      <c r="D6" s="1" t="s">
        <v>28</v>
      </c>
      <c r="E6" t="s">
        <v>25</v>
      </c>
    </row>
    <row r="7" spans="1:5" ht="14.4" x14ac:dyDescent="0.3">
      <c r="A7" t="s">
        <v>29</v>
      </c>
      <c r="C7" s="2"/>
      <c r="D7" s="1" t="s">
        <v>30</v>
      </c>
      <c r="E7" t="s">
        <v>25</v>
      </c>
    </row>
    <row r="8" spans="1:5" ht="14.4" x14ac:dyDescent="0.3">
      <c r="A8" t="s">
        <v>31</v>
      </c>
      <c r="D8" s="1" t="s">
        <v>32</v>
      </c>
      <c r="E8" t="s">
        <v>25</v>
      </c>
    </row>
    <row r="9" spans="1:5" ht="14.4" x14ac:dyDescent="0.3">
      <c r="A9" t="s">
        <v>33</v>
      </c>
      <c r="D9" s="1" t="s">
        <v>34</v>
      </c>
      <c r="E9" t="s">
        <v>25</v>
      </c>
    </row>
    <row r="10" spans="1:5" ht="14.4" x14ac:dyDescent="0.3">
      <c r="A10" t="s">
        <v>131</v>
      </c>
      <c r="D10" s="1" t="s">
        <v>35</v>
      </c>
      <c r="E10" t="s">
        <v>25</v>
      </c>
    </row>
    <row r="11" spans="1:5" ht="14.4" x14ac:dyDescent="0.3">
      <c r="A11" t="s">
        <v>132</v>
      </c>
      <c r="D11" s="1" t="s">
        <v>36</v>
      </c>
      <c r="E11" t="s">
        <v>25</v>
      </c>
    </row>
    <row r="12" spans="1:5" x14ac:dyDescent="0.25">
      <c r="A12" t="s">
        <v>133</v>
      </c>
      <c r="C12" s="2" t="s">
        <v>37</v>
      </c>
      <c r="D12" t="s">
        <v>38</v>
      </c>
      <c r="E12" t="s">
        <v>25</v>
      </c>
    </row>
    <row r="13" spans="1:5" ht="14.4" x14ac:dyDescent="0.3">
      <c r="A13" t="s">
        <v>166</v>
      </c>
      <c r="C13" s="2"/>
      <c r="D13" s="6" t="s">
        <v>198</v>
      </c>
      <c r="E13" t="s">
        <v>25</v>
      </c>
    </row>
    <row r="14" spans="1:5" ht="14.4" x14ac:dyDescent="0.3">
      <c r="A14" t="s">
        <v>102</v>
      </c>
      <c r="C14" s="2"/>
      <c r="D14" s="6" t="s">
        <v>41</v>
      </c>
      <c r="E14" t="s">
        <v>25</v>
      </c>
    </row>
    <row r="15" spans="1:5" ht="14.4" x14ac:dyDescent="0.3">
      <c r="A15" t="s">
        <v>167</v>
      </c>
      <c r="C15" s="2"/>
      <c r="D15" s="8" t="s">
        <v>199</v>
      </c>
      <c r="E15" t="s">
        <v>25</v>
      </c>
    </row>
    <row r="16" spans="1:5" ht="14.4" x14ac:dyDescent="0.3">
      <c r="A16" t="s">
        <v>91</v>
      </c>
      <c r="C16" s="2"/>
      <c r="D16" s="6" t="s">
        <v>43</v>
      </c>
      <c r="E16" t="s">
        <v>25</v>
      </c>
    </row>
    <row r="17" spans="1:5" ht="14.4" x14ac:dyDescent="0.3">
      <c r="A17" t="s">
        <v>39</v>
      </c>
      <c r="C17" s="2"/>
      <c r="D17" s="6" t="s">
        <v>40</v>
      </c>
      <c r="E17" t="s">
        <v>25</v>
      </c>
    </row>
    <row r="18" spans="1:5" ht="14.4" x14ac:dyDescent="0.3">
      <c r="A18" t="s">
        <v>134</v>
      </c>
      <c r="B18" t="s">
        <v>44</v>
      </c>
      <c r="C18" s="2" t="s">
        <v>45</v>
      </c>
      <c r="D18" s="3" t="s">
        <v>44</v>
      </c>
      <c r="E18" t="s">
        <v>25</v>
      </c>
    </row>
    <row r="19" spans="1:5" ht="14.4" x14ac:dyDescent="0.3">
      <c r="A19" t="s">
        <v>135</v>
      </c>
      <c r="B19" t="s">
        <v>46</v>
      </c>
      <c r="C19" s="2" t="s">
        <v>45</v>
      </c>
      <c r="D19" s="3" t="s">
        <v>46</v>
      </c>
      <c r="E19" t="s">
        <v>25</v>
      </c>
    </row>
    <row r="20" spans="1:5" ht="14.4" x14ac:dyDescent="0.3">
      <c r="A20" t="s">
        <v>135</v>
      </c>
      <c r="B20" t="s">
        <v>46</v>
      </c>
      <c r="C20" s="2" t="s">
        <v>0</v>
      </c>
      <c r="D20" s="3" t="s">
        <v>47</v>
      </c>
      <c r="E20" t="s">
        <v>25</v>
      </c>
    </row>
    <row r="21" spans="1:5" ht="14.4" x14ac:dyDescent="0.3">
      <c r="A21" t="s">
        <v>136</v>
      </c>
      <c r="B21" t="s">
        <v>48</v>
      </c>
      <c r="C21" t="s">
        <v>37</v>
      </c>
      <c r="D21" s="3" t="s">
        <v>48</v>
      </c>
      <c r="E21" t="s">
        <v>49</v>
      </c>
    </row>
    <row r="22" spans="1:5" ht="14.4" x14ac:dyDescent="0.3">
      <c r="A22" t="s">
        <v>137</v>
      </c>
      <c r="B22" t="s">
        <v>50</v>
      </c>
      <c r="C22" t="s">
        <v>51</v>
      </c>
      <c r="D22" s="3" t="s">
        <v>52</v>
      </c>
      <c r="E22" t="s">
        <v>49</v>
      </c>
    </row>
    <row r="23" spans="1:5" ht="14.4" x14ac:dyDescent="0.3">
      <c r="A23" t="s">
        <v>200</v>
      </c>
      <c r="B23" t="s">
        <v>50</v>
      </c>
      <c r="C23" t="s">
        <v>53</v>
      </c>
      <c r="D23" s="3" t="s">
        <v>54</v>
      </c>
      <c r="E23" t="s">
        <v>49</v>
      </c>
    </row>
    <row r="24" spans="1:5" ht="14.4" x14ac:dyDescent="0.3">
      <c r="A24" t="s">
        <v>201</v>
      </c>
      <c r="B24" t="s">
        <v>50</v>
      </c>
      <c r="C24" t="s">
        <v>55</v>
      </c>
      <c r="D24" s="3" t="s">
        <v>56</v>
      </c>
      <c r="E24" t="s">
        <v>49</v>
      </c>
    </row>
    <row r="25" spans="1:5" ht="14.4" x14ac:dyDescent="0.3">
      <c r="A25" t="s">
        <v>202</v>
      </c>
      <c r="B25" t="s">
        <v>50</v>
      </c>
      <c r="C25" t="s">
        <v>57</v>
      </c>
      <c r="D25" s="3" t="s">
        <v>58</v>
      </c>
      <c r="E25" t="s">
        <v>49</v>
      </c>
    </row>
    <row r="26" spans="1:5" ht="14.4" x14ac:dyDescent="0.3">
      <c r="A26" t="s">
        <v>203</v>
      </c>
      <c r="B26" t="s">
        <v>50</v>
      </c>
      <c r="C26" t="s">
        <v>59</v>
      </c>
      <c r="D26" s="3" t="s">
        <v>60</v>
      </c>
      <c r="E26" t="s">
        <v>49</v>
      </c>
    </row>
    <row r="27" spans="1:5" ht="14.4" x14ac:dyDescent="0.3">
      <c r="A27" t="s">
        <v>204</v>
      </c>
      <c r="B27" t="s">
        <v>50</v>
      </c>
      <c r="C27" t="s">
        <v>61</v>
      </c>
      <c r="D27" s="3" t="s">
        <v>62</v>
      </c>
      <c r="E27" t="s">
        <v>49</v>
      </c>
    </row>
    <row r="28" spans="1:5" ht="14.4" x14ac:dyDescent="0.3">
      <c r="A28" t="s">
        <v>205</v>
      </c>
      <c r="B28" t="s">
        <v>50</v>
      </c>
      <c r="C28" t="s">
        <v>63</v>
      </c>
      <c r="D28" s="3" t="s">
        <v>64</v>
      </c>
      <c r="E28" t="s">
        <v>49</v>
      </c>
    </row>
    <row r="29" spans="1:5" ht="14.4" x14ac:dyDescent="0.3">
      <c r="A29" t="s">
        <v>206</v>
      </c>
      <c r="B29" t="s">
        <v>50</v>
      </c>
      <c r="C29" t="s">
        <v>0</v>
      </c>
      <c r="D29" s="3" t="s">
        <v>65</v>
      </c>
      <c r="E29" t="s">
        <v>49</v>
      </c>
    </row>
    <row r="30" spans="1:5" ht="14.4" x14ac:dyDescent="0.3">
      <c r="A30" t="s">
        <v>138</v>
      </c>
      <c r="B30" t="s">
        <v>66</v>
      </c>
      <c r="C30" t="s">
        <v>7</v>
      </c>
      <c r="D30" s="3" t="s">
        <v>67</v>
      </c>
      <c r="E30" t="s">
        <v>49</v>
      </c>
    </row>
    <row r="31" spans="1:5" ht="14.4" x14ac:dyDescent="0.3">
      <c r="A31" t="s">
        <v>138</v>
      </c>
      <c r="B31" t="s">
        <v>66</v>
      </c>
      <c r="C31" t="s">
        <v>68</v>
      </c>
      <c r="D31" s="3" t="s">
        <v>69</v>
      </c>
      <c r="E31" t="s">
        <v>49</v>
      </c>
    </row>
    <row r="32" spans="1:5" ht="14.4" x14ac:dyDescent="0.3">
      <c r="A32" t="s">
        <v>138</v>
      </c>
      <c r="B32" t="s">
        <v>66</v>
      </c>
      <c r="C32" t="s">
        <v>70</v>
      </c>
      <c r="D32" s="3" t="s">
        <v>71</v>
      </c>
      <c r="E32" t="s">
        <v>49</v>
      </c>
    </row>
    <row r="33" spans="1:5" ht="14.4" x14ac:dyDescent="0.3">
      <c r="A33" t="s">
        <v>138</v>
      </c>
      <c r="B33" t="s">
        <v>66</v>
      </c>
      <c r="C33" t="s">
        <v>72</v>
      </c>
      <c r="D33" s="3" t="s">
        <v>73</v>
      </c>
      <c r="E33" t="s">
        <v>49</v>
      </c>
    </row>
    <row r="34" spans="1:5" ht="14.4" x14ac:dyDescent="0.3">
      <c r="A34" t="s">
        <v>138</v>
      </c>
      <c r="B34" t="s">
        <v>66</v>
      </c>
      <c r="C34" t="s">
        <v>11</v>
      </c>
      <c r="D34" s="3" t="s">
        <v>74</v>
      </c>
      <c r="E34" t="s">
        <v>49</v>
      </c>
    </row>
    <row r="35" spans="1:5" ht="14.4" x14ac:dyDescent="0.3">
      <c r="A35" t="s">
        <v>139</v>
      </c>
      <c r="B35" t="s">
        <v>75</v>
      </c>
      <c r="C35" t="s">
        <v>76</v>
      </c>
      <c r="D35" s="3" t="s">
        <v>77</v>
      </c>
      <c r="E35" t="s">
        <v>78</v>
      </c>
    </row>
    <row r="36" spans="1:5" ht="14.4" x14ac:dyDescent="0.3">
      <c r="A36" t="s">
        <v>139</v>
      </c>
      <c r="B36" t="s">
        <v>75</v>
      </c>
      <c r="C36" t="s">
        <v>79</v>
      </c>
      <c r="D36" s="3" t="s">
        <v>80</v>
      </c>
      <c r="E36" t="s">
        <v>78</v>
      </c>
    </row>
    <row r="37" spans="1:5" ht="14.4" x14ac:dyDescent="0.3">
      <c r="A37" t="s">
        <v>139</v>
      </c>
      <c r="B37" t="s">
        <v>75</v>
      </c>
      <c r="C37" t="s">
        <v>81</v>
      </c>
      <c r="D37" s="3" t="s">
        <v>82</v>
      </c>
      <c r="E37" t="s">
        <v>78</v>
      </c>
    </row>
    <row r="38" spans="1:5" ht="14.4" x14ac:dyDescent="0.3">
      <c r="A38" t="s">
        <v>139</v>
      </c>
      <c r="B38" t="s">
        <v>75</v>
      </c>
      <c r="C38" t="s">
        <v>83</v>
      </c>
      <c r="D38" s="3" t="s">
        <v>84</v>
      </c>
      <c r="E38" t="s">
        <v>78</v>
      </c>
    </row>
    <row r="39" spans="1:5" ht="14.4" x14ac:dyDescent="0.3">
      <c r="A39" t="s">
        <v>85</v>
      </c>
      <c r="B39" t="s">
        <v>86</v>
      </c>
      <c r="C39" s="2" t="s">
        <v>45</v>
      </c>
      <c r="D39" s="3" t="s">
        <v>86</v>
      </c>
      <c r="E39" s="2" t="s">
        <v>25</v>
      </c>
    </row>
    <row r="40" spans="1:5" ht="14.4" x14ac:dyDescent="0.3">
      <c r="A40" t="s">
        <v>87</v>
      </c>
      <c r="B40" t="s">
        <v>88</v>
      </c>
      <c r="C40" s="2" t="s">
        <v>45</v>
      </c>
      <c r="D40" s="3" t="s">
        <v>88</v>
      </c>
      <c r="E40" s="2" t="s">
        <v>25</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2D881-F0B4-4986-A9BE-65C9B2DDCADA}">
  <dimension ref="A1:AM13"/>
  <sheetViews>
    <sheetView topLeftCell="K1" workbookViewId="0">
      <selection activeCell="N1" sqref="N1"/>
    </sheetView>
  </sheetViews>
  <sheetFormatPr defaultRowHeight="13.2" x14ac:dyDescent="0.25"/>
  <cols>
    <col min="2" max="2" width="16" bestFit="1" customWidth="1"/>
    <col min="3" max="3" width="13.33203125" bestFit="1" customWidth="1"/>
    <col min="4" max="5" width="11.77734375" bestFit="1" customWidth="1"/>
    <col min="6" max="6" width="14.44140625" bestFit="1" customWidth="1"/>
    <col min="7" max="7" width="15.77734375" bestFit="1" customWidth="1"/>
    <col min="8" max="8" width="12.5546875" bestFit="1" customWidth="1"/>
    <col min="9" max="9" width="12.21875" bestFit="1" customWidth="1"/>
    <col min="10" max="10" width="15.88671875" bestFit="1" customWidth="1"/>
    <col min="11" max="11" width="41" bestFit="1" customWidth="1"/>
    <col min="12" max="13" width="13.77734375" customWidth="1"/>
    <col min="14" max="14" width="23.21875" customWidth="1"/>
    <col min="15" max="15" width="17.77734375" customWidth="1"/>
    <col min="16" max="16" width="12.109375" customWidth="1"/>
    <col min="17" max="17" width="52.33203125" bestFit="1" customWidth="1"/>
    <col min="18" max="18" width="28.6640625" bestFit="1" customWidth="1"/>
    <col min="19" max="19" width="20.77734375" bestFit="1" customWidth="1"/>
    <col min="20" max="21" width="64.6640625" bestFit="1" customWidth="1"/>
    <col min="22" max="22" width="18.109375" bestFit="1" customWidth="1"/>
    <col min="23" max="23" width="18.6640625" bestFit="1" customWidth="1"/>
    <col min="24" max="24" width="19.88671875" bestFit="1" customWidth="1"/>
    <col min="25" max="25" width="38.77734375" bestFit="1" customWidth="1"/>
    <col min="26" max="26" width="11.88671875" bestFit="1" customWidth="1"/>
    <col min="27" max="27" width="34.44140625" bestFit="1" customWidth="1"/>
    <col min="28" max="28" width="18.6640625" bestFit="1" customWidth="1"/>
    <col min="29" max="29" width="64.6640625" bestFit="1" customWidth="1"/>
    <col min="30" max="30" width="11.88671875" bestFit="1" customWidth="1"/>
    <col min="31" max="31" width="12.21875" bestFit="1" customWidth="1"/>
    <col min="32" max="32" width="12.5546875" bestFit="1" customWidth="1"/>
    <col min="33" max="33" width="11.88671875" bestFit="1" customWidth="1"/>
    <col min="34" max="34" width="64.6640625" bestFit="1" customWidth="1"/>
    <col min="35" max="35" width="30.44140625" bestFit="1" customWidth="1"/>
    <col min="36" max="36" width="38.44140625" bestFit="1" customWidth="1"/>
    <col min="37" max="37" width="11.88671875" bestFit="1" customWidth="1"/>
    <col min="38" max="39" width="64.6640625" bestFit="1" customWidth="1"/>
  </cols>
  <sheetData>
    <row r="1" spans="1:39" ht="14.4" x14ac:dyDescent="0.3">
      <c r="A1" t="s">
        <v>98</v>
      </c>
      <c r="B1" s="5" t="s">
        <v>24</v>
      </c>
      <c r="C1" s="1" t="s">
        <v>26</v>
      </c>
      <c r="D1" s="1" t="s">
        <v>27</v>
      </c>
      <c r="E1" s="1" t="s">
        <v>28</v>
      </c>
      <c r="F1" s="1" t="s">
        <v>30</v>
      </c>
      <c r="G1" s="1" t="s">
        <v>32</v>
      </c>
      <c r="H1" s="1" t="s">
        <v>34</v>
      </c>
      <c r="I1" s="1" t="s">
        <v>35</v>
      </c>
      <c r="J1" s="1" t="s">
        <v>36</v>
      </c>
      <c r="K1" t="s">
        <v>38</v>
      </c>
      <c r="L1" s="6" t="s">
        <v>198</v>
      </c>
      <c r="M1" s="6" t="s">
        <v>41</v>
      </c>
      <c r="N1" s="7" t="s">
        <v>199</v>
      </c>
      <c r="O1" s="6" t="s">
        <v>43</v>
      </c>
      <c r="P1" s="6" t="s">
        <v>40</v>
      </c>
      <c r="Q1" s="3" t="s">
        <v>44</v>
      </c>
      <c r="R1" s="3" t="s">
        <v>46</v>
      </c>
      <c r="S1" s="3" t="s">
        <v>47</v>
      </c>
      <c r="T1" s="3" t="s">
        <v>48</v>
      </c>
      <c r="U1" s="3" t="s">
        <v>52</v>
      </c>
      <c r="V1" s="3" t="s">
        <v>54</v>
      </c>
      <c r="W1" s="3" t="s">
        <v>56</v>
      </c>
      <c r="X1" s="3" t="s">
        <v>58</v>
      </c>
      <c r="Y1" s="3" t="s">
        <v>60</v>
      </c>
      <c r="Z1" s="3" t="s">
        <v>62</v>
      </c>
      <c r="AA1" s="3" t="s">
        <v>64</v>
      </c>
      <c r="AB1" s="3" t="s">
        <v>65</v>
      </c>
      <c r="AC1" s="3" t="s">
        <v>67</v>
      </c>
      <c r="AD1" s="3" t="s">
        <v>69</v>
      </c>
      <c r="AE1" s="3" t="s">
        <v>71</v>
      </c>
      <c r="AF1" s="3" t="s">
        <v>73</v>
      </c>
      <c r="AG1" s="3" t="s">
        <v>74</v>
      </c>
      <c r="AH1" s="3" t="s">
        <v>77</v>
      </c>
      <c r="AI1" s="3" t="s">
        <v>80</v>
      </c>
      <c r="AJ1" s="3" t="s">
        <v>82</v>
      </c>
      <c r="AK1" s="3" t="s">
        <v>84</v>
      </c>
      <c r="AL1" s="3" t="s">
        <v>86</v>
      </c>
      <c r="AM1" s="3" t="s">
        <v>88</v>
      </c>
    </row>
    <row r="2" spans="1:39" x14ac:dyDescent="0.25">
      <c r="B2" t="s">
        <v>127</v>
      </c>
      <c r="C2" t="s">
        <v>128</v>
      </c>
      <c r="D2" t="s">
        <v>129</v>
      </c>
      <c r="E2" t="s">
        <v>130</v>
      </c>
      <c r="F2" t="s">
        <v>29</v>
      </c>
      <c r="G2" t="s">
        <v>31</v>
      </c>
      <c r="H2" t="s">
        <v>33</v>
      </c>
      <c r="I2" t="s">
        <v>131</v>
      </c>
      <c r="J2" t="s">
        <v>132</v>
      </c>
      <c r="K2" t="s">
        <v>133</v>
      </c>
      <c r="L2" t="s">
        <v>166</v>
      </c>
      <c r="M2" t="s">
        <v>102</v>
      </c>
      <c r="N2" t="s">
        <v>167</v>
      </c>
      <c r="O2" t="s">
        <v>91</v>
      </c>
      <c r="P2" t="s">
        <v>39</v>
      </c>
      <c r="Q2" t="s">
        <v>134</v>
      </c>
      <c r="R2" t="s">
        <v>135</v>
      </c>
      <c r="S2" t="s">
        <v>113</v>
      </c>
      <c r="T2" t="s">
        <v>136</v>
      </c>
      <c r="U2" t="s">
        <v>137</v>
      </c>
      <c r="V2" t="s">
        <v>157</v>
      </c>
      <c r="W2" t="s">
        <v>114</v>
      </c>
      <c r="X2" t="s">
        <v>158</v>
      </c>
      <c r="Y2" t="s">
        <v>159</v>
      </c>
      <c r="Z2" t="s">
        <v>160</v>
      </c>
      <c r="AA2" t="s">
        <v>115</v>
      </c>
      <c r="AB2" t="s">
        <v>161</v>
      </c>
      <c r="AC2" t="s">
        <v>138</v>
      </c>
      <c r="AD2" t="s">
        <v>116</v>
      </c>
      <c r="AE2" t="s">
        <v>162</v>
      </c>
      <c r="AF2" t="s">
        <v>117</v>
      </c>
      <c r="AG2" t="s">
        <v>163</v>
      </c>
      <c r="AH2" t="s">
        <v>139</v>
      </c>
      <c r="AI2" t="s">
        <v>164</v>
      </c>
      <c r="AJ2" t="s">
        <v>118</v>
      </c>
      <c r="AK2" t="s">
        <v>119</v>
      </c>
      <c r="AL2" t="s">
        <v>85</v>
      </c>
      <c r="AM2" t="s">
        <v>87</v>
      </c>
    </row>
    <row r="3" spans="1:39" x14ac:dyDescent="0.25">
      <c r="F3" s="2"/>
      <c r="K3" s="2" t="s">
        <v>37</v>
      </c>
      <c r="L3" s="2" t="e">
        <f>VLOOKUP(DFsmonkeyCompl9[[#This Row],[Vehicle ID / Name]],DFanalysis!A:E,2,FALSE)</f>
        <v>#N/A</v>
      </c>
      <c r="M3" s="2" t="e">
        <f>VLOOKUP(DFsmonkeyCompl9[[#This Row],[Vehicle ID / Name]],DFanalysis!A:F,3,FALSE)</f>
        <v>#N/A</v>
      </c>
      <c r="N3" s="2" t="e">
        <f>VLOOKUP(DFsmonkeyCompl9[[#This Row],[Vehicle ID / Name]],DFanalysis!A:G,4,FALSE)</f>
        <v>#N/A</v>
      </c>
      <c r="O3" s="2" t="e">
        <f>VLOOKUP(DFsmonkeyCompl9[[#This Row],[Vehicle ID / Name]],DFanalysis!A:H,5,FALSE)</f>
        <v>#N/A</v>
      </c>
      <c r="P3" s="2" t="e">
        <f>VLOOKUP(DFsmonkeyCompl9[[#This Row],[Vehicle ID / Name]],DFanalysis!A:I,8,FALSE)</f>
        <v>#N/A</v>
      </c>
      <c r="Q3" s="2" t="s">
        <v>45</v>
      </c>
      <c r="R3" s="2" t="s">
        <v>45</v>
      </c>
      <c r="S3" s="2" t="s">
        <v>0</v>
      </c>
      <c r="T3" t="s">
        <v>37</v>
      </c>
      <c r="U3" t="s">
        <v>51</v>
      </c>
      <c r="V3" t="s">
        <v>53</v>
      </c>
      <c r="W3" t="s">
        <v>55</v>
      </c>
      <c r="X3" t="s">
        <v>57</v>
      </c>
      <c r="Y3" t="s">
        <v>59</v>
      </c>
      <c r="Z3" t="s">
        <v>61</v>
      </c>
      <c r="AA3" t="s">
        <v>63</v>
      </c>
      <c r="AB3" t="s">
        <v>0</v>
      </c>
      <c r="AC3" t="s">
        <v>7</v>
      </c>
      <c r="AD3" t="s">
        <v>68</v>
      </c>
      <c r="AE3" t="s">
        <v>70</v>
      </c>
      <c r="AF3" t="s">
        <v>72</v>
      </c>
      <c r="AG3" t="s">
        <v>11</v>
      </c>
      <c r="AH3" t="s">
        <v>76</v>
      </c>
      <c r="AI3" t="s">
        <v>79</v>
      </c>
      <c r="AJ3" t="s">
        <v>81</v>
      </c>
      <c r="AK3" t="s">
        <v>83</v>
      </c>
      <c r="AL3" s="2" t="s">
        <v>45</v>
      </c>
      <c r="AM3" s="2" t="s">
        <v>45</v>
      </c>
    </row>
    <row r="4" spans="1:39" x14ac:dyDescent="0.25">
      <c r="A4" t="s">
        <v>99</v>
      </c>
      <c r="B4">
        <v>6714543559</v>
      </c>
      <c r="C4">
        <v>162871627</v>
      </c>
      <c r="D4">
        <v>43154.677858796298</v>
      </c>
      <c r="E4">
        <v>43154.678298611114</v>
      </c>
      <c r="F4" s="2" t="s">
        <v>121</v>
      </c>
      <c r="K4" s="2" t="s">
        <v>140</v>
      </c>
      <c r="L4" s="2" t="str">
        <f>VLOOKUP(DFsmonkeyCompl9[[#This Row],[Vehicle ID / Name]],DFanalysis!A:E,2,FALSE)</f>
        <v>N/A</v>
      </c>
      <c r="M4" s="2" t="str">
        <f>VLOOKUP(DFsmonkeyCompl9[[#This Row],[Vehicle ID / Name]],DFanalysis!A:F,3,FALSE)</f>
        <v>Senior</v>
      </c>
      <c r="N4" s="2" t="str">
        <f>VLOOKUP(DFsmonkeyCompl9[[#This Row],[Vehicle ID / Name]],DFanalysis!A:G,4,FALSE)</f>
        <v>UK</v>
      </c>
      <c r="O4" s="2">
        <f>VLOOKUP(DFsmonkeyCompl9[[#This Row],[Vehicle ID / Name]],DFanalysis!A:H,5,FALSE)</f>
        <v>2017</v>
      </c>
      <c r="P4" s="2" t="str">
        <f>VLOOKUP(DFsmonkeyCompl9[[#This Row],[Vehicle ID / Name]],DFanalysis!A:I,8,FALSE)</f>
        <v>GBP</v>
      </c>
      <c r="Q4" s="2" t="s">
        <v>95</v>
      </c>
      <c r="R4" s="2"/>
      <c r="S4" s="2"/>
      <c r="T4">
        <v>264</v>
      </c>
      <c r="U4">
        <v>95</v>
      </c>
      <c r="AB4">
        <v>5</v>
      </c>
      <c r="AC4">
        <v>100</v>
      </c>
      <c r="AJ4">
        <v>100</v>
      </c>
      <c r="AL4" s="2" t="s">
        <v>96</v>
      </c>
      <c r="AM4" s="2" t="s">
        <v>95</v>
      </c>
    </row>
    <row r="5" spans="1:39" x14ac:dyDescent="0.25">
      <c r="A5" t="s">
        <v>99</v>
      </c>
      <c r="B5">
        <v>6714482559</v>
      </c>
      <c r="C5">
        <v>162871627</v>
      </c>
      <c r="D5">
        <v>43154.66128472222</v>
      </c>
      <c r="E5">
        <v>43154.677395833336</v>
      </c>
      <c r="F5" s="2" t="s">
        <v>121</v>
      </c>
      <c r="K5" s="2" t="s">
        <v>141</v>
      </c>
      <c r="L5" s="2" t="str">
        <f>VLOOKUP(DFsmonkeyCompl9[[#This Row],[Vehicle ID / Name]],DFanalysis!A:E,2,FALSE)</f>
        <v>N/A</v>
      </c>
      <c r="M5" s="2" t="str">
        <f>VLOOKUP(DFsmonkeyCompl9[[#This Row],[Vehicle ID / Name]],DFanalysis!A:F,3,FALSE)</f>
        <v>Mixed: Senior + Subordinated</v>
      </c>
      <c r="N5" s="2" t="str">
        <f>VLOOKUP(DFsmonkeyCompl9[[#This Row],[Vehicle ID / Name]],DFanalysis!A:G,4,FALSE)</f>
        <v>Western Europe excluding Nordics, Southern Europe and UK</v>
      </c>
      <c r="O5" s="2">
        <f>VLOOKUP(DFsmonkeyCompl9[[#This Row],[Vehicle ID / Name]],DFanalysis!A:H,5,FALSE)</f>
        <v>2017</v>
      </c>
      <c r="P5" s="2" t="str">
        <f>VLOOKUP(DFsmonkeyCompl9[[#This Row],[Vehicle ID / Name]],DFanalysis!A:I,8,FALSE)</f>
        <v>GBP</v>
      </c>
      <c r="Q5" s="2" t="s">
        <v>95</v>
      </c>
      <c r="R5" s="2"/>
      <c r="S5" s="2"/>
      <c r="T5">
        <v>804</v>
      </c>
      <c r="U5">
        <v>68</v>
      </c>
      <c r="V5">
        <v>15</v>
      </c>
      <c r="X5">
        <v>10</v>
      </c>
      <c r="AB5">
        <v>8</v>
      </c>
      <c r="AC5">
        <v>62</v>
      </c>
      <c r="AD5">
        <v>35</v>
      </c>
      <c r="AE5">
        <v>2</v>
      </c>
      <c r="AH5">
        <v>0</v>
      </c>
      <c r="AI5">
        <v>0</v>
      </c>
      <c r="AJ5">
        <v>75</v>
      </c>
      <c r="AK5">
        <v>25</v>
      </c>
      <c r="AL5" s="2" t="s">
        <v>96</v>
      </c>
      <c r="AM5" s="2" t="s">
        <v>95</v>
      </c>
    </row>
    <row r="6" spans="1:39" x14ac:dyDescent="0.25">
      <c r="A6" t="s">
        <v>99</v>
      </c>
      <c r="B6">
        <v>6713894109</v>
      </c>
      <c r="C6">
        <v>162871627</v>
      </c>
      <c r="D6">
        <v>43154.419050925928</v>
      </c>
      <c r="E6">
        <v>43154.42864583333</v>
      </c>
      <c r="F6" s="2" t="s">
        <v>142</v>
      </c>
      <c r="K6" s="2" t="s">
        <v>143</v>
      </c>
      <c r="L6" s="2" t="str">
        <f>VLOOKUP(DFsmonkeyCompl9[[#This Row],[Vehicle ID / Name]],DFanalysis!A:E,2,FALSE)</f>
        <v>N/A</v>
      </c>
      <c r="M6" s="2" t="str">
        <f>VLOOKUP(DFsmonkeyCompl9[[#This Row],[Vehicle ID / Name]],DFanalysis!A:F,3,FALSE)</f>
        <v>Senior</v>
      </c>
      <c r="N6" s="2" t="str">
        <f>VLOOKUP(DFsmonkeyCompl9[[#This Row],[Vehicle ID / Name]],DFanalysis!A:G,4,FALSE)</f>
        <v>Nordics (Denmark, Finland, Norway and Sweden)</v>
      </c>
      <c r="O6" s="2">
        <f>VLOOKUP(DFsmonkeyCompl9[[#This Row],[Vehicle ID / Name]],DFanalysis!A:H,5,FALSE)</f>
        <v>2016</v>
      </c>
      <c r="P6" s="2" t="str">
        <f>VLOOKUP(DFsmonkeyCompl9[[#This Row],[Vehicle ID / Name]],DFanalysis!A:I,8,FALSE)</f>
        <v>SEK</v>
      </c>
      <c r="Q6" s="2" t="s">
        <v>95</v>
      </c>
      <c r="R6" s="2"/>
      <c r="S6" s="2"/>
      <c r="T6">
        <v>16</v>
      </c>
      <c r="AB6">
        <v>16</v>
      </c>
      <c r="AC6">
        <v>16</v>
      </c>
      <c r="AJ6">
        <v>100</v>
      </c>
      <c r="AL6" s="2" t="s">
        <v>94</v>
      </c>
      <c r="AM6" s="2" t="s">
        <v>97</v>
      </c>
    </row>
    <row r="7" spans="1:39" x14ac:dyDescent="0.25">
      <c r="A7" t="s">
        <v>99</v>
      </c>
      <c r="B7">
        <v>6711242519</v>
      </c>
      <c r="C7">
        <v>162871627</v>
      </c>
      <c r="D7">
        <v>43153.412627314807</v>
      </c>
      <c r="E7">
        <v>43153.568391203713</v>
      </c>
      <c r="F7" s="2" t="s">
        <v>120</v>
      </c>
      <c r="K7" s="2" t="s">
        <v>144</v>
      </c>
      <c r="L7" s="2">
        <f>VLOOKUP(DFsmonkeyCompl9[[#This Row],[Vehicle ID / Name]],DFanalysis!A:E,2,FALSE)</f>
        <v>17370</v>
      </c>
      <c r="M7" s="2" t="str">
        <f>VLOOKUP(DFsmonkeyCompl9[[#This Row],[Vehicle ID / Name]],DFanalysis!A:F,3,FALSE)</f>
        <v>Subordinated: Junior + Mezzanine + Preferred equity</v>
      </c>
      <c r="N7" s="2" t="str">
        <f>VLOOKUP(DFsmonkeyCompl9[[#This Row],[Vehicle ID / Name]],DFanalysis!A:G,4,FALSE)</f>
        <v>Pan-Europe</v>
      </c>
      <c r="O7" s="2">
        <f>VLOOKUP(DFsmonkeyCompl9[[#This Row],[Vehicle ID / Name]],DFanalysis!A:H,5,FALSE)</f>
        <v>2013</v>
      </c>
      <c r="P7" s="2" t="str">
        <f>VLOOKUP(DFsmonkeyCompl9[[#This Row],[Vehicle ID / Name]],DFanalysis!A:I,8,FALSE)</f>
        <v>GBP</v>
      </c>
      <c r="Q7" s="2" t="s">
        <v>95</v>
      </c>
      <c r="R7" s="2"/>
      <c r="S7" s="2"/>
      <c r="T7">
        <v>1017</v>
      </c>
      <c r="U7">
        <v>793</v>
      </c>
      <c r="V7">
        <v>70</v>
      </c>
      <c r="W7">
        <v>52</v>
      </c>
      <c r="X7">
        <v>70</v>
      </c>
      <c r="Y7">
        <v>31</v>
      </c>
      <c r="AB7">
        <v>1</v>
      </c>
      <c r="AC7">
        <v>231</v>
      </c>
      <c r="AD7">
        <v>47</v>
      </c>
      <c r="AE7">
        <v>739</v>
      </c>
      <c r="AJ7">
        <v>97</v>
      </c>
      <c r="AK7">
        <v>3</v>
      </c>
      <c r="AL7" s="2" t="s">
        <v>94</v>
      </c>
      <c r="AM7" s="2" t="s">
        <v>95</v>
      </c>
    </row>
    <row r="8" spans="1:39" x14ac:dyDescent="0.25">
      <c r="A8" t="s">
        <v>99</v>
      </c>
      <c r="B8">
        <v>6708670587</v>
      </c>
      <c r="C8">
        <v>162871627</v>
      </c>
      <c r="D8">
        <v>43152.482592592591</v>
      </c>
      <c r="E8">
        <v>43152.486724537041</v>
      </c>
      <c r="F8" s="2" t="s">
        <v>145</v>
      </c>
      <c r="K8" s="2" t="s">
        <v>146</v>
      </c>
      <c r="L8" s="2">
        <f>VLOOKUP(DFsmonkeyCompl9[[#This Row],[Vehicle ID / Name]],DFanalysis!A:E,2,FALSE)</f>
        <v>18137</v>
      </c>
      <c r="M8" s="2" t="str">
        <f>VLOOKUP(DFsmonkeyCompl9[[#This Row],[Vehicle ID / Name]],DFanalysis!A:F,3,FALSE)</f>
        <v>Senior</v>
      </c>
      <c r="N8" s="2" t="str">
        <f>VLOOKUP(DFsmonkeyCompl9[[#This Row],[Vehicle ID / Name]],DFanalysis!A:G,4,FALSE)</f>
        <v>UK</v>
      </c>
      <c r="O8" s="2">
        <f>VLOOKUP(DFsmonkeyCompl9[[#This Row],[Vehicle ID / Name]],DFanalysis!A:H,5,FALSE)</f>
        <v>2016</v>
      </c>
      <c r="P8" s="2" t="str">
        <f>VLOOKUP(DFsmonkeyCompl9[[#This Row],[Vehicle ID / Name]],DFanalysis!A:I,8,FALSE)</f>
        <v>GBP</v>
      </c>
      <c r="Q8" s="2" t="s">
        <v>95</v>
      </c>
      <c r="R8" s="2"/>
      <c r="S8" s="2"/>
      <c r="T8">
        <v>370</v>
      </c>
      <c r="U8">
        <v>370</v>
      </c>
      <c r="AC8">
        <v>370</v>
      </c>
      <c r="AJ8">
        <v>100</v>
      </c>
      <c r="AL8" s="2" t="s">
        <v>94</v>
      </c>
      <c r="AM8" s="2" t="s">
        <v>95</v>
      </c>
    </row>
    <row r="9" spans="1:39" x14ac:dyDescent="0.25">
      <c r="A9" t="s">
        <v>99</v>
      </c>
      <c r="B9">
        <v>6696842089</v>
      </c>
      <c r="C9">
        <v>162871627</v>
      </c>
      <c r="D9">
        <v>43146.433472222219</v>
      </c>
      <c r="E9">
        <v>43146.448645833327</v>
      </c>
      <c r="F9" s="2" t="s">
        <v>147</v>
      </c>
      <c r="K9" s="2" t="s">
        <v>148</v>
      </c>
      <c r="L9" s="2">
        <f>VLOOKUP(DFsmonkeyCompl9[[#This Row],[Vehicle ID / Name]],DFanalysis!A:E,2,FALSE)</f>
        <v>17375</v>
      </c>
      <c r="M9" s="2" t="str">
        <f>VLOOKUP(DFsmonkeyCompl9[[#This Row],[Vehicle ID / Name]],DFanalysis!A:F,3,FALSE)</f>
        <v>Senior</v>
      </c>
      <c r="N9" s="2" t="str">
        <f>VLOOKUP(DFsmonkeyCompl9[[#This Row],[Vehicle ID / Name]],DFanalysis!A:G,4,FALSE)</f>
        <v>Western Europe excluding Nordics, Southern Europe and UK</v>
      </c>
      <c r="O9" s="2">
        <f>VLOOKUP(DFsmonkeyCompl9[[#This Row],[Vehicle ID / Name]],DFanalysis!A:H,5,FALSE)</f>
        <v>2009</v>
      </c>
      <c r="P9" s="2" t="str">
        <f>VLOOKUP(DFsmonkeyCompl9[[#This Row],[Vehicle ID / Name]],DFanalysis!A:I,8,FALSE)</f>
        <v>EUR</v>
      </c>
      <c r="Q9" s="2" t="s">
        <v>95</v>
      </c>
      <c r="R9" s="2"/>
      <c r="S9" s="2"/>
      <c r="T9">
        <v>68</v>
      </c>
      <c r="AB9">
        <v>100</v>
      </c>
      <c r="AC9">
        <v>68</v>
      </c>
      <c r="AI9">
        <v>100</v>
      </c>
      <c r="AL9" s="2" t="s">
        <v>94</v>
      </c>
      <c r="AM9" s="2" t="s">
        <v>95</v>
      </c>
    </row>
    <row r="10" spans="1:39" x14ac:dyDescent="0.25">
      <c r="A10" t="s">
        <v>99</v>
      </c>
      <c r="B10">
        <v>6692350030</v>
      </c>
      <c r="C10">
        <v>162871627</v>
      </c>
      <c r="D10">
        <v>43144.712256944447</v>
      </c>
      <c r="E10">
        <v>43144.713240740741</v>
      </c>
      <c r="F10" s="2" t="s">
        <v>149</v>
      </c>
      <c r="K10" s="2" t="s">
        <v>150</v>
      </c>
      <c r="L10" s="2">
        <f>VLOOKUP(DFsmonkeyCompl9[[#This Row],[Vehicle ID / Name]],DFanalysis!A:E,2,FALSE)</f>
        <v>18134</v>
      </c>
      <c r="M10" s="2" t="str">
        <f>VLOOKUP(DFsmonkeyCompl9[[#This Row],[Vehicle ID / Name]],DFanalysis!A:F,3,FALSE)</f>
        <v>Senior</v>
      </c>
      <c r="N10" s="2" t="str">
        <f>VLOOKUP(DFsmonkeyCompl9[[#This Row],[Vehicle ID / Name]],DFanalysis!A:G,4,FALSE)</f>
        <v>Western Europe excluding Nordics, Southern Europe and UK</v>
      </c>
      <c r="O10" s="2">
        <f>VLOOKUP(DFsmonkeyCompl9[[#This Row],[Vehicle ID / Name]],DFanalysis!A:H,5,FALSE)</f>
        <v>2016</v>
      </c>
      <c r="P10" s="2" t="str">
        <f>VLOOKUP(DFsmonkeyCompl9[[#This Row],[Vehicle ID / Name]],DFanalysis!A:I,8,FALSE)</f>
        <v>EUR</v>
      </c>
      <c r="Q10" s="2" t="s">
        <v>95</v>
      </c>
      <c r="R10" s="2"/>
      <c r="S10" s="2"/>
      <c r="T10">
        <v>126</v>
      </c>
      <c r="V10">
        <v>126</v>
      </c>
      <c r="AC10">
        <v>126</v>
      </c>
      <c r="AJ10">
        <v>100</v>
      </c>
      <c r="AL10" s="2" t="s">
        <v>94</v>
      </c>
      <c r="AM10" s="2" t="s">
        <v>95</v>
      </c>
    </row>
    <row r="11" spans="1:39" x14ac:dyDescent="0.25">
      <c r="A11" t="s">
        <v>99</v>
      </c>
      <c r="B11">
        <v>6662314847</v>
      </c>
      <c r="C11">
        <v>162871627</v>
      </c>
      <c r="D11">
        <v>43130.735162037039</v>
      </c>
      <c r="E11">
        <v>43130.735590277778</v>
      </c>
      <c r="F11" s="2" t="s">
        <v>151</v>
      </c>
      <c r="K11" s="2" t="s">
        <v>152</v>
      </c>
      <c r="L11" s="2" t="str">
        <f>VLOOKUP(DFsmonkeyCompl9[[#This Row],[Vehicle ID / Name]],DFanalysis!A:E,2,FALSE)</f>
        <v>N/A</v>
      </c>
      <c r="M11" s="2" t="str">
        <f>VLOOKUP(DFsmonkeyCompl9[[#This Row],[Vehicle ID / Name]],DFanalysis!A:F,3,FALSE)</f>
        <v>Whole loans</v>
      </c>
      <c r="N11" s="2" t="str">
        <f>VLOOKUP(DFsmonkeyCompl9[[#This Row],[Vehicle ID / Name]],DFanalysis!A:G,4,FALSE)</f>
        <v>Western Europe excluding Nordics, Southern Europe and UK</v>
      </c>
      <c r="O11" s="2">
        <f>VLOOKUP(DFsmonkeyCompl9[[#This Row],[Vehicle ID / Name]],DFanalysis!A:H,5,FALSE)</f>
        <v>2016</v>
      </c>
      <c r="P11" s="2" t="str">
        <f>VLOOKUP(DFsmonkeyCompl9[[#This Row],[Vehicle ID / Name]],DFanalysis!A:I,8,FALSE)</f>
        <v>GBP</v>
      </c>
      <c r="Q11" s="2" t="s">
        <v>95</v>
      </c>
      <c r="R11" s="2"/>
      <c r="S11" s="2"/>
      <c r="T11">
        <v>211</v>
      </c>
      <c r="U11">
        <v>211</v>
      </c>
      <c r="V11">
        <v>0</v>
      </c>
      <c r="W11">
        <v>0</v>
      </c>
      <c r="X11">
        <v>0</v>
      </c>
      <c r="Y11">
        <v>0</v>
      </c>
      <c r="Z11">
        <v>0</v>
      </c>
      <c r="AA11">
        <v>0</v>
      </c>
      <c r="AB11">
        <v>0</v>
      </c>
      <c r="AC11">
        <v>211</v>
      </c>
      <c r="AD11">
        <v>0</v>
      </c>
      <c r="AE11">
        <v>0</v>
      </c>
      <c r="AF11">
        <v>0</v>
      </c>
      <c r="AG11">
        <v>0</v>
      </c>
      <c r="AH11">
        <v>0</v>
      </c>
      <c r="AI11">
        <v>0</v>
      </c>
      <c r="AJ11">
        <v>100</v>
      </c>
      <c r="AK11">
        <v>0</v>
      </c>
      <c r="AL11" s="2" t="s">
        <v>94</v>
      </c>
      <c r="AM11" s="2" t="s">
        <v>95</v>
      </c>
    </row>
    <row r="12" spans="1:39" x14ac:dyDescent="0.25">
      <c r="A12" t="s">
        <v>99</v>
      </c>
      <c r="B12">
        <v>6662228763</v>
      </c>
      <c r="C12">
        <v>162871627</v>
      </c>
      <c r="D12">
        <v>43130.711724537039</v>
      </c>
      <c r="E12">
        <v>43130.732511574082</v>
      </c>
      <c r="F12" s="2" t="s">
        <v>151</v>
      </c>
      <c r="K12" s="2" t="s">
        <v>153</v>
      </c>
      <c r="L12" s="2">
        <f>VLOOKUP(DFsmonkeyCompl9[[#This Row],[Vehicle ID / Name]],DFanalysis!A:E,2,FALSE)</f>
        <v>18127</v>
      </c>
      <c r="M12" s="2" t="str">
        <f>VLOOKUP(DFsmonkeyCompl9[[#This Row],[Vehicle ID / Name]],DFanalysis!A:F,3,FALSE)</f>
        <v>Senior</v>
      </c>
      <c r="N12" s="2" t="str">
        <f>VLOOKUP(DFsmonkeyCompl9[[#This Row],[Vehicle ID / Name]],DFanalysis!A:G,4,FALSE)</f>
        <v>Western Europe excluding Nordics, Southern Europe and UK</v>
      </c>
      <c r="O12" s="2">
        <f>VLOOKUP(DFsmonkeyCompl9[[#This Row],[Vehicle ID / Name]],DFanalysis!A:H,5,FALSE)</f>
        <v>2015</v>
      </c>
      <c r="P12" s="2" t="str">
        <f>VLOOKUP(DFsmonkeyCompl9[[#This Row],[Vehicle ID / Name]],DFanalysis!A:I,8,FALSE)</f>
        <v>GBP</v>
      </c>
      <c r="Q12" s="2" t="s">
        <v>95</v>
      </c>
      <c r="R12" s="2"/>
      <c r="S12" s="2"/>
      <c r="T12">
        <v>268</v>
      </c>
      <c r="U12">
        <v>218</v>
      </c>
      <c r="V12">
        <v>33</v>
      </c>
      <c r="W12">
        <v>0</v>
      </c>
      <c r="X12">
        <v>0</v>
      </c>
      <c r="Y12">
        <v>0</v>
      </c>
      <c r="Z12">
        <v>14</v>
      </c>
      <c r="AA12">
        <v>0</v>
      </c>
      <c r="AB12">
        <v>3</v>
      </c>
      <c r="AC12">
        <v>204</v>
      </c>
      <c r="AD12">
        <v>0</v>
      </c>
      <c r="AE12">
        <v>64</v>
      </c>
      <c r="AF12">
        <v>0</v>
      </c>
      <c r="AG12">
        <v>0</v>
      </c>
      <c r="AH12">
        <v>62</v>
      </c>
      <c r="AI12">
        <v>7</v>
      </c>
      <c r="AJ12">
        <v>31</v>
      </c>
      <c r="AK12">
        <v>0</v>
      </c>
      <c r="AL12" s="2" t="s">
        <v>94</v>
      </c>
      <c r="AM12" s="2" t="s">
        <v>95</v>
      </c>
    </row>
    <row r="13" spans="1:39" x14ac:dyDescent="0.25">
      <c r="A13" t="s">
        <v>99</v>
      </c>
      <c r="B13">
        <v>6647044991</v>
      </c>
      <c r="C13">
        <v>162871627</v>
      </c>
      <c r="D13">
        <v>43123.541238425933</v>
      </c>
      <c r="E13">
        <v>43123.543240740742</v>
      </c>
      <c r="F13" s="2" t="s">
        <v>154</v>
      </c>
      <c r="K13" s="2" t="s">
        <v>155</v>
      </c>
      <c r="L13" s="2" t="str">
        <f>VLOOKUP(DFsmonkeyCompl9[[#This Row],[Vehicle ID / Name]],DFanalysis!A:E,2,FALSE)</f>
        <v>N/A</v>
      </c>
      <c r="M13" s="2" t="str">
        <f>VLOOKUP(DFsmonkeyCompl9[[#This Row],[Vehicle ID / Name]],DFanalysis!A:F,3,FALSE)</f>
        <v>Mixed: Senior + Subordinated + Preferred equity</v>
      </c>
      <c r="N13" s="2" t="str">
        <f>VLOOKUP(DFsmonkeyCompl9[[#This Row],[Vehicle ID / Name]],DFanalysis!A:G,4,FALSE)</f>
        <v>UK</v>
      </c>
      <c r="O13" s="2">
        <f>VLOOKUP(DFsmonkeyCompl9[[#This Row],[Vehicle ID / Name]],DFanalysis!A:H,5,FALSE)</f>
        <v>2016</v>
      </c>
      <c r="P13" s="2" t="str">
        <f>VLOOKUP(DFsmonkeyCompl9[[#This Row],[Vehicle ID / Name]],DFanalysis!A:I,8,FALSE)</f>
        <v>GBP</v>
      </c>
      <c r="Q13" s="2" t="s">
        <v>97</v>
      </c>
      <c r="R13" s="2" t="s">
        <v>0</v>
      </c>
      <c r="S13" s="2" t="s">
        <v>156</v>
      </c>
      <c r="AL13" s="2" t="s">
        <v>94</v>
      </c>
      <c r="AM13" s="2" t="s">
        <v>95</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B50C-2A6C-44AB-AE00-853149B8F980}">
  <dimension ref="A1:AG14"/>
  <sheetViews>
    <sheetView workbookViewId="0">
      <selection activeCell="F20" sqref="F20"/>
    </sheetView>
  </sheetViews>
  <sheetFormatPr defaultRowHeight="13.2" x14ac:dyDescent="0.25"/>
  <cols>
    <col min="1" max="1" width="16" bestFit="1" customWidth="1"/>
    <col min="2" max="2" width="13.33203125" bestFit="1" customWidth="1"/>
    <col min="3" max="4" width="14.88671875" bestFit="1" customWidth="1"/>
    <col min="5" max="5" width="14.44140625" bestFit="1" customWidth="1"/>
    <col min="6" max="6" width="15.77734375" bestFit="1" customWidth="1"/>
    <col min="7" max="7" width="12.5546875" bestFit="1" customWidth="1"/>
    <col min="8" max="8" width="12.21875" bestFit="1" customWidth="1"/>
    <col min="9" max="9" width="15.88671875" bestFit="1" customWidth="1"/>
    <col min="10" max="10" width="57.88671875" bestFit="1" customWidth="1"/>
    <col min="11" max="11" width="52.33203125" bestFit="1" customWidth="1"/>
    <col min="12" max="12" width="28.6640625" bestFit="1" customWidth="1"/>
    <col min="13" max="13" width="24.88671875" bestFit="1" customWidth="1"/>
    <col min="14" max="15" width="64.6640625" bestFit="1" customWidth="1"/>
    <col min="16" max="16" width="18.109375" bestFit="1" customWidth="1"/>
    <col min="17" max="17" width="19.5546875" bestFit="1" customWidth="1"/>
    <col min="18" max="18" width="19.88671875" bestFit="1" customWidth="1"/>
    <col min="19" max="19" width="38.77734375" bestFit="1" customWidth="1"/>
    <col min="20" max="20" width="11.88671875" bestFit="1" customWidth="1"/>
    <col min="21" max="21" width="34.44140625" bestFit="1" customWidth="1"/>
    <col min="22" max="22" width="11.88671875" bestFit="1" customWidth="1"/>
    <col min="23" max="23" width="64.6640625" bestFit="1" customWidth="1"/>
    <col min="24" max="24" width="11.88671875" bestFit="1" customWidth="1"/>
    <col min="25" max="25" width="12.21875" bestFit="1" customWidth="1"/>
    <col min="26" max="26" width="12.5546875" bestFit="1" customWidth="1"/>
    <col min="27" max="27" width="11.88671875" bestFit="1" customWidth="1"/>
    <col min="28" max="28" width="64.6640625" bestFit="1" customWidth="1"/>
    <col min="29" max="29" width="30.44140625" bestFit="1" customWidth="1"/>
    <col min="30" max="30" width="38.44140625" bestFit="1" customWidth="1"/>
    <col min="31" max="31" width="11.88671875" bestFit="1" customWidth="1"/>
    <col min="32" max="33" width="64.6640625" bestFit="1" customWidth="1"/>
  </cols>
  <sheetData>
    <row r="1" spans="1:33" x14ac:dyDescent="0.25">
      <c r="A1" t="s">
        <v>127</v>
      </c>
      <c r="B1" t="s">
        <v>128</v>
      </c>
      <c r="C1" t="s">
        <v>129</v>
      </c>
      <c r="D1" t="s">
        <v>130</v>
      </c>
      <c r="E1" t="s">
        <v>29</v>
      </c>
      <c r="F1" t="s">
        <v>31</v>
      </c>
      <c r="G1" t="s">
        <v>33</v>
      </c>
      <c r="H1" t="s">
        <v>131</v>
      </c>
      <c r="I1" t="s">
        <v>132</v>
      </c>
      <c r="J1" t="s">
        <v>133</v>
      </c>
      <c r="K1" t="s">
        <v>134</v>
      </c>
      <c r="L1" t="s">
        <v>135</v>
      </c>
      <c r="M1" t="s">
        <v>113</v>
      </c>
      <c r="N1" t="s">
        <v>136</v>
      </c>
      <c r="O1" t="s">
        <v>137</v>
      </c>
      <c r="P1" t="s">
        <v>157</v>
      </c>
      <c r="Q1" t="s">
        <v>114</v>
      </c>
      <c r="R1" t="s">
        <v>158</v>
      </c>
      <c r="S1" t="s">
        <v>159</v>
      </c>
      <c r="T1" t="s">
        <v>160</v>
      </c>
      <c r="U1" t="s">
        <v>115</v>
      </c>
      <c r="V1" t="s">
        <v>161</v>
      </c>
      <c r="W1" t="s">
        <v>178</v>
      </c>
      <c r="X1" t="s">
        <v>116</v>
      </c>
      <c r="Y1" t="s">
        <v>162</v>
      </c>
      <c r="Z1" t="s">
        <v>117</v>
      </c>
      <c r="AA1" t="s">
        <v>163</v>
      </c>
      <c r="AB1" t="s">
        <v>139</v>
      </c>
      <c r="AC1" t="s">
        <v>164</v>
      </c>
      <c r="AD1" t="s">
        <v>118</v>
      </c>
      <c r="AE1" t="s">
        <v>119</v>
      </c>
      <c r="AF1" t="s">
        <v>85</v>
      </c>
      <c r="AG1" t="s">
        <v>87</v>
      </c>
    </row>
    <row r="2" spans="1:33" x14ac:dyDescent="0.25">
      <c r="C2" s="4"/>
      <c r="D2" s="4"/>
      <c r="E2" s="2"/>
      <c r="J2" s="2" t="s">
        <v>37</v>
      </c>
      <c r="K2" s="2" t="s">
        <v>45</v>
      </c>
      <c r="L2" s="2" t="s">
        <v>45</v>
      </c>
      <c r="M2" s="2" t="s">
        <v>0</v>
      </c>
      <c r="N2" t="s">
        <v>37</v>
      </c>
      <c r="O2" t="s">
        <v>51</v>
      </c>
      <c r="P2" t="s">
        <v>53</v>
      </c>
      <c r="Q2" t="s">
        <v>92</v>
      </c>
      <c r="R2" t="s">
        <v>57</v>
      </c>
      <c r="S2" t="s">
        <v>59</v>
      </c>
      <c r="T2" t="s">
        <v>61</v>
      </c>
      <c r="U2" t="s">
        <v>93</v>
      </c>
      <c r="V2" t="s">
        <v>6</v>
      </c>
      <c r="W2" t="s">
        <v>7</v>
      </c>
      <c r="X2" t="s">
        <v>68</v>
      </c>
      <c r="Y2" t="s">
        <v>70</v>
      </c>
      <c r="Z2" s="2" t="s">
        <v>72</v>
      </c>
      <c r="AA2" s="2" t="s">
        <v>11</v>
      </c>
      <c r="AB2" t="s">
        <v>76</v>
      </c>
      <c r="AC2" s="2" t="s">
        <v>79</v>
      </c>
      <c r="AD2" t="s">
        <v>81</v>
      </c>
      <c r="AE2" s="2" t="s">
        <v>83</v>
      </c>
      <c r="AF2" s="2" t="s">
        <v>45</v>
      </c>
      <c r="AG2" s="2" t="s">
        <v>45</v>
      </c>
    </row>
    <row r="3" spans="1:33" x14ac:dyDescent="0.25">
      <c r="A3">
        <v>6712340289</v>
      </c>
      <c r="B3">
        <v>163310093</v>
      </c>
      <c r="C3" s="4">
        <v>43153.778831018521</v>
      </c>
      <c r="D3" s="4">
        <v>43153.794953703706</v>
      </c>
      <c r="E3" s="2" t="s">
        <v>179</v>
      </c>
      <c r="J3" s="2" t="s">
        <v>180</v>
      </c>
      <c r="K3" s="2" t="s">
        <v>95</v>
      </c>
      <c r="L3" s="2"/>
      <c r="M3" s="2"/>
      <c r="N3">
        <v>1788</v>
      </c>
      <c r="O3">
        <v>1368</v>
      </c>
      <c r="P3">
        <v>364</v>
      </c>
      <c r="R3">
        <v>56</v>
      </c>
      <c r="W3">
        <v>1462</v>
      </c>
      <c r="X3">
        <v>184</v>
      </c>
      <c r="Y3">
        <v>142</v>
      </c>
      <c r="Z3" s="2"/>
      <c r="AA3" s="2"/>
      <c r="AB3">
        <v>100</v>
      </c>
      <c r="AC3" s="2"/>
      <c r="AE3" s="2"/>
      <c r="AF3" s="2" t="s">
        <v>96</v>
      </c>
      <c r="AG3" s="2" t="s">
        <v>95</v>
      </c>
    </row>
    <row r="4" spans="1:33" x14ac:dyDescent="0.25">
      <c r="A4">
        <v>6712315962</v>
      </c>
      <c r="B4">
        <v>163310093</v>
      </c>
      <c r="C4" s="4">
        <v>43153.77238425926</v>
      </c>
      <c r="D4" s="4">
        <v>43153.774745370371</v>
      </c>
      <c r="E4" s="2" t="s">
        <v>179</v>
      </c>
      <c r="J4" s="2" t="s">
        <v>181</v>
      </c>
      <c r="K4" s="2" t="s">
        <v>95</v>
      </c>
      <c r="L4" s="2"/>
      <c r="M4" s="2"/>
      <c r="N4">
        <v>12</v>
      </c>
      <c r="O4">
        <v>12</v>
      </c>
      <c r="W4">
        <v>12</v>
      </c>
      <c r="Z4" s="2"/>
      <c r="AA4" s="2"/>
      <c r="AB4">
        <v>100</v>
      </c>
      <c r="AC4" s="2"/>
      <c r="AE4" s="2"/>
      <c r="AF4" s="2" t="s">
        <v>96</v>
      </c>
      <c r="AG4" s="2" t="s">
        <v>95</v>
      </c>
    </row>
    <row r="5" spans="1:33" x14ac:dyDescent="0.25">
      <c r="A5">
        <v>6712267225</v>
      </c>
      <c r="B5">
        <v>163310093</v>
      </c>
      <c r="C5" s="4">
        <v>43153.490335648145</v>
      </c>
      <c r="D5" s="4">
        <v>43153.769444444442</v>
      </c>
      <c r="E5" s="2" t="s">
        <v>179</v>
      </c>
      <c r="J5" s="2" t="s">
        <v>182</v>
      </c>
      <c r="K5" s="2" t="s">
        <v>95</v>
      </c>
      <c r="L5" s="2"/>
      <c r="M5" s="2"/>
      <c r="N5">
        <v>1054</v>
      </c>
      <c r="O5">
        <v>559</v>
      </c>
      <c r="P5">
        <v>70</v>
      </c>
      <c r="Q5">
        <v>50</v>
      </c>
      <c r="R5">
        <v>166</v>
      </c>
      <c r="S5">
        <v>77</v>
      </c>
      <c r="T5">
        <v>22</v>
      </c>
      <c r="V5">
        <v>110</v>
      </c>
      <c r="W5">
        <v>521</v>
      </c>
      <c r="X5">
        <v>187</v>
      </c>
      <c r="Y5">
        <v>346</v>
      </c>
      <c r="Z5" s="2"/>
      <c r="AA5" s="2"/>
      <c r="AB5">
        <v>100</v>
      </c>
      <c r="AC5" s="2"/>
      <c r="AE5" s="2"/>
      <c r="AF5" s="2" t="s">
        <v>96</v>
      </c>
      <c r="AG5" s="2" t="s">
        <v>95</v>
      </c>
    </row>
    <row r="6" spans="1:33" x14ac:dyDescent="0.25">
      <c r="A6">
        <v>6709183679</v>
      </c>
      <c r="B6">
        <v>163310093</v>
      </c>
      <c r="C6" s="4">
        <v>43152.66673611111</v>
      </c>
      <c r="D6" s="4">
        <v>43152.797615740739</v>
      </c>
      <c r="E6" s="2" t="s">
        <v>179</v>
      </c>
      <c r="J6" s="2" t="s">
        <v>182</v>
      </c>
      <c r="K6" s="2" t="s">
        <v>95</v>
      </c>
      <c r="L6" s="2"/>
      <c r="M6" s="2"/>
      <c r="Z6" s="2"/>
      <c r="AA6" s="2"/>
      <c r="AC6" s="2"/>
      <c r="AE6" s="2"/>
      <c r="AF6" s="2"/>
      <c r="AG6" s="2"/>
    </row>
    <row r="7" spans="1:33" x14ac:dyDescent="0.25">
      <c r="A7">
        <v>6709173161</v>
      </c>
      <c r="B7">
        <v>163310093</v>
      </c>
      <c r="C7" s="4">
        <v>43152.664236111108</v>
      </c>
      <c r="D7" s="4">
        <v>43152.665046296293</v>
      </c>
      <c r="E7" s="2" t="s">
        <v>122</v>
      </c>
      <c r="J7" s="2" t="s">
        <v>183</v>
      </c>
      <c r="K7" s="2" t="s">
        <v>95</v>
      </c>
      <c r="L7" s="2"/>
      <c r="M7" s="2"/>
      <c r="N7">
        <v>291</v>
      </c>
      <c r="O7">
        <v>20</v>
      </c>
      <c r="P7">
        <v>20</v>
      </c>
      <c r="U7">
        <v>251</v>
      </c>
      <c r="W7">
        <v>291</v>
      </c>
      <c r="Z7" s="2"/>
      <c r="AA7" s="2"/>
      <c r="AC7" s="2"/>
      <c r="AD7">
        <v>100</v>
      </c>
      <c r="AE7" s="2"/>
      <c r="AF7" s="2" t="s">
        <v>94</v>
      </c>
      <c r="AG7" s="2" t="s">
        <v>95</v>
      </c>
    </row>
    <row r="8" spans="1:33" x14ac:dyDescent="0.25">
      <c r="A8">
        <v>6694825905</v>
      </c>
      <c r="B8">
        <v>163310093</v>
      </c>
      <c r="C8" s="4">
        <v>43145.658715277779</v>
      </c>
      <c r="D8" s="4">
        <v>43145.65997685185</v>
      </c>
      <c r="E8" s="2" t="s">
        <v>184</v>
      </c>
      <c r="J8" s="2" t="s">
        <v>185</v>
      </c>
      <c r="K8" s="2" t="s">
        <v>97</v>
      </c>
      <c r="L8" s="2" t="s">
        <v>0</v>
      </c>
      <c r="M8" s="2" t="s">
        <v>186</v>
      </c>
      <c r="Z8" s="2"/>
      <c r="AA8" s="2"/>
      <c r="AC8" s="2"/>
      <c r="AE8" s="2"/>
      <c r="AF8" s="2" t="s">
        <v>94</v>
      </c>
      <c r="AG8" s="2" t="s">
        <v>97</v>
      </c>
    </row>
    <row r="9" spans="1:33" x14ac:dyDescent="0.25">
      <c r="A9">
        <v>6692012461</v>
      </c>
      <c r="B9">
        <v>163310093</v>
      </c>
      <c r="C9" s="4">
        <v>43144.622766203705</v>
      </c>
      <c r="D9" s="4">
        <v>43144.625034722223</v>
      </c>
      <c r="E9" s="2" t="s">
        <v>187</v>
      </c>
      <c r="J9" s="2" t="s">
        <v>188</v>
      </c>
      <c r="K9" s="2" t="s">
        <v>95</v>
      </c>
      <c r="L9" s="2"/>
      <c r="M9" s="2"/>
      <c r="Z9" s="2"/>
      <c r="AA9" s="2"/>
      <c r="AC9" s="2"/>
      <c r="AE9" s="2"/>
      <c r="AF9" s="2"/>
      <c r="AG9" s="2"/>
    </row>
    <row r="10" spans="1:33" x14ac:dyDescent="0.25">
      <c r="A10">
        <v>6689366577</v>
      </c>
      <c r="B10">
        <v>163310093</v>
      </c>
      <c r="C10" s="4">
        <v>43143.605949074074</v>
      </c>
      <c r="D10" s="4">
        <v>43143.608923611115</v>
      </c>
      <c r="E10" s="2" t="s">
        <v>124</v>
      </c>
      <c r="J10" s="2" t="s">
        <v>189</v>
      </c>
      <c r="K10" s="2" t="s">
        <v>95</v>
      </c>
      <c r="L10" s="2"/>
      <c r="M10" s="2"/>
      <c r="N10">
        <v>107</v>
      </c>
      <c r="O10">
        <v>7</v>
      </c>
      <c r="V10">
        <v>100</v>
      </c>
      <c r="W10">
        <v>107</v>
      </c>
      <c r="Z10" s="2"/>
      <c r="AA10" s="2"/>
      <c r="AC10" s="2"/>
      <c r="AD10">
        <v>100</v>
      </c>
      <c r="AE10" s="2"/>
      <c r="AF10" s="2" t="s">
        <v>96</v>
      </c>
      <c r="AG10" s="2" t="s">
        <v>95</v>
      </c>
    </row>
    <row r="11" spans="1:33" x14ac:dyDescent="0.25">
      <c r="A11">
        <v>6689361078</v>
      </c>
      <c r="B11">
        <v>163310093</v>
      </c>
      <c r="C11" s="4">
        <v>43143.603726851848</v>
      </c>
      <c r="D11" s="4">
        <v>43143.605810185189</v>
      </c>
      <c r="E11" s="2" t="s">
        <v>124</v>
      </c>
      <c r="J11" s="2" t="s">
        <v>125</v>
      </c>
      <c r="K11" s="2" t="s">
        <v>95</v>
      </c>
      <c r="L11" s="2"/>
      <c r="M11" s="2"/>
      <c r="N11">
        <v>71</v>
      </c>
      <c r="O11">
        <v>19</v>
      </c>
      <c r="P11">
        <v>11</v>
      </c>
      <c r="V11">
        <v>41</v>
      </c>
      <c r="W11">
        <v>71</v>
      </c>
      <c r="Z11" s="2"/>
      <c r="AA11" s="2"/>
      <c r="AC11" s="2"/>
      <c r="AD11">
        <v>100</v>
      </c>
      <c r="AE11" s="2"/>
      <c r="AF11" s="2" t="s">
        <v>96</v>
      </c>
      <c r="AG11" s="2" t="s">
        <v>95</v>
      </c>
    </row>
    <row r="12" spans="1:33" x14ac:dyDescent="0.25">
      <c r="A12">
        <v>6662580095</v>
      </c>
      <c r="B12">
        <v>163310093</v>
      </c>
      <c r="C12" s="4">
        <v>43130.801631944443</v>
      </c>
      <c r="D12" s="4">
        <v>43130.802210648151</v>
      </c>
      <c r="E12" s="2" t="s">
        <v>184</v>
      </c>
      <c r="J12" s="2" t="s">
        <v>185</v>
      </c>
      <c r="K12" s="2" t="s">
        <v>97</v>
      </c>
      <c r="L12" s="2" t="s">
        <v>0</v>
      </c>
      <c r="M12" s="2" t="s">
        <v>190</v>
      </c>
      <c r="Z12" s="2"/>
      <c r="AA12" s="2"/>
      <c r="AC12" s="2"/>
      <c r="AE12" s="2"/>
      <c r="AF12" s="2" t="s">
        <v>96</v>
      </c>
      <c r="AG12" s="2" t="s">
        <v>97</v>
      </c>
    </row>
    <row r="13" spans="1:33" x14ac:dyDescent="0.25">
      <c r="A13">
        <v>6661849274</v>
      </c>
      <c r="B13">
        <v>163310093</v>
      </c>
      <c r="C13" s="4">
        <v>43130.611157407409</v>
      </c>
      <c r="D13" s="4">
        <v>43130.617442129631</v>
      </c>
      <c r="E13" s="2" t="s">
        <v>191</v>
      </c>
      <c r="J13" s="2" t="s">
        <v>192</v>
      </c>
      <c r="K13" s="2" t="s">
        <v>97</v>
      </c>
      <c r="L13" s="2"/>
      <c r="M13" s="2"/>
      <c r="Z13" s="2"/>
      <c r="AA13" s="2"/>
      <c r="AC13" s="2"/>
      <c r="AE13" s="2"/>
      <c r="AF13" s="2"/>
      <c r="AG13" s="2"/>
    </row>
    <row r="14" spans="1:33" x14ac:dyDescent="0.25">
      <c r="C14" s="4"/>
      <c r="D14" s="4"/>
      <c r="E14" s="2"/>
      <c r="J14" s="2"/>
      <c r="K14" s="2"/>
      <c r="L14" s="2"/>
      <c r="M14" s="2"/>
      <c r="Z14" s="2"/>
      <c r="AA14" s="2"/>
      <c r="AC14" s="2"/>
      <c r="AE14" s="2"/>
      <c r="AF14" s="2"/>
      <c r="AG14"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FA782-39A0-4DC5-A21D-D54301CC22F6}">
  <dimension ref="A1:AM14"/>
  <sheetViews>
    <sheetView workbookViewId="0">
      <selection activeCell="B17" sqref="B17"/>
    </sheetView>
  </sheetViews>
  <sheetFormatPr defaultRowHeight="13.2" x14ac:dyDescent="0.25"/>
  <cols>
    <col min="2" max="2" width="16" bestFit="1" customWidth="1"/>
    <col min="3" max="3" width="13.33203125" bestFit="1" customWidth="1"/>
    <col min="4" max="5" width="14.88671875" bestFit="1" customWidth="1"/>
    <col min="6" max="6" width="14.44140625" bestFit="1" customWidth="1"/>
    <col min="7" max="7" width="15.77734375" bestFit="1" customWidth="1"/>
    <col min="8" max="8" width="12.5546875" bestFit="1" customWidth="1"/>
    <col min="9" max="9" width="12.21875" bestFit="1" customWidth="1"/>
    <col min="10" max="10" width="15.88671875" bestFit="1" customWidth="1"/>
    <col min="11" max="11" width="57.88671875" bestFit="1" customWidth="1"/>
    <col min="12" max="12" width="15.21875" customWidth="1"/>
    <col min="13" max="13" width="16.44140625" customWidth="1"/>
    <col min="14" max="14" width="16.109375" customWidth="1"/>
    <col min="15" max="15" width="16.21875" customWidth="1"/>
    <col min="16" max="16" width="12.77734375" customWidth="1"/>
    <col min="17" max="17" width="52.33203125" bestFit="1" customWidth="1"/>
    <col min="18" max="18" width="28.6640625" bestFit="1" customWidth="1"/>
    <col min="19" max="19" width="24.88671875" bestFit="1" customWidth="1"/>
    <col min="20" max="21" width="64.6640625" bestFit="1" customWidth="1"/>
    <col min="22" max="22" width="18.109375" bestFit="1" customWidth="1"/>
    <col min="23" max="23" width="19.5546875" bestFit="1" customWidth="1"/>
    <col min="24" max="24" width="19.88671875" bestFit="1" customWidth="1"/>
    <col min="25" max="25" width="38.77734375" bestFit="1" customWidth="1"/>
    <col min="26" max="26" width="11.88671875" bestFit="1" customWidth="1"/>
    <col min="27" max="27" width="34.44140625" bestFit="1" customWidth="1"/>
    <col min="28" max="28" width="11.88671875" bestFit="1" customWidth="1"/>
    <col min="29" max="29" width="64.6640625" bestFit="1" customWidth="1"/>
    <col min="30" max="30" width="11.88671875" bestFit="1" customWidth="1"/>
    <col min="31" max="31" width="12.21875" bestFit="1" customWidth="1"/>
    <col min="32" max="32" width="12.5546875" bestFit="1" customWidth="1"/>
    <col min="33" max="33" width="11.88671875" bestFit="1" customWidth="1"/>
    <col min="34" max="34" width="64.6640625" bestFit="1" customWidth="1"/>
    <col min="35" max="35" width="30.44140625" bestFit="1" customWidth="1"/>
    <col min="36" max="36" width="38.44140625" bestFit="1" customWidth="1"/>
    <col min="37" max="37" width="11.88671875" bestFit="1" customWidth="1"/>
    <col min="38" max="39" width="64.6640625" bestFit="1" customWidth="1"/>
  </cols>
  <sheetData>
    <row r="1" spans="1:39" ht="14.4" x14ac:dyDescent="0.3">
      <c r="A1" t="s">
        <v>98</v>
      </c>
      <c r="B1" s="5" t="s">
        <v>24</v>
      </c>
      <c r="C1" s="1" t="s">
        <v>26</v>
      </c>
      <c r="D1" s="1" t="s">
        <v>27</v>
      </c>
      <c r="E1" s="1" t="s">
        <v>28</v>
      </c>
      <c r="F1" s="1" t="s">
        <v>30</v>
      </c>
      <c r="G1" s="1" t="s">
        <v>32</v>
      </c>
      <c r="H1" s="1" t="s">
        <v>34</v>
      </c>
      <c r="I1" s="1" t="s">
        <v>35</v>
      </c>
      <c r="J1" s="1" t="s">
        <v>36</v>
      </c>
      <c r="K1" t="s">
        <v>38</v>
      </c>
      <c r="L1" s="6" t="s">
        <v>198</v>
      </c>
      <c r="M1" s="6" t="s">
        <v>90</v>
      </c>
      <c r="N1" t="s">
        <v>42</v>
      </c>
      <c r="O1" t="s">
        <v>43</v>
      </c>
      <c r="P1" t="s">
        <v>40</v>
      </c>
      <c r="Q1" s="3" t="s">
        <v>44</v>
      </c>
      <c r="R1" s="3" t="s">
        <v>46</v>
      </c>
      <c r="S1" s="3" t="s">
        <v>47</v>
      </c>
      <c r="T1" s="3" t="s">
        <v>48</v>
      </c>
      <c r="U1" s="3" t="s">
        <v>52</v>
      </c>
      <c r="V1" s="3" t="s">
        <v>54</v>
      </c>
      <c r="W1" s="3" t="s">
        <v>56</v>
      </c>
      <c r="X1" s="3" t="s">
        <v>58</v>
      </c>
      <c r="Y1" s="3" t="s">
        <v>60</v>
      </c>
      <c r="Z1" s="3" t="s">
        <v>62</v>
      </c>
      <c r="AA1" s="3" t="s">
        <v>64</v>
      </c>
      <c r="AB1" s="3" t="s">
        <v>65</v>
      </c>
      <c r="AC1" s="6" t="s">
        <v>67</v>
      </c>
      <c r="AD1" s="6" t="s">
        <v>69</v>
      </c>
      <c r="AE1" s="6" t="s">
        <v>71</v>
      </c>
      <c r="AF1" s="6" t="s">
        <v>73</v>
      </c>
      <c r="AG1" s="6" t="s">
        <v>74</v>
      </c>
      <c r="AH1" s="6" t="s">
        <v>77</v>
      </c>
      <c r="AI1" s="6" t="s">
        <v>80</v>
      </c>
      <c r="AJ1" s="6" t="s">
        <v>82</v>
      </c>
      <c r="AK1" s="6" t="s">
        <v>84</v>
      </c>
      <c r="AL1" s="6" t="s">
        <v>86</v>
      </c>
      <c r="AM1" s="6" t="s">
        <v>88</v>
      </c>
    </row>
    <row r="2" spans="1:39" x14ac:dyDescent="0.25">
      <c r="B2" t="s">
        <v>127</v>
      </c>
      <c r="C2" t="s">
        <v>128</v>
      </c>
      <c r="D2" t="s">
        <v>129</v>
      </c>
      <c r="E2" t="s">
        <v>130</v>
      </c>
      <c r="F2" t="s">
        <v>29</v>
      </c>
      <c r="G2" t="s">
        <v>31</v>
      </c>
      <c r="H2" t="s">
        <v>33</v>
      </c>
      <c r="I2" t="s">
        <v>131</v>
      </c>
      <c r="J2" t="s">
        <v>132</v>
      </c>
      <c r="K2" t="s">
        <v>133</v>
      </c>
      <c r="L2" t="s">
        <v>166</v>
      </c>
      <c r="M2" t="s">
        <v>89</v>
      </c>
      <c r="N2" t="s">
        <v>126</v>
      </c>
      <c r="O2" t="s">
        <v>91</v>
      </c>
      <c r="P2" t="s">
        <v>39</v>
      </c>
      <c r="Q2" t="s">
        <v>134</v>
      </c>
      <c r="R2" t="s">
        <v>135</v>
      </c>
      <c r="S2" t="s">
        <v>113</v>
      </c>
      <c r="T2" t="s">
        <v>136</v>
      </c>
      <c r="U2" t="s">
        <v>137</v>
      </c>
      <c r="V2" t="s">
        <v>157</v>
      </c>
      <c r="W2" t="s">
        <v>114</v>
      </c>
      <c r="X2" t="s">
        <v>158</v>
      </c>
      <c r="Y2" t="s">
        <v>159</v>
      </c>
      <c r="Z2" t="s">
        <v>160</v>
      </c>
      <c r="AA2" t="s">
        <v>115</v>
      </c>
      <c r="AB2" t="s">
        <v>161</v>
      </c>
      <c r="AC2" t="s">
        <v>178</v>
      </c>
      <c r="AD2" t="s">
        <v>116</v>
      </c>
      <c r="AE2" t="s">
        <v>162</v>
      </c>
      <c r="AF2" t="s">
        <v>117</v>
      </c>
      <c r="AG2" t="s">
        <v>163</v>
      </c>
      <c r="AH2" t="s">
        <v>139</v>
      </c>
      <c r="AI2" t="s">
        <v>164</v>
      </c>
      <c r="AJ2" t="s">
        <v>118</v>
      </c>
      <c r="AK2" t="s">
        <v>119</v>
      </c>
      <c r="AL2" t="s">
        <v>85</v>
      </c>
      <c r="AM2" t="s">
        <v>87</v>
      </c>
    </row>
    <row r="3" spans="1:39" x14ac:dyDescent="0.25">
      <c r="D3" s="4"/>
      <c r="E3" s="4"/>
      <c r="F3" s="2"/>
      <c r="K3" s="2" t="s">
        <v>37</v>
      </c>
      <c r="L3" s="2" t="e">
        <f>VLOOKUP(FoFsmonkeyCompl10[[#This Row],[Vehicle ID / Name]],FoFsanalysis!A:E,2,FALSE)</f>
        <v>#N/A</v>
      </c>
      <c r="M3" s="2" t="e">
        <f>VLOOKUP(FoFsmonkeyCompl10[[#This Row],[Vehicle ID / Name]],FoFsanalysis!A:F,3,FALSE)</f>
        <v>#N/A</v>
      </c>
      <c r="N3" s="2" t="e">
        <f>VLOOKUP(FoFsmonkeyCompl10[[#This Row],[Vehicle ID / Name]],FoFsanalysis!A:G,4,FALSE)</f>
        <v>#N/A</v>
      </c>
      <c r="O3" s="2" t="e">
        <f>VLOOKUP(FoFsmonkeyCompl10[[#This Row],[Vehicle ID / Name]],FoFsanalysis!A:H,5,FALSE)</f>
        <v>#N/A</v>
      </c>
      <c r="P3" s="2" t="e">
        <f>VLOOKUP(FoFsmonkeyCompl10[[#This Row],[Vehicle ID / Name]],FoFsanalysis!A:H,8,FALSE)</f>
        <v>#N/A</v>
      </c>
      <c r="Q3" s="2" t="s">
        <v>45</v>
      </c>
      <c r="R3" s="2" t="s">
        <v>45</v>
      </c>
      <c r="S3" s="2" t="s">
        <v>0</v>
      </c>
      <c r="T3" t="s">
        <v>37</v>
      </c>
      <c r="U3" t="s">
        <v>51</v>
      </c>
      <c r="V3" t="s">
        <v>53</v>
      </c>
      <c r="W3" t="s">
        <v>92</v>
      </c>
      <c r="X3" t="s">
        <v>57</v>
      </c>
      <c r="Y3" t="s">
        <v>59</v>
      </c>
      <c r="Z3" t="s">
        <v>61</v>
      </c>
      <c r="AA3" t="s">
        <v>93</v>
      </c>
      <c r="AB3" t="s">
        <v>6</v>
      </c>
      <c r="AC3" t="s">
        <v>7</v>
      </c>
      <c r="AD3" t="s">
        <v>68</v>
      </c>
      <c r="AE3" t="s">
        <v>70</v>
      </c>
      <c r="AF3" s="2" t="s">
        <v>72</v>
      </c>
      <c r="AG3" s="2" t="s">
        <v>11</v>
      </c>
      <c r="AH3" t="s">
        <v>76</v>
      </c>
      <c r="AI3" s="2" t="s">
        <v>79</v>
      </c>
      <c r="AJ3" t="s">
        <v>81</v>
      </c>
      <c r="AK3" s="2" t="s">
        <v>83</v>
      </c>
      <c r="AL3" s="2" t="s">
        <v>45</v>
      </c>
      <c r="AM3" s="2" t="s">
        <v>45</v>
      </c>
    </row>
    <row r="4" spans="1:39" x14ac:dyDescent="0.25">
      <c r="A4" t="s">
        <v>99</v>
      </c>
      <c r="B4">
        <v>6712340289</v>
      </c>
      <c r="C4">
        <v>163310093</v>
      </c>
      <c r="D4" s="4">
        <v>43153.778831018521</v>
      </c>
      <c r="E4" s="4">
        <v>43153.794953703706</v>
      </c>
      <c r="F4" s="2" t="s">
        <v>179</v>
      </c>
      <c r="K4" s="2" t="s">
        <v>180</v>
      </c>
      <c r="L4" s="2" t="str">
        <f>VLOOKUP(FoFsmonkeyCompl10[[#This Row],[Vehicle ID / Name]],FoFsanalysis!A:E,2,FALSE)</f>
        <v>N/A</v>
      </c>
      <c r="M4" s="2" t="str">
        <f>VLOOKUP(FoFsmonkeyCompl10[[#This Row],[Vehicle ID / Name]],FoFsanalysis!A:F,3,FALSE)</f>
        <v>Core</v>
      </c>
      <c r="N4" s="2" t="str">
        <f>VLOOKUP(FoFsmonkeyCompl10[[#This Row],[Vehicle ID / Name]],FoFsanalysis!A:G,4,FALSE)</f>
        <v>Open end</v>
      </c>
      <c r="O4" s="2"/>
      <c r="P4" s="2" t="str">
        <f>VLOOKUP(FoFsmonkeyCompl10[[#This Row],[Vehicle ID / Name]],FoFsanalysis!A:H,8,FALSE)</f>
        <v>EUR</v>
      </c>
      <c r="Q4" s="2" t="s">
        <v>95</v>
      </c>
      <c r="R4" s="2"/>
      <c r="S4" s="2"/>
      <c r="T4">
        <v>1788</v>
      </c>
      <c r="U4">
        <v>1368</v>
      </c>
      <c r="V4">
        <v>364</v>
      </c>
      <c r="X4">
        <v>56</v>
      </c>
      <c r="AC4">
        <v>1462</v>
      </c>
      <c r="AD4">
        <v>184</v>
      </c>
      <c r="AE4">
        <v>142</v>
      </c>
      <c r="AF4" s="2"/>
      <c r="AG4" s="2"/>
      <c r="AH4">
        <v>100</v>
      </c>
      <c r="AI4" s="2"/>
      <c r="AK4" s="2"/>
      <c r="AL4" s="2" t="s">
        <v>96</v>
      </c>
      <c r="AM4" s="2" t="s">
        <v>95</v>
      </c>
    </row>
    <row r="5" spans="1:39" x14ac:dyDescent="0.25">
      <c r="A5" t="s">
        <v>99</v>
      </c>
      <c r="B5">
        <v>6712315962</v>
      </c>
      <c r="C5">
        <v>163310093</v>
      </c>
      <c r="D5" s="4">
        <v>43153.77238425926</v>
      </c>
      <c r="E5" s="4">
        <v>43153.774745370371</v>
      </c>
      <c r="F5" s="2" t="s">
        <v>179</v>
      </c>
      <c r="K5" s="2" t="s">
        <v>181</v>
      </c>
      <c r="L5" s="2">
        <f>VLOOKUP(FoFsmonkeyCompl10[[#This Row],[Vehicle ID / Name]],FoFsanalysis!A:E,2,FALSE)</f>
        <v>17437</v>
      </c>
      <c r="M5" s="2" t="str">
        <f>VLOOKUP(FoFsmonkeyCompl10[[#This Row],[Vehicle ID / Name]],FoFsanalysis!A:F,3,FALSE)</f>
        <v>Core</v>
      </c>
      <c r="N5" s="2" t="str">
        <f>VLOOKUP(FoFsmonkeyCompl10[[#This Row],[Vehicle ID / Name]],FoFsanalysis!A:G,4,FALSE)</f>
        <v>Open end</v>
      </c>
      <c r="O5" s="2">
        <f>VLOOKUP(FoFsmonkeyCompl10[[#This Row],[Vehicle ID / Name]],FoFsanalysis!A:H,5,FALSE)</f>
        <v>2003</v>
      </c>
      <c r="P5" s="2" t="str">
        <f>VLOOKUP(FoFsmonkeyCompl10[[#This Row],[Vehicle ID / Name]],FoFsanalysis!A:H,8,FALSE)</f>
        <v>GBP</v>
      </c>
      <c r="Q5" s="2" t="s">
        <v>95</v>
      </c>
      <c r="R5" s="2"/>
      <c r="S5" s="2"/>
      <c r="T5">
        <v>12</v>
      </c>
      <c r="U5">
        <v>12</v>
      </c>
      <c r="AC5">
        <v>12</v>
      </c>
      <c r="AF5" s="2"/>
      <c r="AG5" s="2"/>
      <c r="AH5">
        <v>100</v>
      </c>
      <c r="AI5" s="2"/>
      <c r="AK5" s="2"/>
      <c r="AL5" s="2" t="s">
        <v>96</v>
      </c>
      <c r="AM5" s="2" t="s">
        <v>95</v>
      </c>
    </row>
    <row r="6" spans="1:39" x14ac:dyDescent="0.25">
      <c r="A6" t="s">
        <v>99</v>
      </c>
      <c r="B6">
        <v>6712267225</v>
      </c>
      <c r="C6">
        <v>163310093</v>
      </c>
      <c r="D6" s="4">
        <v>43153.490335648145</v>
      </c>
      <c r="E6" s="4">
        <v>43153.769444444442</v>
      </c>
      <c r="F6" s="2" t="s">
        <v>179</v>
      </c>
      <c r="K6" s="2" t="s">
        <v>182</v>
      </c>
      <c r="L6" s="2">
        <f>VLOOKUP(FoFsmonkeyCompl10[[#This Row],[Vehicle ID / Name]],FoFsanalysis!A:E,2,FALSE)</f>
        <v>17454</v>
      </c>
      <c r="M6" s="2" t="str">
        <f>VLOOKUP(FoFsmonkeyCompl10[[#This Row],[Vehicle ID / Name]],FoFsanalysis!A:F,3,FALSE)</f>
        <v>Core</v>
      </c>
      <c r="N6" s="2" t="str">
        <f>VLOOKUP(FoFsmonkeyCompl10[[#This Row],[Vehicle ID / Name]],FoFsanalysis!A:G,4,FALSE)</f>
        <v>Open end</v>
      </c>
      <c r="O6" s="2">
        <f>VLOOKUP(FoFsmonkeyCompl10[[#This Row],[Vehicle ID / Name]],FoFsanalysis!A:H,5,FALSE)</f>
        <v>2010</v>
      </c>
      <c r="P6" s="2" t="str">
        <f>VLOOKUP(FoFsmonkeyCompl10[[#This Row],[Vehicle ID / Name]],FoFsanalysis!A:H,8,FALSE)</f>
        <v>USD</v>
      </c>
      <c r="Q6" s="2" t="s">
        <v>95</v>
      </c>
      <c r="R6" s="2"/>
      <c r="S6" s="2"/>
      <c r="T6">
        <v>1054</v>
      </c>
      <c r="U6">
        <v>559</v>
      </c>
      <c r="V6">
        <v>70</v>
      </c>
      <c r="W6">
        <v>50</v>
      </c>
      <c r="X6">
        <v>166</v>
      </c>
      <c r="Y6">
        <v>77</v>
      </c>
      <c r="Z6">
        <v>22</v>
      </c>
      <c r="AB6">
        <v>110</v>
      </c>
      <c r="AC6">
        <v>521</v>
      </c>
      <c r="AD6">
        <v>187</v>
      </c>
      <c r="AE6">
        <v>346</v>
      </c>
      <c r="AF6" s="2"/>
      <c r="AG6" s="2"/>
      <c r="AH6">
        <v>100</v>
      </c>
      <c r="AI6" s="2"/>
      <c r="AK6" s="2"/>
      <c r="AL6" s="2" t="s">
        <v>96</v>
      </c>
      <c r="AM6" s="2" t="s">
        <v>95</v>
      </c>
    </row>
    <row r="7" spans="1:39" x14ac:dyDescent="0.25">
      <c r="A7" t="s">
        <v>99</v>
      </c>
      <c r="B7">
        <v>6709183679</v>
      </c>
      <c r="C7">
        <v>163310093</v>
      </c>
      <c r="D7" s="4">
        <v>43152.66673611111</v>
      </c>
      <c r="E7" s="4">
        <v>43152.797615740739</v>
      </c>
      <c r="F7" s="2" t="s">
        <v>179</v>
      </c>
      <c r="K7" s="2" t="s">
        <v>182</v>
      </c>
      <c r="L7" s="2">
        <f>VLOOKUP(FoFsmonkeyCompl10[[#This Row],[Vehicle ID / Name]],FoFsanalysis!A:E,2,FALSE)</f>
        <v>17454</v>
      </c>
      <c r="M7" s="2" t="str">
        <f>VLOOKUP(FoFsmonkeyCompl10[[#This Row],[Vehicle ID / Name]],FoFsanalysis!A:F,3,FALSE)</f>
        <v>Core</v>
      </c>
      <c r="N7" s="2" t="str">
        <f>VLOOKUP(FoFsmonkeyCompl10[[#This Row],[Vehicle ID / Name]],FoFsanalysis!A:G,4,FALSE)</f>
        <v>Open end</v>
      </c>
      <c r="O7" s="2">
        <f>VLOOKUP(FoFsmonkeyCompl10[[#This Row],[Vehicle ID / Name]],FoFsanalysis!A:H,5,FALSE)</f>
        <v>2010</v>
      </c>
      <c r="P7" s="2" t="str">
        <f>VLOOKUP(FoFsmonkeyCompl10[[#This Row],[Vehicle ID / Name]],FoFsanalysis!A:H,8,FALSE)</f>
        <v>USD</v>
      </c>
      <c r="Q7" s="2" t="s">
        <v>95</v>
      </c>
      <c r="R7" s="2"/>
      <c r="S7" s="2"/>
      <c r="AF7" s="2"/>
      <c r="AG7" s="2"/>
      <c r="AI7" s="2"/>
      <c r="AK7" s="2"/>
      <c r="AL7" s="2"/>
      <c r="AM7" s="2"/>
    </row>
    <row r="8" spans="1:39" x14ac:dyDescent="0.25">
      <c r="A8" t="s">
        <v>99</v>
      </c>
      <c r="B8">
        <v>6709173161</v>
      </c>
      <c r="C8">
        <v>163310093</v>
      </c>
      <c r="D8" s="4">
        <v>43152.664236111108</v>
      </c>
      <c r="E8" s="4">
        <v>43152.665046296293</v>
      </c>
      <c r="F8" s="2" t="s">
        <v>122</v>
      </c>
      <c r="K8" s="2" t="s">
        <v>183</v>
      </c>
      <c r="L8" s="2" t="str">
        <f>VLOOKUP(FoFsmonkeyCompl10[[#This Row],[Vehicle ID / Name]],FoFsanalysis!A:E,2,FALSE)</f>
        <v>N/A</v>
      </c>
      <c r="M8" s="2" t="str">
        <f>VLOOKUP(FoFsmonkeyCompl10[[#This Row],[Vehicle ID / Name]],FoFsanalysis!A:F,3,FALSE)</f>
        <v>Opportunity</v>
      </c>
      <c r="N8" s="2" t="str">
        <f>VLOOKUP(FoFsmonkeyCompl10[[#This Row],[Vehicle ID / Name]],FoFsanalysis!A:G,4,FALSE)</f>
        <v>Closed end</v>
      </c>
      <c r="O8" s="2">
        <f>VLOOKUP(FoFsmonkeyCompl10[[#This Row],[Vehicle ID / Name]],FoFsanalysis!A:H,5,FALSE)</f>
        <v>2017</v>
      </c>
      <c r="P8" s="2" t="str">
        <f>VLOOKUP(FoFsmonkeyCompl10[[#This Row],[Vehicle ID / Name]],FoFsanalysis!A:H,8,FALSE)</f>
        <v>EUR</v>
      </c>
      <c r="Q8" s="2" t="s">
        <v>95</v>
      </c>
      <c r="R8" s="2"/>
      <c r="S8" s="2"/>
      <c r="T8">
        <v>291</v>
      </c>
      <c r="U8">
        <v>20</v>
      </c>
      <c r="V8">
        <v>20</v>
      </c>
      <c r="AA8">
        <v>251</v>
      </c>
      <c r="AC8">
        <v>291</v>
      </c>
      <c r="AF8" s="2"/>
      <c r="AG8" s="2"/>
      <c r="AI8" s="2"/>
      <c r="AJ8">
        <v>100</v>
      </c>
      <c r="AK8" s="2"/>
      <c r="AL8" s="2" t="s">
        <v>94</v>
      </c>
      <c r="AM8" s="2" t="s">
        <v>95</v>
      </c>
    </row>
    <row r="9" spans="1:39" x14ac:dyDescent="0.25">
      <c r="A9" t="s">
        <v>99</v>
      </c>
      <c r="B9">
        <v>6694825905</v>
      </c>
      <c r="C9">
        <v>163310093</v>
      </c>
      <c r="D9" s="4">
        <v>43145.658715277779</v>
      </c>
      <c r="E9" s="4">
        <v>43145.65997685185</v>
      </c>
      <c r="F9" s="2" t="s">
        <v>184</v>
      </c>
      <c r="K9" s="2" t="s">
        <v>185</v>
      </c>
      <c r="L9" s="2">
        <f>VLOOKUP(FoFsmonkeyCompl10[[#This Row],[Vehicle ID / Name]],FoFsanalysis!A:E,2,FALSE)</f>
        <v>17661</v>
      </c>
      <c r="M9" s="2" t="str">
        <f>VLOOKUP(FoFsmonkeyCompl10[[#This Row],[Vehicle ID / Name]],FoFsanalysis!A:F,3,FALSE)</f>
        <v>Oppurtunity</v>
      </c>
      <c r="N9" s="2" t="str">
        <f>VLOOKUP(FoFsmonkeyCompl10[[#This Row],[Vehicle ID / Name]],FoFsanalysis!A:G,4,FALSE)</f>
        <v>Closed end</v>
      </c>
      <c r="O9" s="2">
        <f>VLOOKUP(FoFsmonkeyCompl10[[#This Row],[Vehicle ID / Name]],FoFsanalysis!A:H,5,FALSE)</f>
        <v>2014</v>
      </c>
      <c r="P9" s="2" t="str">
        <f>VLOOKUP(FoFsmonkeyCompl10[[#This Row],[Vehicle ID / Name]],FoFsanalysis!A:H,8,FALSE)</f>
        <v>USD</v>
      </c>
      <c r="Q9" s="2" t="s">
        <v>97</v>
      </c>
      <c r="R9" s="2" t="s">
        <v>0</v>
      </c>
      <c r="S9" s="2" t="s">
        <v>186</v>
      </c>
      <c r="AF9" s="2"/>
      <c r="AG9" s="2"/>
      <c r="AI9" s="2"/>
      <c r="AK9" s="2"/>
      <c r="AL9" s="2" t="s">
        <v>94</v>
      </c>
      <c r="AM9" s="2" t="s">
        <v>97</v>
      </c>
    </row>
    <row r="10" spans="1:39" x14ac:dyDescent="0.25">
      <c r="A10" t="s">
        <v>99</v>
      </c>
      <c r="B10">
        <v>6692012461</v>
      </c>
      <c r="C10">
        <v>163310093</v>
      </c>
      <c r="D10" s="4">
        <v>43144.622766203705</v>
      </c>
      <c r="E10" s="4">
        <v>43144.625034722223</v>
      </c>
      <c r="F10" s="2" t="s">
        <v>187</v>
      </c>
      <c r="K10" s="2" t="s">
        <v>188</v>
      </c>
      <c r="L10" s="2" t="str">
        <f>VLOOKUP(FoFsmonkeyCompl10[[#This Row],[Vehicle ID / Name]],FoFsanalysis!A:E,2,FALSE)</f>
        <v>N/A</v>
      </c>
      <c r="M10" s="2" t="str">
        <f>VLOOKUP(FoFsmonkeyCompl10[[#This Row],[Vehicle ID / Name]],FoFsanalysis!A:F,3,FALSE)</f>
        <v>Core</v>
      </c>
      <c r="N10" s="2" t="str">
        <f>VLOOKUP(FoFsmonkeyCompl10[[#This Row],[Vehicle ID / Name]],FoFsanalysis!A:G,4,FALSE)</f>
        <v>Open end</v>
      </c>
      <c r="O10" s="2">
        <f>VLOOKUP(FoFsmonkeyCompl10[[#This Row],[Vehicle ID / Name]],FoFsanalysis!A:H,5,FALSE)</f>
        <v>2010</v>
      </c>
      <c r="P10" s="2" t="str">
        <f>VLOOKUP(FoFsmonkeyCompl10[[#This Row],[Vehicle ID / Name]],FoFsanalysis!A:H,8,FALSE)</f>
        <v>USD</v>
      </c>
      <c r="Q10" s="2" t="s">
        <v>95</v>
      </c>
      <c r="R10" s="2"/>
      <c r="S10" s="2"/>
      <c r="AF10" s="2"/>
      <c r="AG10" s="2"/>
      <c r="AI10" s="2"/>
      <c r="AK10" s="2"/>
      <c r="AL10" s="2"/>
      <c r="AM10" s="2"/>
    </row>
    <row r="11" spans="1:39" x14ac:dyDescent="0.25">
      <c r="A11" t="s">
        <v>99</v>
      </c>
      <c r="B11">
        <v>6689366577</v>
      </c>
      <c r="C11">
        <v>163310093</v>
      </c>
      <c r="D11" s="4">
        <v>43143.605949074074</v>
      </c>
      <c r="E11" s="4">
        <v>43143.608923611115</v>
      </c>
      <c r="F11" s="2" t="s">
        <v>124</v>
      </c>
      <c r="K11" s="2" t="s">
        <v>189</v>
      </c>
      <c r="L11" s="2" t="str">
        <f>VLOOKUP(FoFsmonkeyCompl10[[#This Row],[Vehicle ID / Name]],FoFsanalysis!A:E,2,FALSE)</f>
        <v>N/A</v>
      </c>
      <c r="M11" s="2" t="str">
        <f>VLOOKUP(FoFsmonkeyCompl10[[#This Row],[Vehicle ID / Name]],FoFsanalysis!A:F,3,FALSE)</f>
        <v>Core</v>
      </c>
      <c r="N11" s="2" t="str">
        <f>VLOOKUP(FoFsmonkeyCompl10[[#This Row],[Vehicle ID / Name]],FoFsanalysis!A:G,4,FALSE)</f>
        <v>Open end</v>
      </c>
      <c r="O11" s="2">
        <f>VLOOKUP(FoFsmonkeyCompl10[[#This Row],[Vehicle ID / Name]],FoFsanalysis!A:H,5,FALSE)</f>
        <v>2017</v>
      </c>
      <c r="P11" s="2" t="str">
        <f>VLOOKUP(FoFsmonkeyCompl10[[#This Row],[Vehicle ID / Name]],FoFsanalysis!A:H,8,FALSE)</f>
        <v>EUR</v>
      </c>
      <c r="Q11" s="2" t="s">
        <v>95</v>
      </c>
      <c r="R11" s="2"/>
      <c r="S11" s="2"/>
      <c r="T11">
        <v>107</v>
      </c>
      <c r="U11">
        <v>7</v>
      </c>
      <c r="AB11">
        <v>100</v>
      </c>
      <c r="AC11">
        <v>107</v>
      </c>
      <c r="AF11" s="2"/>
      <c r="AG11" s="2"/>
      <c r="AI11" s="2"/>
      <c r="AJ11">
        <v>100</v>
      </c>
      <c r="AK11" s="2"/>
      <c r="AL11" s="2" t="s">
        <v>96</v>
      </c>
      <c r="AM11" s="2" t="s">
        <v>95</v>
      </c>
    </row>
    <row r="12" spans="1:39" x14ac:dyDescent="0.25">
      <c r="A12" t="s">
        <v>99</v>
      </c>
      <c r="B12">
        <v>6689361078</v>
      </c>
      <c r="C12">
        <v>163310093</v>
      </c>
      <c r="D12" s="4">
        <v>43143.603726851848</v>
      </c>
      <c r="E12" s="4">
        <v>43143.605810185189</v>
      </c>
      <c r="F12" s="2" t="s">
        <v>124</v>
      </c>
      <c r="K12" s="2" t="s">
        <v>125</v>
      </c>
      <c r="L12" s="2" t="str">
        <f>VLOOKUP(FoFsmonkeyCompl10[[#This Row],[Vehicle ID / Name]],FoFsanalysis!A:E,2,FALSE)</f>
        <v>N/A</v>
      </c>
      <c r="M12" s="2" t="str">
        <f>VLOOKUP(FoFsmonkeyCompl10[[#This Row],[Vehicle ID / Name]],FoFsanalysis!A:F,3,FALSE)</f>
        <v>Core</v>
      </c>
      <c r="N12" s="2" t="str">
        <f>VLOOKUP(FoFsmonkeyCompl10[[#This Row],[Vehicle ID / Name]],FoFsanalysis!A:G,4,FALSE)</f>
        <v>Open end</v>
      </c>
      <c r="O12" s="2">
        <f>VLOOKUP(FoFsmonkeyCompl10[[#This Row],[Vehicle ID / Name]],FoFsanalysis!A:H,5,FALSE)</f>
        <v>2016</v>
      </c>
      <c r="P12" s="2" t="str">
        <f>VLOOKUP(FoFsmonkeyCompl10[[#This Row],[Vehicle ID / Name]],FoFsanalysis!A:H,8,FALSE)</f>
        <v>EUR</v>
      </c>
      <c r="Q12" s="2" t="s">
        <v>95</v>
      </c>
      <c r="R12" s="2"/>
      <c r="S12" s="2"/>
      <c r="T12">
        <v>71</v>
      </c>
      <c r="U12">
        <v>19</v>
      </c>
      <c r="V12">
        <v>11</v>
      </c>
      <c r="AB12">
        <v>41</v>
      </c>
      <c r="AC12">
        <v>71</v>
      </c>
      <c r="AF12" s="2"/>
      <c r="AG12" s="2"/>
      <c r="AI12" s="2"/>
      <c r="AJ12">
        <v>100</v>
      </c>
      <c r="AK12" s="2"/>
      <c r="AL12" s="2" t="s">
        <v>96</v>
      </c>
      <c r="AM12" s="2" t="s">
        <v>95</v>
      </c>
    </row>
    <row r="13" spans="1:39" x14ac:dyDescent="0.25">
      <c r="A13" t="s">
        <v>99</v>
      </c>
      <c r="B13">
        <v>6662580095</v>
      </c>
      <c r="C13">
        <v>163310093</v>
      </c>
      <c r="D13" s="4">
        <v>43130.801631944443</v>
      </c>
      <c r="E13" s="4">
        <v>43130.802210648151</v>
      </c>
      <c r="F13" s="2" t="s">
        <v>184</v>
      </c>
      <c r="K13" s="2" t="s">
        <v>185</v>
      </c>
      <c r="L13" s="2">
        <f>VLOOKUP(FoFsmonkeyCompl10[[#This Row],[Vehicle ID / Name]],FoFsanalysis!A:E,2,FALSE)</f>
        <v>17661</v>
      </c>
      <c r="M13" s="2" t="str">
        <f>VLOOKUP(FoFsmonkeyCompl10[[#This Row],[Vehicle ID / Name]],FoFsanalysis!A:F,3,FALSE)</f>
        <v>Oppurtunity</v>
      </c>
      <c r="N13" s="2" t="str">
        <f>VLOOKUP(FoFsmonkeyCompl10[[#This Row],[Vehicle ID / Name]],FoFsanalysis!A:G,4,FALSE)</f>
        <v>Closed end</v>
      </c>
      <c r="O13" s="2">
        <f>VLOOKUP(FoFsmonkeyCompl10[[#This Row],[Vehicle ID / Name]],FoFsanalysis!A:H,5,FALSE)</f>
        <v>2014</v>
      </c>
      <c r="P13" s="2" t="str">
        <f>VLOOKUP(FoFsmonkeyCompl10[[#This Row],[Vehicle ID / Name]],FoFsanalysis!A:H,8,FALSE)</f>
        <v>USD</v>
      </c>
      <c r="Q13" s="2" t="s">
        <v>97</v>
      </c>
      <c r="R13" s="2" t="s">
        <v>0</v>
      </c>
      <c r="S13" s="2" t="s">
        <v>190</v>
      </c>
      <c r="AF13" s="2"/>
      <c r="AG13" s="2"/>
      <c r="AI13" s="2"/>
      <c r="AK13" s="2"/>
      <c r="AL13" s="2" t="s">
        <v>96</v>
      </c>
      <c r="AM13" s="2" t="s">
        <v>97</v>
      </c>
    </row>
    <row r="14" spans="1:39" x14ac:dyDescent="0.25">
      <c r="A14" t="s">
        <v>99</v>
      </c>
      <c r="B14">
        <v>6661849274</v>
      </c>
      <c r="C14">
        <v>163310093</v>
      </c>
      <c r="D14" s="4">
        <v>43130.611157407409</v>
      </c>
      <c r="E14" s="4">
        <v>43130.617442129631</v>
      </c>
      <c r="F14" s="2" t="s">
        <v>191</v>
      </c>
      <c r="K14" s="2" t="s">
        <v>192</v>
      </c>
      <c r="L14" s="2" t="str">
        <f>VLOOKUP(FoFsmonkeyCompl10[[#This Row],[Vehicle ID / Name]],FoFsanalysis!A:E,2,FALSE)</f>
        <v>N/A</v>
      </c>
      <c r="M14" s="2" t="str">
        <f>VLOOKUP(FoFsmonkeyCompl10[[#This Row],[Vehicle ID / Name]],FoFsanalysis!A:F,3,FALSE)</f>
        <v>Value added</v>
      </c>
      <c r="N14" s="2" t="str">
        <f>VLOOKUP(FoFsmonkeyCompl10[[#This Row],[Vehicle ID / Name]],FoFsanalysis!A:G,4,FALSE)</f>
        <v>Open end</v>
      </c>
      <c r="O14" s="2">
        <f>VLOOKUP(FoFsmonkeyCompl10[[#This Row],[Vehicle ID / Name]],FoFsanalysis!A:H,5,FALSE)</f>
        <v>2016</v>
      </c>
      <c r="P14" s="2" t="str">
        <f>VLOOKUP(FoFsmonkeyCompl10[[#This Row],[Vehicle ID / Name]],FoFsanalysis!A:H,8,FALSE)</f>
        <v>EUR</v>
      </c>
      <c r="Q14" s="2" t="s">
        <v>97</v>
      </c>
      <c r="R14" s="2"/>
      <c r="S14" s="2"/>
      <c r="AF14" s="2"/>
      <c r="AG14" s="2"/>
      <c r="AI14" s="2"/>
      <c r="AK14" s="2"/>
      <c r="AL14" s="2"/>
      <c r="AM14" s="2"/>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738A-0A99-4141-8BBB-A78958218BFE}">
  <dimension ref="A1:E40"/>
  <sheetViews>
    <sheetView topLeftCell="A10" workbookViewId="0">
      <selection activeCell="D20" sqref="D20"/>
    </sheetView>
  </sheetViews>
  <sheetFormatPr defaultRowHeight="13.2" x14ac:dyDescent="0.25"/>
  <cols>
    <col min="1" max="2" width="29.5546875" customWidth="1"/>
    <col min="3" max="3" width="25.21875" customWidth="1"/>
    <col min="4" max="4" width="19.109375" customWidth="1"/>
    <col min="5" max="5" width="17.44140625" customWidth="1"/>
  </cols>
  <sheetData>
    <row r="1" spans="1:5" x14ac:dyDescent="0.25">
      <c r="A1" t="s">
        <v>19</v>
      </c>
      <c r="B1" t="s">
        <v>20</v>
      </c>
      <c r="C1" t="s">
        <v>21</v>
      </c>
      <c r="D1" t="s">
        <v>22</v>
      </c>
      <c r="E1" t="s">
        <v>23</v>
      </c>
    </row>
    <row r="2" spans="1:5" x14ac:dyDescent="0.25">
      <c r="A2" t="s">
        <v>98</v>
      </c>
      <c r="D2" t="s">
        <v>98</v>
      </c>
      <c r="E2" t="s">
        <v>25</v>
      </c>
    </row>
    <row r="3" spans="1:5" ht="14.4" x14ac:dyDescent="0.3">
      <c r="A3" t="s">
        <v>127</v>
      </c>
      <c r="D3" s="5" t="s">
        <v>24</v>
      </c>
      <c r="E3" t="s">
        <v>25</v>
      </c>
    </row>
    <row r="4" spans="1:5" ht="14.4" x14ac:dyDescent="0.3">
      <c r="A4" t="s">
        <v>128</v>
      </c>
      <c r="D4" s="1" t="s">
        <v>26</v>
      </c>
      <c r="E4" t="s">
        <v>25</v>
      </c>
    </row>
    <row r="5" spans="1:5" ht="14.4" x14ac:dyDescent="0.3">
      <c r="A5" t="s">
        <v>129</v>
      </c>
      <c r="C5" s="4"/>
      <c r="D5" s="1" t="s">
        <v>27</v>
      </c>
      <c r="E5" t="s">
        <v>25</v>
      </c>
    </row>
    <row r="6" spans="1:5" ht="14.4" x14ac:dyDescent="0.3">
      <c r="A6" t="s">
        <v>130</v>
      </c>
      <c r="C6" s="4"/>
      <c r="D6" s="1" t="s">
        <v>28</v>
      </c>
      <c r="E6" t="s">
        <v>25</v>
      </c>
    </row>
    <row r="7" spans="1:5" ht="14.4" x14ac:dyDescent="0.3">
      <c r="A7" t="s">
        <v>29</v>
      </c>
      <c r="C7" s="2"/>
      <c r="D7" s="1" t="s">
        <v>30</v>
      </c>
      <c r="E7" t="s">
        <v>25</v>
      </c>
    </row>
    <row r="8" spans="1:5" ht="14.4" x14ac:dyDescent="0.3">
      <c r="A8" t="s">
        <v>31</v>
      </c>
      <c r="D8" s="1" t="s">
        <v>32</v>
      </c>
      <c r="E8" t="s">
        <v>25</v>
      </c>
    </row>
    <row r="9" spans="1:5" ht="14.4" x14ac:dyDescent="0.3">
      <c r="A9" t="s">
        <v>33</v>
      </c>
      <c r="D9" s="1" t="s">
        <v>34</v>
      </c>
      <c r="E9" t="s">
        <v>25</v>
      </c>
    </row>
    <row r="10" spans="1:5" ht="14.4" x14ac:dyDescent="0.3">
      <c r="A10" t="s">
        <v>131</v>
      </c>
      <c r="D10" s="1" t="s">
        <v>35</v>
      </c>
      <c r="E10" t="s">
        <v>25</v>
      </c>
    </row>
    <row r="11" spans="1:5" ht="14.4" x14ac:dyDescent="0.3">
      <c r="A11" t="s">
        <v>132</v>
      </c>
      <c r="D11" s="1" t="s">
        <v>36</v>
      </c>
      <c r="E11" t="s">
        <v>25</v>
      </c>
    </row>
    <row r="12" spans="1:5" x14ac:dyDescent="0.25">
      <c r="A12" t="s">
        <v>133</v>
      </c>
      <c r="C12" s="2"/>
      <c r="D12" t="s">
        <v>38</v>
      </c>
      <c r="E12" t="s">
        <v>25</v>
      </c>
    </row>
    <row r="13" spans="1:5" ht="14.4" x14ac:dyDescent="0.3">
      <c r="A13" t="s">
        <v>166</v>
      </c>
      <c r="C13" s="2"/>
      <c r="D13" s="6" t="s">
        <v>198</v>
      </c>
      <c r="E13" t="s">
        <v>25</v>
      </c>
    </row>
    <row r="14" spans="1:5" ht="14.4" x14ac:dyDescent="0.3">
      <c r="A14" t="s">
        <v>89</v>
      </c>
      <c r="C14" s="2"/>
      <c r="D14" s="6" t="s">
        <v>90</v>
      </c>
      <c r="E14" t="s">
        <v>25</v>
      </c>
    </row>
    <row r="15" spans="1:5" x14ac:dyDescent="0.25">
      <c r="A15" t="s">
        <v>126</v>
      </c>
      <c r="C15" s="2"/>
      <c r="D15" t="s">
        <v>42</v>
      </c>
      <c r="E15" t="s">
        <v>25</v>
      </c>
    </row>
    <row r="16" spans="1:5" x14ac:dyDescent="0.25">
      <c r="A16" t="s">
        <v>91</v>
      </c>
      <c r="C16" s="2"/>
      <c r="D16" t="s">
        <v>43</v>
      </c>
      <c r="E16" t="s">
        <v>25</v>
      </c>
    </row>
    <row r="17" spans="1:5" x14ac:dyDescent="0.25">
      <c r="A17" t="s">
        <v>39</v>
      </c>
      <c r="C17" s="2"/>
      <c r="D17" t="s">
        <v>40</v>
      </c>
      <c r="E17" t="s">
        <v>25</v>
      </c>
    </row>
    <row r="18" spans="1:5" ht="14.4" x14ac:dyDescent="0.3">
      <c r="A18" t="s">
        <v>134</v>
      </c>
      <c r="B18" t="s">
        <v>44</v>
      </c>
      <c r="C18" s="2" t="s">
        <v>45</v>
      </c>
      <c r="D18" s="3" t="s">
        <v>44</v>
      </c>
      <c r="E18" t="s">
        <v>25</v>
      </c>
    </row>
    <row r="19" spans="1:5" ht="14.4" x14ac:dyDescent="0.3">
      <c r="A19" t="s">
        <v>135</v>
      </c>
      <c r="B19" t="s">
        <v>46</v>
      </c>
      <c r="C19" s="2" t="s">
        <v>45</v>
      </c>
      <c r="D19" s="3" t="s">
        <v>46</v>
      </c>
      <c r="E19" t="s">
        <v>25</v>
      </c>
    </row>
    <row r="20" spans="1:5" ht="15" x14ac:dyDescent="0.35">
      <c r="A20" t="s">
        <v>135</v>
      </c>
      <c r="C20" s="2" t="s">
        <v>0</v>
      </c>
      <c r="D20" s="9" t="s">
        <v>47</v>
      </c>
      <c r="E20" t="s">
        <v>25</v>
      </c>
    </row>
    <row r="21" spans="1:5" ht="14.4" x14ac:dyDescent="0.3">
      <c r="A21" t="s">
        <v>136</v>
      </c>
      <c r="B21" t="s">
        <v>48</v>
      </c>
      <c r="C21" t="s">
        <v>37</v>
      </c>
      <c r="D21" s="3" t="s">
        <v>48</v>
      </c>
      <c r="E21" t="s">
        <v>25</v>
      </c>
    </row>
    <row r="22" spans="1:5" ht="14.4" x14ac:dyDescent="0.3">
      <c r="A22" t="s">
        <v>137</v>
      </c>
      <c r="B22" t="s">
        <v>50</v>
      </c>
      <c r="C22" t="s">
        <v>51</v>
      </c>
      <c r="D22" s="3" t="s">
        <v>52</v>
      </c>
      <c r="E22" t="s">
        <v>49</v>
      </c>
    </row>
    <row r="23" spans="1:5" ht="14.4" x14ac:dyDescent="0.3">
      <c r="A23" t="s">
        <v>200</v>
      </c>
      <c r="B23" t="s">
        <v>50</v>
      </c>
      <c r="C23" t="s">
        <v>53</v>
      </c>
      <c r="D23" s="3" t="s">
        <v>54</v>
      </c>
      <c r="E23" t="s">
        <v>49</v>
      </c>
    </row>
    <row r="24" spans="1:5" ht="14.4" x14ac:dyDescent="0.3">
      <c r="A24" t="s">
        <v>201</v>
      </c>
      <c r="B24" t="s">
        <v>50</v>
      </c>
      <c r="C24" t="s">
        <v>92</v>
      </c>
      <c r="D24" s="3" t="s">
        <v>56</v>
      </c>
      <c r="E24" t="s">
        <v>49</v>
      </c>
    </row>
    <row r="25" spans="1:5" ht="14.4" x14ac:dyDescent="0.3">
      <c r="A25" t="s">
        <v>202</v>
      </c>
      <c r="B25" t="s">
        <v>50</v>
      </c>
      <c r="C25" t="s">
        <v>57</v>
      </c>
      <c r="D25" s="3" t="s">
        <v>58</v>
      </c>
      <c r="E25" t="s">
        <v>49</v>
      </c>
    </row>
    <row r="26" spans="1:5" ht="14.4" x14ac:dyDescent="0.3">
      <c r="A26" t="s">
        <v>203</v>
      </c>
      <c r="B26" t="s">
        <v>50</v>
      </c>
      <c r="C26" t="s">
        <v>59</v>
      </c>
      <c r="D26" s="3" t="s">
        <v>60</v>
      </c>
      <c r="E26" t="s">
        <v>49</v>
      </c>
    </row>
    <row r="27" spans="1:5" ht="14.4" x14ac:dyDescent="0.3">
      <c r="A27" t="s">
        <v>204</v>
      </c>
      <c r="B27" t="s">
        <v>50</v>
      </c>
      <c r="C27" t="s">
        <v>61</v>
      </c>
      <c r="D27" s="3" t="s">
        <v>62</v>
      </c>
      <c r="E27" t="s">
        <v>49</v>
      </c>
    </row>
    <row r="28" spans="1:5" ht="14.4" x14ac:dyDescent="0.3">
      <c r="A28" t="s">
        <v>205</v>
      </c>
      <c r="B28" t="s">
        <v>50</v>
      </c>
      <c r="C28" t="s">
        <v>93</v>
      </c>
      <c r="D28" s="3" t="s">
        <v>64</v>
      </c>
      <c r="E28" t="s">
        <v>49</v>
      </c>
    </row>
    <row r="29" spans="1:5" ht="14.4" x14ac:dyDescent="0.3">
      <c r="A29" t="s">
        <v>206</v>
      </c>
      <c r="B29" t="s">
        <v>50</v>
      </c>
      <c r="C29" t="s">
        <v>6</v>
      </c>
      <c r="D29" s="3" t="s">
        <v>65</v>
      </c>
      <c r="E29" t="s">
        <v>49</v>
      </c>
    </row>
    <row r="30" spans="1:5" ht="14.4" x14ac:dyDescent="0.3">
      <c r="A30" t="s">
        <v>178</v>
      </c>
      <c r="B30" t="s">
        <v>66</v>
      </c>
      <c r="C30" t="s">
        <v>7</v>
      </c>
      <c r="D30" s="6" t="s">
        <v>67</v>
      </c>
      <c r="E30" t="s">
        <v>49</v>
      </c>
    </row>
    <row r="31" spans="1:5" ht="14.4" x14ac:dyDescent="0.3">
      <c r="A31" t="s">
        <v>207</v>
      </c>
      <c r="B31" t="s">
        <v>66</v>
      </c>
      <c r="C31" t="s">
        <v>68</v>
      </c>
      <c r="D31" s="6" t="s">
        <v>69</v>
      </c>
      <c r="E31" t="s">
        <v>49</v>
      </c>
    </row>
    <row r="32" spans="1:5" ht="14.4" x14ac:dyDescent="0.3">
      <c r="A32" t="s">
        <v>208</v>
      </c>
      <c r="B32" t="s">
        <v>66</v>
      </c>
      <c r="C32" t="s">
        <v>70</v>
      </c>
      <c r="D32" s="6" t="s">
        <v>71</v>
      </c>
      <c r="E32" t="s">
        <v>49</v>
      </c>
    </row>
    <row r="33" spans="1:5" ht="14.4" x14ac:dyDescent="0.3">
      <c r="A33" t="s">
        <v>209</v>
      </c>
      <c r="B33" t="s">
        <v>66</v>
      </c>
      <c r="C33" s="2" t="s">
        <v>72</v>
      </c>
      <c r="D33" s="6" t="s">
        <v>73</v>
      </c>
      <c r="E33" t="s">
        <v>49</v>
      </c>
    </row>
    <row r="34" spans="1:5" ht="14.4" x14ac:dyDescent="0.3">
      <c r="A34" t="s">
        <v>210</v>
      </c>
      <c r="B34" t="s">
        <v>66</v>
      </c>
      <c r="C34" s="2" t="s">
        <v>11</v>
      </c>
      <c r="D34" s="6" t="s">
        <v>74</v>
      </c>
      <c r="E34" t="s">
        <v>49</v>
      </c>
    </row>
    <row r="35" spans="1:5" ht="14.4" x14ac:dyDescent="0.3">
      <c r="A35" t="s">
        <v>139</v>
      </c>
      <c r="B35" t="s">
        <v>75</v>
      </c>
      <c r="C35" t="s">
        <v>76</v>
      </c>
      <c r="D35" s="6" t="s">
        <v>77</v>
      </c>
      <c r="E35" t="s">
        <v>78</v>
      </c>
    </row>
    <row r="36" spans="1:5" ht="14.4" x14ac:dyDescent="0.3">
      <c r="A36" t="s">
        <v>139</v>
      </c>
      <c r="B36" t="s">
        <v>75</v>
      </c>
      <c r="C36" s="2" t="s">
        <v>79</v>
      </c>
      <c r="D36" s="6" t="s">
        <v>80</v>
      </c>
      <c r="E36" t="s">
        <v>78</v>
      </c>
    </row>
    <row r="37" spans="1:5" ht="14.4" x14ac:dyDescent="0.3">
      <c r="A37" t="s">
        <v>139</v>
      </c>
      <c r="B37" t="s">
        <v>75</v>
      </c>
      <c r="C37" t="s">
        <v>81</v>
      </c>
      <c r="D37" s="6" t="s">
        <v>82</v>
      </c>
      <c r="E37" t="s">
        <v>78</v>
      </c>
    </row>
    <row r="38" spans="1:5" ht="14.4" x14ac:dyDescent="0.3">
      <c r="A38" t="s">
        <v>139</v>
      </c>
      <c r="B38" t="s">
        <v>75</v>
      </c>
      <c r="C38" s="2" t="s">
        <v>83</v>
      </c>
      <c r="D38" s="6" t="s">
        <v>84</v>
      </c>
      <c r="E38" t="s">
        <v>78</v>
      </c>
    </row>
    <row r="39" spans="1:5" ht="14.4" x14ac:dyDescent="0.3">
      <c r="A39" t="s">
        <v>85</v>
      </c>
      <c r="B39" t="s">
        <v>86</v>
      </c>
      <c r="C39" s="2" t="s">
        <v>45</v>
      </c>
      <c r="D39" s="6" t="s">
        <v>86</v>
      </c>
      <c r="E39" s="2" t="s">
        <v>25</v>
      </c>
    </row>
    <row r="40" spans="1:5" ht="14.4" x14ac:dyDescent="0.3">
      <c r="A40" t="s">
        <v>87</v>
      </c>
      <c r="B40" t="s">
        <v>88</v>
      </c>
      <c r="C40" s="2" t="s">
        <v>45</v>
      </c>
      <c r="D40" s="6" t="s">
        <v>88</v>
      </c>
      <c r="E40" s="2" t="s">
        <v>25</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99AB-7DDA-4A6F-9BFD-D7D3061962DE}">
  <dimension ref="A1:AC13"/>
  <sheetViews>
    <sheetView workbookViewId="0">
      <selection activeCell="D17" sqref="D17"/>
    </sheetView>
  </sheetViews>
  <sheetFormatPr defaultRowHeight="13.2" x14ac:dyDescent="0.25"/>
  <cols>
    <col min="1" max="1" width="57.88671875" bestFit="1" customWidth="1"/>
    <col min="2" max="2" width="5.77734375" bestFit="1" customWidth="1"/>
    <col min="3" max="3" width="10.77734375" bestFit="1" customWidth="1"/>
    <col min="4" max="4" width="11.109375" bestFit="1" customWidth="1"/>
    <col min="5" max="5" width="9.5546875" bestFit="1" customWidth="1"/>
    <col min="6" max="6" width="15.109375" bestFit="1" customWidth="1"/>
    <col min="7" max="7" width="24.88671875" bestFit="1" customWidth="1"/>
    <col min="8" max="8" width="11" bestFit="1" customWidth="1"/>
    <col min="9" max="9" width="8.77734375" bestFit="1" customWidth="1"/>
    <col min="10" max="10" width="15.109375" bestFit="1" customWidth="1"/>
    <col min="11" max="11" width="15.6640625" bestFit="1" customWidth="1"/>
    <col min="12" max="12" width="21.77734375" bestFit="1" customWidth="1"/>
    <col min="13" max="13" width="8.21875" bestFit="1" customWidth="1"/>
    <col min="14" max="14" width="13.77734375" bestFit="1" customWidth="1"/>
    <col min="15" max="15" width="10.77734375" bestFit="1" customWidth="1"/>
    <col min="16" max="16" width="15.109375" bestFit="1" customWidth="1"/>
    <col min="17" max="17" width="7.88671875" bestFit="1" customWidth="1"/>
    <col min="18" max="18" width="16" bestFit="1" customWidth="1"/>
    <col min="19" max="19" width="9.21875" bestFit="1" customWidth="1"/>
    <col min="20" max="20" width="8" bestFit="1" customWidth="1"/>
    <col min="21" max="21" width="15.21875" bestFit="1" customWidth="1"/>
    <col min="22" max="22" width="15.44140625" bestFit="1" customWidth="1"/>
    <col min="23" max="23" width="8.109375" bestFit="1" customWidth="1"/>
    <col min="24" max="24" width="17.33203125" bestFit="1" customWidth="1"/>
    <col min="25" max="25" width="20.77734375" bestFit="1" customWidth="1"/>
    <col min="26" max="26" width="18" bestFit="1" customWidth="1"/>
    <col min="27" max="27" width="14.33203125" bestFit="1" customWidth="1"/>
    <col min="28" max="28" width="14.21875" bestFit="1" customWidth="1"/>
    <col min="29" max="29" width="8" bestFit="1" customWidth="1"/>
  </cols>
  <sheetData>
    <row r="1" spans="1:29" x14ac:dyDescent="0.25">
      <c r="A1" t="s">
        <v>165</v>
      </c>
      <c r="B1" t="s">
        <v>166</v>
      </c>
      <c r="C1" t="s">
        <v>89</v>
      </c>
      <c r="D1" t="s">
        <v>126</v>
      </c>
      <c r="E1" t="s">
        <v>91</v>
      </c>
      <c r="F1" t="s">
        <v>168</v>
      </c>
      <c r="G1" t="s">
        <v>169</v>
      </c>
      <c r="H1" t="s">
        <v>39</v>
      </c>
      <c r="I1" t="s">
        <v>1</v>
      </c>
      <c r="J1" t="s">
        <v>193</v>
      </c>
      <c r="K1" t="s">
        <v>2</v>
      </c>
      <c r="L1" t="s">
        <v>170</v>
      </c>
      <c r="M1" t="s">
        <v>171</v>
      </c>
      <c r="N1" t="s">
        <v>3</v>
      </c>
      <c r="O1" t="s">
        <v>4</v>
      </c>
      <c r="P1" t="s">
        <v>172</v>
      </c>
      <c r="Q1" t="s">
        <v>5</v>
      </c>
      <c r="R1" t="s">
        <v>194</v>
      </c>
      <c r="S1" t="s">
        <v>7</v>
      </c>
      <c r="T1" t="s">
        <v>8</v>
      </c>
      <c r="U1" t="s">
        <v>9</v>
      </c>
      <c r="V1" t="s">
        <v>10</v>
      </c>
      <c r="W1" t="s">
        <v>11</v>
      </c>
      <c r="X1" t="s">
        <v>12</v>
      </c>
      <c r="Y1" t="s">
        <v>173</v>
      </c>
      <c r="Z1" t="s">
        <v>174</v>
      </c>
      <c r="AA1" t="s">
        <v>195</v>
      </c>
      <c r="AB1" t="s">
        <v>14</v>
      </c>
      <c r="AC1" t="s">
        <v>15</v>
      </c>
    </row>
    <row r="2" spans="1:29" x14ac:dyDescent="0.25">
      <c r="A2" s="2" t="s">
        <v>180</v>
      </c>
      <c r="B2" t="s">
        <v>175</v>
      </c>
      <c r="C2" s="2" t="s">
        <v>16</v>
      </c>
      <c r="D2" s="2" t="s">
        <v>100</v>
      </c>
      <c r="F2" s="2" t="s">
        <v>95</v>
      </c>
      <c r="G2" s="2" t="s">
        <v>17</v>
      </c>
      <c r="H2" s="2" t="s">
        <v>1</v>
      </c>
      <c r="I2">
        <v>1</v>
      </c>
      <c r="J2">
        <v>1788</v>
      </c>
      <c r="K2">
        <v>1368</v>
      </c>
      <c r="L2">
        <v>364</v>
      </c>
      <c r="N2">
        <v>56</v>
      </c>
      <c r="S2">
        <v>1462</v>
      </c>
      <c r="T2">
        <v>184</v>
      </c>
      <c r="U2">
        <v>142</v>
      </c>
      <c r="V2" s="2" t="s">
        <v>17</v>
      </c>
      <c r="W2" s="2" t="s">
        <v>17</v>
      </c>
      <c r="X2">
        <v>100</v>
      </c>
      <c r="Y2" s="2" t="s">
        <v>17</v>
      </c>
      <c r="AA2" s="2" t="s">
        <v>17</v>
      </c>
      <c r="AB2" s="2" t="s">
        <v>96</v>
      </c>
      <c r="AC2" s="2" t="s">
        <v>95</v>
      </c>
    </row>
    <row r="3" spans="1:29" x14ac:dyDescent="0.25">
      <c r="A3" s="2" t="s">
        <v>181</v>
      </c>
      <c r="B3">
        <v>17437</v>
      </c>
      <c r="C3" s="2" t="s">
        <v>16</v>
      </c>
      <c r="D3" s="2" t="s">
        <v>100</v>
      </c>
      <c r="E3">
        <v>2003</v>
      </c>
      <c r="F3" s="2" t="s">
        <v>95</v>
      </c>
      <c r="G3" s="2" t="s">
        <v>17</v>
      </c>
      <c r="H3" s="2" t="s">
        <v>18</v>
      </c>
      <c r="I3">
        <v>1.1735599999999999</v>
      </c>
      <c r="J3">
        <v>12</v>
      </c>
      <c r="K3">
        <v>12</v>
      </c>
      <c r="S3">
        <v>12</v>
      </c>
      <c r="V3" s="2" t="s">
        <v>17</v>
      </c>
      <c r="W3" s="2" t="s">
        <v>17</v>
      </c>
      <c r="X3">
        <v>100</v>
      </c>
      <c r="Y3" s="2" t="s">
        <v>17</v>
      </c>
      <c r="AA3" s="2" t="s">
        <v>17</v>
      </c>
      <c r="AB3" s="2" t="s">
        <v>96</v>
      </c>
      <c r="AC3" s="2" t="s">
        <v>95</v>
      </c>
    </row>
    <row r="4" spans="1:29" x14ac:dyDescent="0.25">
      <c r="A4" s="2" t="s">
        <v>182</v>
      </c>
      <c r="B4">
        <v>17454</v>
      </c>
      <c r="C4" s="2" t="s">
        <v>16</v>
      </c>
      <c r="D4" s="2" t="s">
        <v>100</v>
      </c>
      <c r="E4">
        <v>2010</v>
      </c>
      <c r="F4" s="2" t="s">
        <v>95</v>
      </c>
      <c r="G4" s="2" t="s">
        <v>17</v>
      </c>
      <c r="H4" s="2" t="s">
        <v>112</v>
      </c>
      <c r="I4">
        <v>0.95097699999999996</v>
      </c>
      <c r="J4">
        <v>1054</v>
      </c>
      <c r="K4">
        <v>559</v>
      </c>
      <c r="L4">
        <v>70</v>
      </c>
      <c r="M4">
        <v>50</v>
      </c>
      <c r="N4">
        <v>166</v>
      </c>
      <c r="O4">
        <v>77</v>
      </c>
      <c r="P4">
        <v>22</v>
      </c>
      <c r="R4">
        <v>110</v>
      </c>
      <c r="S4">
        <v>521</v>
      </c>
      <c r="T4">
        <v>187</v>
      </c>
      <c r="U4">
        <v>346</v>
      </c>
      <c r="V4" s="2" t="s">
        <v>17</v>
      </c>
      <c r="W4" s="2" t="s">
        <v>17</v>
      </c>
      <c r="X4">
        <v>100</v>
      </c>
      <c r="Y4" s="2" t="s">
        <v>17</v>
      </c>
      <c r="AA4" s="2" t="s">
        <v>17</v>
      </c>
      <c r="AB4" s="2" t="s">
        <v>96</v>
      </c>
      <c r="AC4" s="2" t="s">
        <v>95</v>
      </c>
    </row>
    <row r="5" spans="1:29" x14ac:dyDescent="0.25">
      <c r="A5" s="2" t="s">
        <v>182</v>
      </c>
      <c r="B5">
        <v>17454</v>
      </c>
      <c r="C5" s="2" t="s">
        <v>16</v>
      </c>
      <c r="D5" s="2" t="s">
        <v>100</v>
      </c>
      <c r="E5">
        <v>2010</v>
      </c>
      <c r="F5" s="2" t="s">
        <v>95</v>
      </c>
      <c r="G5" s="2" t="s">
        <v>17</v>
      </c>
      <c r="H5" s="2" t="s">
        <v>112</v>
      </c>
      <c r="I5">
        <v>0.95097699999999996</v>
      </c>
      <c r="V5" s="2" t="s">
        <v>17</v>
      </c>
      <c r="W5" s="2" t="s">
        <v>17</v>
      </c>
      <c r="Y5" s="2" t="s">
        <v>17</v>
      </c>
      <c r="AA5" s="2" t="s">
        <v>17</v>
      </c>
      <c r="AB5" s="2" t="s">
        <v>17</v>
      </c>
      <c r="AC5" s="2" t="s">
        <v>17</v>
      </c>
    </row>
    <row r="6" spans="1:29" x14ac:dyDescent="0.25">
      <c r="A6" s="2" t="s">
        <v>183</v>
      </c>
      <c r="B6" t="s">
        <v>175</v>
      </c>
      <c r="C6" s="2" t="s">
        <v>123</v>
      </c>
      <c r="D6" s="2" t="s">
        <v>101</v>
      </c>
      <c r="E6">
        <v>2017</v>
      </c>
      <c r="F6" s="2" t="s">
        <v>95</v>
      </c>
      <c r="G6" s="2" t="s">
        <v>17</v>
      </c>
      <c r="H6" s="2" t="s">
        <v>1</v>
      </c>
      <c r="I6">
        <v>1</v>
      </c>
      <c r="J6">
        <v>291</v>
      </c>
      <c r="K6">
        <v>20</v>
      </c>
      <c r="L6">
        <v>20</v>
      </c>
      <c r="Q6">
        <v>251</v>
      </c>
      <c r="S6">
        <v>291</v>
      </c>
      <c r="V6" s="2" t="s">
        <v>17</v>
      </c>
      <c r="W6" s="2" t="s">
        <v>17</v>
      </c>
      <c r="Y6" s="2" t="s">
        <v>17</v>
      </c>
      <c r="Z6">
        <v>100</v>
      </c>
      <c r="AA6" s="2" t="s">
        <v>17</v>
      </c>
      <c r="AB6" s="2" t="s">
        <v>94</v>
      </c>
      <c r="AC6" s="2" t="s">
        <v>95</v>
      </c>
    </row>
    <row r="7" spans="1:29" x14ac:dyDescent="0.25">
      <c r="A7" s="2" t="s">
        <v>185</v>
      </c>
      <c r="B7">
        <v>17661</v>
      </c>
      <c r="C7" s="2" t="s">
        <v>196</v>
      </c>
      <c r="D7" s="2" t="s">
        <v>101</v>
      </c>
      <c r="E7">
        <v>2014</v>
      </c>
      <c r="F7" s="2" t="s">
        <v>97</v>
      </c>
      <c r="G7" s="2" t="s">
        <v>186</v>
      </c>
      <c r="H7" s="2" t="s">
        <v>112</v>
      </c>
      <c r="I7">
        <v>0.95097699999999996</v>
      </c>
      <c r="V7" s="2" t="s">
        <v>17</v>
      </c>
      <c r="W7" s="2" t="s">
        <v>17</v>
      </c>
      <c r="Y7" s="2" t="s">
        <v>17</v>
      </c>
      <c r="AA7" s="2" t="s">
        <v>17</v>
      </c>
      <c r="AB7" s="2" t="s">
        <v>94</v>
      </c>
      <c r="AC7" s="2" t="s">
        <v>97</v>
      </c>
    </row>
    <row r="8" spans="1:29" x14ac:dyDescent="0.25">
      <c r="A8" s="2" t="s">
        <v>188</v>
      </c>
      <c r="B8" t="s">
        <v>175</v>
      </c>
      <c r="C8" s="2" t="s">
        <v>16</v>
      </c>
      <c r="D8" s="2" t="s">
        <v>100</v>
      </c>
      <c r="E8">
        <v>2010</v>
      </c>
      <c r="F8" s="2" t="s">
        <v>95</v>
      </c>
      <c r="G8" s="2" t="s">
        <v>17</v>
      </c>
      <c r="H8" s="2" t="s">
        <v>112</v>
      </c>
      <c r="I8">
        <v>0.95097699999999996</v>
      </c>
      <c r="V8" s="2" t="s">
        <v>17</v>
      </c>
      <c r="W8" s="2" t="s">
        <v>17</v>
      </c>
      <c r="Y8" s="2" t="s">
        <v>17</v>
      </c>
      <c r="AA8" s="2" t="s">
        <v>17</v>
      </c>
      <c r="AB8" s="2" t="s">
        <v>17</v>
      </c>
      <c r="AC8" s="2" t="s">
        <v>17</v>
      </c>
    </row>
    <row r="9" spans="1:29" x14ac:dyDescent="0.25">
      <c r="A9" s="2" t="s">
        <v>189</v>
      </c>
      <c r="B9" t="s">
        <v>175</v>
      </c>
      <c r="C9" s="2" t="s">
        <v>16</v>
      </c>
      <c r="D9" s="2" t="s">
        <v>100</v>
      </c>
      <c r="E9">
        <v>2017</v>
      </c>
      <c r="F9" s="2" t="s">
        <v>95</v>
      </c>
      <c r="G9" s="2" t="s">
        <v>17</v>
      </c>
      <c r="H9" s="2" t="s">
        <v>1</v>
      </c>
      <c r="I9">
        <v>1</v>
      </c>
      <c r="J9">
        <v>107</v>
      </c>
      <c r="K9">
        <v>7</v>
      </c>
      <c r="R9">
        <v>100</v>
      </c>
      <c r="S9">
        <v>107</v>
      </c>
      <c r="V9" s="2" t="s">
        <v>17</v>
      </c>
      <c r="W9" s="2" t="s">
        <v>17</v>
      </c>
      <c r="Y9" s="2" t="s">
        <v>17</v>
      </c>
      <c r="Z9">
        <v>100</v>
      </c>
      <c r="AA9" s="2" t="s">
        <v>17</v>
      </c>
      <c r="AB9" s="2" t="s">
        <v>96</v>
      </c>
      <c r="AC9" s="2" t="s">
        <v>95</v>
      </c>
    </row>
    <row r="10" spans="1:29" x14ac:dyDescent="0.25">
      <c r="A10" s="2" t="s">
        <v>125</v>
      </c>
      <c r="B10" t="s">
        <v>175</v>
      </c>
      <c r="C10" s="2" t="s">
        <v>16</v>
      </c>
      <c r="D10" s="2" t="s">
        <v>100</v>
      </c>
      <c r="E10">
        <v>2016</v>
      </c>
      <c r="F10" s="2" t="s">
        <v>95</v>
      </c>
      <c r="G10" s="2" t="s">
        <v>17</v>
      </c>
      <c r="H10" s="2" t="s">
        <v>1</v>
      </c>
      <c r="I10">
        <v>1</v>
      </c>
      <c r="J10">
        <v>71</v>
      </c>
      <c r="K10">
        <v>19</v>
      </c>
      <c r="L10">
        <v>11</v>
      </c>
      <c r="R10">
        <v>41</v>
      </c>
      <c r="S10">
        <v>71</v>
      </c>
      <c r="V10" s="2" t="s">
        <v>17</v>
      </c>
      <c r="W10" s="2" t="s">
        <v>17</v>
      </c>
      <c r="Y10" s="2" t="s">
        <v>17</v>
      </c>
      <c r="Z10">
        <v>100</v>
      </c>
      <c r="AA10" s="2" t="s">
        <v>17</v>
      </c>
      <c r="AB10" s="2" t="s">
        <v>96</v>
      </c>
      <c r="AC10" s="2" t="s">
        <v>95</v>
      </c>
    </row>
    <row r="11" spans="1:29" x14ac:dyDescent="0.25">
      <c r="A11" s="2" t="s">
        <v>185</v>
      </c>
      <c r="B11">
        <v>17661</v>
      </c>
      <c r="C11" s="2" t="s">
        <v>196</v>
      </c>
      <c r="D11" s="2" t="s">
        <v>101</v>
      </c>
      <c r="E11">
        <v>2014</v>
      </c>
      <c r="F11" s="2" t="s">
        <v>97</v>
      </c>
      <c r="G11" s="2" t="s">
        <v>190</v>
      </c>
      <c r="H11" s="2" t="s">
        <v>112</v>
      </c>
      <c r="I11">
        <v>0.95097699999999996</v>
      </c>
      <c r="V11" s="2" t="s">
        <v>17</v>
      </c>
      <c r="W11" s="2" t="s">
        <v>17</v>
      </c>
      <c r="Y11" s="2" t="s">
        <v>17</v>
      </c>
      <c r="AA11" s="2" t="s">
        <v>17</v>
      </c>
      <c r="AB11" s="2" t="s">
        <v>96</v>
      </c>
      <c r="AC11" s="2" t="s">
        <v>97</v>
      </c>
    </row>
    <row r="12" spans="1:29" x14ac:dyDescent="0.25">
      <c r="A12" s="2" t="s">
        <v>192</v>
      </c>
      <c r="B12" t="s">
        <v>175</v>
      </c>
      <c r="C12" s="2" t="s">
        <v>197</v>
      </c>
      <c r="D12" s="2" t="s">
        <v>100</v>
      </c>
      <c r="E12">
        <v>2016</v>
      </c>
      <c r="F12" s="2" t="s">
        <v>97</v>
      </c>
      <c r="G12" s="2" t="s">
        <v>17</v>
      </c>
      <c r="H12" s="2" t="s">
        <v>1</v>
      </c>
      <c r="I12">
        <v>1</v>
      </c>
      <c r="V12" s="2" t="s">
        <v>17</v>
      </c>
      <c r="W12" s="2" t="s">
        <v>17</v>
      </c>
      <c r="Y12" s="2" t="s">
        <v>17</v>
      </c>
      <c r="AA12" s="2" t="s">
        <v>17</v>
      </c>
      <c r="AB12" s="2" t="s">
        <v>17</v>
      </c>
      <c r="AC12" s="2" t="s">
        <v>17</v>
      </c>
    </row>
    <row r="13" spans="1:29" x14ac:dyDescent="0.25">
      <c r="A13" s="2"/>
      <c r="C13" s="2"/>
      <c r="D13" s="2"/>
      <c r="F13" s="2"/>
      <c r="G13" s="2"/>
      <c r="H13" s="2"/>
      <c r="V13" s="2"/>
      <c r="W13" s="2"/>
      <c r="Y13" s="2"/>
      <c r="AA13" s="2"/>
      <c r="AB13" s="2"/>
      <c r="AC13"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FB43B7BF9FADC24383D9D34D924723C9" ma:contentTypeVersion="20" ma:contentTypeDescription="Create a new document." ma:contentTypeScope="" ma:versionID="1106c8468eaafddae308e8ae690256e5">
  <xsd:schema xmlns:xsd="http://www.w3.org/2001/XMLSchema" xmlns:xs="http://www.w3.org/2001/XMLSchema" xmlns:p="http://schemas.microsoft.com/office/2006/metadata/properties" xmlns:ns2="61f97334-ae98-4ddf-87ee-81edeebb5d8e" xmlns:ns3="3cacb1fb-8034-49eb-92fa-02e9d9e8c610" targetNamespace="http://schemas.microsoft.com/office/2006/metadata/properties" ma:root="true" ma:fieldsID="510db6c088147b0ee1ad941e8ea23aee" ns2:_="" ns3:_="">
    <xsd:import namespace="61f97334-ae98-4ddf-87ee-81edeebb5d8e"/>
    <xsd:import namespace="3cacb1fb-8034-49eb-92fa-02e9d9e8c61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_Flow_SignoffStatus" minOccurs="0"/>
                <xsd:element ref="ns3:SharedWithUsers" minOccurs="0"/>
                <xsd:element ref="ns3:SharedWithDetails"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f97334-ae98-4ddf-87ee-81edeebb5d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_Flow_SignoffStatus" ma:index="13" nillable="true" ma:displayName="Sign-off status" ma:internalName="_x0024_Resources_x003a_core_x002c_Signoff_Status_x003b_">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78df0fa-3822-4368-8bf3-00f7616829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acb1fb-8034-49eb-92fa-02e9d9e8c61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151472ca-fc9d-4c1c-8c51-4fe053b30565}" ma:internalName="TaxCatchAll" ma:showField="CatchAllData" ma:web="3cacb1fb-8034-49eb-92fa-02e9d9e8c6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61f97334-ae98-4ddf-87ee-81edeebb5d8e" xsi:nil="true"/>
    <TaxCatchAll xmlns="3cacb1fb-8034-49eb-92fa-02e9d9e8c610" xsi:nil="true"/>
    <lcf76f155ced4ddcb4097134ff3c332f xmlns="61f97334-ae98-4ddf-87ee-81edeebb5d8e">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968E6E-3009-4AFC-B5F1-C2813C499012}">
  <ds:schemaRefs>
    <ds:schemaRef ds:uri="http://schemas.microsoft.com/DataMashup"/>
  </ds:schemaRefs>
</ds:datastoreItem>
</file>

<file path=customXml/itemProps2.xml><?xml version="1.0" encoding="utf-8"?>
<ds:datastoreItem xmlns:ds="http://schemas.openxmlformats.org/officeDocument/2006/customXml" ds:itemID="{DD006A6B-8886-4788-A1FD-A31AC8DD2DD1}"/>
</file>

<file path=customXml/itemProps3.xml><?xml version="1.0" encoding="utf-8"?>
<ds:datastoreItem xmlns:ds="http://schemas.openxmlformats.org/officeDocument/2006/customXml" ds:itemID="{CEB0C935-B39D-483E-9B1D-C231C41AC841}">
  <ds:schemaRefs>
    <ds:schemaRef ds:uri="http://schemas.microsoft.com/office/2006/metadata/properties"/>
    <ds:schemaRef ds:uri="http://schemas.microsoft.com/office/infopath/2007/PartnerControls"/>
    <ds:schemaRef ds:uri="61f97334-ae98-4ddf-87ee-81edeebb5d8e"/>
  </ds:schemaRefs>
</ds:datastoreItem>
</file>

<file path=customXml/itemProps4.xml><?xml version="1.0" encoding="utf-8"?>
<ds:datastoreItem xmlns:ds="http://schemas.openxmlformats.org/officeDocument/2006/customXml" ds:itemID="{0B7C0E0A-C9C3-4E9B-ABBC-957E5812A5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DFsmonkeyCompl</vt:lpstr>
      <vt:lpstr>DFanalysis</vt:lpstr>
      <vt:lpstr>df_headers</vt:lpstr>
      <vt:lpstr>df_edited_headers</vt:lpstr>
      <vt:lpstr>FoFsmonkeyCompl</vt:lpstr>
      <vt:lpstr>fof_edited_headers</vt:lpstr>
      <vt:lpstr>fof_headers</vt:lpstr>
      <vt:lpstr>FoFsanalysis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Kalinaki</dc:creator>
  <cp:lastModifiedBy>Elizabeth Kalinaki</cp:lastModifiedBy>
  <dcterms:created xsi:type="dcterms:W3CDTF">2021-03-18T09:48:36Z</dcterms:created>
  <dcterms:modified xsi:type="dcterms:W3CDTF">2021-03-31T14:28:35Z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0x010100FB43B7BF9FADC24383D9D34D924723C9</vt:lpwstr>
  </property>
</Properties>
</file>