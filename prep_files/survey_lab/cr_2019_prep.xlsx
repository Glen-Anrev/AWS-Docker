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customProperty13.bin" ContentType="application/vnd.openxmlformats-officedocument.spreadsheetml.customProperty"/>
  <Override PartName="/xl/customProperty14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rev.sharepoint.com/sites/INREVTeam/Shared Documents/IT/_Data Team/cr_survey/mappings/prep_files/survey_lab/"/>
    </mc:Choice>
  </mc:AlternateContent>
  <xr:revisionPtr revIDLastSave="245" documentId="13_ncr:1_{E8670A0D-D673-436F-AE14-DFAFC5795BAC}" xr6:coauthVersionLast="47" xr6:coauthVersionMax="47" xr10:uidLastSave="{3A81CCCC-E8C5-4F0F-B932-427E4F5FC434}"/>
  <bookViews>
    <workbookView xWindow="41625" yWindow="540" windowWidth="21600" windowHeight="20970" activeTab="1" xr2:uid="{0D0108F1-8187-4B28-A267-702C9EA2A0BE}"/>
  </bookViews>
  <sheets>
    <sheet name="DataCompleted" sheetId="11" r:id="rId1"/>
    <sheet name="cr_2019_question_map" sheetId="13" r:id="rId2"/>
    <sheet name="cr_2019_answer_map" sheetId="14" r:id="rId3"/>
    <sheet name="DataMap" sheetId="12" r:id="rId4"/>
    <sheet name="DataCompletedRaw" sheetId="1" r:id="rId5"/>
    <sheet name="DataMapRaw" sheetId="2" r:id="rId6"/>
    <sheet name="Sheet1" sheetId="6" r:id="rId7"/>
    <sheet name="Sheet3" sheetId="3" r:id="rId8"/>
    <sheet name="Sheet4" sheetId="4" r:id="rId9"/>
    <sheet name="Sheet2" sheetId="7" r:id="rId10"/>
    <sheet name="Sheet5" sheetId="5" r:id="rId11"/>
    <sheet name="Sheet6" sheetId="8" r:id="rId12"/>
  </sheets>
  <externalReferences>
    <externalReference r:id="rId13"/>
    <externalReference r:id="rId14"/>
    <externalReference r:id="rId15"/>
  </externalReferences>
  <definedNames>
    <definedName name="_xlnm._FilterDatabase" localSheetId="0" hidden="1">DataCompleted!$A$1:$AIU$204</definedName>
    <definedName name="_xlnm._FilterDatabase" localSheetId="4" hidden="1">DataCompletedRaw!$A$1:$AIT$204</definedName>
    <definedName name="_xlnm._FilterDatabase" localSheetId="5" hidden="1">DataMapRaw!$A$1:$E$950</definedName>
    <definedName name="_xlnm._FilterDatabase" localSheetId="6" hidden="1">Sheet1!$A$1:$A$931</definedName>
    <definedName name="_xlnm._FilterDatabase" localSheetId="9" hidden="1">Sheet2!$A$1:$A$931</definedName>
    <definedName name="_xlnm._FilterDatabase" localSheetId="7" hidden="1">Sheet3!$A$1:$A$931</definedName>
    <definedName name="_xlnm._FilterDatabase" localSheetId="11" hidden="1">Sheet6!$A$1:$A$931</definedName>
    <definedName name="ExternalData_1" localSheetId="2" hidden="1">'cr_2019_answer_map'!$A$1:$D$42</definedName>
    <definedName name="ExternalData_1" localSheetId="1" hidden="1">'cr_2019_question_map'!$A$1:$L$915</definedName>
    <definedName name="RMITeam">[1]ContactDetails!$B$9:$B$13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" i="11" l="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30" i="11"/>
  <c r="AB31" i="11"/>
  <c r="AB32" i="11"/>
  <c r="AB33" i="11"/>
  <c r="AB34" i="11"/>
  <c r="AB35" i="11"/>
  <c r="AB36" i="11"/>
  <c r="AB37" i="11"/>
  <c r="AB38" i="11"/>
  <c r="AB39" i="11"/>
  <c r="AB40" i="11"/>
  <c r="AB41" i="11"/>
  <c r="AB42" i="11"/>
  <c r="AB43" i="11"/>
  <c r="AB44" i="11"/>
  <c r="AB45" i="11"/>
  <c r="AB46" i="11"/>
  <c r="AB47" i="11"/>
  <c r="AB48" i="11"/>
  <c r="AB49" i="11"/>
  <c r="AB50" i="11"/>
  <c r="AB51" i="11"/>
  <c r="AB52" i="11"/>
  <c r="AB53" i="11"/>
  <c r="AB54" i="11"/>
  <c r="AB55" i="11"/>
  <c r="AB56" i="11"/>
  <c r="AB57" i="11"/>
  <c r="AB58" i="11"/>
  <c r="AB59" i="11"/>
  <c r="AB60" i="11"/>
  <c r="AB61" i="11"/>
  <c r="AB62" i="11"/>
  <c r="AB63" i="11"/>
  <c r="AB64" i="11"/>
  <c r="AB65" i="11"/>
  <c r="AB66" i="11"/>
  <c r="AB68" i="11"/>
  <c r="AB69" i="11"/>
  <c r="AB70" i="11"/>
  <c r="AB71" i="11"/>
  <c r="AB72" i="11"/>
  <c r="AB73" i="11"/>
  <c r="AB74" i="11"/>
  <c r="AB75" i="11"/>
  <c r="AB76" i="11"/>
  <c r="AB77" i="11"/>
  <c r="AB78" i="11"/>
  <c r="AB79" i="11"/>
  <c r="AB80" i="11"/>
  <c r="AB81" i="11"/>
  <c r="AB82" i="11"/>
  <c r="AB83" i="11"/>
  <c r="AB84" i="11"/>
  <c r="AB85" i="11"/>
  <c r="AB86" i="11"/>
  <c r="AB87" i="11"/>
  <c r="AB88" i="11"/>
  <c r="AB89" i="11"/>
  <c r="AB90" i="11"/>
  <c r="AB91" i="11"/>
  <c r="AB92" i="11"/>
  <c r="AB93" i="11"/>
  <c r="AB94" i="11"/>
  <c r="AB95" i="11"/>
  <c r="AB96" i="11"/>
  <c r="AB97" i="11"/>
  <c r="AB98" i="11"/>
  <c r="AB99" i="11"/>
  <c r="AB100" i="11"/>
  <c r="AB101" i="11"/>
  <c r="AB102" i="11"/>
  <c r="AB103" i="11"/>
  <c r="AB104" i="11"/>
  <c r="AB105" i="11"/>
  <c r="AB106" i="11"/>
  <c r="AB107" i="11"/>
  <c r="AB108" i="11"/>
  <c r="AB109" i="11"/>
  <c r="AB110" i="11"/>
  <c r="AB111" i="11"/>
  <c r="AB112" i="11"/>
  <c r="AB113" i="11"/>
  <c r="AB114" i="11"/>
  <c r="AB115" i="11"/>
  <c r="AB116" i="11"/>
  <c r="AB117" i="11"/>
  <c r="AB118" i="11"/>
  <c r="AB119" i="11"/>
  <c r="AB120" i="11"/>
  <c r="AB121" i="11"/>
  <c r="AB122" i="11"/>
  <c r="AB123" i="11"/>
  <c r="AB124" i="11"/>
  <c r="AB125" i="11"/>
  <c r="AB126" i="11"/>
  <c r="AB127" i="11"/>
  <c r="AB128" i="11"/>
  <c r="AB129" i="11"/>
  <c r="AB130" i="11"/>
  <c r="AB131" i="11"/>
  <c r="AB132" i="11"/>
  <c r="AB133" i="11"/>
  <c r="AB134" i="11"/>
  <c r="AB135" i="11"/>
  <c r="AB136" i="11"/>
  <c r="AB137" i="11"/>
  <c r="AB138" i="11"/>
  <c r="AB139" i="11"/>
  <c r="AB140" i="11"/>
  <c r="AB141" i="11"/>
  <c r="AB142" i="11"/>
  <c r="AB143" i="11"/>
  <c r="AB144" i="11"/>
  <c r="AB145" i="11"/>
  <c r="AB146" i="11"/>
  <c r="AB147" i="11"/>
  <c r="AB148" i="11"/>
  <c r="AB149" i="11"/>
  <c r="AB150" i="11"/>
  <c r="AB151" i="11"/>
  <c r="AB152" i="11"/>
  <c r="AB153" i="11"/>
  <c r="AB154" i="11"/>
  <c r="AB155" i="11"/>
  <c r="AB156" i="11"/>
  <c r="AB157" i="11"/>
  <c r="AB159" i="11"/>
  <c r="AB160" i="11"/>
  <c r="AB161" i="11"/>
  <c r="AB162" i="11"/>
  <c r="AB163" i="11"/>
  <c r="AB164" i="11"/>
  <c r="AB165" i="11"/>
  <c r="AB166" i="11"/>
  <c r="AB167" i="11"/>
  <c r="AB168" i="11"/>
  <c r="AB169" i="11"/>
  <c r="AB170" i="11"/>
  <c r="AB171" i="11"/>
  <c r="AB172" i="11"/>
  <c r="AB173" i="11"/>
  <c r="AB174" i="11"/>
  <c r="AB175" i="11"/>
  <c r="AB176" i="11"/>
  <c r="AB177" i="11"/>
  <c r="AB178" i="11"/>
  <c r="AB179" i="11"/>
  <c r="AB180" i="11"/>
  <c r="AB181" i="11"/>
  <c r="AB182" i="11"/>
  <c r="AB183" i="11"/>
  <c r="AB184" i="11"/>
  <c r="AB185" i="11"/>
  <c r="AB186" i="11"/>
  <c r="AB187" i="11"/>
  <c r="AB188" i="11"/>
  <c r="AB189" i="11"/>
  <c r="AB190" i="11"/>
  <c r="AB191" i="11"/>
  <c r="AB192" i="11"/>
  <c r="AB193" i="11"/>
  <c r="AB194" i="11"/>
  <c r="AB195" i="11"/>
  <c r="AB196" i="11"/>
  <c r="AB197" i="11"/>
  <c r="AB198" i="11"/>
  <c r="AB199" i="11"/>
  <c r="AB200" i="11"/>
  <c r="AB201" i="11"/>
  <c r="AB202" i="11"/>
  <c r="AB203" i="11"/>
  <c r="AB204" i="11"/>
  <c r="AB2" i="11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27" i="14"/>
  <c r="IZ216" i="11"/>
  <c r="AE167" i="11"/>
  <c r="AE160" i="11"/>
  <c r="AE131" i="11"/>
  <c r="AE94" i="11"/>
  <c r="AE85" i="11"/>
  <c r="AE76" i="11"/>
  <c r="AE72" i="11"/>
  <c r="IZ63" i="11"/>
  <c r="IY63" i="11"/>
  <c r="AE39" i="11"/>
  <c r="AE16" i="11"/>
  <c r="F908" i="12"/>
  <c r="B844" i="12"/>
  <c r="F843" i="12"/>
  <c r="A843" i="12"/>
  <c r="F800" i="12"/>
  <c r="B737" i="12"/>
  <c r="B738" i="12" s="1"/>
  <c r="B736" i="12"/>
  <c r="A736" i="12"/>
  <c r="F735" i="12"/>
  <c r="A735" i="12"/>
  <c r="F692" i="12"/>
  <c r="B631" i="12"/>
  <c r="B632" i="12" s="1"/>
  <c r="B629" i="12"/>
  <c r="B630" i="12" s="1"/>
  <c r="A630" i="12" s="1"/>
  <c r="B628" i="12"/>
  <c r="A628" i="12"/>
  <c r="F627" i="12"/>
  <c r="A627" i="12"/>
  <c r="F584" i="12"/>
  <c r="A522" i="12"/>
  <c r="B521" i="12"/>
  <c r="B522" i="12" s="1"/>
  <c r="B523" i="12" s="1"/>
  <c r="A521" i="12"/>
  <c r="B520" i="12"/>
  <c r="A520" i="12"/>
  <c r="F519" i="12"/>
  <c r="A519" i="12"/>
  <c r="F476" i="12"/>
  <c r="B412" i="12"/>
  <c r="A412" i="12" s="1"/>
  <c r="F411" i="12"/>
  <c r="A411" i="12"/>
  <c r="F368" i="12"/>
  <c r="B304" i="12"/>
  <c r="A304" i="12" s="1"/>
  <c r="F303" i="12"/>
  <c r="A303" i="12"/>
  <c r="F302" i="12"/>
  <c r="A302" i="12"/>
  <c r="F301" i="12"/>
  <c r="A301" i="12"/>
  <c r="F300" i="12"/>
  <c r="A300" i="12"/>
  <c r="F299" i="12"/>
  <c r="A299" i="12"/>
  <c r="A298" i="12"/>
  <c r="F297" i="12"/>
  <c r="A297" i="12"/>
  <c r="F296" i="12"/>
  <c r="A296" i="12"/>
  <c r="F295" i="12"/>
  <c r="A295" i="12"/>
  <c r="F294" i="12"/>
  <c r="A294" i="12"/>
  <c r="A293" i="12"/>
  <c r="A292" i="12"/>
  <c r="A291" i="12"/>
  <c r="A290" i="12"/>
  <c r="A289" i="12"/>
  <c r="A288" i="12"/>
  <c r="A287" i="12"/>
  <c r="F286" i="12"/>
  <c r="A286" i="12"/>
  <c r="F285" i="12"/>
  <c r="A285" i="12"/>
  <c r="F284" i="12"/>
  <c r="A284" i="12"/>
  <c r="F283" i="12"/>
  <c r="A283" i="12"/>
  <c r="F282" i="12"/>
  <c r="A282" i="12"/>
  <c r="F281" i="12"/>
  <c r="A281" i="12"/>
  <c r="F280" i="12"/>
  <c r="A280" i="12"/>
  <c r="F279" i="12"/>
  <c r="A279" i="12"/>
  <c r="F278" i="12"/>
  <c r="A278" i="12"/>
  <c r="F277" i="12"/>
  <c r="A277" i="12"/>
  <c r="F276" i="12"/>
  <c r="A276" i="12"/>
  <c r="F275" i="12"/>
  <c r="A275" i="12"/>
  <c r="F274" i="12"/>
  <c r="A274" i="12"/>
  <c r="F273" i="12"/>
  <c r="A273" i="12"/>
  <c r="F272" i="12"/>
  <c r="A272" i="12"/>
  <c r="F271" i="12"/>
  <c r="A271" i="12"/>
  <c r="F270" i="12"/>
  <c r="A270" i="12"/>
  <c r="F269" i="12"/>
  <c r="A269" i="12"/>
  <c r="F268" i="12"/>
  <c r="A268" i="12"/>
  <c r="F267" i="12"/>
  <c r="A267" i="12"/>
  <c r="F266" i="12"/>
  <c r="A266" i="12"/>
  <c r="F265" i="12"/>
  <c r="A265" i="12"/>
  <c r="F264" i="12"/>
  <c r="A264" i="12"/>
  <c r="F263" i="12"/>
  <c r="A263" i="12"/>
  <c r="F262" i="12"/>
  <c r="A262" i="12"/>
  <c r="F261" i="12"/>
  <c r="A261" i="12"/>
  <c r="F260" i="12"/>
  <c r="A260" i="12"/>
  <c r="F259" i="12"/>
  <c r="A259" i="12"/>
  <c r="F258" i="12"/>
  <c r="A258" i="12"/>
  <c r="F257" i="12"/>
  <c r="A257" i="12"/>
  <c r="F256" i="12"/>
  <c r="A256" i="12"/>
  <c r="F255" i="12"/>
  <c r="A255" i="12"/>
  <c r="F254" i="12"/>
  <c r="A254" i="12"/>
  <c r="F253" i="12"/>
  <c r="A253" i="12"/>
  <c r="F252" i="12"/>
  <c r="A252" i="12"/>
  <c r="F251" i="12"/>
  <c r="A251" i="12"/>
  <c r="A250" i="12"/>
  <c r="A249" i="12"/>
  <c r="A248" i="12"/>
  <c r="A247" i="12"/>
  <c r="A246" i="12"/>
  <c r="A245" i="12"/>
  <c r="A244" i="12"/>
  <c r="F243" i="12"/>
  <c r="A243" i="12"/>
  <c r="F242" i="12"/>
  <c r="A242" i="12"/>
  <c r="F241" i="12"/>
  <c r="A241" i="12"/>
  <c r="F240" i="12"/>
  <c r="A240" i="12"/>
  <c r="F239" i="12"/>
  <c r="A239" i="12"/>
  <c r="F238" i="12"/>
  <c r="A238" i="12"/>
  <c r="F237" i="12"/>
  <c r="A237" i="12"/>
  <c r="F236" i="12"/>
  <c r="A236" i="12"/>
  <c r="F235" i="12"/>
  <c r="A235" i="12"/>
  <c r="F234" i="12"/>
  <c r="A234" i="12"/>
  <c r="F233" i="12"/>
  <c r="A233" i="12"/>
  <c r="F232" i="12"/>
  <c r="A232" i="12"/>
  <c r="F231" i="12"/>
  <c r="A231" i="12"/>
  <c r="F230" i="12"/>
  <c r="A230" i="12"/>
  <c r="F229" i="12"/>
  <c r="A229" i="12"/>
  <c r="F228" i="12"/>
  <c r="A228" i="12"/>
  <c r="F227" i="12"/>
  <c r="A227" i="12"/>
  <c r="F226" i="12"/>
  <c r="A226" i="12"/>
  <c r="F225" i="12"/>
  <c r="A225" i="12"/>
  <c r="F224" i="12"/>
  <c r="A224" i="12"/>
  <c r="F223" i="12"/>
  <c r="A223" i="12"/>
  <c r="F222" i="12"/>
  <c r="A222" i="12"/>
  <c r="F221" i="12"/>
  <c r="A221" i="12"/>
  <c r="F220" i="12"/>
  <c r="A220" i="12"/>
  <c r="F219" i="12"/>
  <c r="A219" i="12"/>
  <c r="F218" i="12"/>
  <c r="A218" i="12"/>
  <c r="F217" i="12"/>
  <c r="A217" i="12"/>
  <c r="F216" i="12"/>
  <c r="A216" i="12"/>
  <c r="F215" i="12"/>
  <c r="A215" i="12"/>
  <c r="F214" i="12"/>
  <c r="A214" i="12"/>
  <c r="F213" i="12"/>
  <c r="A213" i="12"/>
  <c r="F212" i="12"/>
  <c r="A212" i="12"/>
  <c r="F211" i="12"/>
  <c r="A211" i="12"/>
  <c r="F210" i="12"/>
  <c r="A210" i="12"/>
  <c r="F209" i="12"/>
  <c r="A209" i="12"/>
  <c r="F208" i="12"/>
  <c r="A208" i="12"/>
  <c r="F207" i="12"/>
  <c r="A207" i="12"/>
  <c r="F206" i="12"/>
  <c r="A206" i="12"/>
  <c r="F205" i="12"/>
  <c r="A205" i="12"/>
  <c r="F204" i="12"/>
  <c r="A204" i="12"/>
  <c r="F203" i="12"/>
  <c r="A203" i="12"/>
  <c r="F202" i="12"/>
  <c r="A202" i="12"/>
  <c r="F201" i="12"/>
  <c r="A201" i="12"/>
  <c r="F200" i="12"/>
  <c r="A200" i="12"/>
  <c r="F199" i="12"/>
  <c r="A199" i="12"/>
  <c r="F198" i="12"/>
  <c r="A198" i="12"/>
  <c r="F197" i="12"/>
  <c r="A197" i="12"/>
  <c r="F196" i="12"/>
  <c r="A196" i="12"/>
  <c r="F195" i="12"/>
  <c r="A195" i="12"/>
  <c r="F194" i="12"/>
  <c r="A194" i="12"/>
  <c r="F193" i="12"/>
  <c r="A193" i="12"/>
  <c r="F192" i="12"/>
  <c r="A192" i="12"/>
  <c r="F191" i="12"/>
  <c r="A191" i="12"/>
  <c r="F190" i="12"/>
  <c r="A190" i="12"/>
  <c r="F189" i="12"/>
  <c r="A189" i="12"/>
  <c r="F188" i="12"/>
  <c r="A188" i="12"/>
  <c r="F187" i="12"/>
  <c r="A187" i="12"/>
  <c r="F186" i="12"/>
  <c r="A186" i="12"/>
  <c r="A185" i="12"/>
  <c r="A184" i="12"/>
  <c r="A183" i="12"/>
  <c r="A182" i="12"/>
  <c r="A181" i="12"/>
  <c r="A180" i="12"/>
  <c r="A179" i="12"/>
  <c r="A178" i="12"/>
  <c r="A177" i="12"/>
  <c r="A176" i="12"/>
  <c r="A175" i="12"/>
  <c r="A174" i="12"/>
  <c r="A173" i="12"/>
  <c r="A172" i="12"/>
  <c r="A171" i="12"/>
  <c r="A170" i="12"/>
  <c r="A169" i="12"/>
  <c r="A168" i="12"/>
  <c r="A167" i="12"/>
  <c r="A166" i="12"/>
  <c r="A165" i="12"/>
  <c r="A164" i="12"/>
  <c r="A163" i="12"/>
  <c r="A162" i="12"/>
  <c r="A161" i="12"/>
  <c r="A160" i="12"/>
  <c r="A159" i="12"/>
  <c r="A158" i="12"/>
  <c r="A157" i="12"/>
  <c r="A156" i="12"/>
  <c r="A155" i="12"/>
  <c r="A154" i="12"/>
  <c r="A153" i="12"/>
  <c r="A152" i="12"/>
  <c r="A151" i="12"/>
  <c r="A150" i="12"/>
  <c r="A149" i="12"/>
  <c r="A148" i="12"/>
  <c r="A147" i="12"/>
  <c r="A146" i="12"/>
  <c r="A145" i="12"/>
  <c r="A144" i="12"/>
  <c r="A143" i="12"/>
  <c r="A142" i="12"/>
  <c r="A141" i="12"/>
  <c r="A140" i="12"/>
  <c r="A139" i="12"/>
  <c r="A138" i="12"/>
  <c r="A137" i="12"/>
  <c r="A136" i="12"/>
  <c r="A135" i="12"/>
  <c r="A134" i="12"/>
  <c r="A133" i="12"/>
  <c r="A132" i="12"/>
  <c r="A131" i="12"/>
  <c r="A130" i="12"/>
  <c r="A129" i="12"/>
  <c r="A128" i="12"/>
  <c r="A127" i="12"/>
  <c r="A126" i="12"/>
  <c r="A125" i="12"/>
  <c r="A124" i="12"/>
  <c r="A123" i="12"/>
  <c r="A122" i="12"/>
  <c r="A121" i="12"/>
  <c r="A120" i="12"/>
  <c r="A119" i="12"/>
  <c r="A118" i="12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F100" i="12"/>
  <c r="A100" i="12"/>
  <c r="F99" i="12"/>
  <c r="A99" i="12"/>
  <c r="F98" i="12"/>
  <c r="A98" i="12"/>
  <c r="F97" i="12"/>
  <c r="A97" i="12"/>
  <c r="F96" i="12"/>
  <c r="A96" i="12"/>
  <c r="F95" i="12"/>
  <c r="A95" i="12"/>
  <c r="F94" i="12"/>
  <c r="A94" i="12"/>
  <c r="F93" i="12"/>
  <c r="A93" i="12"/>
  <c r="F92" i="12"/>
  <c r="A92" i="12"/>
  <c r="F91" i="12"/>
  <c r="A91" i="12"/>
  <c r="F90" i="12"/>
  <c r="A90" i="12"/>
  <c r="F89" i="12"/>
  <c r="A89" i="12"/>
  <c r="F88" i="12"/>
  <c r="A88" i="12"/>
  <c r="F87" i="12"/>
  <c r="A87" i="12"/>
  <c r="F86" i="12"/>
  <c r="A86" i="12"/>
  <c r="F85" i="12"/>
  <c r="A85" i="12"/>
  <c r="F84" i="12"/>
  <c r="A84" i="12"/>
  <c r="F83" i="12"/>
  <c r="A83" i="12"/>
  <c r="F82" i="12"/>
  <c r="A82" i="12"/>
  <c r="F81" i="12"/>
  <c r="A81" i="12"/>
  <c r="F80" i="12"/>
  <c r="A80" i="12"/>
  <c r="F79" i="12"/>
  <c r="A79" i="12"/>
  <c r="F78" i="12"/>
  <c r="A78" i="12"/>
  <c r="F77" i="12"/>
  <c r="A77" i="12"/>
  <c r="F76" i="12"/>
  <c r="A76" i="12"/>
  <c r="F75" i="12"/>
  <c r="A75" i="12"/>
  <c r="F74" i="12"/>
  <c r="A74" i="12"/>
  <c r="F73" i="12"/>
  <c r="A73" i="12"/>
  <c r="F72" i="12"/>
  <c r="A72" i="12"/>
  <c r="F71" i="12"/>
  <c r="A71" i="12"/>
  <c r="F70" i="12"/>
  <c r="A70" i="12"/>
  <c r="F69" i="12"/>
  <c r="A69" i="12"/>
  <c r="F68" i="12"/>
  <c r="A68" i="12"/>
  <c r="F67" i="12"/>
  <c r="A67" i="12"/>
  <c r="F66" i="12"/>
  <c r="A66" i="12"/>
  <c r="F65" i="12"/>
  <c r="A65" i="12"/>
  <c r="F64" i="12"/>
  <c r="A64" i="12"/>
  <c r="F63" i="12"/>
  <c r="A63" i="12"/>
  <c r="F62" i="12"/>
  <c r="A62" i="12"/>
  <c r="F61" i="12"/>
  <c r="A61" i="12"/>
  <c r="F60" i="12"/>
  <c r="A60" i="12"/>
  <c r="F59" i="12"/>
  <c r="A59" i="12"/>
  <c r="F58" i="12"/>
  <c r="A58" i="12"/>
  <c r="F57" i="12"/>
  <c r="A57" i="12"/>
  <c r="F56" i="12"/>
  <c r="A56" i="12"/>
  <c r="F55" i="12"/>
  <c r="A55" i="12"/>
  <c r="F54" i="12"/>
  <c r="A54" i="12"/>
  <c r="F53" i="12"/>
  <c r="A53" i="12"/>
  <c r="F52" i="12"/>
  <c r="A52" i="12"/>
  <c r="F51" i="12"/>
  <c r="A51" i="12"/>
  <c r="F50" i="12"/>
  <c r="A50" i="12"/>
  <c r="F49" i="12"/>
  <c r="A49" i="12"/>
  <c r="A48" i="12"/>
  <c r="F47" i="12"/>
  <c r="A47" i="12"/>
  <c r="F46" i="12"/>
  <c r="A46" i="12"/>
  <c r="F45" i="12"/>
  <c r="A45" i="12"/>
  <c r="F44" i="12"/>
  <c r="A44" i="12"/>
  <c r="F43" i="12"/>
  <c r="A43" i="12"/>
  <c r="F42" i="12"/>
  <c r="A42" i="12"/>
  <c r="F41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A3" i="12"/>
  <c r="A2" i="12"/>
  <c r="B633" i="12" l="1"/>
  <c r="A632" i="12"/>
  <c r="B305" i="12"/>
  <c r="B524" i="12"/>
  <c r="A523" i="12"/>
  <c r="B413" i="12"/>
  <c r="A737" i="12"/>
  <c r="B739" i="12"/>
  <c r="A738" i="12"/>
  <c r="A631" i="12"/>
  <c r="B845" i="12"/>
  <c r="A844" i="12"/>
  <c r="A629" i="12"/>
  <c r="B525" i="12" l="1"/>
  <c r="A524" i="12"/>
  <c r="B306" i="12"/>
  <c r="A305" i="12"/>
  <c r="A739" i="12"/>
  <c r="B740" i="12"/>
  <c r="B414" i="12"/>
  <c r="A413" i="12"/>
  <c r="B846" i="12"/>
  <c r="A845" i="12"/>
  <c r="B634" i="12"/>
  <c r="A633" i="12"/>
  <c r="A634" i="12" l="1"/>
  <c r="B635" i="12"/>
  <c r="A846" i="12"/>
  <c r="B847" i="12"/>
  <c r="B526" i="12"/>
  <c r="A525" i="12"/>
  <c r="B307" i="12"/>
  <c r="A306" i="12"/>
  <c r="B415" i="12"/>
  <c r="A414" i="12"/>
  <c r="B741" i="12"/>
  <c r="A740" i="12"/>
  <c r="A635" i="12" l="1"/>
  <c r="B636" i="12"/>
  <c r="A415" i="12"/>
  <c r="B416" i="12"/>
  <c r="B742" i="12"/>
  <c r="A741" i="12"/>
  <c r="B308" i="12"/>
  <c r="A307" i="12"/>
  <c r="B527" i="12"/>
  <c r="A526" i="12"/>
  <c r="A847" i="12"/>
  <c r="B848" i="12"/>
  <c r="B637" i="12" l="1"/>
  <c r="A636" i="12"/>
  <c r="B528" i="12"/>
  <c r="A527" i="12"/>
  <c r="A308" i="12"/>
  <c r="B309" i="12"/>
  <c r="B743" i="12"/>
  <c r="A742" i="12"/>
  <c r="B849" i="12"/>
  <c r="A848" i="12"/>
  <c r="A416" i="12"/>
  <c r="B417" i="12"/>
  <c r="A528" i="12" l="1"/>
  <c r="B529" i="12"/>
  <c r="B850" i="12"/>
  <c r="A849" i="12"/>
  <c r="B638" i="12"/>
  <c r="A637" i="12"/>
  <c r="A743" i="12"/>
  <c r="B744" i="12"/>
  <c r="B310" i="12"/>
  <c r="A309" i="12"/>
  <c r="B418" i="12"/>
  <c r="A417" i="12"/>
  <c r="B419" i="12" l="1"/>
  <c r="A418" i="12"/>
  <c r="B530" i="12"/>
  <c r="A529" i="12"/>
  <c r="B311" i="12"/>
  <c r="A310" i="12"/>
  <c r="B745" i="12"/>
  <c r="A744" i="12"/>
  <c r="A850" i="12"/>
  <c r="B851" i="12"/>
  <c r="B639" i="12"/>
  <c r="A638" i="12"/>
  <c r="B531" i="12" l="1"/>
  <c r="A530" i="12"/>
  <c r="A851" i="12"/>
  <c r="B852" i="12"/>
  <c r="A419" i="12"/>
  <c r="B420" i="12"/>
  <c r="A639" i="12"/>
  <c r="B640" i="12"/>
  <c r="B746" i="12"/>
  <c r="A745" i="12"/>
  <c r="B312" i="12"/>
  <c r="A311" i="12"/>
  <c r="A312" i="12" l="1"/>
  <c r="B313" i="12"/>
  <c r="B641" i="12"/>
  <c r="A640" i="12"/>
  <c r="A420" i="12"/>
  <c r="B421" i="12"/>
  <c r="B853" i="12"/>
  <c r="A852" i="12"/>
  <c r="B747" i="12"/>
  <c r="A746" i="12"/>
  <c r="B532" i="12"/>
  <c r="A531" i="12"/>
  <c r="B533" i="12" l="1"/>
  <c r="A532" i="12"/>
  <c r="B314" i="12"/>
  <c r="A313" i="12"/>
  <c r="A747" i="12"/>
  <c r="B748" i="12"/>
  <c r="B642" i="12"/>
  <c r="A641" i="12"/>
  <c r="B854" i="12"/>
  <c r="A853" i="12"/>
  <c r="B422" i="12"/>
  <c r="A421" i="12"/>
  <c r="B643" i="12" l="1"/>
  <c r="A642" i="12"/>
  <c r="B315" i="12"/>
  <c r="A314" i="12"/>
  <c r="B423" i="12"/>
  <c r="A422" i="12"/>
  <c r="B534" i="12"/>
  <c r="A533" i="12"/>
  <c r="B749" i="12"/>
  <c r="A748" i="12"/>
  <c r="A854" i="12"/>
  <c r="B855" i="12"/>
  <c r="B535" i="12" l="1"/>
  <c r="A534" i="12"/>
  <c r="B750" i="12"/>
  <c r="A749" i="12"/>
  <c r="A423" i="12"/>
  <c r="B424" i="12"/>
  <c r="B316" i="12"/>
  <c r="A315" i="12"/>
  <c r="A643" i="12"/>
  <c r="B644" i="12"/>
  <c r="A855" i="12"/>
  <c r="B856" i="12"/>
  <c r="A316" i="12" l="1"/>
  <c r="B317" i="12"/>
  <c r="B536" i="12"/>
  <c r="A535" i="12"/>
  <c r="B751" i="12"/>
  <c r="A750" i="12"/>
  <c r="A644" i="12"/>
  <c r="B645" i="12"/>
  <c r="A424" i="12"/>
  <c r="B425" i="12"/>
  <c r="B857" i="12"/>
  <c r="A856" i="12"/>
  <c r="A536" i="12" l="1"/>
  <c r="B537" i="12"/>
  <c r="B858" i="12"/>
  <c r="A857" i="12"/>
  <c r="B318" i="12"/>
  <c r="A317" i="12"/>
  <c r="A751" i="12"/>
  <c r="B752" i="12"/>
  <c r="B426" i="12"/>
  <c r="A425" i="12"/>
  <c r="B646" i="12"/>
  <c r="A645" i="12"/>
  <c r="A858" i="12" l="1"/>
  <c r="B859" i="12"/>
  <c r="B427" i="12"/>
  <c r="A426" i="12"/>
  <c r="B538" i="12"/>
  <c r="A537" i="12"/>
  <c r="B753" i="12"/>
  <c r="A752" i="12"/>
  <c r="B319" i="12"/>
  <c r="A318" i="12"/>
  <c r="B647" i="12"/>
  <c r="A646" i="12"/>
  <c r="B648" i="12" l="1"/>
  <c r="A647" i="12"/>
  <c r="B754" i="12"/>
  <c r="A753" i="12"/>
  <c r="A859" i="12"/>
  <c r="B860" i="12"/>
  <c r="B539" i="12"/>
  <c r="A538" i="12"/>
  <c r="A427" i="12"/>
  <c r="B428" i="12"/>
  <c r="B320" i="12"/>
  <c r="A319" i="12"/>
  <c r="B540" i="12" l="1"/>
  <c r="A539" i="12"/>
  <c r="A648" i="12"/>
  <c r="B649" i="12"/>
  <c r="A320" i="12"/>
  <c r="B321" i="12"/>
  <c r="B755" i="12"/>
  <c r="A754" i="12"/>
  <c r="B861" i="12"/>
  <c r="A860" i="12"/>
  <c r="B429" i="12"/>
  <c r="A428" i="12"/>
  <c r="A755" i="12" l="1"/>
  <c r="B756" i="12"/>
  <c r="B322" i="12"/>
  <c r="A321" i="12"/>
  <c r="B650" i="12"/>
  <c r="A649" i="12"/>
  <c r="A429" i="12"/>
  <c r="B430" i="12"/>
  <c r="B862" i="12"/>
  <c r="A861" i="12"/>
  <c r="A540" i="12"/>
  <c r="B541" i="12"/>
  <c r="B431" i="12" l="1"/>
  <c r="A430" i="12"/>
  <c r="B651" i="12"/>
  <c r="A650" i="12"/>
  <c r="B323" i="12"/>
  <c r="A322" i="12"/>
  <c r="A756" i="12"/>
  <c r="B757" i="12"/>
  <c r="B542" i="12"/>
  <c r="A541" i="12"/>
  <c r="A862" i="12"/>
  <c r="B863" i="12"/>
  <c r="B324" i="12" l="1"/>
  <c r="A323" i="12"/>
  <c r="B758" i="12"/>
  <c r="A757" i="12"/>
  <c r="A863" i="12"/>
  <c r="B864" i="12"/>
  <c r="A651" i="12"/>
  <c r="B652" i="12"/>
  <c r="B543" i="12"/>
  <c r="A542" i="12"/>
  <c r="A431" i="12"/>
  <c r="B432" i="12"/>
  <c r="B865" i="12" l="1"/>
  <c r="A864" i="12"/>
  <c r="B653" i="12"/>
  <c r="A652" i="12"/>
  <c r="B759" i="12"/>
  <c r="A758" i="12"/>
  <c r="B433" i="12"/>
  <c r="A432" i="12"/>
  <c r="B544" i="12"/>
  <c r="A543" i="12"/>
  <c r="A324" i="12"/>
  <c r="B325" i="12"/>
  <c r="A759" i="12" l="1"/>
  <c r="B760" i="12"/>
  <c r="B654" i="12"/>
  <c r="A653" i="12"/>
  <c r="B326" i="12"/>
  <c r="A325" i="12"/>
  <c r="B434" i="12"/>
  <c r="A433" i="12"/>
  <c r="A544" i="12"/>
  <c r="B545" i="12"/>
  <c r="B866" i="12"/>
  <c r="A865" i="12"/>
  <c r="B327" i="12" l="1"/>
  <c r="A326" i="12"/>
  <c r="A866" i="12"/>
  <c r="B867" i="12"/>
  <c r="B655" i="12"/>
  <c r="A654" i="12"/>
  <c r="B435" i="12"/>
  <c r="A434" i="12"/>
  <c r="B546" i="12"/>
  <c r="A545" i="12"/>
  <c r="B761" i="12"/>
  <c r="A760" i="12"/>
  <c r="A435" i="12" l="1"/>
  <c r="B436" i="12"/>
  <c r="A867" i="12"/>
  <c r="B868" i="12"/>
  <c r="B762" i="12"/>
  <c r="A761" i="12"/>
  <c r="A655" i="12"/>
  <c r="B656" i="12"/>
  <c r="B547" i="12"/>
  <c r="A546" i="12"/>
  <c r="B328" i="12"/>
  <c r="A327" i="12"/>
  <c r="B763" i="12" l="1"/>
  <c r="A762" i="12"/>
  <c r="B657" i="12"/>
  <c r="A656" i="12"/>
  <c r="B869" i="12"/>
  <c r="A868" i="12"/>
  <c r="A328" i="12"/>
  <c r="B329" i="12"/>
  <c r="B548" i="12"/>
  <c r="A547" i="12"/>
  <c r="B437" i="12"/>
  <c r="A436" i="12"/>
  <c r="B870" i="12" l="1"/>
  <c r="A869" i="12"/>
  <c r="B330" i="12"/>
  <c r="A329" i="12"/>
  <c r="B438" i="12"/>
  <c r="A437" i="12"/>
  <c r="B658" i="12"/>
  <c r="A657" i="12"/>
  <c r="A548" i="12"/>
  <c r="B549" i="12"/>
  <c r="A763" i="12"/>
  <c r="B764" i="12"/>
  <c r="B659" i="12" l="1"/>
  <c r="A658" i="12"/>
  <c r="B765" i="12"/>
  <c r="A764" i="12"/>
  <c r="B439" i="12"/>
  <c r="A438" i="12"/>
  <c r="B331" i="12"/>
  <c r="A330" i="12"/>
  <c r="B550" i="12"/>
  <c r="A549" i="12"/>
  <c r="A870" i="12"/>
  <c r="B871" i="12"/>
  <c r="A439" i="12" l="1"/>
  <c r="B440" i="12"/>
  <c r="B766" i="12"/>
  <c r="A765" i="12"/>
  <c r="B332" i="12"/>
  <c r="A331" i="12"/>
  <c r="A871" i="12"/>
  <c r="B872" i="12"/>
  <c r="B551" i="12"/>
  <c r="A550" i="12"/>
  <c r="A659" i="12"/>
  <c r="B660" i="12"/>
  <c r="A332" i="12" l="1"/>
  <c r="B333" i="12"/>
  <c r="B767" i="12"/>
  <c r="A766" i="12"/>
  <c r="A440" i="12"/>
  <c r="B441" i="12"/>
  <c r="B873" i="12"/>
  <c r="A872" i="12"/>
  <c r="A660" i="12"/>
  <c r="B661" i="12"/>
  <c r="B552" i="12"/>
  <c r="A551" i="12"/>
  <c r="B874" i="12" l="1"/>
  <c r="A873" i="12"/>
  <c r="B442" i="12"/>
  <c r="A441" i="12"/>
  <c r="A552" i="12"/>
  <c r="B553" i="12"/>
  <c r="A767" i="12"/>
  <c r="B768" i="12"/>
  <c r="B662" i="12"/>
  <c r="A661" i="12"/>
  <c r="B334" i="12"/>
  <c r="A333" i="12"/>
  <c r="B554" i="12" l="1"/>
  <c r="A553" i="12"/>
  <c r="B443" i="12"/>
  <c r="A442" i="12"/>
  <c r="A768" i="12"/>
  <c r="B769" i="12"/>
  <c r="B335" i="12"/>
  <c r="A334" i="12"/>
  <c r="B663" i="12"/>
  <c r="A662" i="12"/>
  <c r="A874" i="12"/>
  <c r="B875" i="12"/>
  <c r="B770" i="12" l="1"/>
  <c r="A769" i="12"/>
  <c r="A443" i="12"/>
  <c r="B444" i="12"/>
  <c r="A875" i="12"/>
  <c r="B876" i="12"/>
  <c r="B336" i="12"/>
  <c r="A335" i="12"/>
  <c r="A663" i="12"/>
  <c r="B664" i="12"/>
  <c r="B555" i="12"/>
  <c r="A554" i="12"/>
  <c r="A336" i="12" l="1"/>
  <c r="B337" i="12"/>
  <c r="B877" i="12"/>
  <c r="A876" i="12"/>
  <c r="B556" i="12"/>
  <c r="A555" i="12"/>
  <c r="B445" i="12"/>
  <c r="A444" i="12"/>
  <c r="B665" i="12"/>
  <c r="A664" i="12"/>
  <c r="B771" i="12"/>
  <c r="A770" i="12"/>
  <c r="A445" i="12" l="1"/>
  <c r="B446" i="12"/>
  <c r="A556" i="12"/>
  <c r="B557" i="12"/>
  <c r="B878" i="12"/>
  <c r="A877" i="12"/>
  <c r="A771" i="12"/>
  <c r="B772" i="12"/>
  <c r="B338" i="12"/>
  <c r="A337" i="12"/>
  <c r="B666" i="12"/>
  <c r="A665" i="12"/>
  <c r="B773" i="12" l="1"/>
  <c r="A772" i="12"/>
  <c r="A878" i="12"/>
  <c r="B879" i="12"/>
  <c r="B558" i="12"/>
  <c r="A557" i="12"/>
  <c r="B667" i="12"/>
  <c r="A666" i="12"/>
  <c r="B447" i="12"/>
  <c r="A446" i="12"/>
  <c r="B339" i="12"/>
  <c r="A338" i="12"/>
  <c r="B774" i="12" l="1"/>
  <c r="A773" i="12"/>
  <c r="A667" i="12"/>
  <c r="B668" i="12"/>
  <c r="B559" i="12"/>
  <c r="A558" i="12"/>
  <c r="A447" i="12"/>
  <c r="B448" i="12"/>
  <c r="A879" i="12"/>
  <c r="B880" i="12"/>
  <c r="B340" i="12"/>
  <c r="A339" i="12"/>
  <c r="A340" i="12" l="1"/>
  <c r="B341" i="12"/>
  <c r="B881" i="12"/>
  <c r="A880" i="12"/>
  <c r="B449" i="12"/>
  <c r="A448" i="12"/>
  <c r="B560" i="12"/>
  <c r="A559" i="12"/>
  <c r="B669" i="12"/>
  <c r="A668" i="12"/>
  <c r="B775" i="12"/>
  <c r="A774" i="12"/>
  <c r="A560" i="12" l="1"/>
  <c r="B561" i="12"/>
  <c r="B450" i="12"/>
  <c r="A449" i="12"/>
  <c r="B342" i="12"/>
  <c r="A341" i="12"/>
  <c r="A775" i="12"/>
  <c r="B776" i="12"/>
  <c r="B882" i="12"/>
  <c r="A881" i="12"/>
  <c r="B670" i="12"/>
  <c r="A669" i="12"/>
  <c r="B777" i="12" l="1"/>
  <c r="A776" i="12"/>
  <c r="B451" i="12"/>
  <c r="A450" i="12"/>
  <c r="B343" i="12"/>
  <c r="A342" i="12"/>
  <c r="B671" i="12"/>
  <c r="A670" i="12"/>
  <c r="B562" i="12"/>
  <c r="A561" i="12"/>
  <c r="A882" i="12"/>
  <c r="B883" i="12"/>
  <c r="A671" i="12" l="1"/>
  <c r="B672" i="12"/>
  <c r="B344" i="12"/>
  <c r="A343" i="12"/>
  <c r="A883" i="12"/>
  <c r="B884" i="12"/>
  <c r="A451" i="12"/>
  <c r="B452" i="12"/>
  <c r="B563" i="12"/>
  <c r="A562" i="12"/>
  <c r="B778" i="12"/>
  <c r="A777" i="12"/>
  <c r="B453" i="12" l="1"/>
  <c r="A452" i="12"/>
  <c r="B885" i="12"/>
  <c r="A884" i="12"/>
  <c r="A344" i="12"/>
  <c r="B345" i="12"/>
  <c r="A672" i="12"/>
  <c r="B673" i="12"/>
  <c r="B779" i="12"/>
  <c r="A778" i="12"/>
  <c r="B564" i="12"/>
  <c r="A563" i="12"/>
  <c r="B674" i="12" l="1"/>
  <c r="A673" i="12"/>
  <c r="B886" i="12"/>
  <c r="A885" i="12"/>
  <c r="B346" i="12"/>
  <c r="A345" i="12"/>
  <c r="A564" i="12"/>
  <c r="B565" i="12"/>
  <c r="A779" i="12"/>
  <c r="B780" i="12"/>
  <c r="B454" i="12"/>
  <c r="A453" i="12"/>
  <c r="B566" i="12" l="1"/>
  <c r="A565" i="12"/>
  <c r="B347" i="12"/>
  <c r="A346" i="12"/>
  <c r="A886" i="12"/>
  <c r="B887" i="12"/>
  <c r="B781" i="12"/>
  <c r="A780" i="12"/>
  <c r="B455" i="12"/>
  <c r="A454" i="12"/>
  <c r="B675" i="12"/>
  <c r="A674" i="12"/>
  <c r="A887" i="12" l="1"/>
  <c r="B888" i="12"/>
  <c r="B782" i="12"/>
  <c r="A781" i="12"/>
  <c r="B348" i="12"/>
  <c r="A347" i="12"/>
  <c r="A675" i="12"/>
  <c r="B676" i="12"/>
  <c r="A455" i="12"/>
  <c r="B456" i="12"/>
  <c r="B567" i="12"/>
  <c r="A566" i="12"/>
  <c r="B677" i="12" l="1"/>
  <c r="A676" i="12"/>
  <c r="A348" i="12"/>
  <c r="B349" i="12"/>
  <c r="B568" i="12"/>
  <c r="A567" i="12"/>
  <c r="B783" i="12"/>
  <c r="A782" i="12"/>
  <c r="A456" i="12"/>
  <c r="B457" i="12"/>
  <c r="B889" i="12"/>
  <c r="A888" i="12"/>
  <c r="A568" i="12" l="1"/>
  <c r="B569" i="12"/>
  <c r="B350" i="12"/>
  <c r="A349" i="12"/>
  <c r="B890" i="12"/>
  <c r="A889" i="12"/>
  <c r="B458" i="12"/>
  <c r="A457" i="12"/>
  <c r="A783" i="12"/>
  <c r="B784" i="12"/>
  <c r="B678" i="12"/>
  <c r="A677" i="12"/>
  <c r="A890" i="12" l="1"/>
  <c r="B891" i="12"/>
  <c r="B459" i="12"/>
  <c r="A458" i="12"/>
  <c r="B351" i="12"/>
  <c r="A350" i="12"/>
  <c r="B679" i="12"/>
  <c r="A678" i="12"/>
  <c r="B785" i="12"/>
  <c r="A784" i="12"/>
  <c r="B570" i="12"/>
  <c r="A569" i="12"/>
  <c r="B352" i="12" l="1"/>
  <c r="A351" i="12"/>
  <c r="A679" i="12"/>
  <c r="B680" i="12"/>
  <c r="B571" i="12"/>
  <c r="A570" i="12"/>
  <c r="A459" i="12"/>
  <c r="B460" i="12"/>
  <c r="A891" i="12"/>
  <c r="B892" i="12"/>
  <c r="B786" i="12"/>
  <c r="A785" i="12"/>
  <c r="B461" i="12" l="1"/>
  <c r="A460" i="12"/>
  <c r="B572" i="12"/>
  <c r="A571" i="12"/>
  <c r="B681" i="12"/>
  <c r="A680" i="12"/>
  <c r="B787" i="12"/>
  <c r="A786" i="12"/>
  <c r="B893" i="12"/>
  <c r="A892" i="12"/>
  <c r="A352" i="12"/>
  <c r="B353" i="12"/>
  <c r="A787" i="12" l="1"/>
  <c r="B788" i="12"/>
  <c r="B682" i="12"/>
  <c r="A681" i="12"/>
  <c r="B354" i="12"/>
  <c r="A353" i="12"/>
  <c r="A572" i="12"/>
  <c r="B573" i="12"/>
  <c r="B894" i="12"/>
  <c r="A893" i="12"/>
  <c r="A461" i="12"/>
  <c r="B462" i="12"/>
  <c r="B574" i="12" l="1"/>
  <c r="A573" i="12"/>
  <c r="B355" i="12"/>
  <c r="A354" i="12"/>
  <c r="B463" i="12"/>
  <c r="A462" i="12"/>
  <c r="B683" i="12"/>
  <c r="A682" i="12"/>
  <c r="A788" i="12"/>
  <c r="B789" i="12"/>
  <c r="A894" i="12"/>
  <c r="B895" i="12"/>
  <c r="A683" i="12" l="1"/>
  <c r="B684" i="12"/>
  <c r="A463" i="12"/>
  <c r="B464" i="12"/>
  <c r="A895" i="12"/>
  <c r="B896" i="12"/>
  <c r="B356" i="12"/>
  <c r="A355" i="12"/>
  <c r="B790" i="12"/>
  <c r="A789" i="12"/>
  <c r="B575" i="12"/>
  <c r="A574" i="12"/>
  <c r="A356" i="12" l="1"/>
  <c r="B357" i="12"/>
  <c r="B897" i="12"/>
  <c r="A896" i="12"/>
  <c r="B465" i="12"/>
  <c r="A464" i="12"/>
  <c r="A684" i="12"/>
  <c r="B685" i="12"/>
  <c r="B576" i="12"/>
  <c r="A575" i="12"/>
  <c r="B791" i="12"/>
  <c r="A790" i="12"/>
  <c r="B466" i="12" l="1"/>
  <c r="A465" i="12"/>
  <c r="A791" i="12"/>
  <c r="B792" i="12"/>
  <c r="B898" i="12"/>
  <c r="A897" i="12"/>
  <c r="B686" i="12"/>
  <c r="A685" i="12"/>
  <c r="B358" i="12"/>
  <c r="A357" i="12"/>
  <c r="A576" i="12"/>
  <c r="B577" i="12"/>
  <c r="A898" i="12" l="1"/>
  <c r="B899" i="12"/>
  <c r="B793" i="12"/>
  <c r="A792" i="12"/>
  <c r="B687" i="12"/>
  <c r="A686" i="12"/>
  <c r="B578" i="12"/>
  <c r="A577" i="12"/>
  <c r="B359" i="12"/>
  <c r="A358" i="12"/>
  <c r="B467" i="12"/>
  <c r="A466" i="12"/>
  <c r="B579" i="12" l="1"/>
  <c r="A578" i="12"/>
  <c r="A687" i="12"/>
  <c r="B688" i="12"/>
  <c r="A467" i="12"/>
  <c r="B468" i="12"/>
  <c r="B794" i="12"/>
  <c r="A793" i="12"/>
  <c r="A899" i="12"/>
  <c r="B900" i="12"/>
  <c r="B360" i="12"/>
  <c r="A359" i="12"/>
  <c r="B469" i="12" l="1"/>
  <c r="A468" i="12"/>
  <c r="B689" i="12"/>
  <c r="A688" i="12"/>
  <c r="B795" i="12"/>
  <c r="A794" i="12"/>
  <c r="A360" i="12"/>
  <c r="B361" i="12"/>
  <c r="B901" i="12"/>
  <c r="A900" i="12"/>
  <c r="B580" i="12"/>
  <c r="A579" i="12"/>
  <c r="B362" i="12" l="1"/>
  <c r="A361" i="12"/>
  <c r="A795" i="12"/>
  <c r="B796" i="12"/>
  <c r="B690" i="12"/>
  <c r="A689" i="12"/>
  <c r="A580" i="12"/>
  <c r="B581" i="12"/>
  <c r="B902" i="12"/>
  <c r="A901" i="12"/>
  <c r="B470" i="12"/>
  <c r="A469" i="12"/>
  <c r="B582" i="12" l="1"/>
  <c r="A581" i="12"/>
  <c r="B691" i="12"/>
  <c r="A690" i="12"/>
  <c r="B797" i="12"/>
  <c r="A796" i="12"/>
  <c r="B471" i="12"/>
  <c r="A470" i="12"/>
  <c r="A902" i="12"/>
  <c r="B903" i="12"/>
  <c r="B363" i="12"/>
  <c r="A362" i="12"/>
  <c r="B798" i="12" l="1"/>
  <c r="A797" i="12"/>
  <c r="B364" i="12"/>
  <c r="A363" i="12"/>
  <c r="A691" i="12"/>
  <c r="B692" i="12"/>
  <c r="A903" i="12"/>
  <c r="B904" i="12"/>
  <c r="A471" i="12"/>
  <c r="B472" i="12"/>
  <c r="B583" i="12"/>
  <c r="A582" i="12"/>
  <c r="A692" i="12" l="1"/>
  <c r="B693" i="12"/>
  <c r="A364" i="12"/>
  <c r="B365" i="12"/>
  <c r="A472" i="12"/>
  <c r="B473" i="12"/>
  <c r="B905" i="12"/>
  <c r="A904" i="12"/>
  <c r="B584" i="12"/>
  <c r="A583" i="12"/>
  <c r="B799" i="12"/>
  <c r="A798" i="12"/>
  <c r="B366" i="12" l="1"/>
  <c r="A365" i="12"/>
  <c r="B906" i="12"/>
  <c r="A905" i="12"/>
  <c r="B474" i="12"/>
  <c r="A473" i="12"/>
  <c r="B694" i="12"/>
  <c r="A693" i="12"/>
  <c r="A799" i="12"/>
  <c r="B800" i="12"/>
  <c r="A584" i="12"/>
  <c r="B585" i="12"/>
  <c r="A694" i="12" l="1"/>
  <c r="B695" i="12"/>
  <c r="B475" i="12"/>
  <c r="A474" i="12"/>
  <c r="A906" i="12"/>
  <c r="B907" i="12"/>
  <c r="B586" i="12"/>
  <c r="A585" i="12"/>
  <c r="B801" i="12"/>
  <c r="A800" i="12"/>
  <c r="B367" i="12"/>
  <c r="A366" i="12"/>
  <c r="B587" i="12" l="1"/>
  <c r="A586" i="12"/>
  <c r="A907" i="12"/>
  <c r="B908" i="12"/>
  <c r="B368" i="12"/>
  <c r="A367" i="12"/>
  <c r="A475" i="12"/>
  <c r="B476" i="12"/>
  <c r="A695" i="12"/>
  <c r="B696" i="12"/>
  <c r="B802" i="12"/>
  <c r="A801" i="12"/>
  <c r="A476" i="12" l="1"/>
  <c r="B477" i="12"/>
  <c r="A368" i="12"/>
  <c r="B369" i="12"/>
  <c r="B909" i="12"/>
  <c r="A908" i="12"/>
  <c r="B697" i="12"/>
  <c r="A696" i="12"/>
  <c r="A802" i="12"/>
  <c r="B803" i="12"/>
  <c r="A587" i="12"/>
  <c r="B588" i="12"/>
  <c r="B910" i="12" l="1"/>
  <c r="A909" i="12"/>
  <c r="A588" i="12"/>
  <c r="B589" i="12"/>
  <c r="B370" i="12"/>
  <c r="A369" i="12"/>
  <c r="B698" i="12"/>
  <c r="A697" i="12"/>
  <c r="A803" i="12"/>
  <c r="B804" i="12"/>
  <c r="B478" i="12"/>
  <c r="A477" i="12"/>
  <c r="B371" i="12" l="1"/>
  <c r="A370" i="12"/>
  <c r="B590" i="12"/>
  <c r="A589" i="12"/>
  <c r="B479" i="12"/>
  <c r="A478" i="12"/>
  <c r="A698" i="12"/>
  <c r="B699" i="12"/>
  <c r="B805" i="12"/>
  <c r="A804" i="12"/>
  <c r="A910" i="12"/>
  <c r="B911" i="12"/>
  <c r="A699" i="12" l="1"/>
  <c r="B700" i="12"/>
  <c r="B480" i="12"/>
  <c r="A479" i="12"/>
  <c r="B591" i="12"/>
  <c r="A590" i="12"/>
  <c r="B912" i="12"/>
  <c r="A911" i="12"/>
  <c r="B806" i="12"/>
  <c r="A805" i="12"/>
  <c r="A371" i="12"/>
  <c r="B372" i="12"/>
  <c r="A591" i="12" l="1"/>
  <c r="B592" i="12"/>
  <c r="B913" i="12"/>
  <c r="A912" i="12"/>
  <c r="B481" i="12"/>
  <c r="A480" i="12"/>
  <c r="B701" i="12"/>
  <c r="A700" i="12"/>
  <c r="A372" i="12"/>
  <c r="B373" i="12"/>
  <c r="A806" i="12"/>
  <c r="B807" i="12"/>
  <c r="B482" i="12" l="1"/>
  <c r="A481" i="12"/>
  <c r="B702" i="12"/>
  <c r="A701" i="12"/>
  <c r="B914" i="12"/>
  <c r="A913" i="12"/>
  <c r="B374" i="12"/>
  <c r="A373" i="12"/>
  <c r="A592" i="12"/>
  <c r="B593" i="12"/>
  <c r="A807" i="12"/>
  <c r="B808" i="12"/>
  <c r="B375" i="12" l="1"/>
  <c r="A374" i="12"/>
  <c r="A914" i="12"/>
  <c r="B915" i="12"/>
  <c r="A702" i="12"/>
  <c r="B703" i="12"/>
  <c r="B594" i="12"/>
  <c r="A593" i="12"/>
  <c r="B809" i="12"/>
  <c r="A808" i="12"/>
  <c r="B483" i="12"/>
  <c r="A482" i="12"/>
  <c r="B595" i="12" l="1"/>
  <c r="A594" i="12"/>
  <c r="B916" i="12"/>
  <c r="A915" i="12"/>
  <c r="A703" i="12"/>
  <c r="B704" i="12"/>
  <c r="B484" i="12"/>
  <c r="A483" i="12"/>
  <c r="B810" i="12"/>
  <c r="A809" i="12"/>
  <c r="A375" i="12"/>
  <c r="B376" i="12"/>
  <c r="B705" i="12" l="1"/>
  <c r="A704" i="12"/>
  <c r="B917" i="12"/>
  <c r="A916" i="12"/>
  <c r="A376" i="12"/>
  <c r="B377" i="12"/>
  <c r="B485" i="12"/>
  <c r="A484" i="12"/>
  <c r="A810" i="12"/>
  <c r="B811" i="12"/>
  <c r="A595" i="12"/>
  <c r="B596" i="12"/>
  <c r="B378" i="12" l="1"/>
  <c r="A377" i="12"/>
  <c r="B918" i="12"/>
  <c r="A917" i="12"/>
  <c r="B486" i="12"/>
  <c r="A485" i="12"/>
  <c r="A596" i="12"/>
  <c r="B597" i="12"/>
  <c r="A811" i="12"/>
  <c r="B812" i="12"/>
  <c r="B706" i="12"/>
  <c r="A705" i="12"/>
  <c r="B598" i="12" l="1"/>
  <c r="A597" i="12"/>
  <c r="B487" i="12"/>
  <c r="A486" i="12"/>
  <c r="A706" i="12"/>
  <c r="B707" i="12"/>
  <c r="B813" i="12"/>
  <c r="A812" i="12"/>
  <c r="A918" i="12"/>
  <c r="B919" i="12"/>
  <c r="B379" i="12"/>
  <c r="A378" i="12"/>
  <c r="B814" i="12" l="1"/>
  <c r="A813" i="12"/>
  <c r="A707" i="12"/>
  <c r="B708" i="12"/>
  <c r="A379" i="12"/>
  <c r="B380" i="12"/>
  <c r="B488" i="12"/>
  <c r="A487" i="12"/>
  <c r="B920" i="12"/>
  <c r="A919" i="12"/>
  <c r="B599" i="12"/>
  <c r="A598" i="12"/>
  <c r="B489" i="12" l="1"/>
  <c r="A488" i="12"/>
  <c r="A380" i="12"/>
  <c r="B381" i="12"/>
  <c r="B709" i="12"/>
  <c r="A708" i="12"/>
  <c r="A599" i="12"/>
  <c r="B600" i="12"/>
  <c r="B921" i="12"/>
  <c r="A920" i="12"/>
  <c r="A814" i="12"/>
  <c r="B815" i="12"/>
  <c r="B710" i="12" l="1"/>
  <c r="A709" i="12"/>
  <c r="B382" i="12"/>
  <c r="A381" i="12"/>
  <c r="A600" i="12"/>
  <c r="B601" i="12"/>
  <c r="A815" i="12"/>
  <c r="B816" i="12"/>
  <c r="B922" i="12"/>
  <c r="A921" i="12"/>
  <c r="B490" i="12"/>
  <c r="A489" i="12"/>
  <c r="B602" i="12" l="1"/>
  <c r="A601" i="12"/>
  <c r="B491" i="12"/>
  <c r="A490" i="12"/>
  <c r="B383" i="12"/>
  <c r="A382" i="12"/>
  <c r="B817" i="12"/>
  <c r="A816" i="12"/>
  <c r="A922" i="12"/>
  <c r="B923" i="12"/>
  <c r="A710" i="12"/>
  <c r="B711" i="12"/>
  <c r="B818" i="12" l="1"/>
  <c r="A817" i="12"/>
  <c r="A383" i="12"/>
  <c r="B384" i="12"/>
  <c r="A711" i="12"/>
  <c r="B712" i="12"/>
  <c r="B492" i="12"/>
  <c r="A491" i="12"/>
  <c r="B924" i="12"/>
  <c r="A923" i="12"/>
  <c r="B603" i="12"/>
  <c r="A602" i="12"/>
  <c r="B493" i="12" l="1"/>
  <c r="A492" i="12"/>
  <c r="B713" i="12"/>
  <c r="A712" i="12"/>
  <c r="A384" i="12"/>
  <c r="B385" i="12"/>
  <c r="A603" i="12"/>
  <c r="B604" i="12"/>
  <c r="B925" i="12"/>
  <c r="A924" i="12"/>
  <c r="A818" i="12"/>
  <c r="B819" i="12"/>
  <c r="B386" i="12" l="1"/>
  <c r="A385" i="12"/>
  <c r="B714" i="12"/>
  <c r="A713" i="12"/>
  <c r="A604" i="12"/>
  <c r="B605" i="12"/>
  <c r="A819" i="12"/>
  <c r="B820" i="12"/>
  <c r="B926" i="12"/>
  <c r="A925" i="12"/>
  <c r="B494" i="12"/>
  <c r="A493" i="12"/>
  <c r="B821" i="12" l="1"/>
  <c r="A820" i="12"/>
  <c r="B606" i="12"/>
  <c r="A605" i="12"/>
  <c r="A714" i="12"/>
  <c r="B715" i="12"/>
  <c r="B495" i="12"/>
  <c r="A494" i="12"/>
  <c r="A926" i="12"/>
  <c r="B927" i="12"/>
  <c r="B387" i="12"/>
  <c r="A386" i="12"/>
  <c r="A715" i="12" l="1"/>
  <c r="B716" i="12"/>
  <c r="A387" i="12"/>
  <c r="B388" i="12"/>
  <c r="B607" i="12"/>
  <c r="A606" i="12"/>
  <c r="B496" i="12"/>
  <c r="A495" i="12"/>
  <c r="B928" i="12"/>
  <c r="A927" i="12"/>
  <c r="B822" i="12"/>
  <c r="A821" i="12"/>
  <c r="A607" i="12" l="1"/>
  <c r="B608" i="12"/>
  <c r="A388" i="12"/>
  <c r="B389" i="12"/>
  <c r="B717" i="12"/>
  <c r="A716" i="12"/>
  <c r="A496" i="12"/>
  <c r="B497" i="12"/>
  <c r="A822" i="12"/>
  <c r="B823" i="12"/>
  <c r="B929" i="12"/>
  <c r="A928" i="12"/>
  <c r="B718" i="12" l="1"/>
  <c r="A717" i="12"/>
  <c r="B390" i="12"/>
  <c r="A389" i="12"/>
  <c r="B498" i="12"/>
  <c r="A497" i="12"/>
  <c r="B930" i="12"/>
  <c r="A929" i="12"/>
  <c r="A823" i="12"/>
  <c r="B824" i="12"/>
  <c r="A608" i="12"/>
  <c r="B609" i="12"/>
  <c r="B499" i="12" l="1"/>
  <c r="A498" i="12"/>
  <c r="A930" i="12"/>
  <c r="B931" i="12"/>
  <c r="B391" i="12"/>
  <c r="A390" i="12"/>
  <c r="B610" i="12"/>
  <c r="A609" i="12"/>
  <c r="B825" i="12"/>
  <c r="A824" i="12"/>
  <c r="A718" i="12"/>
  <c r="B719" i="12"/>
  <c r="A391" i="12" l="1"/>
  <c r="B392" i="12"/>
  <c r="B932" i="12"/>
  <c r="A931" i="12"/>
  <c r="B611" i="12"/>
  <c r="A610" i="12"/>
  <c r="A719" i="12"/>
  <c r="B720" i="12"/>
  <c r="B826" i="12"/>
  <c r="A825" i="12"/>
  <c r="B500" i="12"/>
  <c r="A499" i="12"/>
  <c r="B721" i="12" l="1"/>
  <c r="A720" i="12"/>
  <c r="A611" i="12"/>
  <c r="B612" i="12"/>
  <c r="B501" i="12"/>
  <c r="A500" i="12"/>
  <c r="B933" i="12"/>
  <c r="A932" i="12"/>
  <c r="A392" i="12"/>
  <c r="B393" i="12"/>
  <c r="A826" i="12"/>
  <c r="B827" i="12"/>
  <c r="B502" i="12" l="1"/>
  <c r="A501" i="12"/>
  <c r="B934" i="12"/>
  <c r="A933" i="12"/>
  <c r="A612" i="12"/>
  <c r="B613" i="12"/>
  <c r="A827" i="12"/>
  <c r="B828" i="12"/>
  <c r="B394" i="12"/>
  <c r="A393" i="12"/>
  <c r="B722" i="12"/>
  <c r="A721" i="12"/>
  <c r="B829" i="12" l="1"/>
  <c r="A828" i="12"/>
  <c r="B614" i="12"/>
  <c r="A613" i="12"/>
  <c r="A722" i="12"/>
  <c r="B723" i="12"/>
  <c r="A934" i="12"/>
  <c r="B935" i="12"/>
  <c r="B395" i="12"/>
  <c r="A394" i="12"/>
  <c r="A502" i="12"/>
  <c r="B503" i="12"/>
  <c r="A723" i="12" l="1"/>
  <c r="B724" i="12"/>
  <c r="B504" i="12"/>
  <c r="A503" i="12"/>
  <c r="B615" i="12"/>
  <c r="A614" i="12"/>
  <c r="B936" i="12"/>
  <c r="A935" i="12"/>
  <c r="A395" i="12"/>
  <c r="B396" i="12"/>
  <c r="B830" i="12"/>
  <c r="A829" i="12"/>
  <c r="B616" i="12" l="1"/>
  <c r="A615" i="12"/>
  <c r="B937" i="12"/>
  <c r="A936" i="12"/>
  <c r="A830" i="12"/>
  <c r="B831" i="12"/>
  <c r="B505" i="12"/>
  <c r="A504" i="12"/>
  <c r="A396" i="12"/>
  <c r="B397" i="12"/>
  <c r="B725" i="12"/>
  <c r="A724" i="12"/>
  <c r="A831" i="12" l="1"/>
  <c r="B832" i="12"/>
  <c r="B726" i="12"/>
  <c r="A725" i="12"/>
  <c r="B938" i="12"/>
  <c r="A937" i="12"/>
  <c r="B506" i="12"/>
  <c r="A505" i="12"/>
  <c r="B398" i="12"/>
  <c r="A397" i="12"/>
  <c r="A616" i="12"/>
  <c r="B617" i="12"/>
  <c r="A938" i="12" l="1"/>
  <c r="B939" i="12"/>
  <c r="B618" i="12"/>
  <c r="A617" i="12"/>
  <c r="A726" i="12"/>
  <c r="B727" i="12"/>
  <c r="B507" i="12"/>
  <c r="A506" i="12"/>
  <c r="B833" i="12"/>
  <c r="A832" i="12"/>
  <c r="B399" i="12"/>
  <c r="A398" i="12"/>
  <c r="A727" i="12" l="1"/>
  <c r="B728" i="12"/>
  <c r="B508" i="12"/>
  <c r="A507" i="12"/>
  <c r="A399" i="12"/>
  <c r="B400" i="12"/>
  <c r="B619" i="12"/>
  <c r="A618" i="12"/>
  <c r="B940" i="12"/>
  <c r="A939" i="12"/>
  <c r="B834" i="12"/>
  <c r="A833" i="12"/>
  <c r="A400" i="12" l="1"/>
  <c r="B401" i="12"/>
  <c r="B620" i="12"/>
  <c r="A619" i="12"/>
  <c r="A508" i="12"/>
  <c r="B509" i="12"/>
  <c r="B729" i="12"/>
  <c r="A728" i="12"/>
  <c r="A834" i="12"/>
  <c r="B835" i="12"/>
  <c r="B941" i="12"/>
  <c r="A940" i="12"/>
  <c r="B510" i="12" l="1"/>
  <c r="A509" i="12"/>
  <c r="B942" i="12"/>
  <c r="A941" i="12"/>
  <c r="A620" i="12"/>
  <c r="B621" i="12"/>
  <c r="A835" i="12"/>
  <c r="B836" i="12"/>
  <c r="B402" i="12"/>
  <c r="A401" i="12"/>
  <c r="B730" i="12"/>
  <c r="A729" i="12"/>
  <c r="B837" i="12" l="1"/>
  <c r="A836" i="12"/>
  <c r="B622" i="12"/>
  <c r="A621" i="12"/>
  <c r="A942" i="12"/>
  <c r="B943" i="12"/>
  <c r="A730" i="12"/>
  <c r="B731" i="12"/>
  <c r="B403" i="12"/>
  <c r="A402" i="12"/>
  <c r="B511" i="12"/>
  <c r="A510" i="12"/>
  <c r="B944" i="12" l="1"/>
  <c r="A943" i="12"/>
  <c r="A731" i="12"/>
  <c r="B732" i="12"/>
  <c r="B623" i="12"/>
  <c r="A622" i="12"/>
  <c r="B512" i="12"/>
  <c r="A511" i="12"/>
  <c r="A403" i="12"/>
  <c r="B404" i="12"/>
  <c r="B838" i="12"/>
  <c r="A837" i="12"/>
  <c r="B513" i="12" l="1"/>
  <c r="A512" i="12"/>
  <c r="B624" i="12"/>
  <c r="A623" i="12"/>
  <c r="A838" i="12"/>
  <c r="B839" i="12"/>
  <c r="B733" i="12"/>
  <c r="A732" i="12"/>
  <c r="A404" i="12"/>
  <c r="B405" i="12"/>
  <c r="B945" i="12"/>
  <c r="A944" i="12"/>
  <c r="B734" i="12" l="1"/>
  <c r="A734" i="12" s="1"/>
  <c r="A733" i="12"/>
  <c r="A839" i="12"/>
  <c r="B840" i="12"/>
  <c r="B946" i="12"/>
  <c r="A945" i="12"/>
  <c r="B625" i="12"/>
  <c r="A624" i="12"/>
  <c r="B406" i="12"/>
  <c r="A405" i="12"/>
  <c r="B514" i="12"/>
  <c r="A513" i="12"/>
  <c r="B626" i="12" l="1"/>
  <c r="A626" i="12" s="1"/>
  <c r="A625" i="12"/>
  <c r="A946" i="12"/>
  <c r="B947" i="12"/>
  <c r="B841" i="12"/>
  <c r="A840" i="12"/>
  <c r="B515" i="12"/>
  <c r="A514" i="12"/>
  <c r="B407" i="12"/>
  <c r="A406" i="12"/>
  <c r="B842" i="12" l="1"/>
  <c r="A842" i="12" s="1"/>
  <c r="A841" i="12"/>
  <c r="B516" i="12"/>
  <c r="A515" i="12"/>
  <c r="B948" i="12"/>
  <c r="A947" i="12"/>
  <c r="A407" i="12"/>
  <c r="B408" i="12"/>
  <c r="B949" i="12" l="1"/>
  <c r="A948" i="12"/>
  <c r="B517" i="12"/>
  <c r="A516" i="12"/>
  <c r="A408" i="12"/>
  <c r="B409" i="12"/>
  <c r="B410" i="12" l="1"/>
  <c r="A410" i="12" s="1"/>
  <c r="A409" i="12"/>
  <c r="B518" i="12"/>
  <c r="A518" i="12" s="1"/>
  <c r="A517" i="12"/>
  <c r="B950" i="12"/>
  <c r="A950" i="12" s="1"/>
  <c r="A949" i="12"/>
  <c r="F241" i="2" l="1"/>
  <c r="F242" i="2"/>
  <c r="F243" i="2"/>
  <c r="F41" i="2" l="1"/>
  <c r="F42" i="2"/>
  <c r="F43" i="2"/>
  <c r="F44" i="2"/>
  <c r="F45" i="2"/>
  <c r="F46" i="2"/>
  <c r="F47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94" i="2"/>
  <c r="F295" i="2"/>
  <c r="F296" i="2"/>
  <c r="F297" i="2"/>
  <c r="F299" i="2"/>
  <c r="F300" i="2"/>
  <c r="F301" i="2"/>
  <c r="F302" i="2"/>
  <c r="F303" i="2"/>
  <c r="F368" i="2"/>
  <c r="F411" i="2"/>
  <c r="F476" i="2"/>
  <c r="F519" i="2"/>
  <c r="F584" i="2"/>
  <c r="F627" i="2"/>
  <c r="F692" i="2"/>
  <c r="F735" i="2"/>
  <c r="F800" i="2"/>
  <c r="F843" i="2"/>
  <c r="F908" i="2"/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411" i="2"/>
  <c r="A519" i="2"/>
  <c r="A627" i="2"/>
  <c r="A735" i="2"/>
  <c r="A843" i="2"/>
  <c r="A2" i="2"/>
  <c r="B304" i="2"/>
  <c r="A304" i="2" s="1"/>
  <c r="B412" i="2"/>
  <c r="B413" i="2" s="1"/>
  <c r="B520" i="2"/>
  <c r="B521" i="2" s="1"/>
  <c r="B522" i="2" s="1"/>
  <c r="B523" i="2" s="1"/>
  <c r="B524" i="2" s="1"/>
  <c r="B525" i="2" s="1"/>
  <c r="B526" i="2" s="1"/>
  <c r="B527" i="2" s="1"/>
  <c r="B528" i="2" s="1"/>
  <c r="B529" i="2" s="1"/>
  <c r="B530" i="2" s="1"/>
  <c r="B531" i="2" s="1"/>
  <c r="B532" i="2" s="1"/>
  <c r="B533" i="2" s="1"/>
  <c r="B534" i="2" s="1"/>
  <c r="B535" i="2" s="1"/>
  <c r="B536" i="2" s="1"/>
  <c r="B537" i="2" s="1"/>
  <c r="B538" i="2" s="1"/>
  <c r="B539" i="2" s="1"/>
  <c r="B540" i="2" s="1"/>
  <c r="B541" i="2" s="1"/>
  <c r="B542" i="2" s="1"/>
  <c r="B543" i="2" s="1"/>
  <c r="B544" i="2" s="1"/>
  <c r="B545" i="2" s="1"/>
  <c r="B546" i="2" s="1"/>
  <c r="B547" i="2" s="1"/>
  <c r="B548" i="2" s="1"/>
  <c r="B549" i="2" s="1"/>
  <c r="B550" i="2" s="1"/>
  <c r="B551" i="2" s="1"/>
  <c r="B552" i="2" s="1"/>
  <c r="B553" i="2" s="1"/>
  <c r="B554" i="2" s="1"/>
  <c r="B555" i="2" s="1"/>
  <c r="B556" i="2" s="1"/>
  <c r="B557" i="2" s="1"/>
  <c r="B558" i="2" s="1"/>
  <c r="B559" i="2" s="1"/>
  <c r="B560" i="2" s="1"/>
  <c r="B561" i="2" s="1"/>
  <c r="B562" i="2" s="1"/>
  <c r="B563" i="2" s="1"/>
  <c r="B564" i="2" s="1"/>
  <c r="B565" i="2" s="1"/>
  <c r="B566" i="2" s="1"/>
  <c r="B567" i="2" s="1"/>
  <c r="B568" i="2" s="1"/>
  <c r="B569" i="2" s="1"/>
  <c r="B570" i="2" s="1"/>
  <c r="B571" i="2" s="1"/>
  <c r="B572" i="2" s="1"/>
  <c r="B573" i="2" s="1"/>
  <c r="B574" i="2" s="1"/>
  <c r="B575" i="2" s="1"/>
  <c r="B576" i="2" s="1"/>
  <c r="B577" i="2" s="1"/>
  <c r="B578" i="2" s="1"/>
  <c r="B579" i="2" s="1"/>
  <c r="B580" i="2" s="1"/>
  <c r="B581" i="2" s="1"/>
  <c r="B582" i="2" s="1"/>
  <c r="B583" i="2" s="1"/>
  <c r="B584" i="2" s="1"/>
  <c r="B585" i="2" s="1"/>
  <c r="B586" i="2" s="1"/>
  <c r="B587" i="2" s="1"/>
  <c r="B588" i="2" s="1"/>
  <c r="B589" i="2" s="1"/>
  <c r="B590" i="2" s="1"/>
  <c r="B591" i="2" s="1"/>
  <c r="B592" i="2" s="1"/>
  <c r="B593" i="2" s="1"/>
  <c r="B594" i="2" s="1"/>
  <c r="B595" i="2" s="1"/>
  <c r="B596" i="2" s="1"/>
  <c r="B597" i="2" s="1"/>
  <c r="B598" i="2" s="1"/>
  <c r="B599" i="2" s="1"/>
  <c r="B600" i="2" s="1"/>
  <c r="B601" i="2" s="1"/>
  <c r="B602" i="2" s="1"/>
  <c r="B603" i="2" s="1"/>
  <c r="B604" i="2" s="1"/>
  <c r="B605" i="2" s="1"/>
  <c r="B606" i="2" s="1"/>
  <c r="B607" i="2" s="1"/>
  <c r="B608" i="2" s="1"/>
  <c r="B609" i="2" s="1"/>
  <c r="B610" i="2" s="1"/>
  <c r="B611" i="2" s="1"/>
  <c r="B612" i="2" s="1"/>
  <c r="B613" i="2" s="1"/>
  <c r="B614" i="2" s="1"/>
  <c r="B615" i="2" s="1"/>
  <c r="B616" i="2" s="1"/>
  <c r="B617" i="2" s="1"/>
  <c r="B618" i="2" s="1"/>
  <c r="B628" i="2"/>
  <c r="B629" i="2" s="1"/>
  <c r="B736" i="2"/>
  <c r="B844" i="2"/>
  <c r="B845" i="2" s="1"/>
  <c r="B846" i="2" s="1"/>
  <c r="B847" i="2" s="1"/>
  <c r="B848" i="2" s="1"/>
  <c r="B849" i="2" s="1"/>
  <c r="B850" i="2" s="1"/>
  <c r="B851" i="2" s="1"/>
  <c r="B852" i="2" s="1"/>
  <c r="B853" i="2" s="1"/>
  <c r="B854" i="2" s="1"/>
  <c r="B855" i="2" s="1"/>
  <c r="B856" i="2" s="1"/>
  <c r="B857" i="2" s="1"/>
  <c r="B858" i="2" s="1"/>
  <c r="B859" i="2" s="1"/>
  <c r="B860" i="2" s="1"/>
  <c r="B861" i="2" s="1"/>
  <c r="B862" i="2" s="1"/>
  <c r="B863" i="2" s="1"/>
  <c r="B864" i="2" s="1"/>
  <c r="B865" i="2" s="1"/>
  <c r="B866" i="2" s="1"/>
  <c r="B867" i="2" s="1"/>
  <c r="B868" i="2" s="1"/>
  <c r="B869" i="2" s="1"/>
  <c r="B870" i="2" s="1"/>
  <c r="B871" i="2" s="1"/>
  <c r="B872" i="2" s="1"/>
  <c r="B873" i="2" s="1"/>
  <c r="B874" i="2" s="1"/>
  <c r="B875" i="2" s="1"/>
  <c r="B876" i="2" s="1"/>
  <c r="B877" i="2" s="1"/>
  <c r="B878" i="2" s="1"/>
  <c r="B879" i="2" s="1"/>
  <c r="B880" i="2" s="1"/>
  <c r="B881" i="2" s="1"/>
  <c r="B882" i="2" s="1"/>
  <c r="B883" i="2" s="1"/>
  <c r="B884" i="2" s="1"/>
  <c r="B885" i="2" s="1"/>
  <c r="B886" i="2" s="1"/>
  <c r="B887" i="2" s="1"/>
  <c r="B888" i="2" s="1"/>
  <c r="B889" i="2" s="1"/>
  <c r="B890" i="2" s="1"/>
  <c r="B891" i="2" s="1"/>
  <c r="B892" i="2" s="1"/>
  <c r="B893" i="2" s="1"/>
  <c r="B894" i="2" s="1"/>
  <c r="B895" i="2" s="1"/>
  <c r="B896" i="2" s="1"/>
  <c r="B897" i="2" s="1"/>
  <c r="B898" i="2" s="1"/>
  <c r="B899" i="2" s="1"/>
  <c r="B900" i="2" s="1"/>
  <c r="B901" i="2" s="1"/>
  <c r="B902" i="2" s="1"/>
  <c r="B903" i="2" s="1"/>
  <c r="B904" i="2" s="1"/>
  <c r="B905" i="2" s="1"/>
  <c r="B906" i="2" s="1"/>
  <c r="B907" i="2" s="1"/>
  <c r="B908" i="2" s="1"/>
  <c r="B909" i="2" s="1"/>
  <c r="B910" i="2" s="1"/>
  <c r="B911" i="2" s="1"/>
  <c r="B912" i="2" s="1"/>
  <c r="B913" i="2" s="1"/>
  <c r="B914" i="2" s="1"/>
  <c r="B915" i="2" s="1"/>
  <c r="B916" i="2" s="1"/>
  <c r="B917" i="2" s="1"/>
  <c r="B918" i="2" s="1"/>
  <c r="B919" i="2" s="1"/>
  <c r="B920" i="2" s="1"/>
  <c r="B921" i="2" s="1"/>
  <c r="B922" i="2" s="1"/>
  <c r="B923" i="2" s="1"/>
  <c r="B924" i="2" s="1"/>
  <c r="B925" i="2" s="1"/>
  <c r="B926" i="2" s="1"/>
  <c r="B927" i="2" s="1"/>
  <c r="B928" i="2" s="1"/>
  <c r="B929" i="2" s="1"/>
  <c r="B930" i="2" s="1"/>
  <c r="B931" i="2" s="1"/>
  <c r="B932" i="2" s="1"/>
  <c r="B933" i="2" s="1"/>
  <c r="B934" i="2" s="1"/>
  <c r="B935" i="2" s="1"/>
  <c r="B936" i="2" s="1"/>
  <c r="B937" i="2" s="1"/>
  <c r="B938" i="2" s="1"/>
  <c r="B939" i="2" s="1"/>
  <c r="B940" i="2" s="1"/>
  <c r="B941" i="2" s="1"/>
  <c r="B942" i="2" s="1"/>
  <c r="B943" i="2" s="1"/>
  <c r="B944" i="2" s="1"/>
  <c r="B945" i="2" s="1"/>
  <c r="B946" i="2" s="1"/>
  <c r="B947" i="2" s="1"/>
  <c r="B948" i="2" s="1"/>
  <c r="B949" i="2" s="1"/>
  <c r="B950" i="2" s="1"/>
  <c r="A950" i="2" s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2" i="3"/>
  <c r="B291" i="3"/>
  <c r="B292" i="3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8" i="3"/>
  <c r="B399" i="3" s="1"/>
  <c r="B400" i="3" s="1"/>
  <c r="B401" i="3"/>
  <c r="B402" i="3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B463" i="3" s="1"/>
  <c r="B464" i="3" s="1"/>
  <c r="B465" i="3" s="1"/>
  <c r="B466" i="3" s="1"/>
  <c r="B467" i="3" s="1"/>
  <c r="B468" i="3" s="1"/>
  <c r="B469" i="3" s="1"/>
  <c r="B470" i="3" s="1"/>
  <c r="B471" i="3" s="1"/>
  <c r="B472" i="3" s="1"/>
  <c r="B473" i="3" s="1"/>
  <c r="B474" i="3" s="1"/>
  <c r="B475" i="3" s="1"/>
  <c r="B476" i="3" s="1"/>
  <c r="B477" i="3" s="1"/>
  <c r="B478" i="3" s="1"/>
  <c r="B479" i="3" s="1"/>
  <c r="B480" i="3" s="1"/>
  <c r="B481" i="3" s="1"/>
  <c r="B482" i="3" s="1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502" i="3" s="1"/>
  <c r="B503" i="3" s="1"/>
  <c r="B505" i="3"/>
  <c r="B506" i="3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B548" i="3" s="1"/>
  <c r="B549" i="3" s="1"/>
  <c r="B550" i="3" s="1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B562" i="3" s="1"/>
  <c r="B563" i="3" s="1"/>
  <c r="B564" i="3" s="1"/>
  <c r="B565" i="3" s="1"/>
  <c r="B566" i="3" s="1"/>
  <c r="B567" i="3" s="1"/>
  <c r="B568" i="3" s="1"/>
  <c r="B569" i="3" s="1"/>
  <c r="B570" i="3" s="1"/>
  <c r="B571" i="3" s="1"/>
  <c r="B572" i="3" s="1"/>
  <c r="B573" i="3" s="1"/>
  <c r="B574" i="3" s="1"/>
  <c r="B575" i="3" s="1"/>
  <c r="B576" i="3" s="1"/>
  <c r="B577" i="3" s="1"/>
  <c r="B578" i="3" s="1"/>
  <c r="B579" i="3" s="1"/>
  <c r="B580" i="3" s="1"/>
  <c r="B581" i="3" s="1"/>
  <c r="B582" i="3" s="1"/>
  <c r="B583" i="3" s="1"/>
  <c r="B584" i="3" s="1"/>
  <c r="B585" i="3" s="1"/>
  <c r="B586" i="3" s="1"/>
  <c r="B587" i="3" s="1"/>
  <c r="B588" i="3" s="1"/>
  <c r="B589" i="3" s="1"/>
  <c r="B590" i="3" s="1"/>
  <c r="B591" i="3" s="1"/>
  <c r="B592" i="3" s="1"/>
  <c r="B593" i="3" s="1"/>
  <c r="B594" i="3" s="1"/>
  <c r="B595" i="3" s="1"/>
  <c r="B596" i="3" s="1"/>
  <c r="B597" i="3" s="1"/>
  <c r="B598" i="3" s="1"/>
  <c r="B599" i="3" s="1"/>
  <c r="B600" i="3" s="1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2" i="3"/>
  <c r="B613" i="3" s="1"/>
  <c r="B614" i="3"/>
  <c r="B615" i="3"/>
  <c r="B616" i="3" s="1"/>
  <c r="B617" i="3" s="1"/>
  <c r="B618" i="3" s="1"/>
  <c r="B619" i="3" s="1"/>
  <c r="B620" i="3" s="1"/>
  <c r="B621" i="3" s="1"/>
  <c r="B622" i="3" s="1"/>
  <c r="B623" i="3" s="1"/>
  <c r="B624" i="3" s="1"/>
  <c r="B625" i="3" s="1"/>
  <c r="B626" i="3" s="1"/>
  <c r="B627" i="3" s="1"/>
  <c r="B628" i="3" s="1"/>
  <c r="B629" i="3" s="1"/>
  <c r="B630" i="3" s="1"/>
  <c r="B631" i="3" s="1"/>
  <c r="B632" i="3" s="1"/>
  <c r="B633" i="3" s="1"/>
  <c r="B634" i="3" s="1"/>
  <c r="B635" i="3" s="1"/>
  <c r="B636" i="3" s="1"/>
  <c r="B637" i="3" s="1"/>
  <c r="B638" i="3" s="1"/>
  <c r="B639" i="3" s="1"/>
  <c r="B640" i="3" s="1"/>
  <c r="B641" i="3" s="1"/>
  <c r="B642" i="3" s="1"/>
  <c r="B643" i="3" s="1"/>
  <c r="B644" i="3" s="1"/>
  <c r="B645" i="3" s="1"/>
  <c r="B646" i="3" s="1"/>
  <c r="B647" i="3" s="1"/>
  <c r="B648" i="3" s="1"/>
  <c r="B649" i="3" s="1"/>
  <c r="B650" i="3" s="1"/>
  <c r="B651" i="3" s="1"/>
  <c r="B652" i="3" s="1"/>
  <c r="B653" i="3" s="1"/>
  <c r="B654" i="3" s="1"/>
  <c r="B655" i="3" s="1"/>
  <c r="B656" i="3" s="1"/>
  <c r="B657" i="3" s="1"/>
  <c r="B658" i="3" s="1"/>
  <c r="B659" i="3" s="1"/>
  <c r="B660" i="3" s="1"/>
  <c r="B661" i="3" s="1"/>
  <c r="B662" i="3" s="1"/>
  <c r="B663" i="3" s="1"/>
  <c r="B664" i="3" s="1"/>
  <c r="B665" i="3" s="1"/>
  <c r="B666" i="3" s="1"/>
  <c r="B667" i="3" s="1"/>
  <c r="B668" i="3" s="1"/>
  <c r="B669" i="3" s="1"/>
  <c r="B670" i="3" s="1"/>
  <c r="B671" i="3" s="1"/>
  <c r="B672" i="3" s="1"/>
  <c r="B673" i="3" s="1"/>
  <c r="B674" i="3" s="1"/>
  <c r="B675" i="3" s="1"/>
  <c r="B676" i="3" s="1"/>
  <c r="B677" i="3" s="1"/>
  <c r="B678" i="3" s="1"/>
  <c r="B679" i="3" s="1"/>
  <c r="B680" i="3" s="1"/>
  <c r="B681" i="3" s="1"/>
  <c r="B682" i="3" s="1"/>
  <c r="B683" i="3" s="1"/>
  <c r="B684" i="3" s="1"/>
  <c r="B685" i="3" s="1"/>
  <c r="B686" i="3" s="1"/>
  <c r="B687" i="3" s="1"/>
  <c r="B688" i="3" s="1"/>
  <c r="B689" i="3" s="1"/>
  <c r="B690" i="3" s="1"/>
  <c r="B691" i="3" s="1"/>
  <c r="B692" i="3" s="1"/>
  <c r="B693" i="3" s="1"/>
  <c r="B694" i="3" s="1"/>
  <c r="B695" i="3" s="1"/>
  <c r="B696" i="3" s="1"/>
  <c r="B697" i="3" s="1"/>
  <c r="B698" i="3" s="1"/>
  <c r="B699" i="3" s="1"/>
  <c r="B700" i="3" s="1"/>
  <c r="B701" i="3" s="1"/>
  <c r="B702" i="3" s="1"/>
  <c r="B703" i="3" s="1"/>
  <c r="B704" i="3" s="1"/>
  <c r="B705" i="3" s="1"/>
  <c r="B706" i="3" s="1"/>
  <c r="B707" i="3" s="1"/>
  <c r="B708" i="3" s="1"/>
  <c r="B709" i="3" s="1"/>
  <c r="B710" i="3" s="1"/>
  <c r="B711" i="3" s="1"/>
  <c r="B712" i="3" s="1"/>
  <c r="B713" i="3" s="1"/>
  <c r="B714" i="3" s="1"/>
  <c r="B715" i="3" s="1"/>
  <c r="B716" i="3" s="1"/>
  <c r="B717" i="3" s="1"/>
  <c r="B719" i="3"/>
  <c r="B720" i="3" s="1"/>
  <c r="B721" i="3" s="1"/>
  <c r="B722" i="3" s="1"/>
  <c r="B723" i="3" s="1"/>
  <c r="B724" i="3" s="1"/>
  <c r="B725" i="3" s="1"/>
  <c r="B726" i="3" s="1"/>
  <c r="B727" i="3" s="1"/>
  <c r="B728" i="3" s="1"/>
  <c r="B729" i="3" s="1"/>
  <c r="B730" i="3" s="1"/>
  <c r="B731" i="3" s="1"/>
  <c r="B732" i="3" s="1"/>
  <c r="B733" i="3" s="1"/>
  <c r="B734" i="3" s="1"/>
  <c r="B735" i="3" s="1"/>
  <c r="B736" i="3" s="1"/>
  <c r="B737" i="3" s="1"/>
  <c r="B738" i="3" s="1"/>
  <c r="B739" i="3" s="1"/>
  <c r="B740" i="3" s="1"/>
  <c r="B741" i="3" s="1"/>
  <c r="B742" i="3" s="1"/>
  <c r="B743" i="3" s="1"/>
  <c r="B744" i="3" s="1"/>
  <c r="B745" i="3" s="1"/>
  <c r="B746" i="3" s="1"/>
  <c r="B747" i="3" s="1"/>
  <c r="B748" i="3" s="1"/>
  <c r="B749" i="3" s="1"/>
  <c r="B750" i="3" s="1"/>
  <c r="B751" i="3" s="1"/>
  <c r="B752" i="3" s="1"/>
  <c r="B753" i="3" s="1"/>
  <c r="B754" i="3" s="1"/>
  <c r="B755" i="3" s="1"/>
  <c r="B756" i="3" s="1"/>
  <c r="B757" i="3" s="1"/>
  <c r="B758" i="3" s="1"/>
  <c r="B759" i="3" s="1"/>
  <c r="B760" i="3" s="1"/>
  <c r="B761" i="3" s="1"/>
  <c r="B762" i="3" s="1"/>
  <c r="B763" i="3" s="1"/>
  <c r="B764" i="3" s="1"/>
  <c r="B765" i="3" s="1"/>
  <c r="B766" i="3" s="1"/>
  <c r="B767" i="3" s="1"/>
  <c r="B768" i="3" s="1"/>
  <c r="B769" i="3" s="1"/>
  <c r="B770" i="3" s="1"/>
  <c r="B771" i="3" s="1"/>
  <c r="B772" i="3" s="1"/>
  <c r="B773" i="3" s="1"/>
  <c r="B774" i="3" s="1"/>
  <c r="B775" i="3" s="1"/>
  <c r="B776" i="3" s="1"/>
  <c r="B777" i="3" s="1"/>
  <c r="B778" i="3" s="1"/>
  <c r="B779" i="3" s="1"/>
  <c r="B780" i="3" s="1"/>
  <c r="B781" i="3" s="1"/>
  <c r="B782" i="3" s="1"/>
  <c r="B783" i="3" s="1"/>
  <c r="B784" i="3" s="1"/>
  <c r="B785" i="3" s="1"/>
  <c r="B786" i="3" s="1"/>
  <c r="B787" i="3" s="1"/>
  <c r="B788" i="3" s="1"/>
  <c r="B789" i="3" s="1"/>
  <c r="B790" i="3" s="1"/>
  <c r="B791" i="3" s="1"/>
  <c r="B792" i="3" s="1"/>
  <c r="B793" i="3" s="1"/>
  <c r="B794" i="3" s="1"/>
  <c r="B795" i="3" s="1"/>
  <c r="B796" i="3" s="1"/>
  <c r="B797" i="3" s="1"/>
  <c r="B798" i="3" s="1"/>
  <c r="B799" i="3" s="1"/>
  <c r="B800" i="3" s="1"/>
  <c r="B801" i="3" s="1"/>
  <c r="B802" i="3" s="1"/>
  <c r="B803" i="3" s="1"/>
  <c r="B804" i="3" s="1"/>
  <c r="B805" i="3" s="1"/>
  <c r="B806" i="3" s="1"/>
  <c r="B807" i="3" s="1"/>
  <c r="B808" i="3" s="1"/>
  <c r="B809" i="3" s="1"/>
  <c r="B810" i="3" s="1"/>
  <c r="B811" i="3" s="1"/>
  <c r="B812" i="3" s="1"/>
  <c r="B813" i="3" s="1"/>
  <c r="B814" i="3" s="1"/>
  <c r="B815" i="3" s="1"/>
  <c r="B816" i="3" s="1"/>
  <c r="B817" i="3" s="1"/>
  <c r="B818" i="3" s="1"/>
  <c r="B819" i="3" s="1"/>
  <c r="B820" i="3" s="1"/>
  <c r="B821" i="3" s="1"/>
  <c r="B822" i="3" s="1"/>
  <c r="B823" i="3" s="1"/>
  <c r="B824" i="3" s="1"/>
  <c r="B826" i="3"/>
  <c r="B827" i="3" s="1"/>
  <c r="B828" i="3" s="1"/>
  <c r="B829" i="3" s="1"/>
  <c r="B830" i="3" s="1"/>
  <c r="B831" i="3" s="1"/>
  <c r="B832" i="3" s="1"/>
  <c r="B833" i="3" s="1"/>
  <c r="B834" i="3" s="1"/>
  <c r="B835" i="3" s="1"/>
  <c r="B836" i="3" s="1"/>
  <c r="B837" i="3" s="1"/>
  <c r="B838" i="3" s="1"/>
  <c r="B839" i="3" s="1"/>
  <c r="B840" i="3" s="1"/>
  <c r="B841" i="3" s="1"/>
  <c r="B842" i="3" s="1"/>
  <c r="B843" i="3" s="1"/>
  <c r="B844" i="3" s="1"/>
  <c r="B845" i="3" s="1"/>
  <c r="B846" i="3" s="1"/>
  <c r="B847" i="3" s="1"/>
  <c r="B848" i="3" s="1"/>
  <c r="B849" i="3" s="1"/>
  <c r="B850" i="3" s="1"/>
  <c r="B851" i="3" s="1"/>
  <c r="B852" i="3" s="1"/>
  <c r="B853" i="3" s="1"/>
  <c r="B854" i="3" s="1"/>
  <c r="B855" i="3" s="1"/>
  <c r="B856" i="3" s="1"/>
  <c r="B857" i="3" s="1"/>
  <c r="B858" i="3" s="1"/>
  <c r="B859" i="3" s="1"/>
  <c r="B860" i="3" s="1"/>
  <c r="B861" i="3" s="1"/>
  <c r="B862" i="3" s="1"/>
  <c r="B863" i="3" s="1"/>
  <c r="B864" i="3" s="1"/>
  <c r="B865" i="3" s="1"/>
  <c r="B866" i="3" s="1"/>
  <c r="B867" i="3" s="1"/>
  <c r="B868" i="3" s="1"/>
  <c r="B869" i="3" s="1"/>
  <c r="B870" i="3" s="1"/>
  <c r="B871" i="3" s="1"/>
  <c r="B872" i="3" s="1"/>
  <c r="B873" i="3" s="1"/>
  <c r="B874" i="3" s="1"/>
  <c r="B875" i="3" s="1"/>
  <c r="B876" i="3" s="1"/>
  <c r="B877" i="3" s="1"/>
  <c r="B878" i="3" s="1"/>
  <c r="B879" i="3" s="1"/>
  <c r="B880" i="3" s="1"/>
  <c r="B881" i="3" s="1"/>
  <c r="B882" i="3" s="1"/>
  <c r="B883" i="3" s="1"/>
  <c r="B884" i="3" s="1"/>
  <c r="B885" i="3" s="1"/>
  <c r="B886" i="3" s="1"/>
  <c r="B887" i="3" s="1"/>
  <c r="B888" i="3" s="1"/>
  <c r="B889" i="3" s="1"/>
  <c r="B890" i="3" s="1"/>
  <c r="B891" i="3" s="1"/>
  <c r="B892" i="3" s="1"/>
  <c r="B893" i="3" s="1"/>
  <c r="B894" i="3" s="1"/>
  <c r="B895" i="3" s="1"/>
  <c r="B896" i="3" s="1"/>
  <c r="B897" i="3" s="1"/>
  <c r="B898" i="3" s="1"/>
  <c r="B899" i="3" s="1"/>
  <c r="B900" i="3" s="1"/>
  <c r="B901" i="3" s="1"/>
  <c r="B902" i="3" s="1"/>
  <c r="B903" i="3" s="1"/>
  <c r="B904" i="3" s="1"/>
  <c r="B905" i="3" s="1"/>
  <c r="B906" i="3" s="1"/>
  <c r="B907" i="3" s="1"/>
  <c r="B908" i="3" s="1"/>
  <c r="B909" i="3" s="1"/>
  <c r="B910" i="3" s="1"/>
  <c r="B911" i="3" s="1"/>
  <c r="B912" i="3" s="1"/>
  <c r="B913" i="3" s="1"/>
  <c r="B914" i="3" s="1"/>
  <c r="B915" i="3" s="1"/>
  <c r="B916" i="3" s="1"/>
  <c r="B917" i="3" s="1"/>
  <c r="B918" i="3" s="1"/>
  <c r="B919" i="3" s="1"/>
  <c r="B920" i="3" s="1"/>
  <c r="B921" i="3" s="1"/>
  <c r="B922" i="3" s="1"/>
  <c r="B923" i="3" s="1"/>
  <c r="B924" i="3" s="1"/>
  <c r="B925" i="3" s="1"/>
  <c r="B926" i="3" s="1"/>
  <c r="B927" i="3" s="1"/>
  <c r="B928" i="3" s="1"/>
  <c r="B929" i="3" s="1"/>
  <c r="B930" i="3" s="1"/>
  <c r="B931" i="3" s="1"/>
  <c r="IY216" i="1"/>
  <c r="AD167" i="1"/>
  <c r="AD160" i="1"/>
  <c r="AD131" i="1"/>
  <c r="AD94" i="1"/>
  <c r="AD85" i="1"/>
  <c r="AD76" i="1"/>
  <c r="AD72" i="1"/>
  <c r="IY63" i="1"/>
  <c r="IX63" i="1"/>
  <c r="AD39" i="1"/>
  <c r="AD16" i="1"/>
  <c r="A877" i="2" l="1"/>
  <c r="A892" i="2"/>
  <c r="A845" i="2"/>
  <c r="A595" i="2"/>
  <c r="A521" i="2"/>
  <c r="A949" i="2"/>
  <c r="A909" i="2"/>
  <c r="A874" i="2"/>
  <c r="A844" i="2"/>
  <c r="A588" i="2"/>
  <c r="A553" i="2"/>
  <c r="A869" i="2"/>
  <c r="A914" i="2"/>
  <c r="A563" i="2"/>
  <c r="A938" i="2"/>
  <c r="A908" i="2"/>
  <c r="A587" i="2"/>
  <c r="A900" i="2"/>
  <c r="A868" i="2"/>
  <c r="A585" i="2"/>
  <c r="A545" i="2"/>
  <c r="A547" i="2"/>
  <c r="A933" i="2"/>
  <c r="A932" i="2"/>
  <c r="A893" i="2"/>
  <c r="A866" i="2"/>
  <c r="A580" i="2"/>
  <c r="A540" i="2"/>
  <c r="A858" i="2"/>
  <c r="A609" i="2"/>
  <c r="A572" i="2"/>
  <c r="A531" i="2"/>
  <c r="A922" i="2"/>
  <c r="A852" i="2"/>
  <c r="A524" i="2"/>
  <c r="A930" i="2"/>
  <c r="A890" i="2"/>
  <c r="A604" i="2"/>
  <c r="A569" i="2"/>
  <c r="A916" i="2"/>
  <c r="A885" i="2"/>
  <c r="A850" i="2"/>
  <c r="A603" i="2"/>
  <c r="A564" i="2"/>
  <c r="A523" i="2"/>
  <c r="A561" i="2"/>
  <c r="A539" i="2"/>
  <c r="A948" i="2"/>
  <c r="A925" i="2"/>
  <c r="A906" i="2"/>
  <c r="A884" i="2"/>
  <c r="A861" i="2"/>
  <c r="A601" i="2"/>
  <c r="A579" i="2"/>
  <c r="A556" i="2"/>
  <c r="A537" i="2"/>
  <c r="A946" i="2"/>
  <c r="A924" i="2"/>
  <c r="A901" i="2"/>
  <c r="A882" i="2"/>
  <c r="A860" i="2"/>
  <c r="A596" i="2"/>
  <c r="A577" i="2"/>
  <c r="A555" i="2"/>
  <c r="A532" i="2"/>
  <c r="A941" i="2"/>
  <c r="A940" i="2"/>
  <c r="A917" i="2"/>
  <c r="A898" i="2"/>
  <c r="A876" i="2"/>
  <c r="A853" i="2"/>
  <c r="A612" i="2"/>
  <c r="A593" i="2"/>
  <c r="A571" i="2"/>
  <c r="A548" i="2"/>
  <c r="A529" i="2"/>
  <c r="A611" i="2"/>
  <c r="B414" i="2"/>
  <c r="A413" i="2"/>
  <c r="B619" i="2"/>
  <c r="A618" i="2"/>
  <c r="A412" i="2"/>
  <c r="A617" i="2"/>
  <c r="B630" i="2"/>
  <c r="A629" i="2"/>
  <c r="B737" i="2"/>
  <c r="A736" i="2"/>
  <c r="A628" i="2"/>
  <c r="B305" i="2"/>
  <c r="A945" i="2"/>
  <c r="A937" i="2"/>
  <c r="A929" i="2"/>
  <c r="A921" i="2"/>
  <c r="A913" i="2"/>
  <c r="A905" i="2"/>
  <c r="A897" i="2"/>
  <c r="A889" i="2"/>
  <c r="A881" i="2"/>
  <c r="A873" i="2"/>
  <c r="A865" i="2"/>
  <c r="A857" i="2"/>
  <c r="A849" i="2"/>
  <c r="A616" i="2"/>
  <c r="A608" i="2"/>
  <c r="A600" i="2"/>
  <c r="A592" i="2"/>
  <c r="A584" i="2"/>
  <c r="A576" i="2"/>
  <c r="A568" i="2"/>
  <c r="A560" i="2"/>
  <c r="A552" i="2"/>
  <c r="A544" i="2"/>
  <c r="A536" i="2"/>
  <c r="A528" i="2"/>
  <c r="A520" i="2"/>
  <c r="A944" i="2"/>
  <c r="A936" i="2"/>
  <c r="A928" i="2"/>
  <c r="A920" i="2"/>
  <c r="A912" i="2"/>
  <c r="A904" i="2"/>
  <c r="A896" i="2"/>
  <c r="A888" i="2"/>
  <c r="A880" i="2"/>
  <c r="A872" i="2"/>
  <c r="A864" i="2"/>
  <c r="A856" i="2"/>
  <c r="A848" i="2"/>
  <c r="A615" i="2"/>
  <c r="A607" i="2"/>
  <c r="A599" i="2"/>
  <c r="A591" i="2"/>
  <c r="A583" i="2"/>
  <c r="A575" i="2"/>
  <c r="A567" i="2"/>
  <c r="A559" i="2"/>
  <c r="A551" i="2"/>
  <c r="A543" i="2"/>
  <c r="A535" i="2"/>
  <c r="A527" i="2"/>
  <c r="A943" i="2"/>
  <c r="A935" i="2"/>
  <c r="A927" i="2"/>
  <c r="A919" i="2"/>
  <c r="A911" i="2"/>
  <c r="A903" i="2"/>
  <c r="A895" i="2"/>
  <c r="A887" i="2"/>
  <c r="A879" i="2"/>
  <c r="A871" i="2"/>
  <c r="A863" i="2"/>
  <c r="A855" i="2"/>
  <c r="A847" i="2"/>
  <c r="A614" i="2"/>
  <c r="A606" i="2"/>
  <c r="A598" i="2"/>
  <c r="A590" i="2"/>
  <c r="A582" i="2"/>
  <c r="A574" i="2"/>
  <c r="A566" i="2"/>
  <c r="A558" i="2"/>
  <c r="A550" i="2"/>
  <c r="A542" i="2"/>
  <c r="A534" i="2"/>
  <c r="A526" i="2"/>
  <c r="A942" i="2"/>
  <c r="A934" i="2"/>
  <c r="A926" i="2"/>
  <c r="A918" i="2"/>
  <c r="A910" i="2"/>
  <c r="A902" i="2"/>
  <c r="A894" i="2"/>
  <c r="A886" i="2"/>
  <c r="A878" i="2"/>
  <c r="A870" i="2"/>
  <c r="A862" i="2"/>
  <c r="A854" i="2"/>
  <c r="A846" i="2"/>
  <c r="A613" i="2"/>
  <c r="A605" i="2"/>
  <c r="A597" i="2"/>
  <c r="A589" i="2"/>
  <c r="A581" i="2"/>
  <c r="A573" i="2"/>
  <c r="A565" i="2"/>
  <c r="A557" i="2"/>
  <c r="A549" i="2"/>
  <c r="A541" i="2"/>
  <c r="A533" i="2"/>
  <c r="A525" i="2"/>
  <c r="A947" i="2"/>
  <c r="A939" i="2"/>
  <c r="A931" i="2"/>
  <c r="A923" i="2"/>
  <c r="A915" i="2"/>
  <c r="A907" i="2"/>
  <c r="A899" i="2"/>
  <c r="A891" i="2"/>
  <c r="A883" i="2"/>
  <c r="A875" i="2"/>
  <c r="A867" i="2"/>
  <c r="A859" i="2"/>
  <c r="A851" i="2"/>
  <c r="A610" i="2"/>
  <c r="A602" i="2"/>
  <c r="A594" i="2"/>
  <c r="A586" i="2"/>
  <c r="A578" i="2"/>
  <c r="A570" i="2"/>
  <c r="A562" i="2"/>
  <c r="A554" i="2"/>
  <c r="A546" i="2"/>
  <c r="A538" i="2"/>
  <c r="A530" i="2"/>
  <c r="A522" i="2"/>
  <c r="B631" i="2" l="1"/>
  <c r="A630" i="2"/>
  <c r="B738" i="2"/>
  <c r="A737" i="2"/>
  <c r="B415" i="2"/>
  <c r="A414" i="2"/>
  <c r="B306" i="2"/>
  <c r="A305" i="2"/>
  <c r="B620" i="2"/>
  <c r="A619" i="2"/>
  <c r="B621" i="2" l="1"/>
  <c r="A620" i="2"/>
  <c r="B632" i="2"/>
  <c r="A631" i="2"/>
  <c r="B307" i="2"/>
  <c r="A306" i="2"/>
  <c r="B416" i="2"/>
  <c r="A415" i="2"/>
  <c r="B739" i="2"/>
  <c r="A738" i="2"/>
  <c r="B417" i="2" l="1"/>
  <c r="A416" i="2"/>
  <c r="B740" i="2"/>
  <c r="A739" i="2"/>
  <c r="B622" i="2"/>
  <c r="A621" i="2"/>
  <c r="B308" i="2"/>
  <c r="A307" i="2"/>
  <c r="B633" i="2"/>
  <c r="A632" i="2"/>
  <c r="B309" i="2" l="1"/>
  <c r="A308" i="2"/>
  <c r="B634" i="2"/>
  <c r="A633" i="2"/>
  <c r="B623" i="2"/>
  <c r="A622" i="2"/>
  <c r="B741" i="2"/>
  <c r="A740" i="2"/>
  <c r="B418" i="2"/>
  <c r="A417" i="2"/>
  <c r="B419" i="2" l="1"/>
  <c r="A418" i="2"/>
  <c r="B310" i="2"/>
  <c r="A309" i="2"/>
  <c r="B742" i="2"/>
  <c r="A741" i="2"/>
  <c r="B624" i="2"/>
  <c r="A623" i="2"/>
  <c r="B635" i="2"/>
  <c r="A634" i="2"/>
  <c r="B420" i="2" l="1"/>
  <c r="A419" i="2"/>
  <c r="A742" i="2"/>
  <c r="B743" i="2"/>
  <c r="B636" i="2"/>
  <c r="A635" i="2"/>
  <c r="B625" i="2"/>
  <c r="A624" i="2"/>
  <c r="B311" i="2"/>
  <c r="A310" i="2"/>
  <c r="B626" i="2" l="1"/>
  <c r="A626" i="2" s="1"/>
  <c r="A625" i="2"/>
  <c r="B637" i="2"/>
  <c r="A636" i="2"/>
  <c r="B312" i="2"/>
  <c r="A311" i="2"/>
  <c r="B421" i="2"/>
  <c r="A420" i="2"/>
  <c r="B744" i="2"/>
  <c r="A743" i="2"/>
  <c r="B422" i="2" l="1"/>
  <c r="A421" i="2"/>
  <c r="B745" i="2"/>
  <c r="A744" i="2"/>
  <c r="B313" i="2"/>
  <c r="A312" i="2"/>
  <c r="B638" i="2"/>
  <c r="A637" i="2"/>
  <c r="B639" i="2" l="1"/>
  <c r="A638" i="2"/>
  <c r="B423" i="2"/>
  <c r="A422" i="2"/>
  <c r="B314" i="2"/>
  <c r="A313" i="2"/>
  <c r="B746" i="2"/>
  <c r="A745" i="2"/>
  <c r="B747" i="2" l="1"/>
  <c r="A746" i="2"/>
  <c r="B640" i="2"/>
  <c r="A639" i="2"/>
  <c r="B315" i="2"/>
  <c r="A314" i="2"/>
  <c r="B424" i="2"/>
  <c r="A423" i="2"/>
  <c r="B425" i="2" l="1"/>
  <c r="A424" i="2"/>
  <c r="B316" i="2"/>
  <c r="A315" i="2"/>
  <c r="B641" i="2"/>
  <c r="A640" i="2"/>
  <c r="B748" i="2"/>
  <c r="A747" i="2"/>
  <c r="B749" i="2" l="1"/>
  <c r="A748" i="2"/>
  <c r="B642" i="2"/>
  <c r="A641" i="2"/>
  <c r="B317" i="2"/>
  <c r="A316" i="2"/>
  <c r="B426" i="2"/>
  <c r="A425" i="2"/>
  <c r="B427" i="2" l="1"/>
  <c r="A426" i="2"/>
  <c r="B318" i="2"/>
  <c r="A317" i="2"/>
  <c r="B643" i="2"/>
  <c r="A642" i="2"/>
  <c r="B750" i="2"/>
  <c r="A749" i="2"/>
  <c r="B751" i="2" l="1"/>
  <c r="A750" i="2"/>
  <c r="B644" i="2"/>
  <c r="A643" i="2"/>
  <c r="B319" i="2"/>
  <c r="A318" i="2"/>
  <c r="B428" i="2"/>
  <c r="A427" i="2"/>
  <c r="B429" i="2" l="1"/>
  <c r="A428" i="2"/>
  <c r="B320" i="2"/>
  <c r="A319" i="2"/>
  <c r="B645" i="2"/>
  <c r="A644" i="2"/>
  <c r="B752" i="2"/>
  <c r="A751" i="2"/>
  <c r="B753" i="2" l="1"/>
  <c r="A752" i="2"/>
  <c r="B646" i="2"/>
  <c r="A645" i="2"/>
  <c r="B321" i="2"/>
  <c r="A320" i="2"/>
  <c r="B430" i="2"/>
  <c r="A429" i="2"/>
  <c r="B431" i="2" l="1"/>
  <c r="A430" i="2"/>
  <c r="B322" i="2"/>
  <c r="A321" i="2"/>
  <c r="B647" i="2"/>
  <c r="A646" i="2"/>
  <c r="B754" i="2"/>
  <c r="A753" i="2"/>
  <c r="B755" i="2" l="1"/>
  <c r="A754" i="2"/>
  <c r="B648" i="2"/>
  <c r="A647" i="2"/>
  <c r="B323" i="2"/>
  <c r="A322" i="2"/>
  <c r="B432" i="2"/>
  <c r="A431" i="2"/>
  <c r="B433" i="2" l="1"/>
  <c r="A432" i="2"/>
  <c r="B756" i="2"/>
  <c r="A755" i="2"/>
  <c r="B324" i="2"/>
  <c r="A323" i="2"/>
  <c r="B649" i="2"/>
  <c r="A648" i="2"/>
  <c r="B650" i="2" l="1"/>
  <c r="A649" i="2"/>
  <c r="B325" i="2"/>
  <c r="A324" i="2"/>
  <c r="B757" i="2"/>
  <c r="A756" i="2"/>
  <c r="B434" i="2"/>
  <c r="A433" i="2"/>
  <c r="B435" i="2" l="1"/>
  <c r="A434" i="2"/>
  <c r="B758" i="2"/>
  <c r="A757" i="2"/>
  <c r="B326" i="2"/>
  <c r="A325" i="2"/>
  <c r="B651" i="2"/>
  <c r="A650" i="2"/>
  <c r="B652" i="2" l="1"/>
  <c r="A651" i="2"/>
  <c r="B327" i="2"/>
  <c r="A326" i="2"/>
  <c r="B759" i="2"/>
  <c r="A758" i="2"/>
  <c r="B436" i="2"/>
  <c r="A435" i="2"/>
  <c r="B437" i="2" l="1"/>
  <c r="A436" i="2"/>
  <c r="B760" i="2"/>
  <c r="A759" i="2"/>
  <c r="B328" i="2"/>
  <c r="A327" i="2"/>
  <c r="B653" i="2"/>
  <c r="A652" i="2"/>
  <c r="B438" i="2" l="1"/>
  <c r="A437" i="2"/>
  <c r="B654" i="2"/>
  <c r="A653" i="2"/>
  <c r="B329" i="2"/>
  <c r="A328" i="2"/>
  <c r="B761" i="2"/>
  <c r="A760" i="2"/>
  <c r="B655" i="2" l="1"/>
  <c r="A654" i="2"/>
  <c r="B439" i="2"/>
  <c r="A438" i="2"/>
  <c r="B762" i="2"/>
  <c r="A761" i="2"/>
  <c r="B330" i="2"/>
  <c r="A329" i="2"/>
  <c r="B331" i="2" l="1"/>
  <c r="A330" i="2"/>
  <c r="B440" i="2"/>
  <c r="A439" i="2"/>
  <c r="B656" i="2"/>
  <c r="A655" i="2"/>
  <c r="B763" i="2"/>
  <c r="A762" i="2"/>
  <c r="B441" i="2" l="1"/>
  <c r="A440" i="2"/>
  <c r="B332" i="2"/>
  <c r="A331" i="2"/>
  <c r="B764" i="2"/>
  <c r="A763" i="2"/>
  <c r="B657" i="2"/>
  <c r="A656" i="2"/>
  <c r="B658" i="2" l="1"/>
  <c r="A657" i="2"/>
  <c r="B333" i="2"/>
  <c r="A332" i="2"/>
  <c r="B442" i="2"/>
  <c r="A441" i="2"/>
  <c r="B765" i="2"/>
  <c r="A764" i="2"/>
  <c r="B334" i="2" l="1"/>
  <c r="A333" i="2"/>
  <c r="B659" i="2"/>
  <c r="A658" i="2"/>
  <c r="B766" i="2"/>
  <c r="A765" i="2"/>
  <c r="B443" i="2"/>
  <c r="A442" i="2"/>
  <c r="B660" i="2" l="1"/>
  <c r="A659" i="2"/>
  <c r="B335" i="2"/>
  <c r="A334" i="2"/>
  <c r="B444" i="2"/>
  <c r="A443" i="2"/>
  <c r="B767" i="2"/>
  <c r="A766" i="2"/>
  <c r="B336" i="2" l="1"/>
  <c r="A335" i="2"/>
  <c r="B661" i="2"/>
  <c r="A660" i="2"/>
  <c r="B768" i="2"/>
  <c r="A767" i="2"/>
  <c r="B445" i="2"/>
  <c r="A444" i="2"/>
  <c r="B662" i="2" l="1"/>
  <c r="A661" i="2"/>
  <c r="B337" i="2"/>
  <c r="A336" i="2"/>
  <c r="B446" i="2"/>
  <c r="A445" i="2"/>
  <c r="B769" i="2"/>
  <c r="A768" i="2"/>
  <c r="B338" i="2" l="1"/>
  <c r="A337" i="2"/>
  <c r="B663" i="2"/>
  <c r="A662" i="2"/>
  <c r="B770" i="2"/>
  <c r="A769" i="2"/>
  <c r="B447" i="2"/>
  <c r="A446" i="2"/>
  <c r="B448" i="2" l="1"/>
  <c r="A447" i="2"/>
  <c r="B664" i="2"/>
  <c r="A663" i="2"/>
  <c r="B339" i="2"/>
  <c r="A338" i="2"/>
  <c r="B771" i="2"/>
  <c r="A770" i="2"/>
  <c r="B449" i="2" l="1"/>
  <c r="A448" i="2"/>
  <c r="B665" i="2"/>
  <c r="A664" i="2"/>
  <c r="B772" i="2"/>
  <c r="A771" i="2"/>
  <c r="B340" i="2"/>
  <c r="A339" i="2"/>
  <c r="B450" i="2" l="1"/>
  <c r="A449" i="2"/>
  <c r="B666" i="2"/>
  <c r="A665" i="2"/>
  <c r="B341" i="2"/>
  <c r="A340" i="2"/>
  <c r="B773" i="2"/>
  <c r="A772" i="2"/>
  <c r="B667" i="2" l="1"/>
  <c r="A666" i="2"/>
  <c r="B451" i="2"/>
  <c r="A450" i="2"/>
  <c r="B774" i="2"/>
  <c r="A773" i="2"/>
  <c r="B342" i="2"/>
  <c r="A341" i="2"/>
  <c r="B452" i="2" l="1"/>
  <c r="A451" i="2"/>
  <c r="B668" i="2"/>
  <c r="A667" i="2"/>
  <c r="B343" i="2"/>
  <c r="A342" i="2"/>
  <c r="B775" i="2"/>
  <c r="A774" i="2"/>
  <c r="B453" i="2" l="1"/>
  <c r="A452" i="2"/>
  <c r="B776" i="2"/>
  <c r="A775" i="2"/>
  <c r="B344" i="2"/>
  <c r="A343" i="2"/>
  <c r="B669" i="2"/>
  <c r="A668" i="2"/>
  <c r="B454" i="2" l="1"/>
  <c r="A453" i="2"/>
  <c r="B670" i="2"/>
  <c r="A669" i="2"/>
  <c r="B345" i="2"/>
  <c r="A344" i="2"/>
  <c r="B777" i="2"/>
  <c r="A776" i="2"/>
  <c r="B778" i="2" l="1"/>
  <c r="A777" i="2"/>
  <c r="B346" i="2"/>
  <c r="A345" i="2"/>
  <c r="B671" i="2"/>
  <c r="A670" i="2"/>
  <c r="B455" i="2"/>
  <c r="A454" i="2"/>
  <c r="B672" i="2" l="1"/>
  <c r="A671" i="2"/>
  <c r="B456" i="2"/>
  <c r="A455" i="2"/>
  <c r="B347" i="2"/>
  <c r="A346" i="2"/>
  <c r="B779" i="2"/>
  <c r="A778" i="2"/>
  <c r="B780" i="2" l="1"/>
  <c r="A779" i="2"/>
  <c r="B348" i="2"/>
  <c r="A347" i="2"/>
  <c r="B457" i="2"/>
  <c r="A456" i="2"/>
  <c r="B673" i="2"/>
  <c r="A672" i="2"/>
  <c r="B674" i="2" l="1"/>
  <c r="A673" i="2"/>
  <c r="B458" i="2"/>
  <c r="A457" i="2"/>
  <c r="B349" i="2"/>
  <c r="A348" i="2"/>
  <c r="B781" i="2"/>
  <c r="A780" i="2"/>
  <c r="B782" i="2" l="1"/>
  <c r="A781" i="2"/>
  <c r="B350" i="2"/>
  <c r="A349" i="2"/>
  <c r="B459" i="2"/>
  <c r="A458" i="2"/>
  <c r="B675" i="2"/>
  <c r="A674" i="2"/>
  <c r="B460" i="2" l="1"/>
  <c r="A459" i="2"/>
  <c r="B676" i="2"/>
  <c r="A675" i="2"/>
  <c r="B351" i="2"/>
  <c r="A350" i="2"/>
  <c r="B783" i="2"/>
  <c r="A782" i="2"/>
  <c r="B784" i="2" l="1"/>
  <c r="A783" i="2"/>
  <c r="B352" i="2"/>
  <c r="A351" i="2"/>
  <c r="B677" i="2"/>
  <c r="A676" i="2"/>
  <c r="B461" i="2"/>
  <c r="A460" i="2"/>
  <c r="B678" i="2" l="1"/>
  <c r="A677" i="2"/>
  <c r="B462" i="2"/>
  <c r="A461" i="2"/>
  <c r="B353" i="2"/>
  <c r="A352" i="2"/>
  <c r="B785" i="2"/>
  <c r="A784" i="2"/>
  <c r="B354" i="2" l="1"/>
  <c r="A353" i="2"/>
  <c r="B786" i="2"/>
  <c r="A785" i="2"/>
  <c r="B463" i="2"/>
  <c r="A462" i="2"/>
  <c r="B679" i="2"/>
  <c r="A678" i="2"/>
  <c r="B787" i="2" l="1"/>
  <c r="A786" i="2"/>
  <c r="B680" i="2"/>
  <c r="A679" i="2"/>
  <c r="B464" i="2"/>
  <c r="A463" i="2"/>
  <c r="B355" i="2"/>
  <c r="A354" i="2"/>
  <c r="B681" i="2" l="1"/>
  <c r="A680" i="2"/>
  <c r="B356" i="2"/>
  <c r="A355" i="2"/>
  <c r="B465" i="2"/>
  <c r="A464" i="2"/>
  <c r="B788" i="2"/>
  <c r="A787" i="2"/>
  <c r="B466" i="2" l="1"/>
  <c r="A465" i="2"/>
  <c r="B789" i="2"/>
  <c r="A788" i="2"/>
  <c r="B357" i="2"/>
  <c r="A356" i="2"/>
  <c r="B682" i="2"/>
  <c r="A681" i="2"/>
  <c r="B790" i="2" l="1"/>
  <c r="A789" i="2"/>
  <c r="B683" i="2"/>
  <c r="A682" i="2"/>
  <c r="B358" i="2"/>
  <c r="A357" i="2"/>
  <c r="B467" i="2"/>
  <c r="A466" i="2"/>
  <c r="B468" i="2" l="1"/>
  <c r="A467" i="2"/>
  <c r="B359" i="2"/>
  <c r="A358" i="2"/>
  <c r="B684" i="2"/>
  <c r="A683" i="2"/>
  <c r="B791" i="2"/>
  <c r="A790" i="2"/>
  <c r="B792" i="2" l="1"/>
  <c r="A791" i="2"/>
  <c r="B685" i="2"/>
  <c r="A684" i="2"/>
  <c r="B360" i="2"/>
  <c r="A359" i="2"/>
  <c r="B469" i="2"/>
  <c r="A468" i="2"/>
  <c r="B361" i="2" l="1"/>
  <c r="A360" i="2"/>
  <c r="B470" i="2"/>
  <c r="A469" i="2"/>
  <c r="B686" i="2"/>
  <c r="A685" i="2"/>
  <c r="B793" i="2"/>
  <c r="A792" i="2"/>
  <c r="B471" i="2" l="1"/>
  <c r="A470" i="2"/>
  <c r="B794" i="2"/>
  <c r="A793" i="2"/>
  <c r="B687" i="2"/>
  <c r="A686" i="2"/>
  <c r="B362" i="2"/>
  <c r="A361" i="2"/>
  <c r="B363" i="2" l="1"/>
  <c r="A362" i="2"/>
  <c r="B688" i="2"/>
  <c r="A687" i="2"/>
  <c r="B795" i="2"/>
  <c r="A794" i="2"/>
  <c r="B472" i="2"/>
  <c r="A471" i="2"/>
  <c r="B473" i="2" l="1"/>
  <c r="A472" i="2"/>
  <c r="B796" i="2"/>
  <c r="A795" i="2"/>
  <c r="B689" i="2"/>
  <c r="A688" i="2"/>
  <c r="B364" i="2"/>
  <c r="A363" i="2"/>
  <c r="B365" i="2" l="1"/>
  <c r="A364" i="2"/>
  <c r="B690" i="2"/>
  <c r="A689" i="2"/>
  <c r="B797" i="2"/>
  <c r="A796" i="2"/>
  <c r="B474" i="2"/>
  <c r="A473" i="2"/>
  <c r="B475" i="2" l="1"/>
  <c r="A474" i="2"/>
  <c r="B798" i="2"/>
  <c r="A797" i="2"/>
  <c r="B691" i="2"/>
  <c r="A690" i="2"/>
  <c r="B366" i="2"/>
  <c r="A365" i="2"/>
  <c r="B367" i="2" l="1"/>
  <c r="A366" i="2"/>
  <c r="B692" i="2"/>
  <c r="A691" i="2"/>
  <c r="B799" i="2"/>
  <c r="A798" i="2"/>
  <c r="B476" i="2"/>
  <c r="A475" i="2"/>
  <c r="B800" i="2" l="1"/>
  <c r="A799" i="2"/>
  <c r="B477" i="2"/>
  <c r="A476" i="2"/>
  <c r="B693" i="2"/>
  <c r="A692" i="2"/>
  <c r="B368" i="2"/>
  <c r="A367" i="2"/>
  <c r="B369" i="2" l="1"/>
  <c r="A368" i="2"/>
  <c r="B694" i="2"/>
  <c r="A693" i="2"/>
  <c r="B478" i="2"/>
  <c r="A477" i="2"/>
  <c r="B801" i="2"/>
  <c r="A800" i="2"/>
  <c r="B479" i="2" l="1"/>
  <c r="A478" i="2"/>
  <c r="B695" i="2"/>
  <c r="A694" i="2"/>
  <c r="B802" i="2"/>
  <c r="A801" i="2"/>
  <c r="B370" i="2"/>
  <c r="A369" i="2"/>
  <c r="B371" i="2" l="1"/>
  <c r="A370" i="2"/>
  <c r="B803" i="2"/>
  <c r="A802" i="2"/>
  <c r="B696" i="2"/>
  <c r="A695" i="2"/>
  <c r="B480" i="2"/>
  <c r="A479" i="2"/>
  <c r="B481" i="2" l="1"/>
  <c r="A480" i="2"/>
  <c r="B697" i="2"/>
  <c r="A696" i="2"/>
  <c r="B804" i="2"/>
  <c r="A803" i="2"/>
  <c r="B372" i="2"/>
  <c r="A371" i="2"/>
  <c r="B373" i="2" l="1"/>
  <c r="A372" i="2"/>
  <c r="B805" i="2"/>
  <c r="A804" i="2"/>
  <c r="B698" i="2"/>
  <c r="A697" i="2"/>
  <c r="B482" i="2"/>
  <c r="A481" i="2"/>
  <c r="B483" i="2" l="1"/>
  <c r="A482" i="2"/>
  <c r="B699" i="2"/>
  <c r="A698" i="2"/>
  <c r="B806" i="2"/>
  <c r="A805" i="2"/>
  <c r="B374" i="2"/>
  <c r="A373" i="2"/>
  <c r="B375" i="2" l="1"/>
  <c r="A374" i="2"/>
  <c r="B807" i="2"/>
  <c r="A806" i="2"/>
  <c r="B700" i="2"/>
  <c r="A699" i="2"/>
  <c r="B484" i="2"/>
  <c r="A483" i="2"/>
  <c r="B485" i="2" l="1"/>
  <c r="A484" i="2"/>
  <c r="B701" i="2"/>
  <c r="A700" i="2"/>
  <c r="B808" i="2"/>
  <c r="A807" i="2"/>
  <c r="B376" i="2"/>
  <c r="A375" i="2"/>
  <c r="B809" i="2" l="1"/>
  <c r="A808" i="2"/>
  <c r="B377" i="2"/>
  <c r="A376" i="2"/>
  <c r="B702" i="2"/>
  <c r="A701" i="2"/>
  <c r="B486" i="2"/>
  <c r="A485" i="2"/>
  <c r="B378" i="2" l="1"/>
  <c r="A377" i="2"/>
  <c r="B487" i="2"/>
  <c r="A486" i="2"/>
  <c r="B703" i="2"/>
  <c r="A702" i="2"/>
  <c r="B810" i="2"/>
  <c r="A809" i="2"/>
  <c r="B811" i="2" l="1"/>
  <c r="A810" i="2"/>
  <c r="B488" i="2"/>
  <c r="A487" i="2"/>
  <c r="B704" i="2"/>
  <c r="A703" i="2"/>
  <c r="B379" i="2"/>
  <c r="A378" i="2"/>
  <c r="B380" i="2" l="1"/>
  <c r="A379" i="2"/>
  <c r="B705" i="2"/>
  <c r="A704" i="2"/>
  <c r="B489" i="2"/>
  <c r="A488" i="2"/>
  <c r="B812" i="2"/>
  <c r="A811" i="2"/>
  <c r="B813" i="2" l="1"/>
  <c r="A812" i="2"/>
  <c r="B490" i="2"/>
  <c r="A489" i="2"/>
  <c r="B706" i="2"/>
  <c r="A705" i="2"/>
  <c r="B381" i="2"/>
  <c r="A380" i="2"/>
  <c r="B382" i="2" l="1"/>
  <c r="A381" i="2"/>
  <c r="B707" i="2"/>
  <c r="A706" i="2"/>
  <c r="B491" i="2"/>
  <c r="A490" i="2"/>
  <c r="B814" i="2"/>
  <c r="A813" i="2"/>
  <c r="B815" i="2" l="1"/>
  <c r="A814" i="2"/>
  <c r="B492" i="2"/>
  <c r="A491" i="2"/>
  <c r="B708" i="2"/>
  <c r="A707" i="2"/>
  <c r="B383" i="2"/>
  <c r="A382" i="2"/>
  <c r="B493" i="2" l="1"/>
  <c r="A492" i="2"/>
  <c r="B816" i="2"/>
  <c r="A815" i="2"/>
  <c r="B384" i="2"/>
  <c r="A383" i="2"/>
  <c r="B709" i="2"/>
  <c r="A708" i="2"/>
  <c r="B817" i="2" l="1"/>
  <c r="A816" i="2"/>
  <c r="B494" i="2"/>
  <c r="A493" i="2"/>
  <c r="B710" i="2"/>
  <c r="A709" i="2"/>
  <c r="B385" i="2"/>
  <c r="A384" i="2"/>
  <c r="B495" i="2" l="1"/>
  <c r="A494" i="2"/>
  <c r="B818" i="2"/>
  <c r="A817" i="2"/>
  <c r="B386" i="2"/>
  <c r="A385" i="2"/>
  <c r="B711" i="2"/>
  <c r="A710" i="2"/>
  <c r="B819" i="2" l="1"/>
  <c r="A818" i="2"/>
  <c r="B496" i="2"/>
  <c r="A495" i="2"/>
  <c r="B712" i="2"/>
  <c r="A711" i="2"/>
  <c r="B387" i="2"/>
  <c r="A386" i="2"/>
  <c r="B497" i="2" l="1"/>
  <c r="A496" i="2"/>
  <c r="B820" i="2"/>
  <c r="A819" i="2"/>
  <c r="B388" i="2"/>
  <c r="A387" i="2"/>
  <c r="B713" i="2"/>
  <c r="A712" i="2"/>
  <c r="B821" i="2" l="1"/>
  <c r="A820" i="2"/>
  <c r="B498" i="2"/>
  <c r="A497" i="2"/>
  <c r="B714" i="2"/>
  <c r="A713" i="2"/>
  <c r="B389" i="2"/>
  <c r="A388" i="2"/>
  <c r="B499" i="2" l="1"/>
  <c r="A498" i="2"/>
  <c r="B822" i="2"/>
  <c r="A821" i="2"/>
  <c r="B390" i="2"/>
  <c r="A389" i="2"/>
  <c r="B715" i="2"/>
  <c r="A714" i="2"/>
  <c r="B823" i="2" l="1"/>
  <c r="A822" i="2"/>
  <c r="B500" i="2"/>
  <c r="A499" i="2"/>
  <c r="B716" i="2"/>
  <c r="A715" i="2"/>
  <c r="B391" i="2"/>
  <c r="A390" i="2"/>
  <c r="B501" i="2" l="1"/>
  <c r="A500" i="2"/>
  <c r="B824" i="2"/>
  <c r="A823" i="2"/>
  <c r="B392" i="2"/>
  <c r="A391" i="2"/>
  <c r="B717" i="2"/>
  <c r="A716" i="2"/>
  <c r="B825" i="2" l="1"/>
  <c r="A824" i="2"/>
  <c r="B502" i="2"/>
  <c r="A501" i="2"/>
  <c r="B718" i="2"/>
  <c r="A717" i="2"/>
  <c r="B393" i="2"/>
  <c r="A392" i="2"/>
  <c r="B503" i="2" l="1"/>
  <c r="A502" i="2"/>
  <c r="B826" i="2"/>
  <c r="A825" i="2"/>
  <c r="B394" i="2"/>
  <c r="A393" i="2"/>
  <c r="B719" i="2"/>
  <c r="A718" i="2"/>
  <c r="B827" i="2" l="1"/>
  <c r="A826" i="2"/>
  <c r="B395" i="2"/>
  <c r="A394" i="2"/>
  <c r="B720" i="2"/>
  <c r="A719" i="2"/>
  <c r="B504" i="2"/>
  <c r="A503" i="2"/>
  <c r="B828" i="2" l="1"/>
  <c r="A827" i="2"/>
  <c r="B505" i="2"/>
  <c r="A504" i="2"/>
  <c r="B721" i="2"/>
  <c r="A720" i="2"/>
  <c r="B396" i="2"/>
  <c r="A395" i="2"/>
  <c r="B829" i="2" l="1"/>
  <c r="A828" i="2"/>
  <c r="B397" i="2"/>
  <c r="A396" i="2"/>
  <c r="B722" i="2"/>
  <c r="A721" i="2"/>
  <c r="B506" i="2"/>
  <c r="A505" i="2"/>
  <c r="B830" i="2" l="1"/>
  <c r="A829" i="2"/>
  <c r="B723" i="2"/>
  <c r="A722" i="2"/>
  <c r="B398" i="2"/>
  <c r="A397" i="2"/>
  <c r="B507" i="2"/>
  <c r="A506" i="2"/>
  <c r="B399" i="2" l="1"/>
  <c r="A398" i="2"/>
  <c r="B508" i="2"/>
  <c r="A507" i="2"/>
  <c r="B724" i="2"/>
  <c r="A723" i="2"/>
  <c r="B831" i="2"/>
  <c r="A830" i="2"/>
  <c r="B832" i="2" l="1"/>
  <c r="A831" i="2"/>
  <c r="B725" i="2"/>
  <c r="A724" i="2"/>
  <c r="B509" i="2"/>
  <c r="A508" i="2"/>
  <c r="B400" i="2"/>
  <c r="A399" i="2"/>
  <c r="B833" i="2" l="1"/>
  <c r="A832" i="2"/>
  <c r="B401" i="2"/>
  <c r="A400" i="2"/>
  <c r="B510" i="2"/>
  <c r="A509" i="2"/>
  <c r="B726" i="2"/>
  <c r="A725" i="2"/>
  <c r="B727" i="2" l="1"/>
  <c r="A726" i="2"/>
  <c r="B511" i="2"/>
  <c r="A510" i="2"/>
  <c r="B402" i="2"/>
  <c r="A401" i="2"/>
  <c r="B834" i="2"/>
  <c r="A833" i="2"/>
  <c r="B728" i="2" l="1"/>
  <c r="A727" i="2"/>
  <c r="B512" i="2"/>
  <c r="A511" i="2"/>
  <c r="B835" i="2"/>
  <c r="A834" i="2"/>
  <c r="B403" i="2"/>
  <c r="A402" i="2"/>
  <c r="B836" i="2" l="1"/>
  <c r="A835" i="2"/>
  <c r="B513" i="2"/>
  <c r="A512" i="2"/>
  <c r="B404" i="2"/>
  <c r="A403" i="2"/>
  <c r="B729" i="2"/>
  <c r="A728" i="2"/>
  <c r="B405" i="2" l="1"/>
  <c r="A404" i="2"/>
  <c r="B730" i="2"/>
  <c r="A729" i="2"/>
  <c r="B514" i="2"/>
  <c r="A513" i="2"/>
  <c r="B837" i="2"/>
  <c r="A836" i="2"/>
  <c r="B838" i="2" l="1"/>
  <c r="A837" i="2"/>
  <c r="B515" i="2"/>
  <c r="A514" i="2"/>
  <c r="B731" i="2"/>
  <c r="A730" i="2"/>
  <c r="B406" i="2"/>
  <c r="A405" i="2"/>
  <c r="B407" i="2" l="1"/>
  <c r="A406" i="2"/>
  <c r="B732" i="2"/>
  <c r="A731" i="2"/>
  <c r="B516" i="2"/>
  <c r="A515" i="2"/>
  <c r="B839" i="2"/>
  <c r="A838" i="2"/>
  <c r="B840" i="2" l="1"/>
  <c r="A839" i="2"/>
  <c r="B517" i="2"/>
  <c r="A516" i="2"/>
  <c r="B733" i="2"/>
  <c r="A732" i="2"/>
  <c r="B408" i="2"/>
  <c r="A407" i="2"/>
  <c r="B409" i="2" l="1"/>
  <c r="A408" i="2"/>
  <c r="B734" i="2"/>
  <c r="A734" i="2" s="1"/>
  <c r="A733" i="2"/>
  <c r="B518" i="2"/>
  <c r="A518" i="2" s="1"/>
  <c r="A517" i="2"/>
  <c r="B841" i="2"/>
  <c r="A840" i="2"/>
  <c r="B842" i="2" l="1"/>
  <c r="A842" i="2" s="1"/>
  <c r="A841" i="2"/>
  <c r="B410" i="2"/>
  <c r="A410" i="2" s="1"/>
  <c r="A40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793F0B-9375-4D20-8DC5-AD82062868C5}" keepAlive="1" name="Query - cr_2019_answer_map" description="Connection to the 'cr_2019_answer_map' query in the workbook." type="5" refreshedVersion="8" background="1" saveData="1">
    <dbPr connection="Provider=Microsoft.Mashup.OleDb.1;Data Source=$Workbook$;Location=cr_2019_answer_map;Extended Properties=&quot;&quot;" command="SELECT * FROM [cr_2019_answer_map]"/>
  </connection>
  <connection id="2" xr16:uid="{4919CEB0-1F59-4820-8063-03DA8D5C37C1}" keepAlive="1" name="Query - cr_2019_question_map" description="Connection to the 'cr_2019_question_map' query in the workbook." type="5" refreshedVersion="8" background="1" saveData="1">
    <dbPr connection="Provider=Microsoft.Mashup.OleDb.1;Data Source=$Workbook$;Location=cr_2019_question_map;Extended Properties=&quot;&quot;" command="SELECT * FROM [cr_2019_question_map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<sst xmlns="http://schemas.openxmlformats.org/spreadsheetml/2006/main" count="45186" uniqueCount="5642">
  <si>
    <t>Surveycode</t>
  </si>
  <si>
    <t>Association (Sample)</t>
  </si>
  <si>
    <t>Company (Sample)</t>
  </si>
  <si>
    <t>REGION</t>
  </si>
  <si>
    <t>DateCompleted (Asia)</t>
  </si>
  <si>
    <t>DateCompleted (Europe)</t>
  </si>
  <si>
    <t>DateCompleted (NorthAmerica)</t>
  </si>
  <si>
    <t>DateCompleted (Global)</t>
  </si>
  <si>
    <t>DateCompleted (SouthAmerica)</t>
  </si>
  <si>
    <t>DateCompleted (Africa)</t>
  </si>
  <si>
    <t>ShowEurope</t>
  </si>
  <si>
    <t>ShowAsia</t>
  </si>
  <si>
    <t>ShowNA</t>
  </si>
  <si>
    <t>ShowGlobal</t>
  </si>
  <si>
    <t>ShowSA</t>
  </si>
  <si>
    <t>ShowAfrica</t>
  </si>
  <si>
    <t>RecordNo</t>
  </si>
  <si>
    <t>DateCompleted</t>
  </si>
  <si>
    <t>IPaddress</t>
  </si>
  <si>
    <t>Version</t>
  </si>
  <si>
    <t>qName</t>
  </si>
  <si>
    <t>qCompany</t>
  </si>
  <si>
    <t>qJobtitle</t>
  </si>
  <si>
    <t>qEmail</t>
  </si>
  <si>
    <t>qTelephone</t>
  </si>
  <si>
    <t>qCountry</t>
  </si>
  <si>
    <t>qCurrency</t>
  </si>
  <si>
    <t>qCurrencyOther</t>
  </si>
  <si>
    <t>q1</t>
  </si>
  <si>
    <t>q2</t>
  </si>
  <si>
    <t>q2other</t>
  </si>
  <si>
    <t>q3A_TotalRealEstate</t>
  </si>
  <si>
    <t>q3A_NonListedRealEstate</t>
  </si>
  <si>
    <t>q3B_TotalRealEstate</t>
  </si>
  <si>
    <t>q3B_NonListedRealEstate</t>
  </si>
  <si>
    <t>q31_1</t>
  </si>
  <si>
    <t>q31_2</t>
  </si>
  <si>
    <t>q31_3</t>
  </si>
  <si>
    <t>q31_4</t>
  </si>
  <si>
    <t>q31_5</t>
  </si>
  <si>
    <t>q31_6</t>
  </si>
  <si>
    <t>q3ROW1_hidden</t>
  </si>
  <si>
    <t>q32_1</t>
  </si>
  <si>
    <t>q32_2</t>
  </si>
  <si>
    <t>q32_3</t>
  </si>
  <si>
    <t>q32_4</t>
  </si>
  <si>
    <t>q32_5</t>
  </si>
  <si>
    <t>q32_6</t>
  </si>
  <si>
    <t>q3ROW2_hidden</t>
  </si>
  <si>
    <t>q33_1</t>
  </si>
  <si>
    <t>q33_2</t>
  </si>
  <si>
    <t>q33_3</t>
  </si>
  <si>
    <t>q33_4</t>
  </si>
  <si>
    <t>q33_5</t>
  </si>
  <si>
    <t>q33_6</t>
  </si>
  <si>
    <t>q3ROW3_hidden</t>
  </si>
  <si>
    <t>q34_1</t>
  </si>
  <si>
    <t>q34_2</t>
  </si>
  <si>
    <t>q34_3</t>
  </si>
  <si>
    <t>q34_4</t>
  </si>
  <si>
    <t>q34_5</t>
  </si>
  <si>
    <t>q34_6</t>
  </si>
  <si>
    <t>q3ROW4_hidden</t>
  </si>
  <si>
    <t>q35_1</t>
  </si>
  <si>
    <t>q35_2</t>
  </si>
  <si>
    <t>q35_3</t>
  </si>
  <si>
    <t>q35_4</t>
  </si>
  <si>
    <t>q35_5</t>
  </si>
  <si>
    <t>q35_6</t>
  </si>
  <si>
    <t>q3ROW5_hidden</t>
  </si>
  <si>
    <t>q36_1</t>
  </si>
  <si>
    <t>q36_2</t>
  </si>
  <si>
    <t>q36_3</t>
  </si>
  <si>
    <t>q36_4</t>
  </si>
  <si>
    <t>q36_5</t>
  </si>
  <si>
    <t>q36_6</t>
  </si>
  <si>
    <t>q3ROW6_hidden</t>
  </si>
  <si>
    <t>q3COL1_hidden</t>
  </si>
  <si>
    <t>q3COL2_hidden</t>
  </si>
  <si>
    <t>q3COL3_hidden</t>
  </si>
  <si>
    <t>q3COL4_hidden</t>
  </si>
  <si>
    <t>q3COL5_hidden</t>
  </si>
  <si>
    <t>q3COL6_hidden</t>
  </si>
  <si>
    <t>q3GRANDTotal_hidden</t>
  </si>
  <si>
    <t>q41_1</t>
  </si>
  <si>
    <t>q41_2</t>
  </si>
  <si>
    <t>q41_3</t>
  </si>
  <si>
    <t>q41_4</t>
  </si>
  <si>
    <t>q41_5</t>
  </si>
  <si>
    <t>q41_6</t>
  </si>
  <si>
    <t>q4ROW1_hidden</t>
  </si>
  <si>
    <t>q42_1</t>
  </si>
  <si>
    <t>q42_2</t>
  </si>
  <si>
    <t>q42_3</t>
  </si>
  <si>
    <t>q42_4</t>
  </si>
  <si>
    <t>q42_5</t>
  </si>
  <si>
    <t>q42_6</t>
  </si>
  <si>
    <t>q4ROW2_hidden</t>
  </si>
  <si>
    <t>q43_1</t>
  </si>
  <si>
    <t>q43_2</t>
  </si>
  <si>
    <t>q43_3</t>
  </si>
  <si>
    <t>q43_4</t>
  </si>
  <si>
    <t>q43_5</t>
  </si>
  <si>
    <t>q43_6</t>
  </si>
  <si>
    <t>q4ROW3_hidden</t>
  </si>
  <si>
    <t>q44_1</t>
  </si>
  <si>
    <t>q44_2</t>
  </si>
  <si>
    <t>q44_3</t>
  </si>
  <si>
    <t>q44_4</t>
  </si>
  <si>
    <t>q44_5</t>
  </si>
  <si>
    <t>q44_6</t>
  </si>
  <si>
    <t>q4ROW4_hidden</t>
  </si>
  <si>
    <t>q45_1</t>
  </si>
  <si>
    <t>q45_2</t>
  </si>
  <si>
    <t>q45_3</t>
  </si>
  <si>
    <t>q45_4</t>
  </si>
  <si>
    <t>q45_5</t>
  </si>
  <si>
    <t>q45_6</t>
  </si>
  <si>
    <t>q4ROW5_hidden</t>
  </si>
  <si>
    <t>q46_1</t>
  </si>
  <si>
    <t>q46_2</t>
  </si>
  <si>
    <t>q46_3</t>
  </si>
  <si>
    <t>q46_4</t>
  </si>
  <si>
    <t>q46_5</t>
  </si>
  <si>
    <t>q46_6</t>
  </si>
  <si>
    <t>q4ROW6_hidden</t>
  </si>
  <si>
    <t>q4COL1_hidden</t>
  </si>
  <si>
    <t>q4COL2_hidden</t>
  </si>
  <si>
    <t>q4COL3_hidden</t>
  </si>
  <si>
    <t>q4COL4_hidden</t>
  </si>
  <si>
    <t>q4COL5_hidden</t>
  </si>
  <si>
    <t>q4COL6_hidden</t>
  </si>
  <si>
    <t>q4GRANDTotal_hidden</t>
  </si>
  <si>
    <t>Alert41_1</t>
  </si>
  <si>
    <t>Alert41_2</t>
  </si>
  <si>
    <t>Alert41_3</t>
  </si>
  <si>
    <t>Alert41_4</t>
  </si>
  <si>
    <t>Alert41_5</t>
  </si>
  <si>
    <t>Alert41_6</t>
  </si>
  <si>
    <t>Alert42_1</t>
  </si>
  <si>
    <t>Alert42_2</t>
  </si>
  <si>
    <t>Alert42_3</t>
  </si>
  <si>
    <t>Alert42_4</t>
  </si>
  <si>
    <t>Alert42_5</t>
  </si>
  <si>
    <t>Alert42_6</t>
  </si>
  <si>
    <t>Alert43_1</t>
  </si>
  <si>
    <t>Alert43_2</t>
  </si>
  <si>
    <t>Alert43_3</t>
  </si>
  <si>
    <t>Alert43_4</t>
  </si>
  <si>
    <t>Alert43_5</t>
  </si>
  <si>
    <t>Alert43_6</t>
  </si>
  <si>
    <t>Alert44_1</t>
  </si>
  <si>
    <t>Alert44_2</t>
  </si>
  <si>
    <t>Alert44_3</t>
  </si>
  <si>
    <t>Alert44_4</t>
  </si>
  <si>
    <t>Alert44_5</t>
  </si>
  <si>
    <t>Alert44_6</t>
  </si>
  <si>
    <t>Alert45_1</t>
  </si>
  <si>
    <t>Alert45_2</t>
  </si>
  <si>
    <t>Alert45_3</t>
  </si>
  <si>
    <t>Alert45_4</t>
  </si>
  <si>
    <t>Alert45_5</t>
  </si>
  <si>
    <t>Alert45_6</t>
  </si>
  <si>
    <t>Alert46_1</t>
  </si>
  <si>
    <t>Alert46_2</t>
  </si>
  <si>
    <t>Alert46_3</t>
  </si>
  <si>
    <t>Alert46_4</t>
  </si>
  <si>
    <t>Alert46_5</t>
  </si>
  <si>
    <t>Alert46_6</t>
  </si>
  <si>
    <t>q51_1</t>
  </si>
  <si>
    <t>q51_2</t>
  </si>
  <si>
    <t>q51_3</t>
  </si>
  <si>
    <t>q51_4</t>
  </si>
  <si>
    <t>q51_5</t>
  </si>
  <si>
    <t>q51_6</t>
  </si>
  <si>
    <t>q5ROW1_hidden</t>
  </si>
  <si>
    <t>q52_1</t>
  </si>
  <si>
    <t>q52_2</t>
  </si>
  <si>
    <t>q52_3</t>
  </si>
  <si>
    <t>q52_4</t>
  </si>
  <si>
    <t>q52_5</t>
  </si>
  <si>
    <t>q52_6</t>
  </si>
  <si>
    <t>q5ROW2_hidden</t>
  </si>
  <si>
    <t>q53_1</t>
  </si>
  <si>
    <t>q53_2</t>
  </si>
  <si>
    <t>q53_3</t>
  </si>
  <si>
    <t>q53_4</t>
  </si>
  <si>
    <t>q53_5</t>
  </si>
  <si>
    <t>q53_6</t>
  </si>
  <si>
    <t>q5ROW3_hidden</t>
  </si>
  <si>
    <t>q54_1</t>
  </si>
  <si>
    <t>q54_2</t>
  </si>
  <si>
    <t>q54_3</t>
  </si>
  <si>
    <t>q54_4</t>
  </si>
  <si>
    <t>q54_5</t>
  </si>
  <si>
    <t>q54_6</t>
  </si>
  <si>
    <t>q5ROW4_hidden</t>
  </si>
  <si>
    <t>q55_1</t>
  </si>
  <si>
    <t>q55_2</t>
  </si>
  <si>
    <t>q55_3</t>
  </si>
  <si>
    <t>q55_4</t>
  </si>
  <si>
    <t>q55_5</t>
  </si>
  <si>
    <t>q55_6</t>
  </si>
  <si>
    <t>q5ROW5_hidden</t>
  </si>
  <si>
    <t>q56_1</t>
  </si>
  <si>
    <t>q56_2</t>
  </si>
  <si>
    <t>q56_3</t>
  </si>
  <si>
    <t>q56_4</t>
  </si>
  <si>
    <t>q56_5</t>
  </si>
  <si>
    <t>q56_6</t>
  </si>
  <si>
    <t>q5ROW6_hidden</t>
  </si>
  <si>
    <t>q57_1</t>
  </si>
  <si>
    <t>q57_2</t>
  </si>
  <si>
    <t>q57_3</t>
  </si>
  <si>
    <t>q57_4</t>
  </si>
  <si>
    <t>q57_5</t>
  </si>
  <si>
    <t>q57_6</t>
  </si>
  <si>
    <t>q5ROW7_hidden</t>
  </si>
  <si>
    <t>q5other</t>
  </si>
  <si>
    <t>q58_1</t>
  </si>
  <si>
    <t>q58_2</t>
  </si>
  <si>
    <t>q58_3</t>
  </si>
  <si>
    <t>q58_4</t>
  </si>
  <si>
    <t>q58_5</t>
  </si>
  <si>
    <t>q58_6</t>
  </si>
  <si>
    <t>q5ROW8_hidden</t>
  </si>
  <si>
    <t>q5COL1_hidden</t>
  </si>
  <si>
    <t>q5COL2_hidden</t>
  </si>
  <si>
    <t>q5COL3_hidden</t>
  </si>
  <si>
    <t>q5COL4_hidden</t>
  </si>
  <si>
    <t>q5COL5_hidden</t>
  </si>
  <si>
    <t>q5COL6_hidden</t>
  </si>
  <si>
    <t>q5GRANDTotal_hidden</t>
  </si>
  <si>
    <t>q61_1</t>
  </si>
  <si>
    <t>q61_2</t>
  </si>
  <si>
    <t>q61_3</t>
  </si>
  <si>
    <t>q61_4</t>
  </si>
  <si>
    <t>q61_5</t>
  </si>
  <si>
    <t>q61_6</t>
  </si>
  <si>
    <t>q6ROW1_hidden</t>
  </si>
  <si>
    <t>q62_1</t>
  </si>
  <si>
    <t>q62_2</t>
  </si>
  <si>
    <t>q62_3</t>
  </si>
  <si>
    <t>q62_4</t>
  </si>
  <si>
    <t>q62_5</t>
  </si>
  <si>
    <t>q62_6</t>
  </si>
  <si>
    <t>q6ROW2_hidden</t>
  </si>
  <si>
    <t>q63_1</t>
  </si>
  <si>
    <t>q63_2</t>
  </si>
  <si>
    <t>q63_3</t>
  </si>
  <si>
    <t>q63_4</t>
  </si>
  <si>
    <t>q63_5</t>
  </si>
  <si>
    <t>q63_6</t>
  </si>
  <si>
    <t>q6ROW3_hidden</t>
  </si>
  <si>
    <t>q64_1</t>
  </si>
  <si>
    <t>q64_2</t>
  </si>
  <si>
    <t>q64_3</t>
  </si>
  <si>
    <t>q64_4</t>
  </si>
  <si>
    <t>q64_5</t>
  </si>
  <si>
    <t>q64_6</t>
  </si>
  <si>
    <t>q6ROW4_hidden</t>
  </si>
  <si>
    <t>q65_1</t>
  </si>
  <si>
    <t>q65_2</t>
  </si>
  <si>
    <t>q65_3</t>
  </si>
  <si>
    <t>q65_4</t>
  </si>
  <si>
    <t>q65_5</t>
  </si>
  <si>
    <t>q65_6</t>
  </si>
  <si>
    <t>q6ROW5_hidden</t>
  </si>
  <si>
    <t>q6COL1_hidden</t>
  </si>
  <si>
    <t>q6COL2_hidden</t>
  </si>
  <si>
    <t>q6COL3_hidden</t>
  </si>
  <si>
    <t>q6COL4_hidden</t>
  </si>
  <si>
    <t>q6COL5_hidden</t>
  </si>
  <si>
    <t>q6COL6_hidden</t>
  </si>
  <si>
    <t>q6GRANDTotal_hidden</t>
  </si>
  <si>
    <t>q7_1</t>
  </si>
  <si>
    <t>q7_2</t>
  </si>
  <si>
    <t>q7_3</t>
  </si>
  <si>
    <t>q7other</t>
  </si>
  <si>
    <t>q7_4</t>
  </si>
  <si>
    <t>q8</t>
  </si>
  <si>
    <t>q9</t>
  </si>
  <si>
    <t>q91</t>
  </si>
  <si>
    <t>ASIA PACIFIC</t>
  </si>
  <si>
    <t>q101_1</t>
  </si>
  <si>
    <t>q101_2</t>
  </si>
  <si>
    <t>q101_3</t>
  </si>
  <si>
    <t>q101_4</t>
  </si>
  <si>
    <t>q101_5</t>
  </si>
  <si>
    <t>q101_6</t>
  </si>
  <si>
    <t>q10ROW1_hidden</t>
  </si>
  <si>
    <t>q102_1</t>
  </si>
  <si>
    <t>q102_2</t>
  </si>
  <si>
    <t>q102_3</t>
  </si>
  <si>
    <t>q102_4</t>
  </si>
  <si>
    <t>q102_5</t>
  </si>
  <si>
    <t>q102_6</t>
  </si>
  <si>
    <t>q10ROW2_hidden</t>
  </si>
  <si>
    <t>q103_1</t>
  </si>
  <si>
    <t>q103_2</t>
  </si>
  <si>
    <t>q103_3</t>
  </si>
  <si>
    <t>q103_4</t>
  </si>
  <si>
    <t>q103_5</t>
  </si>
  <si>
    <t>q103_6</t>
  </si>
  <si>
    <t>q10ROW3_hidden</t>
  </si>
  <si>
    <t>q104_1</t>
  </si>
  <si>
    <t>q104_2</t>
  </si>
  <si>
    <t>q104_3</t>
  </si>
  <si>
    <t>q104_4</t>
  </si>
  <si>
    <t>q104_5</t>
  </si>
  <si>
    <t>q104_6</t>
  </si>
  <si>
    <t>q10ROW4_hidden</t>
  </si>
  <si>
    <t>q105_1</t>
  </si>
  <si>
    <t>q105_2</t>
  </si>
  <si>
    <t>q105_3</t>
  </si>
  <si>
    <t>q105_4</t>
  </si>
  <si>
    <t>q105_5</t>
  </si>
  <si>
    <t>q105_6</t>
  </si>
  <si>
    <t>q10ROW5_hidden</t>
  </si>
  <si>
    <t>q106_1</t>
  </si>
  <si>
    <t>q106_2</t>
  </si>
  <si>
    <t>q106_3</t>
  </si>
  <si>
    <t>q106_4</t>
  </si>
  <si>
    <t>q106_5</t>
  </si>
  <si>
    <t>q106_6</t>
  </si>
  <si>
    <t>q10ROW6_hidden</t>
  </si>
  <si>
    <t>q107_1</t>
  </si>
  <si>
    <t>q107_2</t>
  </si>
  <si>
    <t>q107_3</t>
  </si>
  <si>
    <t>q107_4</t>
  </si>
  <si>
    <t>q107_5</t>
  </si>
  <si>
    <t>q107_6</t>
  </si>
  <si>
    <t>q10ROW7_hidden</t>
  </si>
  <si>
    <t>q10other</t>
  </si>
  <si>
    <t>q108_1</t>
  </si>
  <si>
    <t>q108_2</t>
  </si>
  <si>
    <t>q108_3</t>
  </si>
  <si>
    <t>q108_4</t>
  </si>
  <si>
    <t>q108_5</t>
  </si>
  <si>
    <t>q108_6</t>
  </si>
  <si>
    <t>q10ROW8_hidden</t>
  </si>
  <si>
    <t>q10COL1_hidden</t>
  </si>
  <si>
    <t>q10COL2_hidden</t>
  </si>
  <si>
    <t>q10COL3_hidden</t>
  </si>
  <si>
    <t>q10COL4_hidden</t>
  </si>
  <si>
    <t>q10COL5_hidden</t>
  </si>
  <si>
    <t>q10COL6_hidden</t>
  </si>
  <si>
    <t>q10GRANDTotal_hidden</t>
  </si>
  <si>
    <t>q111_1</t>
  </si>
  <si>
    <t>q111_2</t>
  </si>
  <si>
    <t>q111_3</t>
  </si>
  <si>
    <t>q111_4</t>
  </si>
  <si>
    <t>q111_5</t>
  </si>
  <si>
    <t>q111_6</t>
  </si>
  <si>
    <t>q11ROW1_hidden</t>
  </si>
  <si>
    <t>q112_1</t>
  </si>
  <si>
    <t>q112_2</t>
  </si>
  <si>
    <t>q112_3</t>
  </si>
  <si>
    <t>q112_4</t>
  </si>
  <si>
    <t>q112_5</t>
  </si>
  <si>
    <t>q112_6</t>
  </si>
  <si>
    <t>q11ROW2_hidden</t>
  </si>
  <si>
    <t>q113_1</t>
  </si>
  <si>
    <t>q113_2</t>
  </si>
  <si>
    <t>q113_3</t>
  </si>
  <si>
    <t>q113_4</t>
  </si>
  <si>
    <t>q113_5</t>
  </si>
  <si>
    <t>q113_6</t>
  </si>
  <si>
    <t>q11ROW3_hidden</t>
  </si>
  <si>
    <t>q114_1</t>
  </si>
  <si>
    <t>q114_2</t>
  </si>
  <si>
    <t>q114_3</t>
  </si>
  <si>
    <t>q114_4</t>
  </si>
  <si>
    <t>q114_5</t>
  </si>
  <si>
    <t>q114_6</t>
  </si>
  <si>
    <t>q11ROW4_hidden</t>
  </si>
  <si>
    <t>q115_1</t>
  </si>
  <si>
    <t>q115_2</t>
  </si>
  <si>
    <t>q115_3</t>
  </si>
  <si>
    <t>q115_4</t>
  </si>
  <si>
    <t>q115_5</t>
  </si>
  <si>
    <t>q115_6</t>
  </si>
  <si>
    <t>q11ROW5_hidden</t>
  </si>
  <si>
    <t>q11COL1_hidden</t>
  </si>
  <si>
    <t>q11COL2_hidden</t>
  </si>
  <si>
    <t>q11COL3_hidden</t>
  </si>
  <si>
    <t>q11COL4_hidden</t>
  </si>
  <si>
    <t>q11COL5_hidden</t>
  </si>
  <si>
    <t>q11COL6_hidden</t>
  </si>
  <si>
    <t>q11GRANDTotal_hidden</t>
  </si>
  <si>
    <t>EUROPE</t>
  </si>
  <si>
    <t>NORTH AMERICA</t>
  </si>
  <si>
    <t>Global</t>
  </si>
  <si>
    <t>SOUTH AMERICA</t>
  </si>
  <si>
    <t>AFRICA</t>
  </si>
  <si>
    <t>C9AAC498C</t>
  </si>
  <si>
    <t>INREV</t>
  </si>
  <si>
    <t>Northern Horizon Capital A/S</t>
  </si>
  <si>
    <t>46.255.210.106</t>
  </si>
  <si>
    <t>Nerijus Zebrauskas</t>
  </si>
  <si>
    <t>Northern Horizon Capital</t>
  </si>
  <si>
    <t>nerijus.zebrauskas@nh-cap.com</t>
  </si>
  <si>
    <t>Denmark</t>
  </si>
  <si>
    <t>EUR</t>
  </si>
  <si>
    <t>NO</t>
  </si>
  <si>
    <t>YES</t>
  </si>
  <si>
    <t>Other financial vehicles</t>
  </si>
  <si>
    <t>START Asia Pacific:</t>
  </si>
  <si>
    <t>START Europe:</t>
  </si>
  <si>
    <t>START North America:</t>
  </si>
  <si>
    <t>START Global:</t>
  </si>
  <si>
    <t>START SOUTH America:</t>
  </si>
  <si>
    <t>START Africa:</t>
  </si>
  <si>
    <t>C9AEF726V</t>
  </si>
  <si>
    <t>ANREV</t>
  </si>
  <si>
    <t>Logos</t>
  </si>
  <si>
    <t>49.255.15.22</t>
  </si>
  <si>
    <t>Paul Yeo</t>
  </si>
  <si>
    <t>LOGOS</t>
  </si>
  <si>
    <t>paulyeo@logosproperty.com</t>
  </si>
  <si>
    <t>Australia</t>
  </si>
  <si>
    <t>AUD</t>
  </si>
  <si>
    <t>Financial Institution</t>
  </si>
  <si>
    <t>C9ALB751D</t>
  </si>
  <si>
    <t>Additional Record</t>
  </si>
  <si>
    <t>101.78.249.218</t>
  </si>
  <si>
    <t>Kivanch Mehmet</t>
  </si>
  <si>
    <t>Charter Hall Group</t>
  </si>
  <si>
    <t>Head of Wholesale Investor Relations</t>
  </si>
  <si>
    <t>Kivanch.Mehmet@charterhall.com.au</t>
  </si>
  <si>
    <t>+61 429 362 079</t>
  </si>
  <si>
    <t>C9AQT300Y</t>
  </si>
  <si>
    <t>UBS AG</t>
  </si>
  <si>
    <t>155.145.208.132</t>
  </si>
  <si>
    <t>Luka Lukic</t>
  </si>
  <si>
    <t>UBS Asset Management</t>
  </si>
  <si>
    <t>luka.lukic@ubs.com</t>
  </si>
  <si>
    <t>Switzerland</t>
  </si>
  <si>
    <t>C9ARC522E</t>
  </si>
  <si>
    <t>PlusAlpina Real Estate Advisors GmbH</t>
  </si>
  <si>
    <t>94.79.138.90</t>
  </si>
  <si>
    <t>Laura Meindl</t>
  </si>
  <si>
    <t>CONREN Land Management GmbH</t>
  </si>
  <si>
    <t xml:space="preserve">laura.meindl@conrenland.com </t>
  </si>
  <si>
    <t>Germany</t>
  </si>
  <si>
    <t>C9AWD500U</t>
  </si>
  <si>
    <t>Nordika</t>
  </si>
  <si>
    <t>95.195.213.146</t>
  </si>
  <si>
    <t>Gabriel Cronstedt</t>
  </si>
  <si>
    <t>Nordika Fastigheter</t>
  </si>
  <si>
    <t>Partner</t>
  </si>
  <si>
    <t>gc@nordika.se</t>
  </si>
  <si>
    <t>Sweden</t>
  </si>
  <si>
    <t>C9AWJ875T</t>
  </si>
  <si>
    <t>QIC</t>
  </si>
  <si>
    <t>165.225.114.92</t>
  </si>
  <si>
    <t>Grant Brady</t>
  </si>
  <si>
    <t>Director – Investment Specialist, Global Real Estate</t>
  </si>
  <si>
    <t>g.brady@qic.com</t>
  </si>
  <si>
    <t>+61 7 3020 7203</t>
  </si>
  <si>
    <t>C9AYY554M</t>
  </si>
  <si>
    <t>Steen &amp; Strøm</t>
  </si>
  <si>
    <t>213.52.102.35</t>
  </si>
  <si>
    <t>Nils Eivind Risvand</t>
  </si>
  <si>
    <t>Steen &amp; Strøm AS</t>
  </si>
  <si>
    <t>Head of Legal</t>
  </si>
  <si>
    <t>nils.eivind.risvand@steenstrom.com</t>
  </si>
  <si>
    <t>Norway</t>
  </si>
  <si>
    <t>NOK</t>
  </si>
  <si>
    <t>No need for capital</t>
  </si>
  <si>
    <t>C9BVL581A</t>
  </si>
  <si>
    <t>Wealthcap Kapitalverwaltungsgesellschaft mbH</t>
  </si>
  <si>
    <t>194.145.239.236</t>
  </si>
  <si>
    <t>Sebastian Zehrer</t>
  </si>
  <si>
    <t>Wealthcap</t>
  </si>
  <si>
    <t>sebastian.zehrer@wealthcap.com</t>
  </si>
  <si>
    <t>C9CAQ433M</t>
  </si>
  <si>
    <t>Helaba Invest</t>
  </si>
  <si>
    <t>Asia</t>
  </si>
  <si>
    <t>europe</t>
  </si>
  <si>
    <t>195.191.225.4</t>
  </si>
  <si>
    <t>Tobias Dichtl</t>
  </si>
  <si>
    <t>Portfolio Analyst Research &amp; Strategy</t>
  </si>
  <si>
    <t>tobias.dichtl@helaba-invest.de</t>
  </si>
  <si>
    <t>C9CBD413T</t>
  </si>
  <si>
    <t>Frogmore Real Estate Partners Investment Managers Limited</t>
  </si>
  <si>
    <t>154.47.76.34</t>
  </si>
  <si>
    <t>Swati</t>
  </si>
  <si>
    <t>Frogmore</t>
  </si>
  <si>
    <t>Head of Investor Relations and Client Development</t>
  </si>
  <si>
    <t>swatisrivastava@frogmore.co.uk</t>
  </si>
  <si>
    <t>United Kingdom</t>
  </si>
  <si>
    <t>GBP</t>
  </si>
  <si>
    <t xml:space="preserve">We launched our new fourth value add in 2018 </t>
  </si>
  <si>
    <t>C9CBM470R</t>
  </si>
  <si>
    <t>Legal &amp; General Investment Management</t>
  </si>
  <si>
    <t>193.200.176.30</t>
  </si>
  <si>
    <t>Savraj Sahota</t>
  </si>
  <si>
    <t>Analyst, Real Assets</t>
  </si>
  <si>
    <t>savraj.sahota@lgim.com</t>
  </si>
  <si>
    <t>C9CDF297C</t>
  </si>
  <si>
    <t>Grosvenor Europe Limited</t>
  </si>
  <si>
    <t>northamerica</t>
  </si>
  <si>
    <t>154.47.76.220</t>
  </si>
  <si>
    <t>James Raynor</t>
  </si>
  <si>
    <t>Grosvenor</t>
  </si>
  <si>
    <t>CEO Grosvenor Europe</t>
  </si>
  <si>
    <t>james.raynor@grosvenor.com</t>
  </si>
  <si>
    <t>C9CDX506B</t>
  </si>
  <si>
    <t>OP Real Estate Asset Management Ltd</t>
  </si>
  <si>
    <t>157.124.30.3</t>
  </si>
  <si>
    <t>Pami Pihlström</t>
  </si>
  <si>
    <t>OP Real Estate Asset Management</t>
  </si>
  <si>
    <t>CIO</t>
  </si>
  <si>
    <t>pami.pihlstrom@op.fi</t>
  </si>
  <si>
    <t xml:space="preserve">+358 10 </t>
  </si>
  <si>
    <t>Finland</t>
  </si>
  <si>
    <t>C9CDZ380J</t>
  </si>
  <si>
    <t>Delancey Real Estate Asset Management</t>
  </si>
  <si>
    <t>154.47.76.16</t>
  </si>
  <si>
    <t>Eric Lemer</t>
  </si>
  <si>
    <t>Director, Business Development</t>
  </si>
  <si>
    <t>eric.lemer@delancey.com</t>
  </si>
  <si>
    <t>C9CFW373W</t>
  </si>
  <si>
    <t>Cording Real Estate Group Limited</t>
  </si>
  <si>
    <t>195.243.133.82</t>
  </si>
  <si>
    <t>Naomi Vlakancic</t>
  </si>
  <si>
    <t>Cording Real Estate Group</t>
  </si>
  <si>
    <t>Head of Investor Relations</t>
  </si>
  <si>
    <t>naomi.vlakancic@cordinggroup.com</t>
  </si>
  <si>
    <t xml:space="preserve">+44 (0)20 3206 7911   </t>
  </si>
  <si>
    <t>C9CGC870P</t>
  </si>
  <si>
    <t>Pamfleet</t>
  </si>
  <si>
    <t>118.200.5.237</t>
  </si>
  <si>
    <t>YC Tang</t>
  </si>
  <si>
    <t>yc.tang@pamfleet.com</t>
  </si>
  <si>
    <t>65 6325 0160</t>
  </si>
  <si>
    <t>Hong Kong</t>
  </si>
  <si>
    <t>USD</t>
  </si>
  <si>
    <t>GP coinvestment</t>
  </si>
  <si>
    <t>C9CJR360D</t>
  </si>
  <si>
    <t>CITIC Capital Holdings Limited</t>
  </si>
  <si>
    <t>61.244.118.81</t>
  </si>
  <si>
    <t>Kash Lam</t>
  </si>
  <si>
    <t>CITIC Capital</t>
  </si>
  <si>
    <t>Vice President</t>
  </si>
  <si>
    <t>kashlam@citiccapital.com</t>
  </si>
  <si>
    <t>3710 6952</t>
  </si>
  <si>
    <t>CNY</t>
  </si>
  <si>
    <t>C9CRE548M</t>
  </si>
  <si>
    <t>Sirius Capital Partners</t>
  </si>
  <si>
    <t>194.111.75.232</t>
  </si>
  <si>
    <t>Nina Cainberg</t>
  </si>
  <si>
    <t>nina.cainberg@sirius.fi</t>
  </si>
  <si>
    <t>C9CWV526T</t>
  </si>
  <si>
    <t>PROJECT Investment AG</t>
  </si>
  <si>
    <t>37.60.5.66</t>
  </si>
  <si>
    <t>Uwira Jürgen</t>
  </si>
  <si>
    <t xml:space="preserve">Managing Director PROJECT Real Estate Trust </t>
  </si>
  <si>
    <t>j.uwira@project-investment.de</t>
  </si>
  <si>
    <t>0049 89 599890861</t>
  </si>
  <si>
    <t xml:space="preserve">Open commitments, to avoid conflicts of interest start of next AIF in 2019 </t>
  </si>
  <si>
    <t>C9CYV634C</t>
  </si>
  <si>
    <t>NCREIF</t>
  </si>
  <si>
    <t>Equus Capital Partners</t>
  </si>
  <si>
    <t>204.237.132.2</t>
  </si>
  <si>
    <t>Joseph G Nahas, Jr CRE</t>
  </si>
  <si>
    <t>Equus Capital Partners, Ltd.</t>
  </si>
  <si>
    <t>Sr. Vice President</t>
  </si>
  <si>
    <t>jnahas@equuspartners.com</t>
  </si>
  <si>
    <t>215-575-2363</t>
  </si>
  <si>
    <t>United States</t>
  </si>
  <si>
    <t>C9CZY636N</t>
  </si>
  <si>
    <t>Farmland Opportunity |  LLC</t>
  </si>
  <si>
    <t>174.216.26.60</t>
  </si>
  <si>
    <t>Jay Girotto</t>
  </si>
  <si>
    <t>Farmland Opportunity, LLC</t>
  </si>
  <si>
    <t>President</t>
  </si>
  <si>
    <t>jgirotto@farmopp.com</t>
  </si>
  <si>
    <t>High net worth, single family offices only</t>
  </si>
  <si>
    <t>C9DEV464E</t>
  </si>
  <si>
    <t>Kristensen Properties</t>
  </si>
  <si>
    <t>87.51.5.162</t>
  </si>
  <si>
    <t>Anders Holm Pedersen</t>
  </si>
  <si>
    <t>ahp@kristensenproperties.com</t>
  </si>
  <si>
    <t>C9DFE466Y</t>
  </si>
  <si>
    <t>La Française</t>
  </si>
  <si>
    <t>83.167.51.62</t>
  </si>
  <si>
    <t>Donovan McGill</t>
  </si>
  <si>
    <t>La Francaise</t>
  </si>
  <si>
    <t>International Marketing Manager</t>
  </si>
  <si>
    <t>dmcgill@la-francaise.com</t>
  </si>
  <si>
    <t>France</t>
  </si>
  <si>
    <t>Non-financial corporates</t>
  </si>
  <si>
    <t>C9DGF873T</t>
  </si>
  <si>
    <t>Propertylink Group</t>
  </si>
  <si>
    <t>103.252.58.14</t>
  </si>
  <si>
    <t>Tim Simpson</t>
  </si>
  <si>
    <t>Propertylink</t>
  </si>
  <si>
    <t>General Manager</t>
  </si>
  <si>
    <t>tsimpson@propertylink.com.au</t>
  </si>
  <si>
    <t>+612 9186 4700</t>
  </si>
  <si>
    <t>ongoing corporate restructure</t>
  </si>
  <si>
    <t>C9DJC456T</t>
  </si>
  <si>
    <t>Kames Capital</t>
  </si>
  <si>
    <t>198.39.100.21</t>
  </si>
  <si>
    <t>Philip Clark</t>
  </si>
  <si>
    <t>AEGON Asset Management</t>
  </si>
  <si>
    <t>European Head of Real Estate</t>
  </si>
  <si>
    <t>phil.clark@kamescapital.com</t>
  </si>
  <si>
    <t>0044 7740 897989</t>
  </si>
  <si>
    <t>Netherlands</t>
  </si>
  <si>
    <t>No funds launched.</t>
  </si>
  <si>
    <t>C9DJE896V</t>
  </si>
  <si>
    <t>White Peak</t>
  </si>
  <si>
    <t>157.55.39.96</t>
  </si>
  <si>
    <t>Karen Xu</t>
  </si>
  <si>
    <t>White Peak Real Estate Investment</t>
  </si>
  <si>
    <t>karen.xu@wprei.com</t>
  </si>
  <si>
    <t>China</t>
  </si>
  <si>
    <t>C9DLZ342V</t>
  </si>
  <si>
    <t>Azora Capital S.L.</t>
  </si>
  <si>
    <t>80.28.105.241</t>
  </si>
  <si>
    <t>Isabel Troya</t>
  </si>
  <si>
    <t>Azora Capital</t>
  </si>
  <si>
    <t>Head of IR &amp; Communication</t>
  </si>
  <si>
    <t>isabeltroya@azora.es</t>
  </si>
  <si>
    <t>Spain</t>
  </si>
  <si>
    <t>Real Estate institutional investor</t>
  </si>
  <si>
    <t>C9DNL392U</t>
  </si>
  <si>
    <t>Elysian Residences</t>
  </si>
  <si>
    <t>188.214.9.65</t>
  </si>
  <si>
    <t>Jonas Frantz</t>
  </si>
  <si>
    <t>frantz@elysianresidences.com</t>
  </si>
  <si>
    <t>+44 207 015 2246</t>
  </si>
  <si>
    <t>First Time Fund</t>
  </si>
  <si>
    <t>C9DRK656R</t>
  </si>
  <si>
    <t>Intercontinental Real Estate Corp.</t>
  </si>
  <si>
    <t>65.215.112.242</t>
  </si>
  <si>
    <t>Brandon Millen</t>
  </si>
  <si>
    <t>Intercontinental Real Estate Corp</t>
  </si>
  <si>
    <t>Associate Director, Performance</t>
  </si>
  <si>
    <t>brandonm@intercontinental.net</t>
  </si>
  <si>
    <t>Corporate</t>
  </si>
  <si>
    <t>C9DTL363X</t>
  </si>
  <si>
    <t>Catalyst Capital LLP</t>
  </si>
  <si>
    <t>83.206.159.77</t>
  </si>
  <si>
    <t>Fabrice de Clermont-Tonnerre</t>
  </si>
  <si>
    <t>fdect@catalystcapital.com</t>
  </si>
  <si>
    <t>C9DTT329Y</t>
  </si>
  <si>
    <t>Aquila Capital</t>
  </si>
  <si>
    <t>217.110.136.82</t>
  </si>
  <si>
    <t>Michael Husung</t>
  </si>
  <si>
    <t>Head Sales Real Estate</t>
  </si>
  <si>
    <t>michaell.husung@aquila-capital.com</t>
  </si>
  <si>
    <t>+49 172 89 82 498</t>
  </si>
  <si>
    <t>C9DUU704H</t>
  </si>
  <si>
    <t>Lendlease Investment Management</t>
  </si>
  <si>
    <t>108.171.134.165</t>
  </si>
  <si>
    <t>Peter Wylie</t>
  </si>
  <si>
    <t>Lendlease</t>
  </si>
  <si>
    <t>Group Director, Investment &amp; Capital Markets</t>
  </si>
  <si>
    <t>peter.wylie@lendlease.com</t>
  </si>
  <si>
    <t>Corporate partner</t>
  </si>
  <si>
    <t>C9DWH305A</t>
  </si>
  <si>
    <t>Baring Private Equity Asia Pte Ltd</t>
  </si>
  <si>
    <t>101.78.178.130</t>
  </si>
  <si>
    <t>Tiffany Wang</t>
  </si>
  <si>
    <t>BPEA Real Estate</t>
  </si>
  <si>
    <t>Corporate Communication Officer</t>
  </si>
  <si>
    <t>TiffanyWang@bpeasia.com</t>
  </si>
  <si>
    <t>+852 2843 9362</t>
  </si>
  <si>
    <t>C9DWW298G</t>
  </si>
  <si>
    <t>PATRIZIA Immobilien AG</t>
  </si>
  <si>
    <t>212.114.207.108</t>
  </si>
  <si>
    <t>Sebastian</t>
  </si>
  <si>
    <t>Gey</t>
  </si>
  <si>
    <t>Head of Product Development</t>
  </si>
  <si>
    <t>sebastian.gey@patrizia.ag</t>
  </si>
  <si>
    <t>+49 171 1904152</t>
  </si>
  <si>
    <t>Saving banks, banks etc.</t>
  </si>
  <si>
    <t>C9DYF617U</t>
  </si>
  <si>
    <t>Buzz Oates</t>
  </si>
  <si>
    <t>209.222.83.71</t>
  </si>
  <si>
    <t>Larry Allbaugh</t>
  </si>
  <si>
    <t>CEO</t>
  </si>
  <si>
    <t>larryallbaugh@buzzoates.com</t>
  </si>
  <si>
    <t>sufficient capital raised previously</t>
  </si>
  <si>
    <t>C9ECX442Q</t>
  </si>
  <si>
    <t>Intermediate Capital Group (ICG)</t>
  </si>
  <si>
    <t>154.47.76.94</t>
  </si>
  <si>
    <t>Cilla Yngvesson</t>
  </si>
  <si>
    <t>ICG-Longbow</t>
  </si>
  <si>
    <t>Manager</t>
  </si>
  <si>
    <t>cilla.yngvesson@icgam.com</t>
  </si>
  <si>
    <t>C9EGN815A</t>
  </si>
  <si>
    <t>Mitsui Fudosan Investment Advisors, Inc.</t>
  </si>
  <si>
    <t>asia</t>
  </si>
  <si>
    <t>211.19.34.54</t>
  </si>
  <si>
    <t>NAKAO IIJIMA</t>
  </si>
  <si>
    <t>Mitsui Fudosan Investment Advisors Inc.</t>
  </si>
  <si>
    <t>General Manager Research Dept.</t>
  </si>
  <si>
    <t>n-iijima@mfia.co.jp</t>
  </si>
  <si>
    <t>Japan</t>
  </si>
  <si>
    <t>JPY</t>
  </si>
  <si>
    <t>Banks &amp; other types of companies</t>
  </si>
  <si>
    <t>other type of company</t>
  </si>
  <si>
    <t>C9EML411W</t>
  </si>
  <si>
    <t>Franklin Templeton Real Asset Advisors</t>
  </si>
  <si>
    <t>global</t>
  </si>
  <si>
    <t>119.17.137.127</t>
  </si>
  <si>
    <t>Greg Wilkinson</t>
  </si>
  <si>
    <t>Franklin Templeton Investments</t>
  </si>
  <si>
    <t>Director</t>
  </si>
  <si>
    <t>greg.wilkinson@franklintempleton.com</t>
  </si>
  <si>
    <t>C9ENH304P</t>
  </si>
  <si>
    <t>Aberdeen Asset Management (FOF)</t>
  </si>
  <si>
    <t>80.254.154.43</t>
  </si>
  <si>
    <t>Magdalena Svensson</t>
  </si>
  <si>
    <t>Aberdeen Standard Investments</t>
  </si>
  <si>
    <t>Operations Manager</t>
  </si>
  <si>
    <t>magdalena.svensson@aberdeen-asset.com</t>
  </si>
  <si>
    <t>C9EUE452P</t>
  </si>
  <si>
    <t>IPUT plc</t>
  </si>
  <si>
    <t>5.149.174.42</t>
  </si>
  <si>
    <t>Patrick McGinley</t>
  </si>
  <si>
    <t>Head of Finance</t>
  </si>
  <si>
    <t>pmcginley@iput.com</t>
  </si>
  <si>
    <t>Ireland</t>
  </si>
  <si>
    <t>C9EXY387X</t>
  </si>
  <si>
    <t>DRC Capital LLP</t>
  </si>
  <si>
    <t>217.10.134.222</t>
  </si>
  <si>
    <t>Steve Emsley</t>
  </si>
  <si>
    <t>DRC Capital</t>
  </si>
  <si>
    <t>CFO</t>
  </si>
  <si>
    <t>se@drccap.com</t>
  </si>
  <si>
    <t>C9EYM602B</t>
  </si>
  <si>
    <t>Ascentris</t>
  </si>
  <si>
    <t>38.140.184.26</t>
  </si>
  <si>
    <t>Katie Milleville</t>
  </si>
  <si>
    <t>Associate, Investor Relations</t>
  </si>
  <si>
    <t>katie.milleville@ascentris.com</t>
  </si>
  <si>
    <t>C9EYY906C</t>
  </si>
  <si>
    <t>Seaforth Land</t>
  </si>
  <si>
    <t>62.6.56.35</t>
  </si>
  <si>
    <t>Tyler E. Goodwin</t>
  </si>
  <si>
    <t>Tyler.Goodwin@Seaforthland.com</t>
  </si>
  <si>
    <t>C9EZU414M</t>
  </si>
  <si>
    <t>Garbe Industrial Real Estate GmbH</t>
  </si>
  <si>
    <t>109.41.67.136</t>
  </si>
  <si>
    <t>Jan Philipp Daun</t>
  </si>
  <si>
    <t>GARBE Industrial Real Estate GmbH</t>
  </si>
  <si>
    <t>Head of portfoliomanagement</t>
  </si>
  <si>
    <t>jp.daun@garbe.de</t>
  </si>
  <si>
    <t>PE</t>
  </si>
  <si>
    <t>C9FAT672M</t>
  </si>
  <si>
    <t>MetLife</t>
  </si>
  <si>
    <t>216.163.247.1</t>
  </si>
  <si>
    <t>Brittany Seichal</t>
  </si>
  <si>
    <t>MetLife Investment Management</t>
  </si>
  <si>
    <t>brittany.seichal@metlife.com</t>
  </si>
  <si>
    <t>trust</t>
  </si>
  <si>
    <t>C9FAW364R</t>
  </si>
  <si>
    <t>Catella AB</t>
  </si>
  <si>
    <t>37.24.36.2</t>
  </si>
  <si>
    <t>Thomas Beyerle</t>
  </si>
  <si>
    <t>Catella</t>
  </si>
  <si>
    <t>Head of Group Research</t>
  </si>
  <si>
    <t>thomas.beyerle@catella.de</t>
  </si>
  <si>
    <t>C9FBF528Y</t>
  </si>
  <si>
    <t>Quantum Immobilien AG</t>
  </si>
  <si>
    <t>212.202.231.18</t>
  </si>
  <si>
    <t>Maximilian Schneidler</t>
  </si>
  <si>
    <t>Herr</t>
  </si>
  <si>
    <t>Investor Relations</t>
  </si>
  <si>
    <t>mas@quantum.ag</t>
  </si>
  <si>
    <t>C9FDR539N</t>
  </si>
  <si>
    <t>Round Hill Capital</t>
  </si>
  <si>
    <t>154.47.76.253</t>
  </si>
  <si>
    <t>Camilla Bergesen</t>
  </si>
  <si>
    <t>cbergesen@roundhillcapital.com</t>
  </si>
  <si>
    <t>Private Investment Companies</t>
  </si>
  <si>
    <t>C9FFE356E</t>
  </si>
  <si>
    <t>Caisson Investment Management</t>
  </si>
  <si>
    <t>167.98.113.4</t>
  </si>
  <si>
    <t>Michael Newman</t>
  </si>
  <si>
    <t>Finance Partner</t>
  </si>
  <si>
    <t>michaelnewman1974@msn.com</t>
  </si>
  <si>
    <t>C9FJC902J</t>
  </si>
  <si>
    <t>Long Harbour</t>
  </si>
  <si>
    <t>154.47.76.70</t>
  </si>
  <si>
    <t>Tabitha Perry</t>
  </si>
  <si>
    <t xml:space="preserve">tjp@longharbour.co.uk </t>
  </si>
  <si>
    <t>C9FNB361D</t>
  </si>
  <si>
    <t>The Carlyle Group (FM)</t>
  </si>
  <si>
    <t>85.115.53.201</t>
  </si>
  <si>
    <t>Peter Stoll</t>
  </si>
  <si>
    <t>The Carlyle Group</t>
  </si>
  <si>
    <t>peter.stoll@carlyle.com</t>
  </si>
  <si>
    <t>Employees</t>
  </si>
  <si>
    <t>C9FND894E</t>
  </si>
  <si>
    <t>Vicinity Centres</t>
  </si>
  <si>
    <t>220.101.40.240</t>
  </si>
  <si>
    <t>Andrew Turnham</t>
  </si>
  <si>
    <t>Senior Investment Analyst</t>
  </si>
  <si>
    <t>andrew.turnham@vicinity.com.au</t>
  </si>
  <si>
    <t>Market Conditions</t>
  </si>
  <si>
    <t>C9FNK492M</t>
  </si>
  <si>
    <t>Moorfield Group</t>
  </si>
  <si>
    <t>154.47.76.247</t>
  </si>
  <si>
    <t>Robbert Zoet</t>
  </si>
  <si>
    <t>Moorfield</t>
  </si>
  <si>
    <t>Head of Capital Markets</t>
  </si>
  <si>
    <t>robbert.zoet@moorfield.com</t>
  </si>
  <si>
    <t>C9FNR589R</t>
  </si>
  <si>
    <t>Heitman</t>
  </si>
  <si>
    <t>145.131.178.65</t>
  </si>
  <si>
    <t>Nicole Luna</t>
  </si>
  <si>
    <t>Assistant Vice President</t>
  </si>
  <si>
    <t>consultant.services@heitman.com</t>
  </si>
  <si>
    <t>312-425-0492</t>
  </si>
  <si>
    <t>corporate, taft-hartley</t>
  </si>
  <si>
    <t>new clients from prospecting</t>
  </si>
  <si>
    <t>corporate</t>
  </si>
  <si>
    <t>C9FNV676B</t>
  </si>
  <si>
    <t>Northwestern Mutual Life Insurance</t>
  </si>
  <si>
    <t>216.20.176.6</t>
  </si>
  <si>
    <t>Daniel Flesch</t>
  </si>
  <si>
    <t>Northwestern Mutual</t>
  </si>
  <si>
    <t>dannyflesch@northwesternmutual.com</t>
  </si>
  <si>
    <t>414-665-2433</t>
  </si>
  <si>
    <t xml:space="preserve">We only manage assets for the insurance company. </t>
  </si>
  <si>
    <t>C9FVR345Z</t>
  </si>
  <si>
    <t>BEOS AG</t>
  </si>
  <si>
    <t>195.227.81.241</t>
  </si>
  <si>
    <t>Maximilian Brüne</t>
  </si>
  <si>
    <t>Portfolio manager</t>
  </si>
  <si>
    <t>maximilian.bruene@beos.net</t>
  </si>
  <si>
    <t>Church-institutions / church-related-institutions</t>
  </si>
  <si>
    <t>C9GAE462U</t>
  </si>
  <si>
    <t>KGAL GmbH &amp; Co. KG</t>
  </si>
  <si>
    <t>194.8.124.5</t>
  </si>
  <si>
    <t>Roland Gill</t>
  </si>
  <si>
    <t>KGAL Capital GmbH &amp; Co KG</t>
  </si>
  <si>
    <t>Manager Consultant Relations</t>
  </si>
  <si>
    <t>roland.gill@kgal.de</t>
  </si>
  <si>
    <t>+49 89 64143-143</t>
  </si>
  <si>
    <t>Church Institution</t>
  </si>
  <si>
    <t>C9GBR502X</t>
  </si>
  <si>
    <t>NREP</t>
  </si>
  <si>
    <t>31.31.84.65</t>
  </si>
  <si>
    <t>Anne Schachner</t>
  </si>
  <si>
    <t>Associate</t>
  </si>
  <si>
    <t>ansc@nrep.com</t>
  </si>
  <si>
    <t>+45 30520201</t>
  </si>
  <si>
    <t>Investment firms, Wealth managers, Endowments, Private banks</t>
  </si>
  <si>
    <t>C9GBT640V</t>
  </si>
  <si>
    <t>Forest Investment Associates</t>
  </si>
  <si>
    <t>12.227.210.66</t>
  </si>
  <si>
    <t>Ryan Reddish</t>
  </si>
  <si>
    <t>Acquisitions Manager</t>
  </si>
  <si>
    <t>rreddish@forestinvest.com</t>
  </si>
  <si>
    <t>C9GCU682K</t>
  </si>
  <si>
    <t>Kenedix, Inc.</t>
  </si>
  <si>
    <t>220.216.110.130</t>
  </si>
  <si>
    <t>Shunsuke Saki</t>
  </si>
  <si>
    <t>Kenedix</t>
  </si>
  <si>
    <t>manager</t>
  </si>
  <si>
    <t>shunsuke_saeki@kenedix.com</t>
  </si>
  <si>
    <t>03-6889-6066</t>
  </si>
  <si>
    <t>C9GDC679D</t>
  </si>
  <si>
    <t>PCCP |  LLC</t>
  </si>
  <si>
    <t>38.88.160.234</t>
  </si>
  <si>
    <t>Investor Reporting, Kathryn Gorsch</t>
  </si>
  <si>
    <t>PCCP, LLC</t>
  </si>
  <si>
    <t>investorreporting@pccpllc.com</t>
  </si>
  <si>
    <t>310-414-7870</t>
  </si>
  <si>
    <t>PCCP, Asset Manager, Private Pension</t>
  </si>
  <si>
    <t>C9GDF293E</t>
  </si>
  <si>
    <t>AEP Investment Management</t>
  </si>
  <si>
    <t>Johan Shah</t>
  </si>
  <si>
    <t>AEP Investment Management Pte Ltd</t>
  </si>
  <si>
    <t>Director, Head of Asset Management and Investor Relations</t>
  </si>
  <si>
    <t>johan.shah@aep-im.com</t>
  </si>
  <si>
    <t>Singapore</t>
  </si>
  <si>
    <t>C9GEM564E</t>
  </si>
  <si>
    <t>Tishman Speyer</t>
  </si>
  <si>
    <t>196.17.100.228</t>
  </si>
  <si>
    <t>research@inrev.org</t>
  </si>
  <si>
    <t>C9GJE907Z</t>
  </si>
  <si>
    <t>Syntrus Achmea Real Estate &amp; Finance (FM)</t>
  </si>
  <si>
    <t>62.58.82.179</t>
  </si>
  <si>
    <t xml:space="preserve">Syvia van der Schaaff </t>
  </si>
  <si>
    <t xml:space="preserve">Syntrus Achmea Real Estate &amp; Finance </t>
  </si>
  <si>
    <t xml:space="preserve">Propositionmanager </t>
  </si>
  <si>
    <t>sylvia.van.der.schaaff@achmeavastgoed.nl</t>
  </si>
  <si>
    <t>+ 31 630227164</t>
  </si>
  <si>
    <t xml:space="preserve">Other segment </t>
  </si>
  <si>
    <t>C9GMK908Q</t>
  </si>
  <si>
    <t>Syntrus Achmea Real Estate &amp; Finance (FoF)</t>
  </si>
  <si>
    <t xml:space="preserve">Sylvia van der Schaaff </t>
  </si>
  <si>
    <t xml:space="preserve">sylvia.van.der.schaaff </t>
  </si>
  <si>
    <t>00 31+630227164</t>
  </si>
  <si>
    <t>C9GMZ690D</t>
  </si>
  <si>
    <t>Sarofim Realty Advisors</t>
  </si>
  <si>
    <t>216.74.249.19</t>
  </si>
  <si>
    <t>Lisa Wallis</t>
  </si>
  <si>
    <t>Sarofim Realty Advisors Co.</t>
  </si>
  <si>
    <t>Portfolio Controller</t>
  </si>
  <si>
    <t>lwallis@sraco.com</t>
  </si>
  <si>
    <t>214-692-4266</t>
  </si>
  <si>
    <t>C9GQG881Q</t>
  </si>
  <si>
    <t>Seven Seas Advisors Co. LTD.</t>
  </si>
  <si>
    <t>210.138.169.29</t>
  </si>
  <si>
    <t>Minoru Yonekura</t>
  </si>
  <si>
    <t>Seven Seas Advisors Co., LTD.</t>
  </si>
  <si>
    <t>minoru.yonekura@sevenseas-adv.com</t>
  </si>
  <si>
    <t>+813 3539 1491</t>
  </si>
  <si>
    <t>C9GUT351T</t>
  </si>
  <si>
    <t>Bouwinvest Real Estate Investors</t>
  </si>
  <si>
    <t>185.48.69.2</t>
  </si>
  <si>
    <t>Renata Renckens-Joor</t>
  </si>
  <si>
    <t>Corporate Marketing &amp; Communications Associate</t>
  </si>
  <si>
    <t>r.joor@bouwinvest.nl</t>
  </si>
  <si>
    <t>06-10385347</t>
  </si>
  <si>
    <t>C9GWV435M</t>
  </si>
  <si>
    <t>Hermes Real Estate Investment Management Limited</t>
  </si>
  <si>
    <t>154.47.76.148</t>
  </si>
  <si>
    <t>Ricky Prior</t>
  </si>
  <si>
    <t xml:space="preserve">Hermes Investment Management </t>
  </si>
  <si>
    <t>Consultant Database Manager</t>
  </si>
  <si>
    <t>Ricky.Prior@hermes-investment.com</t>
  </si>
  <si>
    <t>Investment Manager</t>
  </si>
  <si>
    <t>C9GZV892T</t>
  </si>
  <si>
    <t>Tokyo Tatemono Investment Advisors Co., Ltd.</t>
  </si>
  <si>
    <t>221.186.68.97</t>
  </si>
  <si>
    <t>Yasuhide Nakai</t>
  </si>
  <si>
    <t>Tokyo Tatemono Investment Advisor Co.,Ltd.</t>
  </si>
  <si>
    <t xml:space="preserve">Senior Manager </t>
  </si>
  <si>
    <t>nakaiys@tt-ia.com</t>
  </si>
  <si>
    <t>Corporations/Banks</t>
  </si>
  <si>
    <t>C9HHA359Q</t>
  </si>
  <si>
    <t>Capman Real Estate</t>
  </si>
  <si>
    <t>212.161.80.4</t>
  </si>
  <si>
    <t>Nigel Pedroz</t>
  </si>
  <si>
    <t>CapMan Real Estate</t>
  </si>
  <si>
    <t>nigel.pedroz@capman.com</t>
  </si>
  <si>
    <t>C9HHX335W</t>
  </si>
  <si>
    <t>Arminius Funds Management Limited</t>
  </si>
  <si>
    <t>217.250.141.249</t>
  </si>
  <si>
    <t>Ilka Völker</t>
  </si>
  <si>
    <t>Arminius Kapitalgesellschaft mbH / Arminius Group</t>
  </si>
  <si>
    <t>Senior Finance Manager</t>
  </si>
  <si>
    <t>ivoelker@arminiuskapital.de</t>
  </si>
  <si>
    <t>C9HRN771D</t>
  </si>
  <si>
    <t>MaxCap Group</t>
  </si>
  <si>
    <t>61.69.86.22</t>
  </si>
  <si>
    <t>Chris van Beek</t>
  </si>
  <si>
    <t>MaxCap Group Pty. Ltd.</t>
  </si>
  <si>
    <t>Distribution Director</t>
  </si>
  <si>
    <t>chris.vanbeek@maxcapgroup.com.au</t>
  </si>
  <si>
    <t>+61 2 8397 7200</t>
  </si>
  <si>
    <t>C9HTB891X</t>
  </si>
  <si>
    <t>Mitsubishi UFJ Trust and Banking Corporation</t>
  </si>
  <si>
    <t>103.9.96.227</t>
  </si>
  <si>
    <t>Hiroshi Ushio</t>
  </si>
  <si>
    <t>Assistant Manager</t>
  </si>
  <si>
    <t>hiroshi_ushio@tr.mufg.jp</t>
  </si>
  <si>
    <t>Financial Institutions</t>
  </si>
  <si>
    <t>C9HVL454K</t>
  </si>
  <si>
    <t>Jamestown US - Immobilien GmbH</t>
  </si>
  <si>
    <t>89.1.66.245</t>
  </si>
  <si>
    <t>klaus-dieter schmidt</t>
  </si>
  <si>
    <t>jamestown</t>
  </si>
  <si>
    <t>managing director</t>
  </si>
  <si>
    <t>schmidtkd@jamestown.de</t>
  </si>
  <si>
    <t>C9HVL889W</t>
  </si>
  <si>
    <t>ARCH Capital Management Co Ltd</t>
  </si>
  <si>
    <t>101.78.165.217</t>
  </si>
  <si>
    <t>Loretta Li</t>
  </si>
  <si>
    <t>Finance Director</t>
  </si>
  <si>
    <t>lli@archcapital.net</t>
  </si>
  <si>
    <t>Financial institution and Corporate</t>
  </si>
  <si>
    <t>C9HVP546A</t>
  </si>
  <si>
    <t>Swiss Finance &amp; Property</t>
  </si>
  <si>
    <t>212.25.22.162</t>
  </si>
  <si>
    <t>Frederik De Block</t>
  </si>
  <si>
    <t>Senior Portfolio Manager</t>
  </si>
  <si>
    <t>deblock@sfp.ch</t>
  </si>
  <si>
    <t>+41 433441283</t>
  </si>
  <si>
    <t>CHF</t>
  </si>
  <si>
    <t>C9HVR328R</t>
  </si>
  <si>
    <t>Antirion SGR</t>
  </si>
  <si>
    <t>205.201.132.14</t>
  </si>
  <si>
    <t>Simone Roberti</t>
  </si>
  <si>
    <t>Antirion Sgr</t>
  </si>
  <si>
    <t>Head of Research</t>
  </si>
  <si>
    <t>simone.roberti@colliers.it</t>
  </si>
  <si>
    <t>Italy</t>
  </si>
  <si>
    <t>C9HXK600C</t>
  </si>
  <si>
    <t>American Realty Advisors</t>
  </si>
  <si>
    <t>216.5.175.66</t>
  </si>
  <si>
    <t>Jay Butterfield</t>
  </si>
  <si>
    <t>Executive Managing Director</t>
  </si>
  <si>
    <t>jbutterfield@aracapital.com</t>
  </si>
  <si>
    <t>Interval Funds</t>
  </si>
  <si>
    <t>Consultants</t>
  </si>
  <si>
    <t>C9HXT423V</t>
  </si>
  <si>
    <t>GTIS Partners</t>
  </si>
  <si>
    <t>196.17.100.70</t>
  </si>
  <si>
    <t>Dietrich Heidtmann</t>
  </si>
  <si>
    <t>MD</t>
  </si>
  <si>
    <t>dheidtmann@gtispartners.com</t>
  </si>
  <si>
    <t>+ 331 7037 5880</t>
  </si>
  <si>
    <t>C9HYN324C</t>
  </si>
  <si>
    <t>Amundi Asset Management</t>
  </si>
  <si>
    <t>52.41.60.67</t>
  </si>
  <si>
    <t>Stanislas HENRY</t>
  </si>
  <si>
    <t>AMUNDI REAL ESTATE</t>
  </si>
  <si>
    <t>Head of Institutional Funds &amp; Solutions</t>
  </si>
  <si>
    <t>stanislas.henry@amundi.com</t>
  </si>
  <si>
    <t>Retail funds</t>
  </si>
  <si>
    <t>C9HYN749K</t>
  </si>
  <si>
    <t>Madigan</t>
  </si>
  <si>
    <t>203.174.136.238</t>
  </si>
  <si>
    <t>Richa</t>
  </si>
  <si>
    <t>Madigan capital</t>
  </si>
  <si>
    <t>Analyst</t>
  </si>
  <si>
    <t>rkothari@madigancapital.com</t>
  </si>
  <si>
    <t>C9JAK424A</t>
  </si>
  <si>
    <t>HAHN Fonds Management GmbH</t>
  </si>
  <si>
    <t>130.180.126.154</t>
  </si>
  <si>
    <t>Oliver Luckey</t>
  </si>
  <si>
    <t>Hahn Group</t>
  </si>
  <si>
    <t>Head of Fund Management</t>
  </si>
  <si>
    <t>oluckey@hahnag.de</t>
  </si>
  <si>
    <t>C9JEY441J</t>
  </si>
  <si>
    <t>ICECAPITAL REAM Oy</t>
  </si>
  <si>
    <t>Thomas Hägglund</t>
  </si>
  <si>
    <t>ICECAPITAL REAM Ltd</t>
  </si>
  <si>
    <t>thomas.hagglund@icecapital.fi</t>
  </si>
  <si>
    <t>Timeline not optimal</t>
  </si>
  <si>
    <t>C9JFC652Z</t>
  </si>
  <si>
    <t>Hines</t>
  </si>
  <si>
    <t>158.106.223.226</t>
  </si>
  <si>
    <t>Erica Garren</t>
  </si>
  <si>
    <t>Sr. Internal Data Analyst</t>
  </si>
  <si>
    <t>erica.garren@hines.com</t>
  </si>
  <si>
    <t>Asset Manager, Bank, Corporate or Other Institutional</t>
  </si>
  <si>
    <t>C9JHZ646R</t>
  </si>
  <si>
    <t>Greystar Real Estate Partners</t>
  </si>
  <si>
    <t>southamerica</t>
  </si>
  <si>
    <t>50.201.95.250</t>
  </si>
  <si>
    <t>Rosanna Singh</t>
  </si>
  <si>
    <t>Greystar</t>
  </si>
  <si>
    <t>Senior Director</t>
  </si>
  <si>
    <t>rosanna.singh@greystar.com</t>
  </si>
  <si>
    <t>Sponsor, Corporate Non-Pension, PE</t>
  </si>
  <si>
    <t>Sponsor</t>
  </si>
  <si>
    <t>C9JJM390C</t>
  </si>
  <si>
    <t>DWS Alternatives GmbH</t>
  </si>
  <si>
    <t>80.187.103.122</t>
  </si>
  <si>
    <t>Georg Allendorf</t>
  </si>
  <si>
    <t xml:space="preserve">DWS Alternatives </t>
  </si>
  <si>
    <t>Head of Real Estate Europe</t>
  </si>
  <si>
    <t>Georg.allendorf@dws.com</t>
  </si>
  <si>
    <t>C9JLT563Y</t>
  </si>
  <si>
    <t>Threestones Capital Management</t>
  </si>
  <si>
    <t>146.0.190.192</t>
  </si>
  <si>
    <t>Shanu Sherwani</t>
  </si>
  <si>
    <t>Threestones Capital</t>
  </si>
  <si>
    <t>Head of Business Development</t>
  </si>
  <si>
    <t>s.sherwani@threestonescapital.com</t>
  </si>
  <si>
    <t>Luxembourg</t>
  </si>
  <si>
    <t>Bank</t>
  </si>
  <si>
    <t>Introducers/Distributors</t>
  </si>
  <si>
    <t>C9JLW327H</t>
  </si>
  <si>
    <t>Challenger Ltd</t>
  </si>
  <si>
    <t>203.27.87.126</t>
  </si>
  <si>
    <t>Trent</t>
  </si>
  <si>
    <t>Challenger</t>
  </si>
  <si>
    <t>Head of Real Estate</t>
  </si>
  <si>
    <t>talston@challenger.com.au</t>
  </si>
  <si>
    <t>C9JNT849H</t>
  </si>
  <si>
    <t>Orion Partners Real Estate Group</t>
  </si>
  <si>
    <t>202.77.62.76</t>
  </si>
  <si>
    <t>John LEE</t>
  </si>
  <si>
    <t>Partner and Head of Real Estate Group</t>
  </si>
  <si>
    <t>jlee@orionpartners.com</t>
  </si>
  <si>
    <t>+852 2218 2168</t>
  </si>
  <si>
    <t>Held off in 2018 pending completion of current Fund. Recommence in 2019.</t>
  </si>
  <si>
    <t>C9JRA571A</t>
  </si>
  <si>
    <t>The GPT Group</t>
  </si>
  <si>
    <t>Paul Caddy</t>
  </si>
  <si>
    <t>Senior Fund Analyst</t>
  </si>
  <si>
    <t>paul.caddy@gpt.com.au</t>
  </si>
  <si>
    <t>+61 2 8239 3858</t>
  </si>
  <si>
    <t>C9JVW472X</t>
  </si>
  <si>
    <t>LGT Capital Partners</t>
  </si>
  <si>
    <t>77.59.199.231</t>
  </si>
  <si>
    <t>Thomas B. Brown</t>
  </si>
  <si>
    <t>thomas.brown@lgt.com</t>
  </si>
  <si>
    <t>Investing other vehicles</t>
  </si>
  <si>
    <t>C9JYF620G</t>
  </si>
  <si>
    <t>CBRE Global Investors</t>
  </si>
  <si>
    <t>4.7.96.86</t>
  </si>
  <si>
    <t>Stephanie Finetto</t>
  </si>
  <si>
    <t>Stephanie.Finetto@cbreglobalinvestors.com</t>
  </si>
  <si>
    <t>+44 20 7809 9102 x9102</t>
  </si>
  <si>
    <t>C9KDG321Z</t>
  </si>
  <si>
    <t>Altera Vastgoed N.V.</t>
  </si>
  <si>
    <t>92.68.55.82</t>
  </si>
  <si>
    <t>Jaap Van Der Bijl</t>
  </si>
  <si>
    <t>Altera Vastgoed</t>
  </si>
  <si>
    <t>jaap.vanderbijl@alteravastgoed.nl</t>
  </si>
  <si>
    <t>C9KFC311U</t>
  </si>
  <si>
    <t>Aermont Capital LLP</t>
  </si>
  <si>
    <t>85.255.236.140</t>
  </si>
  <si>
    <t>Camilla Mathews</t>
  </si>
  <si>
    <t>Aermont Capital</t>
  </si>
  <si>
    <t>cmathews@aermont.com</t>
  </si>
  <si>
    <t>C9KFD438V</t>
  </si>
  <si>
    <t>DEXUS Property Group</t>
  </si>
  <si>
    <t>210.87.32.165</t>
  </si>
  <si>
    <t>Renee Alborough</t>
  </si>
  <si>
    <t>Dexus</t>
  </si>
  <si>
    <t xml:space="preserve">Communications and Investor Development Manager </t>
  </si>
  <si>
    <t>renee.alborough@dexus.com</t>
  </si>
  <si>
    <t>Capital call</t>
  </si>
  <si>
    <t>C9KPQ573J</t>
  </si>
  <si>
    <t>Union Investment Real Estate GmbH</t>
  </si>
  <si>
    <t>217.150.152.145</t>
  </si>
  <si>
    <t>Damian Jäger</t>
  </si>
  <si>
    <t xml:space="preserve">Union Investment </t>
  </si>
  <si>
    <t>reporting mgt</t>
  </si>
  <si>
    <t>damian.jaeger@union-investment.de</t>
  </si>
  <si>
    <t>banks</t>
  </si>
  <si>
    <t>C9KUL341E</t>
  </si>
  <si>
    <t>AXA IM - Real Assets</t>
  </si>
  <si>
    <t>Europe</t>
  </si>
  <si>
    <t>165.225.76.105</t>
  </si>
  <si>
    <t>Jared Guillory</t>
  </si>
  <si>
    <t>AXA Investment Managers - Real Assets</t>
  </si>
  <si>
    <t>jared.guillory@axa-im.com</t>
  </si>
  <si>
    <t>Banks, asset managers, corporates</t>
  </si>
  <si>
    <t>Banks, Asset managers</t>
  </si>
  <si>
    <t>C9KWW582G</t>
  </si>
  <si>
    <t>GreenOak Real Estate</t>
  </si>
  <si>
    <t>196.17.100.213</t>
  </si>
  <si>
    <t>Andie Scanlan</t>
  </si>
  <si>
    <t>Principal, Fundraising &amp; Investor Relations</t>
  </si>
  <si>
    <t>scanlan@greenoakrealestate.com</t>
  </si>
  <si>
    <t>Sponsor / Employees</t>
  </si>
  <si>
    <t>C9LAQ379K</t>
  </si>
  <si>
    <t>DC Values Investment Management GmbH &amp; Co. KG</t>
  </si>
  <si>
    <t>213.209.99.141</t>
  </si>
  <si>
    <t>Henning Kloeppelt</t>
  </si>
  <si>
    <t>DC Values Investment Management GmbH&amp;Co KG</t>
  </si>
  <si>
    <t>Managing Director</t>
  </si>
  <si>
    <t>henning.kloeppelt@dcvalues.de</t>
  </si>
  <si>
    <t>C9LDW374A</t>
  </si>
  <si>
    <t>Corestate Capital AG</t>
  </si>
  <si>
    <t>217.68.10.139</t>
  </si>
  <si>
    <t>Douglas Edwards</t>
  </si>
  <si>
    <t>CORESTATE Capital Group</t>
  </si>
  <si>
    <t>Managing Director, Group Head of Equity Raising</t>
  </si>
  <si>
    <t>douglas.edwards@corestate-capital.com</t>
  </si>
  <si>
    <t>C9LEA612F</t>
  </si>
  <si>
    <t>Blue Vista Capital Management |  LLC</t>
  </si>
  <si>
    <t>38.88.203.14</t>
  </si>
  <si>
    <t>Rachel Woolf</t>
  </si>
  <si>
    <t>Blue Vista Capital Management</t>
  </si>
  <si>
    <t>Senior Vice President</t>
  </si>
  <si>
    <t>rwoolf@bluevistallc.com</t>
  </si>
  <si>
    <t>Warm introduction</t>
  </si>
  <si>
    <t>C9LFM680L</t>
  </si>
  <si>
    <t>PNC Bank |  National Association</t>
  </si>
  <si>
    <t>104.129.194.55</t>
  </si>
  <si>
    <t>David Schenning</t>
  </si>
  <si>
    <t>PNC</t>
  </si>
  <si>
    <t>david.schenning@pnc.com</t>
  </si>
  <si>
    <t>C9LMV407Y</t>
  </si>
  <si>
    <t>Fokus Asset Management A/S</t>
  </si>
  <si>
    <t>77.221.227.60</t>
  </si>
  <si>
    <t>Tonny Nielsen</t>
  </si>
  <si>
    <t>Fokus Asset Management</t>
  </si>
  <si>
    <t>tonny.nielsen@fokusasset.dk</t>
  </si>
  <si>
    <t>DKK</t>
  </si>
  <si>
    <t>No Fund establishment</t>
  </si>
  <si>
    <t>C9LNB415Z</t>
  </si>
  <si>
    <t>GEG German Estate Group AG</t>
  </si>
  <si>
    <t>213.61.150.90</t>
  </si>
  <si>
    <t>Christian Bock</t>
  </si>
  <si>
    <t xml:space="preserve">Head of Institutional Business </t>
  </si>
  <si>
    <t>c.bock@geg.de</t>
  </si>
  <si>
    <t>C9LRM446U</t>
  </si>
  <si>
    <t>ImmoFinRE Group</t>
  </si>
  <si>
    <t>195.153.0.84</t>
  </si>
  <si>
    <t>Elliot Glausiusz</t>
  </si>
  <si>
    <t>ImmoFinRE</t>
  </si>
  <si>
    <t>Chief Investment Officer</t>
  </si>
  <si>
    <t>elliot.glausiusz@immofinre.com</t>
  </si>
  <si>
    <t>No Product Launch</t>
  </si>
  <si>
    <t>C9LTR536H</t>
  </si>
  <si>
    <t>Rockpoint Group, L.L.C.</t>
  </si>
  <si>
    <t>66.192.37.18</t>
  </si>
  <si>
    <t>Brian Delgado</t>
  </si>
  <si>
    <t>reporting@rockpointgroup.com</t>
  </si>
  <si>
    <t>Investment Manager/ GP</t>
  </si>
  <si>
    <t>General Partner</t>
  </si>
  <si>
    <t>C9LUC568Z</t>
  </si>
  <si>
    <t>Trevian Funds AIFM Ltd</t>
  </si>
  <si>
    <t>77.86.197.237</t>
  </si>
  <si>
    <t>Jussipekka Aumo</t>
  </si>
  <si>
    <t>Trevian Funds AIFM</t>
  </si>
  <si>
    <t>Partner, Sales Director</t>
  </si>
  <si>
    <t>jussipekka.aumo@trevianrahastot.fi</t>
  </si>
  <si>
    <t>+358 50 428 0668</t>
  </si>
  <si>
    <t>C9MCK388V</t>
  </si>
  <si>
    <t>DTZ</t>
  </si>
  <si>
    <t>154.47.76.193</t>
  </si>
  <si>
    <t>Andrea White</t>
  </si>
  <si>
    <t>DTZ Investors</t>
  </si>
  <si>
    <t>Associate Director</t>
  </si>
  <si>
    <t>andrea.white@dtzinvestors.com</t>
  </si>
  <si>
    <t>020 3349 0228</t>
  </si>
  <si>
    <t>Institutions</t>
  </si>
  <si>
    <t>C9MDK299V</t>
  </si>
  <si>
    <t>Patrizia Multi Managers A/S</t>
  </si>
  <si>
    <t>Jonas Guldbæk Pedersen</t>
  </si>
  <si>
    <t>PATRIZIA Multi Managers</t>
  </si>
  <si>
    <t>jonasguldbaek@patrizia.ag</t>
  </si>
  <si>
    <t>C9MFK874N</t>
  </si>
  <si>
    <t>Proprium Capital Partners, L.P.</t>
  </si>
  <si>
    <t>38.88.11.74</t>
  </si>
  <si>
    <t>Rajul Patel</t>
  </si>
  <si>
    <t>Principal</t>
  </si>
  <si>
    <t>rajul.patel@proprium.com</t>
  </si>
  <si>
    <t>+1 404-334-3312</t>
  </si>
  <si>
    <t>C9MJC399G</t>
  </si>
  <si>
    <t>Europa Capital Partners LLP</t>
  </si>
  <si>
    <t>154.47.76.130</t>
  </si>
  <si>
    <t>Nick Temperley</t>
  </si>
  <si>
    <t>Europa Capital</t>
  </si>
  <si>
    <t>Senior Associate</t>
  </si>
  <si>
    <t>ntemperley@europacapital.com</t>
  </si>
  <si>
    <t>Real Estate Company</t>
  </si>
  <si>
    <t>C9MPN503D</t>
  </si>
  <si>
    <t>Octopus Group</t>
  </si>
  <si>
    <t>154.47.76.151</t>
  </si>
  <si>
    <t>Fenglin</t>
  </si>
  <si>
    <t>Octopus Investments</t>
  </si>
  <si>
    <t>fenglin.zhao@octopusinvestments.com</t>
  </si>
  <si>
    <t>C9MRX371B</t>
  </si>
  <si>
    <t>CLSA</t>
  </si>
  <si>
    <t>202.124.29.7</t>
  </si>
  <si>
    <t>Angel Li</t>
  </si>
  <si>
    <t>CLSA Real Estate</t>
  </si>
  <si>
    <t>MD Portfolio Management Real Estate Fund</t>
  </si>
  <si>
    <t>angel.li@clsa.com</t>
  </si>
  <si>
    <t>C9MTV737U</t>
  </si>
  <si>
    <t>AMP Capital</t>
  </si>
  <si>
    <t>NorthAmerica</t>
  </si>
  <si>
    <t>Melinda Taylor</t>
  </si>
  <si>
    <t>AMP Capital Investors Limited</t>
  </si>
  <si>
    <t>Manager, Investor Engagement and Governance</t>
  </si>
  <si>
    <t>melinda.taylor@ampcapital.com</t>
  </si>
  <si>
    <t>Asset</t>
  </si>
  <si>
    <t>his information has not been recorded</t>
  </si>
  <si>
    <t>C9MVX876P</t>
  </si>
  <si>
    <t>Qualitas Property Partners</t>
  </si>
  <si>
    <t>115.124.35.102</t>
  </si>
  <si>
    <t>yossi kraemer</t>
  </si>
  <si>
    <t>Qualitas</t>
  </si>
  <si>
    <t>Head of Portfolio Management</t>
  </si>
  <si>
    <t>yossi.kraemer@qualitas.com.au</t>
  </si>
  <si>
    <t>Wealth Managers</t>
  </si>
  <si>
    <t>C9MWL541P</t>
  </si>
  <si>
    <t>Rynda Property Investors</t>
  </si>
  <si>
    <t>5.149.190.56</t>
  </si>
  <si>
    <t>MICHAEL WALTON</t>
  </si>
  <si>
    <t>RYNDA PROPERTY INVESTORS LLP</t>
  </si>
  <si>
    <t>michael.walton@ryndaproperty.com</t>
  </si>
  <si>
    <t>+44 20 3328 4700</t>
  </si>
  <si>
    <t>Woudl take too long - esaier to raise deal by deal</t>
  </si>
  <si>
    <t>C9NAX677Q</t>
  </si>
  <si>
    <t>New York Life Investment Management</t>
  </si>
  <si>
    <t>104.129.194.109</t>
  </si>
  <si>
    <t>Mary Smendzuik</t>
  </si>
  <si>
    <t>NYL Real Estate Investors</t>
  </si>
  <si>
    <t xml:space="preserve">Director, Business Development </t>
  </si>
  <si>
    <t>mary_e_smendzuik@nylinvestors.com</t>
  </si>
  <si>
    <t>212.576.5937</t>
  </si>
  <si>
    <t>C9NBM804V</t>
  </si>
  <si>
    <t>Meritz Real Estate AMC</t>
  </si>
  <si>
    <t>175.193.189.182</t>
  </si>
  <si>
    <t>Jun Hyun Shin</t>
  </si>
  <si>
    <t>Meritz Alternative Investment Management</t>
  </si>
  <si>
    <t>junshin@meritz.co.kr</t>
  </si>
  <si>
    <t>Korea, Republic Of</t>
  </si>
  <si>
    <t>C9NPJ479C</t>
  </si>
  <si>
    <t>M7 Real Estate</t>
  </si>
  <si>
    <t>154.47.76.200</t>
  </si>
  <si>
    <t>Teresa Gilchrist</t>
  </si>
  <si>
    <t>M7 Real Estate Limited</t>
  </si>
  <si>
    <t>Head of Investor Relations, Director</t>
  </si>
  <si>
    <t>teresa.gilchrist@m7re.eu</t>
  </si>
  <si>
    <t>020 3657 5520</t>
  </si>
  <si>
    <t xml:space="preserve">Private Equity </t>
  </si>
  <si>
    <t>C9NUE657A</t>
  </si>
  <si>
    <t>Invesco Real Estate</t>
  </si>
  <si>
    <t>72.76.164.88</t>
  </si>
  <si>
    <t>Colin Oberg</t>
  </si>
  <si>
    <t>Colin.oberg@invesco.com</t>
  </si>
  <si>
    <t>C9NXY592Z</t>
  </si>
  <si>
    <t>Prudential Real Estate Investors</t>
  </si>
  <si>
    <t>194.143.182.29</t>
  </si>
  <si>
    <t>Meghan Lakeland</t>
  </si>
  <si>
    <t>PGIM Real Estate</t>
  </si>
  <si>
    <t>Executive Director, Business Development</t>
  </si>
  <si>
    <t>meghan.lakeland@pgim.com</t>
  </si>
  <si>
    <t>973-734-1461</t>
  </si>
  <si>
    <t>Bank institution</t>
  </si>
  <si>
    <t>C9NZR560Y</t>
  </si>
  <si>
    <t>Goodman</t>
  </si>
  <si>
    <t>103.246.36.49</t>
  </si>
  <si>
    <t>James Inwood</t>
  </si>
  <si>
    <t>Goodman Group</t>
  </si>
  <si>
    <t>Group Executive and Head of Stakeholder Relations</t>
  </si>
  <si>
    <t>james.inwood@goodman.com</t>
  </si>
  <si>
    <t>No liquidity needs</t>
  </si>
  <si>
    <t>C9PGF343Q</t>
  </si>
  <si>
    <t>BC Partners</t>
  </si>
  <si>
    <t>148.76.78.242</t>
  </si>
  <si>
    <t>Jacki Hamilton</t>
  </si>
  <si>
    <t>Managing Director, Investor Relations</t>
  </si>
  <si>
    <t>jacki.hamilton@bcpartners.com</t>
  </si>
  <si>
    <t>(212) 891-2889</t>
  </si>
  <si>
    <t>Launched Real Estate platform in 2018 with intention of fundraising in 2019</t>
  </si>
  <si>
    <t>C9PGQ649B</t>
  </si>
  <si>
    <t>Investa Property Group</t>
  </si>
  <si>
    <t>115.124.35.55</t>
  </si>
  <si>
    <t>TIm Ingate</t>
  </si>
  <si>
    <t>investa</t>
  </si>
  <si>
    <t>tingate@investa.com.au</t>
  </si>
  <si>
    <t>Not necessary</t>
  </si>
  <si>
    <t>C9PNB883C</t>
  </si>
  <si>
    <t>SilkRoad Property Partners</t>
  </si>
  <si>
    <t>203.125.141.130</t>
  </si>
  <si>
    <t>Jaslyn Lee</t>
  </si>
  <si>
    <t>Silkroad Property Partners Pte Ltd</t>
  </si>
  <si>
    <t>VP Financial Controller</t>
  </si>
  <si>
    <t>jaslyn.lee@silkroadpp.com</t>
  </si>
  <si>
    <t>+65 6922 5566</t>
  </si>
  <si>
    <t>C9PPE508Y</t>
  </si>
  <si>
    <t>Orchard Street Investment Management</t>
  </si>
  <si>
    <t>John Humberstone</t>
  </si>
  <si>
    <t>jh@orchard-street.co.uk</t>
  </si>
  <si>
    <t>+44 207 851 4370</t>
  </si>
  <si>
    <t>Property Unit Trust</t>
  </si>
  <si>
    <t>C9PRM376P</t>
  </si>
  <si>
    <t>Credit Suisse Asset Management (Switzerland) Ltd</t>
  </si>
  <si>
    <t>Credit Suisse</t>
  </si>
  <si>
    <t>C9PTA627C</t>
  </si>
  <si>
    <t>IGIS Asset Management</t>
  </si>
  <si>
    <t>112.220.233.26</t>
  </si>
  <si>
    <t>Joseph Lee</t>
  </si>
  <si>
    <t>Senior Manager Director</t>
  </si>
  <si>
    <t>joseph.lee@igisam.com</t>
  </si>
  <si>
    <t>KRW</t>
  </si>
  <si>
    <t>Company, IB, Mutual Aid, etc</t>
  </si>
  <si>
    <t>IB, Mutual Aid, etc</t>
  </si>
  <si>
    <t>IB</t>
  </si>
  <si>
    <t>C9PUP307Q</t>
  </si>
  <si>
    <t>Activum SG</t>
  </si>
  <si>
    <t>86.164.134.125</t>
  </si>
  <si>
    <t>Annemarie Manning</t>
  </si>
  <si>
    <t>ActivumSG</t>
  </si>
  <si>
    <t>Head of IR</t>
  </si>
  <si>
    <t>amanning@activumsg.com</t>
  </si>
  <si>
    <t>still investing current capital</t>
  </si>
  <si>
    <t>C9PWL391N</t>
  </si>
  <si>
    <t>ECE Real Estate Partners</t>
  </si>
  <si>
    <t>83.236.160.70</t>
  </si>
  <si>
    <t>José María Ortiz</t>
  </si>
  <si>
    <t>ECE Real Estate Partners S.à r.l.</t>
  </si>
  <si>
    <t>JoseMaria.Ortiz@ece.com</t>
  </si>
  <si>
    <t>Not in our business plan</t>
  </si>
  <si>
    <t>C9PWL523W</t>
  </si>
  <si>
    <t>Pradera</t>
  </si>
  <si>
    <t>154.47.76.244</t>
  </si>
  <si>
    <t>Marina Ferri</t>
  </si>
  <si>
    <t xml:space="preserve">Pradera </t>
  </si>
  <si>
    <t xml:space="preserve">Corporate Marketing </t>
  </si>
  <si>
    <t>marina.ferri@pradera.com</t>
  </si>
  <si>
    <t>0207 530 5432</t>
  </si>
  <si>
    <t>Not in the market with a new product</t>
  </si>
  <si>
    <t>C9QBF659P</t>
  </si>
  <si>
    <t>Jamestown</t>
  </si>
  <si>
    <t>196.17.100.153</t>
  </si>
  <si>
    <t>Alix Rice</t>
  </si>
  <si>
    <t>Jamestown, L.P.</t>
  </si>
  <si>
    <t>Director, Investor Relations</t>
  </si>
  <si>
    <t>alix.rice@jamestownlp.com</t>
  </si>
  <si>
    <t>404-8358225</t>
  </si>
  <si>
    <t>includes Jamestown Management co-investments</t>
  </si>
  <si>
    <t>C9QBN543U</t>
  </si>
  <si>
    <t>Schroder Real Estate Kapitalverwaltungsgeselltchaft mbH</t>
  </si>
  <si>
    <t>154.47.76.190</t>
  </si>
  <si>
    <t>Robin Hubbard</t>
  </si>
  <si>
    <t>Schroders Rea Estate Investment Management</t>
  </si>
  <si>
    <t>Head of Real Estate Capital</t>
  </si>
  <si>
    <t>robin.hubbard@schroders.com</t>
  </si>
  <si>
    <t>Corporates</t>
  </si>
  <si>
    <t>C9QBY542C</t>
  </si>
  <si>
    <t>Savills Investment Management LLP</t>
  </si>
  <si>
    <t>154.47.76.89</t>
  </si>
  <si>
    <t>Scott Evans</t>
  </si>
  <si>
    <t>Savills Investment Management</t>
  </si>
  <si>
    <t>Head of Marketing</t>
  </si>
  <si>
    <t>scott.evans@savillsim.com</t>
  </si>
  <si>
    <t>Corporations</t>
  </si>
  <si>
    <t>C9QFH468Z</t>
  </si>
  <si>
    <t>LBO France</t>
  </si>
  <si>
    <t>194.177.50.17</t>
  </si>
  <si>
    <t>Sophie Chateau</t>
  </si>
  <si>
    <t>sophie.chateau@lbofrance.com</t>
  </si>
  <si>
    <t>C9QGP319K</t>
  </si>
  <si>
    <t>AltaFund</t>
  </si>
  <si>
    <t>92.42.177.132</t>
  </si>
  <si>
    <t>C9QMT325Y</t>
  </si>
  <si>
    <t>Amvest REIM B.V.</t>
  </si>
  <si>
    <t>31.160.102.9</t>
  </si>
  <si>
    <t>Mark Nieuwenbroek</t>
  </si>
  <si>
    <t>Amvest</t>
  </si>
  <si>
    <t>Manager Investor Relations</t>
  </si>
  <si>
    <t>mnieuwenbroek@amvest.nl</t>
  </si>
  <si>
    <t>deployment of capital from previous capital raising rounds</t>
  </si>
  <si>
    <t>C9QMU664K</t>
  </si>
  <si>
    <t>LaSalle Investment Management |  Inc.</t>
  </si>
  <si>
    <t>34.209.175.228</t>
  </si>
  <si>
    <t>Kristina Meyer</t>
  </si>
  <si>
    <t>LaSalle Investment Management</t>
  </si>
  <si>
    <t>Kristina.Meyer@lasalle.com</t>
  </si>
  <si>
    <t>Bank, Consultant, Corporate, Financial Institutions and Other Institutional</t>
  </si>
  <si>
    <t>Financial institutions, corporate, other instiutional</t>
  </si>
  <si>
    <t>Bank, Consultant, Corporate</t>
  </si>
  <si>
    <t>C9QQT384U</t>
  </si>
  <si>
    <t>DIC Fund Balance GmbH</t>
  </si>
  <si>
    <t>62.96.43.226</t>
  </si>
  <si>
    <t>Dirk Hasselbring</t>
  </si>
  <si>
    <t>Managing Director Fund Business</t>
  </si>
  <si>
    <t>d.hasselbring@dic-asset.de</t>
  </si>
  <si>
    <t>Banks</t>
  </si>
  <si>
    <t>C9QXF910Y</t>
  </si>
  <si>
    <t>ASR Real Estate Investment Partners</t>
  </si>
  <si>
    <t>185.46.213.100</t>
  </si>
  <si>
    <t>Luc Toren</t>
  </si>
  <si>
    <t>a.s.r. real estate</t>
  </si>
  <si>
    <t>Fund Manager</t>
  </si>
  <si>
    <t>luc.toren@asr.nl</t>
  </si>
  <si>
    <t>C9RAB877L</t>
  </si>
  <si>
    <t>SC Capital Partners</t>
  </si>
  <si>
    <t>115.42.240.154</t>
  </si>
  <si>
    <t>Ho Liwen</t>
  </si>
  <si>
    <t>Director Investor Relations</t>
  </si>
  <si>
    <t>liwen@recapinvestments.com</t>
  </si>
  <si>
    <t>C9RFH628P</t>
  </si>
  <si>
    <t>Cottonwood Partners Management</t>
  </si>
  <si>
    <t>76.8.194.202</t>
  </si>
  <si>
    <t>John West</t>
  </si>
  <si>
    <t>Dakota Pacific</t>
  </si>
  <si>
    <t>Director of Asset Management</t>
  </si>
  <si>
    <t>jfwest@dakotapacific.com</t>
  </si>
  <si>
    <t>We tried with an institution, but our deal didn`t materialize.</t>
  </si>
  <si>
    <t>C9RGT570T</t>
  </si>
  <si>
    <t>Trilogy Real Estate LLP</t>
  </si>
  <si>
    <t>217.138.128.82</t>
  </si>
  <si>
    <t>Mike Pashley</t>
  </si>
  <si>
    <t>mike@trilogyproperty.com</t>
  </si>
  <si>
    <t>First close timetabled for Qtr 1 2019</t>
  </si>
  <si>
    <t>C9RLE518U</t>
  </si>
  <si>
    <t>Partners Group</t>
  </si>
  <si>
    <t>62.189.105.130</t>
  </si>
  <si>
    <t>Daniel Sorrell</t>
  </si>
  <si>
    <t>daniel.sorrell@partnersgroup.com</t>
  </si>
  <si>
    <t>C9RQH427B</t>
  </si>
  <si>
    <t>Cromwell Property Group</t>
  </si>
  <si>
    <t>115.124.35.9</t>
  </si>
  <si>
    <t>Darren Connolly</t>
  </si>
  <si>
    <t>darren.connolly@cromwell.com.au</t>
  </si>
  <si>
    <t>+61 459492621</t>
  </si>
  <si>
    <t>Listed focus in 2018</t>
  </si>
  <si>
    <t>C9RQW314Y</t>
  </si>
  <si>
    <t>AINA Hospitality SARL</t>
  </si>
  <si>
    <t>193.91.35.5</t>
  </si>
  <si>
    <t>Pourchet</t>
  </si>
  <si>
    <t>AINA Hospitality</t>
  </si>
  <si>
    <t>pourchet@ainahospitality.com</t>
  </si>
  <si>
    <t>+352 20 60 02 46 27</t>
  </si>
  <si>
    <t>No open vehicle</t>
  </si>
  <si>
    <t>C9RXV533P</t>
  </si>
  <si>
    <t>Reggeborgh Vastgoed Management B.V.</t>
  </si>
  <si>
    <t>217.123.190.241</t>
  </si>
  <si>
    <t>Ruud van Dam</t>
  </si>
  <si>
    <t>Dekor Vastgoed BV</t>
  </si>
  <si>
    <t>rvandam@reggeborghvastgoed.nl</t>
  </si>
  <si>
    <t>no need to</t>
  </si>
  <si>
    <t>C9TBA460Z</t>
  </si>
  <si>
    <t>EG Funds Management</t>
  </si>
  <si>
    <t>Linh Pham</t>
  </si>
  <si>
    <t>lpham@eg.com.au</t>
  </si>
  <si>
    <t>Was not raising</t>
  </si>
  <si>
    <t>C9TEA334X</t>
  </si>
  <si>
    <t>Ares management</t>
  </si>
  <si>
    <t>206.142.195.245</t>
  </si>
  <si>
    <t>Daniel Taylor</t>
  </si>
  <si>
    <t>Ares Management</t>
  </si>
  <si>
    <t>Managing Director - RE Investor Relations</t>
  </si>
  <si>
    <t>dtaylor@aresmgmt.com</t>
  </si>
  <si>
    <t>C9TFJ381B</t>
  </si>
  <si>
    <t>Deutsche Finance Holding AG</t>
  </si>
  <si>
    <t>87.190.226.90</t>
  </si>
  <si>
    <t>Symon Godl</t>
  </si>
  <si>
    <t>Deutsche Finance Group</t>
  </si>
  <si>
    <t>s.godl@deutsche-finance.de</t>
  </si>
  <si>
    <t>C9TLE393L</t>
  </si>
  <si>
    <t>Cos-Capital (China Orient Summit Capital)</t>
  </si>
  <si>
    <t>90.152.0.246</t>
  </si>
  <si>
    <t>Varandas Ltd.</t>
  </si>
  <si>
    <t>COS Capital</t>
  </si>
  <si>
    <t>Head of EMEA</t>
  </si>
  <si>
    <t>roberto.varandas@cos-capital.com</t>
  </si>
  <si>
    <t>Third party capital platform still being developed</t>
  </si>
  <si>
    <t>C9TLG675B</t>
  </si>
  <si>
    <t>Morgan Stanley Real Estate</t>
  </si>
  <si>
    <t>170.74.231.22</t>
  </si>
  <si>
    <t>Candice Todd</t>
  </si>
  <si>
    <t>Morgan Stanley</t>
  </si>
  <si>
    <t>Candice.Todd@morganstanley.com</t>
  </si>
  <si>
    <t>+1 404 846-1407</t>
  </si>
  <si>
    <t>Tax-exempt grantor trust, limited partnership, educational inst., and corp.</t>
  </si>
  <si>
    <t>tax-exempt grantor trust, limited partnership, educational inst and corp.</t>
  </si>
  <si>
    <t>C9TVT348J</t>
  </si>
  <si>
    <t>BNP Paribas REIM</t>
  </si>
  <si>
    <t>165.225.77.29</t>
  </si>
  <si>
    <t>Laurent Ternisien</t>
  </si>
  <si>
    <t>Chief Client officer</t>
  </si>
  <si>
    <t>laurent.ternisien@bnpparibas.com</t>
  </si>
  <si>
    <t>C9TYQ872E</t>
  </si>
  <si>
    <t>Phoenix Property Investors</t>
  </si>
  <si>
    <t>125.214.234.73</t>
  </si>
  <si>
    <t>Cristine Lai</t>
  </si>
  <si>
    <t>clai@ppinvestors.com</t>
  </si>
  <si>
    <t>C9TZE453D</t>
  </si>
  <si>
    <t>InfraRed Capital Partners Limited</t>
  </si>
  <si>
    <t>89.191.203.205</t>
  </si>
  <si>
    <t>Xavier Revay</t>
  </si>
  <si>
    <t>InfraRed Capital Partners</t>
  </si>
  <si>
    <t>Investor Relations Analyst</t>
  </si>
  <si>
    <t>xavier.revay@ircp.com</t>
  </si>
  <si>
    <t>Mutual Funds, Corporations</t>
  </si>
  <si>
    <t>Corporations, Mutual Funds</t>
  </si>
  <si>
    <t>C9UFA904K</t>
  </si>
  <si>
    <t>Orange Capital Partners</t>
  </si>
  <si>
    <t>80.113.26.90</t>
  </si>
  <si>
    <t>Diederik Bakker</t>
  </si>
  <si>
    <t>diederik@orange-cp.com</t>
  </si>
  <si>
    <t>Fund manager</t>
  </si>
  <si>
    <t>C9UGY583N</t>
  </si>
  <si>
    <t>Deka Immobilien Investment GmbH</t>
  </si>
  <si>
    <t>Michaela Graefe</t>
  </si>
  <si>
    <t>Head of Fund Management Service Institutional Clients</t>
  </si>
  <si>
    <t>michaela.graefe@deka.de</t>
  </si>
  <si>
    <t>Saving banks</t>
  </si>
  <si>
    <t>C9UJL665N</t>
  </si>
  <si>
    <t>L&amp;B Realty Advisors |  LLP</t>
  </si>
  <si>
    <t>216.24.159.5</t>
  </si>
  <si>
    <t>Jan Johnson</t>
  </si>
  <si>
    <t>L&amp;B Realty Advisors, LLP</t>
  </si>
  <si>
    <t>jjohnson@lbrealty.com</t>
  </si>
  <si>
    <t>Foreign Investor</t>
  </si>
  <si>
    <t>C9UJX793J</t>
  </si>
  <si>
    <t>Diamond Real estate</t>
  </si>
  <si>
    <t>202.222.71.17</t>
  </si>
  <si>
    <t>Takero Torigoe</t>
  </si>
  <si>
    <t>Diamond Realty Management Inc.</t>
  </si>
  <si>
    <t>Takero.Torigoe@mc-dream.com</t>
  </si>
  <si>
    <t>81-3-5212-4802</t>
  </si>
  <si>
    <t>Mega Bank etc.</t>
  </si>
  <si>
    <t>C9UKP538T</t>
  </si>
  <si>
    <t>Global Logistic Properties Limited</t>
  </si>
  <si>
    <t>82.136.23.226</t>
  </si>
  <si>
    <t>Cora Tran</t>
  </si>
  <si>
    <t>GLP</t>
  </si>
  <si>
    <t>VP, Fund Management</t>
  </si>
  <si>
    <t>ctran@glprop.com</t>
  </si>
  <si>
    <t>C9ULV578V</t>
  </si>
  <si>
    <t>Vesteda</t>
  </si>
  <si>
    <t>185.12.120.106</t>
  </si>
  <si>
    <t>Gertjan van der Baan</t>
  </si>
  <si>
    <t>g.vanderbaan@vesteda.com</t>
  </si>
  <si>
    <t>Bricks for shares deal</t>
  </si>
  <si>
    <t>C9UMA368L</t>
  </si>
  <si>
    <t>Clearbell Capital LLP</t>
  </si>
  <si>
    <t>154.47.76.184</t>
  </si>
  <si>
    <t>Sally Doyle-Linden</t>
  </si>
  <si>
    <t>sally@clearbell.com</t>
  </si>
  <si>
    <t>C9UMR550N</t>
  </si>
  <si>
    <t>Sonae Sierra SGPS</t>
  </si>
  <si>
    <t>93.102.241.227</t>
  </si>
  <si>
    <t>joao lelis</t>
  </si>
  <si>
    <t>sonae sierra</t>
  </si>
  <si>
    <t>director, fund management</t>
  </si>
  <si>
    <t>jclelis@sonaesierra.com</t>
  </si>
  <si>
    <t>Portugal</t>
  </si>
  <si>
    <t>investment management firm</t>
  </si>
  <si>
    <t>C9UNU887M</t>
  </si>
  <si>
    <t>Tokio Marine</t>
  </si>
  <si>
    <t>203.223.27.190</t>
  </si>
  <si>
    <t>Shinji Kawano</t>
  </si>
  <si>
    <t>Tokio Marine Asset Management</t>
  </si>
  <si>
    <t>Head of Overseas Property Investment</t>
  </si>
  <si>
    <t>kawanos@tokiomarineam.co.jp</t>
  </si>
  <si>
    <t>C9UPF900K</t>
  </si>
  <si>
    <t>Ascendas Pte Ltd</t>
  </si>
  <si>
    <t>118.189.68.71</t>
  </si>
  <si>
    <t>Alex Sun</t>
  </si>
  <si>
    <t>Ascendas-Singbridge</t>
  </si>
  <si>
    <t>associate director</t>
  </si>
  <si>
    <t>alex.sun@ascendas-singbridge.com</t>
  </si>
  <si>
    <t>SGD</t>
  </si>
  <si>
    <t>not our core business</t>
  </si>
  <si>
    <t>C9UPW316C</t>
  </si>
  <si>
    <t>CapitaLand</t>
  </si>
  <si>
    <t>118.189.212.154</t>
  </si>
  <si>
    <t>Justin Goh</t>
  </si>
  <si>
    <t>CapitaLand Limited</t>
  </si>
  <si>
    <t>justin.gohkh@capitaland.com</t>
  </si>
  <si>
    <t>6713 3110</t>
  </si>
  <si>
    <t>N/A</t>
  </si>
  <si>
    <t>C9UYQ318K</t>
  </si>
  <si>
    <t>Alma Property Partners</t>
  </si>
  <si>
    <t>198.179.68.68</t>
  </si>
  <si>
    <t>Sloan Wobbeking</t>
  </si>
  <si>
    <t>Partner &amp; CEO</t>
  </si>
  <si>
    <t>sloan.wobbeking@almaproperty.se</t>
  </si>
  <si>
    <t>+46 70 227 7400</t>
  </si>
  <si>
    <t>C9VAM888E</t>
  </si>
  <si>
    <t>Tokyu Land Capital Management</t>
  </si>
  <si>
    <t>118.103.94.201</t>
  </si>
  <si>
    <t>Yumiko Nakamoto</t>
  </si>
  <si>
    <t>Tokyu Land Capital Management Inc.</t>
  </si>
  <si>
    <t>Yumiko_Nakamoto@tokyu-tlcm.co.jp</t>
  </si>
  <si>
    <t>C9VGR333J</t>
  </si>
  <si>
    <t>AREIM AB</t>
  </si>
  <si>
    <t>79.142.254.222</t>
  </si>
  <si>
    <t>Leif Andersson</t>
  </si>
  <si>
    <t>Areim AB</t>
  </si>
  <si>
    <t>Founder</t>
  </si>
  <si>
    <t>leif@areim.se</t>
  </si>
  <si>
    <t>C9VKT449V</t>
  </si>
  <si>
    <t>Dynasty Investments</t>
  </si>
  <si>
    <t>14.161.9.128</t>
  </si>
  <si>
    <t>Olivier Dung Do Ngoc</t>
  </si>
  <si>
    <t>AHF GP Hong Kong</t>
  </si>
  <si>
    <t>Managing Partner</t>
  </si>
  <si>
    <t>olivier.dongoc@ezland.vn</t>
  </si>
  <si>
    <t>Viet Nam</t>
  </si>
  <si>
    <t>C9VXG588H</t>
  </si>
  <si>
    <t>LaSalle Multi-Manager</t>
  </si>
  <si>
    <t>108.171.128.189</t>
  </si>
  <si>
    <t>Catriona Allen</t>
  </si>
  <si>
    <t>LaSalle Global Partner Solutions</t>
  </si>
  <si>
    <t>Senior Fund Manager</t>
  </si>
  <si>
    <t>catriona.allen@lasalle.com</t>
  </si>
  <si>
    <t>M&amp;A event - business was being sold from Aviva Investors to LaSalle</t>
  </si>
  <si>
    <t>C9VXR476U</t>
  </si>
  <si>
    <t>Lothbury Investment Management Ltd</t>
  </si>
  <si>
    <t>Barbara O`Riordan</t>
  </si>
  <si>
    <t>Head of Investor Relations &amp; Business Development</t>
  </si>
  <si>
    <t>barbara.oriordan@lothburyim.com</t>
  </si>
  <si>
    <t>020 3551 4900</t>
  </si>
  <si>
    <t>Corporate, CIS</t>
  </si>
  <si>
    <t>Reinvestments &amp; Fee Rebates</t>
  </si>
  <si>
    <t>C9WBM661M</t>
  </si>
  <si>
    <t>J.P. Morgan Asset Management</t>
  </si>
  <si>
    <t>159.53.110.141</t>
  </si>
  <si>
    <t>Paul Summer</t>
  </si>
  <si>
    <t>paul.t.summer@jpmorgan.com</t>
  </si>
  <si>
    <t>212.648.1580</t>
  </si>
  <si>
    <t>Corporation and Third Party Distribution</t>
  </si>
  <si>
    <t>Corporation</t>
  </si>
  <si>
    <t>C9WKJ660E</t>
  </si>
  <si>
    <t>ISPT Pty. Ltd</t>
  </si>
  <si>
    <t>34.237.121.68</t>
  </si>
  <si>
    <t>susannah bourke</t>
  </si>
  <si>
    <t>ispt</t>
  </si>
  <si>
    <t>head of investor relations</t>
  </si>
  <si>
    <t>susannahb@ispt.net.au</t>
  </si>
  <si>
    <t>C9WMP499Y</t>
  </si>
  <si>
    <t>Niam AB</t>
  </si>
  <si>
    <t>212.112.187.98</t>
  </si>
  <si>
    <t>Fanny Jörwall</t>
  </si>
  <si>
    <t>Associate, IR</t>
  </si>
  <si>
    <t>fanny.jorwall@niam.se</t>
  </si>
  <si>
    <t>asset manager</t>
  </si>
  <si>
    <t>C9WYH377Y</t>
  </si>
  <si>
    <t>Crow Holdings Capital - Real Estate</t>
  </si>
  <si>
    <t>68.142.151.36</t>
  </si>
  <si>
    <t>Madison Sloan</t>
  </si>
  <si>
    <t>Portfolio Management</t>
  </si>
  <si>
    <t>msloan@crowholdings.com</t>
  </si>
  <si>
    <t>C9XDP595Z</t>
  </si>
  <si>
    <t>Sentinel Real Estate Corporation</t>
  </si>
  <si>
    <t>173.251.20.37</t>
  </si>
  <si>
    <t>Paul D`Elisa</t>
  </si>
  <si>
    <t>delisa@sentinelcorp.com</t>
  </si>
  <si>
    <t>212-408-2952</t>
  </si>
  <si>
    <t>C9XHL320G</t>
  </si>
  <si>
    <t>ALTAN CAPITAL S.G.I.I.C., S.A.</t>
  </si>
  <si>
    <t>185.23.36.251</t>
  </si>
  <si>
    <t>Marta Herrero Arias</t>
  </si>
  <si>
    <t>Altamar Real Estate</t>
  </si>
  <si>
    <t>mherrero@altamarcapital.com</t>
  </si>
  <si>
    <t>C9XHL344B</t>
  </si>
  <si>
    <t>Benson Elliot Services Ltd.</t>
  </si>
  <si>
    <t>51.52.136.84</t>
  </si>
  <si>
    <t>Matilda Williams</t>
  </si>
  <si>
    <t>Benson Elliot</t>
  </si>
  <si>
    <t>matilda.williams@bensonelliot.com</t>
  </si>
  <si>
    <t>C9XHW572Q</t>
  </si>
  <si>
    <t>Tristan Capital Partners</t>
  </si>
  <si>
    <t>92.207.173.34</t>
  </si>
  <si>
    <t>Alice Alexandre</t>
  </si>
  <si>
    <t>aalexandre@tristancap.com</t>
  </si>
  <si>
    <t>RFP</t>
  </si>
  <si>
    <t>C9XQG398W</t>
  </si>
  <si>
    <t>AEW Europe LLP</t>
  </si>
  <si>
    <t>194.140.225.246</t>
  </si>
  <si>
    <t>Nicole McDougall</t>
  </si>
  <si>
    <t>AEW</t>
  </si>
  <si>
    <t>nicole.mcdougall@eu.aew.com</t>
  </si>
  <si>
    <t>financial institutions, corporates, public trusts, LLC/LP</t>
  </si>
  <si>
    <t>investment management companies</t>
  </si>
  <si>
    <t>financial institutions and corporates</t>
  </si>
  <si>
    <t xml:space="preserve">investment management companies, corporates, public trusts, LLC/LP </t>
  </si>
  <si>
    <t>C9XVH575E</t>
  </si>
  <si>
    <t>Unite UK Student Accommodation Fund</t>
  </si>
  <si>
    <t>154.47.76.5</t>
  </si>
  <si>
    <t>James Watts</t>
  </si>
  <si>
    <t>Unite Students</t>
  </si>
  <si>
    <t>james.watts@unitestudents.com</t>
  </si>
  <si>
    <t>No requirement for equity</t>
  </si>
  <si>
    <t>C9XZA885Y</t>
  </si>
  <si>
    <t>Starcrest Capital Partners</t>
  </si>
  <si>
    <t>115.160.154.38</t>
  </si>
  <si>
    <t>Elvin Lim</t>
  </si>
  <si>
    <t>elvin.lim@starcrestcap.com</t>
  </si>
  <si>
    <t>C9YCT352Q</t>
  </si>
  <si>
    <t>Breevast B.V.</t>
  </si>
  <si>
    <t>178.238.102.106</t>
  </si>
  <si>
    <t>Dino den Hollander</t>
  </si>
  <si>
    <t>Breevast</t>
  </si>
  <si>
    <t>Group controller</t>
  </si>
  <si>
    <t>hollander@breevast.nl</t>
  </si>
  <si>
    <t>C9YJH507M</t>
  </si>
  <si>
    <t>Optimum Asset Management (Luxembourg) S.A.</t>
  </si>
  <si>
    <t>95.232.62.195</t>
  </si>
  <si>
    <t>Rocco Fioretti</t>
  </si>
  <si>
    <t>Optimum Asset Management</t>
  </si>
  <si>
    <t>rocco.fioretti@optimumam.com</t>
  </si>
  <si>
    <t>C9YMK760B</t>
  </si>
  <si>
    <t>Mapletree Investments Pte Ltd</t>
  </si>
  <si>
    <t>118.201.52.2</t>
  </si>
  <si>
    <t>Charline Choo Zhi Xi</t>
  </si>
  <si>
    <t xml:space="preserve">Mapletree Real Estate Advisors </t>
  </si>
  <si>
    <t xml:space="preserve">Private Funds Management </t>
  </si>
  <si>
    <t>charline.choo@mapletree.com.sg</t>
  </si>
  <si>
    <t>NA</t>
  </si>
  <si>
    <t>C9YNU401J</t>
  </si>
  <si>
    <t>Fabrica Immobiliare SGR</t>
  </si>
  <si>
    <t>84.253.176.42</t>
  </si>
  <si>
    <t>Antonio Del Buono</t>
  </si>
  <si>
    <t>Head of Valuation &amp; Research</t>
  </si>
  <si>
    <t>antonio.delbuono@fabricasgr.it</t>
  </si>
  <si>
    <t>C9YRV354H</t>
  </si>
  <si>
    <t>Brunswick Real Estate Equity Investment Management AB</t>
  </si>
  <si>
    <t>Brunswick Real Estate Equity Investment Management</t>
  </si>
  <si>
    <t>C9YUD678Q</t>
  </si>
  <si>
    <t>Olympic Resource Management</t>
  </si>
  <si>
    <t>63.235.115.226</t>
  </si>
  <si>
    <t>Kevin</t>
  </si>
  <si>
    <t>Bates</t>
  </si>
  <si>
    <t>VP Timberland Investments</t>
  </si>
  <si>
    <t>kbates@orminc.com</t>
  </si>
  <si>
    <t>360 394-0518</t>
  </si>
  <si>
    <t>Still placing last fund / we do not create a capital queue</t>
  </si>
  <si>
    <t>C9YUJ557J</t>
  </si>
  <si>
    <t>Storebrand Asset Management AS</t>
  </si>
  <si>
    <t>139.112.164.68</t>
  </si>
  <si>
    <t>Truls Nergaard</t>
  </si>
  <si>
    <t xml:space="preserve">Head of Real Estate </t>
  </si>
  <si>
    <t>truls.nergaard@storebrand.no</t>
  </si>
  <si>
    <t>C9YVB651G</t>
  </si>
  <si>
    <t>Hart Realty Advisers |  Inc.</t>
  </si>
  <si>
    <t>75.27.152.4</t>
  </si>
  <si>
    <t>David Huntley</t>
  </si>
  <si>
    <t>Hart Realty Advisers, LLC</t>
  </si>
  <si>
    <t>david.huntley@hartadvisers.com</t>
  </si>
  <si>
    <t>860-651-2017</t>
  </si>
  <si>
    <t>C9YVW355P</t>
  </si>
  <si>
    <t>CAERUS Debt Investments AG</t>
  </si>
  <si>
    <t>78.94.31.214</t>
  </si>
  <si>
    <t>Michael Morgenroth</t>
  </si>
  <si>
    <t>m.morgenroth@caerus.ag</t>
  </si>
  <si>
    <t>C9YVW481W</t>
  </si>
  <si>
    <t>M&amp;G Real Estate</t>
  </si>
  <si>
    <t>154.59.126.106</t>
  </si>
  <si>
    <t>Matt Faul</t>
  </si>
  <si>
    <t>Business Development</t>
  </si>
  <si>
    <t>mathew.faul@mandg.com</t>
  </si>
  <si>
    <t>C9YYE516Myyy</t>
  </si>
  <si>
    <t>Fortius Funds Management</t>
  </si>
  <si>
    <t>203.111.26.238</t>
  </si>
  <si>
    <t>Catherine Farrell</t>
  </si>
  <si>
    <t>Fortius Funds Managment</t>
  </si>
  <si>
    <t>cfarrell@fortius.com.au</t>
  </si>
  <si>
    <t>C9ZAC402E</t>
  </si>
  <si>
    <t>FIL Investments International</t>
  </si>
  <si>
    <t>Adrian Benedict</t>
  </si>
  <si>
    <t>Fidelity International</t>
  </si>
  <si>
    <t>adrian.benedict@fil.com</t>
  </si>
  <si>
    <t>Bermuda</t>
  </si>
  <si>
    <t>C9ZBW336C</t>
  </si>
  <si>
    <t>Art-Invest Real Estate Funds GmbH</t>
  </si>
  <si>
    <t>Immo von Homeyer</t>
  </si>
  <si>
    <t>AIREF</t>
  </si>
  <si>
    <t>ivonhomeyer@art-invest.de</t>
  </si>
  <si>
    <t>C9ZCF594H</t>
  </si>
  <si>
    <t>ProLogis Private Capital |  LLC</t>
  </si>
  <si>
    <t>209.49.4.206</t>
  </si>
  <si>
    <t>Meredith McCreary</t>
  </si>
  <si>
    <t>Prologis</t>
  </si>
  <si>
    <t>mmccreary@prologis.com</t>
  </si>
  <si>
    <t>C9ZFW551C</t>
  </si>
  <si>
    <t>STAM Europe</t>
  </si>
  <si>
    <t>37.71.10.34</t>
  </si>
  <si>
    <t>Samantha Sudre Roux</t>
  </si>
  <si>
    <t>Investor Services Director</t>
  </si>
  <si>
    <t>ssudreroux@stam-europe.com</t>
  </si>
  <si>
    <t>+33 1 55 35 9830</t>
  </si>
  <si>
    <t>PERE Funds</t>
  </si>
  <si>
    <t>Private bank</t>
  </si>
  <si>
    <t>C9ZHY386B</t>
  </si>
  <si>
    <t>DNB Real Estate Investment Management</t>
  </si>
  <si>
    <t>193.212.51.164</t>
  </si>
  <si>
    <t>Stein B. Monsen</t>
  </si>
  <si>
    <t>DNB REIM</t>
  </si>
  <si>
    <t>SVP</t>
  </si>
  <si>
    <t>stein.monsen@dnb.no</t>
  </si>
  <si>
    <t>C9ZNV455U</t>
  </si>
  <si>
    <t>Jensen Group</t>
  </si>
  <si>
    <t>74.90.3.175</t>
  </si>
  <si>
    <t>Steven W Wayne</t>
  </si>
  <si>
    <t>steve@jensen.ru</t>
  </si>
  <si>
    <t>Russian Federation</t>
  </si>
  <si>
    <t>C9ZTL480G</t>
  </si>
  <si>
    <t>Madison International Realty LLC</t>
  </si>
  <si>
    <t>38.140.131.130</t>
  </si>
  <si>
    <t>Yichao Mark</t>
  </si>
  <si>
    <t>Madison International Realty</t>
  </si>
  <si>
    <t>ymark@madisonint.com</t>
  </si>
  <si>
    <t>212-688-1963</t>
  </si>
  <si>
    <t>Banks/Financial Institutions</t>
  </si>
  <si>
    <t>Column</t>
  </si>
  <si>
    <t>Format</t>
  </si>
  <si>
    <t>QuestionText</t>
  </si>
  <si>
    <t>SAMPLE</t>
  </si>
  <si>
    <t>Association (from Sample)</t>
  </si>
  <si>
    <t>Company (from Sample)</t>
  </si>
  <si>
    <t>HIDDEN</t>
  </si>
  <si>
    <t>Eligible Region</t>
  </si>
  <si>
    <t>SYSTEM</t>
  </si>
  <si>
    <t>URIstring</t>
  </si>
  <si>
    <t>DateUpdated</t>
  </si>
  <si>
    <t>PageNo</t>
  </si>
  <si>
    <t>PathInfo</t>
  </si>
  <si>
    <t>Referrer</t>
  </si>
  <si>
    <t>SurveyYear</t>
  </si>
  <si>
    <t>TEXT</t>
  </si>
  <si>
    <t>Respondent Name</t>
  </si>
  <si>
    <t>Company</t>
  </si>
  <si>
    <t>Job title</t>
  </si>
  <si>
    <t>Email address</t>
  </si>
  <si>
    <t>Contact Number</t>
  </si>
  <si>
    <t>Country of Origin Global Head Office</t>
  </si>
  <si>
    <t>SELECT</t>
  </si>
  <si>
    <t>Currency</t>
  </si>
  <si>
    <t>Currency (OTHER)</t>
  </si>
  <si>
    <t>SINGLE</t>
  </si>
  <si>
    <t>Did your company raise institutional capital for non-listed real estate vehicles in 2018?</t>
  </si>
  <si>
    <t>If no, please state select one of the following reasons:</t>
  </si>
  <si>
    <t>If no, please state select one of the following reasons: (Other)</t>
  </si>
  <si>
    <t>How much institutional capital did your company raise in 2018 (millions)?</t>
  </si>
  <si>
    <t>CURRENCY</t>
  </si>
  <si>
    <t>Total real estate (million)</t>
  </si>
  <si>
    <t>Non-listed real estate (million</t>
  </si>
  <si>
    <t>How much of the institutional capital raised in 2018 (millions) is already invested?</t>
  </si>
  <si>
    <t>Non-listed real estate (million)</t>
  </si>
  <si>
    <t>How much institutional capital did your company raise for non-listed vehicles in 2018 by regional strategy (million)?</t>
  </si>
  <si>
    <t>Asia Pacific strategy - Non-listed/ commingled real estate funds/private REITs</t>
  </si>
  <si>
    <t>Asia Pacific strategy - Separate accounts investing directly into real estate</t>
  </si>
  <si>
    <t>Asia Pacific strategy - Separate accounts investing into indirect vehicles</t>
  </si>
  <si>
    <t>Asia Pacific strategy - Joint ventures and club deals</t>
  </si>
  <si>
    <t>Asia Pacific strategy - Funds of funds</t>
  </si>
  <si>
    <t>Asia Pacific strategy - Non-listed debt products</t>
  </si>
  <si>
    <t>Asia Pacific strategy TOTAL</t>
  </si>
  <si>
    <t>European strategy - Non-listed/ commingled real estate funds/private REITs</t>
  </si>
  <si>
    <t>European strategy - Separate accounts investing directly into real estate</t>
  </si>
  <si>
    <t>European strategy - Separate accounts investing into indirect vehicles</t>
  </si>
  <si>
    <t>European strategy - Joint ventures and club deals</t>
  </si>
  <si>
    <t>European strategy - Funds of funds</t>
  </si>
  <si>
    <t>European strategy - Non-listed debt products</t>
  </si>
  <si>
    <t>European strategy TOTAL</t>
  </si>
  <si>
    <t>North American strategy - Non-listed/ commingled real estate funds/private REITs</t>
  </si>
  <si>
    <t>North American strategy - Separate accounts investing directly into real estate</t>
  </si>
  <si>
    <t>North American strategy - Separate accounts investing into indirect vehicles</t>
  </si>
  <si>
    <t>North American strategy - Joint ventures and club deals</t>
  </si>
  <si>
    <t>North American strategy - Funds of funds</t>
  </si>
  <si>
    <t>North American strategy - Non-listed debt products</t>
  </si>
  <si>
    <t>North American strategy TOTAL</t>
  </si>
  <si>
    <t>Global strategy - Non-listed/ commingled real estate funds/private REITs</t>
  </si>
  <si>
    <t>Global strategy - Separate accounts investing directly into real estate</t>
  </si>
  <si>
    <t>Global strategy - Separate accounts investing into indirect vehicles</t>
  </si>
  <si>
    <t>Global strategy - Joint ventures and club deals</t>
  </si>
  <si>
    <t>Global strategy - Funds of funds</t>
  </si>
  <si>
    <t>Global strategy - Non-listed debt products</t>
  </si>
  <si>
    <t>Global strategy TOTAL</t>
  </si>
  <si>
    <t>South American strategy - Non-listed/ commingled real estate funds/private REITs</t>
  </si>
  <si>
    <t>South American strategy - Separate accounts investing directly into real estate</t>
  </si>
  <si>
    <t>South American strategy - Separate accounts investing into indirect vehicles</t>
  </si>
  <si>
    <t>South American strategy - Joint ventures and club deals</t>
  </si>
  <si>
    <t>South American strategy - Funds of funds</t>
  </si>
  <si>
    <t>South American strategy - Non-listed debt products</t>
  </si>
  <si>
    <t>South American strategy TOTAL</t>
  </si>
  <si>
    <t>African strategy - Non-listed/ commingled real estate funds/private REITs</t>
  </si>
  <si>
    <t>African strategy - Separate accounts investing directly into real estate</t>
  </si>
  <si>
    <t>African strategy - Separate accounts investing into indirect vehicles</t>
  </si>
  <si>
    <t>African strategy - Joint ventures and club deals</t>
  </si>
  <si>
    <t>African strategy - Funds of funds</t>
  </si>
  <si>
    <t>African strategy - Non-listed debt products</t>
  </si>
  <si>
    <t>African strategy TOTAL</t>
  </si>
  <si>
    <t>Non-listed/ commingled real estate funds/private REITs TOTAL</t>
  </si>
  <si>
    <t>Separate accounts investing directly into real estate TOTAL</t>
  </si>
  <si>
    <t>Separate accounts investing into indirect vehicles TOTAL</t>
  </si>
  <si>
    <t>Joint ventures and club deals TOTAL</t>
  </si>
  <si>
    <t>Funds of funds TOTAL</t>
  </si>
  <si>
    <t>Non-listed debt products TOTAL</t>
  </si>
  <si>
    <t>TOTAL capital raised in 2018 by regional strategy (million)</t>
  </si>
  <si>
    <t>For how many vehicles did your company raise institutional capital for in 2018?</t>
  </si>
  <si>
    <t>NUMBER</t>
  </si>
  <si>
    <t>Total number of vehicles company raised capital for in 2018 by regional strategy</t>
  </si>
  <si>
    <t>IGNORE</t>
  </si>
  <si>
    <t>How much institutional capital did your company raise for non-listed vehicles in 2018 by investor type (million)?</t>
  </si>
  <si>
    <t>Pension funds - Non-listed/ commingled real estate funds/private REITs</t>
  </si>
  <si>
    <t>Pension funds - Separate accounts investing directly into real estate</t>
  </si>
  <si>
    <t>Pension funds - Separate accounts investing into indirect vehicles</t>
  </si>
  <si>
    <t>Pension funds - Joint ventures and club deals</t>
  </si>
  <si>
    <t>Pension funds - Funds of funds</t>
  </si>
  <si>
    <t>Pension funds - Non-listed debt products</t>
  </si>
  <si>
    <t>Pension funds TOTAL</t>
  </si>
  <si>
    <t>Insurance companies - Non-listed/ commingled real estate funds/private REITs</t>
  </si>
  <si>
    <t>Insurance companies - Separate accounts investing directly into real estate</t>
  </si>
  <si>
    <t>Insurance companies - Separate accounts investing into indirect vehicles</t>
  </si>
  <si>
    <t>Insurance companies - Joint ventures and club deals</t>
  </si>
  <si>
    <t>Insurance companies - Funds of funds</t>
  </si>
  <si>
    <t>Insurance companies - Non-listed debt products</t>
  </si>
  <si>
    <t>Insurance companies TOTAL</t>
  </si>
  <si>
    <t>Sovereign wealth funds - Non-listed/ commingled real estate funds/private REITs</t>
  </si>
  <si>
    <t>Sovereign wealth funds - Separate accounts investing directly into real estate</t>
  </si>
  <si>
    <t>Sovereign wealth funds - Separate accounts investing into indirect vehicles</t>
  </si>
  <si>
    <t>Sovereign wealth funds - Joint ventures and club deals</t>
  </si>
  <si>
    <t>Sovereign wealth funds - Funds of funds</t>
  </si>
  <si>
    <t>Sovereign wealth funds - Non-listed debt products</t>
  </si>
  <si>
    <t>Sovereign wealth funds TOTAL</t>
  </si>
  <si>
    <t>Government institutions - Non-listed/ commingled real estate funds/private REITs</t>
  </si>
  <si>
    <t>Government institutions - Separate accounts investing directly into real estate</t>
  </si>
  <si>
    <t>Government institutions - Separate accounts investing into indirect vehicles</t>
  </si>
  <si>
    <t>Government institutions - Joint ventures and club deals</t>
  </si>
  <si>
    <t>Government institutions - Funds of funds</t>
  </si>
  <si>
    <t>Government institutions - Non-listed debt products</t>
  </si>
  <si>
    <t>Government institutions TOTAL</t>
  </si>
  <si>
    <t>Charities, foundations, non-profit organisations - Non-listed/ commingled real estate funds/private REITs</t>
  </si>
  <si>
    <t>Charities, foundations, non-profit organisations - Separate accounts investing directly into real estate</t>
  </si>
  <si>
    <t>Charities, foundations, non-profit organisations - Separate accounts investing into indirect vehicles</t>
  </si>
  <si>
    <t>Charities, foundations, non-profit organisations - Joint ventures and club deals</t>
  </si>
  <si>
    <t>Charities, foundations, non-profit organisations - Funds of funds</t>
  </si>
  <si>
    <t>Charities, foundations, non-profit organisations - Non-listed debt products</t>
  </si>
  <si>
    <t>Charities, foundations, non-profit organisations  TOTAL</t>
  </si>
  <si>
    <t>Funds of funds - Non-listed/ commingled real estate funds/private REITs</t>
  </si>
  <si>
    <t>Funds of funds - Separate accounts investing directly into real estate</t>
  </si>
  <si>
    <t>Funds of funds - Separate accounts investing into indirect vehicles</t>
  </si>
  <si>
    <t>Funds of funds - Joint ventures and club deals</t>
  </si>
  <si>
    <t>Funds of funds - Funds of funds</t>
  </si>
  <si>
    <t>Funds of funds - Non-listed debt products</t>
  </si>
  <si>
    <t>High net worth individuals /Family offices - Non-listed/ commingled real estate funds/private REITs</t>
  </si>
  <si>
    <t>High net worth individuals /Family offices - Separate accounts investing directly into real estate</t>
  </si>
  <si>
    <t>High net worth individuals /Family offices - Separate accounts investing into indirect vehicles</t>
  </si>
  <si>
    <t>High net worth individuals /Family offices - Joint ventures and club deals</t>
  </si>
  <si>
    <t>High net worth individuals /Family offices - Funds of funds</t>
  </si>
  <si>
    <t>High net worth individuals /Family offices - Non-listed debt products</t>
  </si>
  <si>
    <t>High net worth individuals /Family offices TOTAL</t>
  </si>
  <si>
    <t>Other (please specify)</t>
  </si>
  <si>
    <t>Other - Non-listed/ commingled real estate funds/private REITs</t>
  </si>
  <si>
    <t>Other - Separate accounts investing directly into real estate</t>
  </si>
  <si>
    <t>Other - Separate accounts investing into indirect vehicles</t>
  </si>
  <si>
    <t>Other - Joint ventures and club deals</t>
  </si>
  <si>
    <t>Other - Funds of funds</t>
  </si>
  <si>
    <t>Other - Non-listed debt products</t>
  </si>
  <si>
    <t>Other TOTAL</t>
  </si>
  <si>
    <t>Total capital company raised in 2018 from institutional investors by investor type (million)</t>
  </si>
  <si>
    <t>How much institutional capital did your company raise for non-listed vehicles in 2018 by investor domicile (million)?</t>
  </si>
  <si>
    <t>Asia Pacific - Non-listed/ commingled real estate funds/private REITs</t>
  </si>
  <si>
    <t>Asia Pacific - Separate accounts investing directly into real estate</t>
  </si>
  <si>
    <t>Asia Pacific - Separate accounts investing into indirect vehicles</t>
  </si>
  <si>
    <t>Asia Pacific - Joint ventures and club deals</t>
  </si>
  <si>
    <t>Asia Pacific - Funds of funds</t>
  </si>
  <si>
    <t>Asia Pacific - Non-listed debt products</t>
  </si>
  <si>
    <t>Asia Pacific  TOTAL</t>
  </si>
  <si>
    <t>Europe - Non-listed/ commingled real estate funds/private REITs</t>
  </si>
  <si>
    <t>Europe - Separate accounts investing directly into real estate</t>
  </si>
  <si>
    <t>Europe - Separate accounts investing into indirect vehicles</t>
  </si>
  <si>
    <t>Europe - Joint ventures and club deals</t>
  </si>
  <si>
    <t>Europe - Funds of funds</t>
  </si>
  <si>
    <t>Europe - Non-listed debt products</t>
  </si>
  <si>
    <t>Europe  TOTAL</t>
  </si>
  <si>
    <t>North America - Non-listed/ commingled real estate funds/private REITs</t>
  </si>
  <si>
    <t>North America - Separate accounts investing directly into real estate</t>
  </si>
  <si>
    <t>North America - Separate accounts investing into indirect vehicles</t>
  </si>
  <si>
    <t>North America - Joint ventures and club deals</t>
  </si>
  <si>
    <t>North America - Funds of funds</t>
  </si>
  <si>
    <t>North America - Non-listed debt products</t>
  </si>
  <si>
    <t>North America  TOTAL</t>
  </si>
  <si>
    <t>South America - Non-listed/ commingled real estate funds/private REITs</t>
  </si>
  <si>
    <t>South America - Separate accounts investing directly into real estate</t>
  </si>
  <si>
    <t>South America - Separate accounts investing into indirect vehicles</t>
  </si>
  <si>
    <t>South America - Joint ventures and club deals</t>
  </si>
  <si>
    <t>South America - Funds of funds</t>
  </si>
  <si>
    <t>South America - Non-listed debt products</t>
  </si>
  <si>
    <t>South America  TOTAL</t>
  </si>
  <si>
    <t>Africa - Non-listed/ commingled real estate funds/private REITs</t>
  </si>
  <si>
    <t>Africa - Separate accounts investing directly into real estate</t>
  </si>
  <si>
    <t>Africa - Separate accounts investing into indirect vehicles</t>
  </si>
  <si>
    <t>Africa - Joint ventures and club deals</t>
  </si>
  <si>
    <t>Africa - Funds of funds</t>
  </si>
  <si>
    <t>Africa - Non-listed debt products</t>
  </si>
  <si>
    <t>Africa  TOTAL</t>
  </si>
  <si>
    <t>Total capital company raised in 2015 from Institutional Investors by investor domicile (million)</t>
  </si>
  <si>
    <t>What percentage of the total capital was raised via...?</t>
  </si>
  <si>
    <t>%</t>
  </si>
  <si>
    <t>Placement agent</t>
  </si>
  <si>
    <t>Investors contacting you directly</t>
  </si>
  <si>
    <t>Your own direct relationship with investors</t>
  </si>
  <si>
    <t>Other</t>
  </si>
  <si>
    <t>How do you expect capital raising activities to develop over the next two years?</t>
  </si>
  <si>
    <t>What impact do you expect regulation to have on capital raising activities over the next two years?</t>
  </si>
  <si>
    <t>Would you like the name of your company to be included in the list of participants?</t>
  </si>
  <si>
    <t>For your Asia Pacific strategy, how much institutional capital did your company raise for non-listed vehicles in 2018 by investor type (million)?</t>
  </si>
  <si>
    <t>TOTAL institutional capital by investor type</t>
  </si>
  <si>
    <t>[Asia Pacific strategy] How much institutional capital did your company raise in 2018 by investor domicile (million)?</t>
  </si>
  <si>
    <t>Europe TOTAL</t>
  </si>
  <si>
    <t>Asia Pacific TOTAL</t>
  </si>
  <si>
    <t>North America TOTAL</t>
  </si>
  <si>
    <t>South America TOTAL</t>
  </si>
  <si>
    <t>TOTAL institutional capital by investor domicle</t>
  </si>
  <si>
    <t>For your European strategy, how much institutional capital did your company raise for non-listed vehicles in 2018 by investor type (million)?</t>
  </si>
  <si>
    <t>[European strategy] How much institutional capital did your company raise in 2018 by investor domicile (million)?</t>
  </si>
  <si>
    <t>For your North American strategy, how much institutional capital did your company raise for non-listed vehicles in 2018 by investor type (million)?</t>
  </si>
  <si>
    <t>[North American strategy] How much institutional capital did your company raise in 2018 by investor domicile (million)?</t>
  </si>
  <si>
    <t>For your Global strategy, how much institutional capital did your company raise for non-listed vehicles in 2018 by investor type (million)?</t>
  </si>
  <si>
    <t>[Global strategy] How much institutional capital did your company raise in 2018 by investor domicile (million)?</t>
  </si>
  <si>
    <t>For your South American strategy, how much institutional capital did your company raise for non-listed vehicles in 2018 by investor type (million)?</t>
  </si>
  <si>
    <t>[South American strategy] How much institutional capital did your company raise in 2018 by investor domicile (million)?</t>
  </si>
  <si>
    <t>For your African strategy, how much institutional capital did your company raise for non-listed vehicles in 2018 by investor type (million)?</t>
  </si>
  <si>
    <t>[African strategy] How much institutional capital did your company raise in 2018 by investor domicile (million)?</t>
  </si>
  <si>
    <t>suffix</t>
  </si>
  <si>
    <t>_apac</t>
  </si>
  <si>
    <t>_europe</t>
  </si>
  <si>
    <t>_northamerica</t>
  </si>
  <si>
    <t>_global</t>
  </si>
  <si>
    <t>_southamerica</t>
  </si>
  <si>
    <t>_africa</t>
  </si>
  <si>
    <t>new_col</t>
  </si>
  <si>
    <t>ASIA PACIFIC_apac</t>
  </si>
  <si>
    <t>q101_1_apac</t>
  </si>
  <si>
    <t>q101_2_apac</t>
  </si>
  <si>
    <t>q101_3_apac</t>
  </si>
  <si>
    <t>q101_4_apac</t>
  </si>
  <si>
    <t>q101_5_apac</t>
  </si>
  <si>
    <t>q101_6_apac</t>
  </si>
  <si>
    <t>q10ROW1_hidden_apac</t>
  </si>
  <si>
    <t>q102_1_apac</t>
  </si>
  <si>
    <t>q102_2_apac</t>
  </si>
  <si>
    <t>q102_3_apac</t>
  </si>
  <si>
    <t>q102_4_apac</t>
  </si>
  <si>
    <t>q102_5_apac</t>
  </si>
  <si>
    <t>q102_6_apac</t>
  </si>
  <si>
    <t>q10ROW2_hidden_apac</t>
  </si>
  <si>
    <t>q103_1_apac</t>
  </si>
  <si>
    <t>q103_2_apac</t>
  </si>
  <si>
    <t>q103_3_apac</t>
  </si>
  <si>
    <t>q103_4_apac</t>
  </si>
  <si>
    <t>q103_5_apac</t>
  </si>
  <si>
    <t>q103_6_apac</t>
  </si>
  <si>
    <t>q10ROW3_hidden_apac</t>
  </si>
  <si>
    <t>q104_1_apac</t>
  </si>
  <si>
    <t>q104_2_apac</t>
  </si>
  <si>
    <t>q104_3_apac</t>
  </si>
  <si>
    <t>q104_4_apac</t>
  </si>
  <si>
    <t>q104_5_apac</t>
  </si>
  <si>
    <t>q104_6_apac</t>
  </si>
  <si>
    <t>q10ROW4_hidden_apac</t>
  </si>
  <si>
    <t>q105_1_apac</t>
  </si>
  <si>
    <t>q105_2_apac</t>
  </si>
  <si>
    <t>q105_3_apac</t>
  </si>
  <si>
    <t>q105_4_apac</t>
  </si>
  <si>
    <t>q105_5_apac</t>
  </si>
  <si>
    <t>q105_6_apac</t>
  </si>
  <si>
    <t>q10ROW5_hidden_apac</t>
  </si>
  <si>
    <t>q106_1_apac</t>
  </si>
  <si>
    <t>q106_2_apac</t>
  </si>
  <si>
    <t>q106_3_apac</t>
  </si>
  <si>
    <t>q106_4_apac</t>
  </si>
  <si>
    <t>q106_5_apac</t>
  </si>
  <si>
    <t>q106_6_apac</t>
  </si>
  <si>
    <t>q10ROW6_hidden_apac</t>
  </si>
  <si>
    <t>q107_1_apac</t>
  </si>
  <si>
    <t>q107_2_apac</t>
  </si>
  <si>
    <t>q107_3_apac</t>
  </si>
  <si>
    <t>q107_4_apac</t>
  </si>
  <si>
    <t>q107_5_apac</t>
  </si>
  <si>
    <t>q107_6_apac</t>
  </si>
  <si>
    <t>q10ROW7_hidden_apac</t>
  </si>
  <si>
    <t>q10other_apac</t>
  </si>
  <si>
    <t>q108_1_apac</t>
  </si>
  <si>
    <t>q108_2_apac</t>
  </si>
  <si>
    <t>q108_3_apac</t>
  </si>
  <si>
    <t>q108_4_apac</t>
  </si>
  <si>
    <t>q108_5_apac</t>
  </si>
  <si>
    <t>q108_6_apac</t>
  </si>
  <si>
    <t>q10ROW8_hidden_apac</t>
  </si>
  <si>
    <t>q10COL1_hidden_apac</t>
  </si>
  <si>
    <t>q10COL2_hidden_apac</t>
  </si>
  <si>
    <t>q10COL3_hidden_apac</t>
  </si>
  <si>
    <t>q10COL4_hidden_apac</t>
  </si>
  <si>
    <t>q10COL5_hidden_apac</t>
  </si>
  <si>
    <t>q10COL6_hidden_apac</t>
  </si>
  <si>
    <t>q10GRANDTotal_hidden_apac</t>
  </si>
  <si>
    <t>q111_1_apac</t>
  </si>
  <si>
    <t>q111_2_apac</t>
  </si>
  <si>
    <t>q111_3_apac</t>
  </si>
  <si>
    <t>q111_4_apac</t>
  </si>
  <si>
    <t>q111_5_apac</t>
  </si>
  <si>
    <t>q111_6_apac</t>
  </si>
  <si>
    <t>q11ROW1_hidden_apac</t>
  </si>
  <si>
    <t>q112_1_apac</t>
  </si>
  <si>
    <t>q112_2_apac</t>
  </si>
  <si>
    <t>q112_3_apac</t>
  </si>
  <si>
    <t>q112_4_apac</t>
  </si>
  <si>
    <t>q112_5_apac</t>
  </si>
  <si>
    <t>q112_6_apac</t>
  </si>
  <si>
    <t>q11ROW2_hidden_apac</t>
  </si>
  <si>
    <t>q113_1_apac</t>
  </si>
  <si>
    <t>q113_2_apac</t>
  </si>
  <si>
    <t>q113_3_apac</t>
  </si>
  <si>
    <t>q113_4_apac</t>
  </si>
  <si>
    <t>q113_5_apac</t>
  </si>
  <si>
    <t>q113_6_apac</t>
  </si>
  <si>
    <t>q11ROW3_hidden_apac</t>
  </si>
  <si>
    <t>q114_1_apac</t>
  </si>
  <si>
    <t>q114_2_apac</t>
  </si>
  <si>
    <t>q114_3_apac</t>
  </si>
  <si>
    <t>q114_4_apac</t>
  </si>
  <si>
    <t>q114_5_apac</t>
  </si>
  <si>
    <t>q114_6_apac</t>
  </si>
  <si>
    <t>q11ROW4_hidden_apac</t>
  </si>
  <si>
    <t>q115_1_apac</t>
  </si>
  <si>
    <t>q115_2_apac</t>
  </si>
  <si>
    <t>q115_3_apac</t>
  </si>
  <si>
    <t>q115_4_apac</t>
  </si>
  <si>
    <t>q115_5_apac</t>
  </si>
  <si>
    <t>q115_6_apac</t>
  </si>
  <si>
    <t>q11ROW5_hidden_apac</t>
  </si>
  <si>
    <t>q11COL1_hidden_apac</t>
  </si>
  <si>
    <t>q11COL2_hidden_apac</t>
  </si>
  <si>
    <t>q11COL3_hidden_apac</t>
  </si>
  <si>
    <t>q11COL4_hidden_apac</t>
  </si>
  <si>
    <t>q11COL5_hidden_apac</t>
  </si>
  <si>
    <t>q11COL6_hidden_apac</t>
  </si>
  <si>
    <t>q11GRANDTotal_hidden_apac</t>
  </si>
  <si>
    <t>EUROPE_europe</t>
  </si>
  <si>
    <t>q101_1_europe</t>
  </si>
  <si>
    <t>q101_2_europe</t>
  </si>
  <si>
    <t>q101_3_europe</t>
  </si>
  <si>
    <t>q101_4_europe</t>
  </si>
  <si>
    <t>q101_5_europe</t>
  </si>
  <si>
    <t>q101_6_europe</t>
  </si>
  <si>
    <t>q10ROW1_hidden_europe</t>
  </si>
  <si>
    <t>q102_1_europe</t>
  </si>
  <si>
    <t>q102_2_europe</t>
  </si>
  <si>
    <t>q102_3_europe</t>
  </si>
  <si>
    <t>q102_4_europe</t>
  </si>
  <si>
    <t>q102_5_europe</t>
  </si>
  <si>
    <t>q102_6_europe</t>
  </si>
  <si>
    <t>q10ROW2_hidden_europe</t>
  </si>
  <si>
    <t>q103_1_europe</t>
  </si>
  <si>
    <t>q103_2_europe</t>
  </si>
  <si>
    <t>q103_3_europe</t>
  </si>
  <si>
    <t>q103_4_europe</t>
  </si>
  <si>
    <t>q103_5_europe</t>
  </si>
  <si>
    <t>q103_6_europe</t>
  </si>
  <si>
    <t>q10ROW3_hidden_europe</t>
  </si>
  <si>
    <t>q104_1_europe</t>
  </si>
  <si>
    <t>q104_2_europe</t>
  </si>
  <si>
    <t>q104_3_europe</t>
  </si>
  <si>
    <t>q104_4_europe</t>
  </si>
  <si>
    <t>q104_5_europe</t>
  </si>
  <si>
    <t>q104_6_europe</t>
  </si>
  <si>
    <t>q10ROW4_hidden_europe</t>
  </si>
  <si>
    <t>q105_1_europe</t>
  </si>
  <si>
    <t>q105_2_europe</t>
  </si>
  <si>
    <t>q105_3_europe</t>
  </si>
  <si>
    <t>q105_4_europe</t>
  </si>
  <si>
    <t>q105_5_europe</t>
  </si>
  <si>
    <t>q105_6_europe</t>
  </si>
  <si>
    <t>q10ROW5_hidden_europe</t>
  </si>
  <si>
    <t>q106_1_europe</t>
  </si>
  <si>
    <t>q106_2_europe</t>
  </si>
  <si>
    <t>q106_3_europe</t>
  </si>
  <si>
    <t>q106_4_europe</t>
  </si>
  <si>
    <t>q106_5_europe</t>
  </si>
  <si>
    <t>q106_6_europe</t>
  </si>
  <si>
    <t>q10ROW6_hidden_europe</t>
  </si>
  <si>
    <t>q107_1_europe</t>
  </si>
  <si>
    <t>q107_2_europe</t>
  </si>
  <si>
    <t>q107_3_europe</t>
  </si>
  <si>
    <t>q107_4_europe</t>
  </si>
  <si>
    <t>q107_5_europe</t>
  </si>
  <si>
    <t>q107_6_europe</t>
  </si>
  <si>
    <t>q10ROW7_hidden_europe</t>
  </si>
  <si>
    <t>q10other_europe</t>
  </si>
  <si>
    <t>q108_1_europe</t>
  </si>
  <si>
    <t>q108_2_europe</t>
  </si>
  <si>
    <t>q108_3_europe</t>
  </si>
  <si>
    <t>q108_4_europe</t>
  </si>
  <si>
    <t>q108_5_europe</t>
  </si>
  <si>
    <t>q108_6_europe</t>
  </si>
  <si>
    <t>q10ROW8_hidden_europe</t>
  </si>
  <si>
    <t>q10COL1_hidden_europe</t>
  </si>
  <si>
    <t>q10COL2_hidden_europe</t>
  </si>
  <si>
    <t>q10COL3_hidden_europe</t>
  </si>
  <si>
    <t>q10COL4_hidden_europe</t>
  </si>
  <si>
    <t>q10COL5_hidden_europe</t>
  </si>
  <si>
    <t>q10COL6_hidden_europe</t>
  </si>
  <si>
    <t>q10GRANDTotal_hidden_europe</t>
  </si>
  <si>
    <t>q111_1_europe</t>
  </si>
  <si>
    <t>q111_2_europe</t>
  </si>
  <si>
    <t>q111_3_europe</t>
  </si>
  <si>
    <t>q111_4_europe</t>
  </si>
  <si>
    <t>q111_5_europe</t>
  </si>
  <si>
    <t>q111_6_europe</t>
  </si>
  <si>
    <t>q11ROW1_hidden_europe</t>
  </si>
  <si>
    <t>q112_1_europe</t>
  </si>
  <si>
    <t>q112_2_europe</t>
  </si>
  <si>
    <t>q112_3_europe</t>
  </si>
  <si>
    <t>q112_4_europe</t>
  </si>
  <si>
    <t>q112_5_europe</t>
  </si>
  <si>
    <t>q112_6_europe</t>
  </si>
  <si>
    <t>q11ROW2_hidden_europe</t>
  </si>
  <si>
    <t>q113_1_europe</t>
  </si>
  <si>
    <t>q113_2_europe</t>
  </si>
  <si>
    <t>q113_3_europe</t>
  </si>
  <si>
    <t>q113_4_europe</t>
  </si>
  <si>
    <t>q113_5_europe</t>
  </si>
  <si>
    <t>q113_6_europe</t>
  </si>
  <si>
    <t>q11ROW3_hidden_europe</t>
  </si>
  <si>
    <t>q114_1_europe</t>
  </si>
  <si>
    <t>q114_2_europe</t>
  </si>
  <si>
    <t>q114_3_europe</t>
  </si>
  <si>
    <t>q114_4_europe</t>
  </si>
  <si>
    <t>q114_5_europe</t>
  </si>
  <si>
    <t>q114_6_europe</t>
  </si>
  <si>
    <t>q11ROW4_hidden_europe</t>
  </si>
  <si>
    <t>q115_1_europe</t>
  </si>
  <si>
    <t>q115_2_europe</t>
  </si>
  <si>
    <t>q115_3_europe</t>
  </si>
  <si>
    <t>q115_4_europe</t>
  </si>
  <si>
    <t>q115_5_europe</t>
  </si>
  <si>
    <t>q115_6_europe</t>
  </si>
  <si>
    <t>q11ROW5_hidden_europe</t>
  </si>
  <si>
    <t>q11COL1_hidden_europe</t>
  </si>
  <si>
    <t>q11COL2_hidden_europe</t>
  </si>
  <si>
    <t>q11COL3_hidden_europe</t>
  </si>
  <si>
    <t>q11COL4_hidden_europe</t>
  </si>
  <si>
    <t>q11COL5_hidden_europe</t>
  </si>
  <si>
    <t>q11COL6_hidden_europe</t>
  </si>
  <si>
    <t>q11GRANDTotal_hidden_europe</t>
  </si>
  <si>
    <t>NORTH AMERICA_northamerica</t>
  </si>
  <si>
    <t>q101_1_northamerica</t>
  </si>
  <si>
    <t>q101_2_northamerica</t>
  </si>
  <si>
    <t>q101_3_northamerica</t>
  </si>
  <si>
    <t>q101_4_northamerica</t>
  </si>
  <si>
    <t>q101_5_northamerica</t>
  </si>
  <si>
    <t>q101_6_northamerica</t>
  </si>
  <si>
    <t>q10ROW1_hidden_northamerica</t>
  </si>
  <si>
    <t>q102_1_northamerica</t>
  </si>
  <si>
    <t>q102_2_northamerica</t>
  </si>
  <si>
    <t>q102_3_northamerica</t>
  </si>
  <si>
    <t>q102_4_northamerica</t>
  </si>
  <si>
    <t>q102_5_northamerica</t>
  </si>
  <si>
    <t>q102_6_northamerica</t>
  </si>
  <si>
    <t>q10ROW2_hidden_northamerica</t>
  </si>
  <si>
    <t>q103_1_northamerica</t>
  </si>
  <si>
    <t>q103_2_northamerica</t>
  </si>
  <si>
    <t>q103_3_northamerica</t>
  </si>
  <si>
    <t>q103_4_northamerica</t>
  </si>
  <si>
    <t>q103_5_northamerica</t>
  </si>
  <si>
    <t>q103_6_northamerica</t>
  </si>
  <si>
    <t>q10ROW3_hidden_northamerica</t>
  </si>
  <si>
    <t>q104_1_northamerica</t>
  </si>
  <si>
    <t>q104_2_northamerica</t>
  </si>
  <si>
    <t>q104_3_northamerica</t>
  </si>
  <si>
    <t>q104_4_northamerica</t>
  </si>
  <si>
    <t>q104_5_northamerica</t>
  </si>
  <si>
    <t>q104_6_northamerica</t>
  </si>
  <si>
    <t>q10ROW4_hidden_northamerica</t>
  </si>
  <si>
    <t>q105_1_northamerica</t>
  </si>
  <si>
    <t>q105_2_northamerica</t>
  </si>
  <si>
    <t>q105_3_northamerica</t>
  </si>
  <si>
    <t>q105_4_northamerica</t>
  </si>
  <si>
    <t>q105_5_northamerica</t>
  </si>
  <si>
    <t>q105_6_northamerica</t>
  </si>
  <si>
    <t>q10ROW5_hidden_northamerica</t>
  </si>
  <si>
    <t>q106_1_northamerica</t>
  </si>
  <si>
    <t>q106_2_northamerica</t>
  </si>
  <si>
    <t>q106_3_northamerica</t>
  </si>
  <si>
    <t>q106_4_northamerica</t>
  </si>
  <si>
    <t>q106_5_northamerica</t>
  </si>
  <si>
    <t>q106_6_northamerica</t>
  </si>
  <si>
    <t>q10ROW6_hidden_northamerica</t>
  </si>
  <si>
    <t>q107_1_northamerica</t>
  </si>
  <si>
    <t>q107_2_northamerica</t>
  </si>
  <si>
    <t>q107_3_northamerica</t>
  </si>
  <si>
    <t>q107_4_northamerica</t>
  </si>
  <si>
    <t>q107_5_northamerica</t>
  </si>
  <si>
    <t>q107_6_northamerica</t>
  </si>
  <si>
    <t>q10ROW7_hidden_northamerica</t>
  </si>
  <si>
    <t>q10other_northamerica</t>
  </si>
  <si>
    <t>q108_1_northamerica</t>
  </si>
  <si>
    <t>q108_2_northamerica</t>
  </si>
  <si>
    <t>q108_3_northamerica</t>
  </si>
  <si>
    <t>q108_4_northamerica</t>
  </si>
  <si>
    <t>q108_5_northamerica</t>
  </si>
  <si>
    <t>q108_6_northamerica</t>
  </si>
  <si>
    <t>q10ROW8_hidden_northamerica</t>
  </si>
  <si>
    <t>q10COL1_hidden_northamerica</t>
  </si>
  <si>
    <t>q10COL2_hidden_northamerica</t>
  </si>
  <si>
    <t>q10COL3_hidden_northamerica</t>
  </si>
  <si>
    <t>q10COL4_hidden_northamerica</t>
  </si>
  <si>
    <t>q10COL5_hidden_northamerica</t>
  </si>
  <si>
    <t>q10COL6_hidden_northamerica</t>
  </si>
  <si>
    <t>q10GRANDTotal_hidden_northamerica</t>
  </si>
  <si>
    <t>q111_1_northamerica</t>
  </si>
  <si>
    <t>q111_2_northamerica</t>
  </si>
  <si>
    <t>q111_3_northamerica</t>
  </si>
  <si>
    <t>q111_4_northamerica</t>
  </si>
  <si>
    <t>q111_5_northamerica</t>
  </si>
  <si>
    <t>q111_6_northamerica</t>
  </si>
  <si>
    <t>q11ROW1_hidden_northamerica</t>
  </si>
  <si>
    <t>q112_1_northamerica</t>
  </si>
  <si>
    <t>q112_2_northamerica</t>
  </si>
  <si>
    <t>q112_3_northamerica</t>
  </si>
  <si>
    <t>q112_4_northamerica</t>
  </si>
  <si>
    <t>q112_5_northamerica</t>
  </si>
  <si>
    <t>q112_6_northamerica</t>
  </si>
  <si>
    <t>q11ROW2_hidden_northamerica</t>
  </si>
  <si>
    <t>q113_1_northamerica</t>
  </si>
  <si>
    <t>q113_2_northamerica</t>
  </si>
  <si>
    <t>q113_3_northamerica</t>
  </si>
  <si>
    <t>q113_4_northamerica</t>
  </si>
  <si>
    <t>q113_5_northamerica</t>
  </si>
  <si>
    <t>q113_6_northamerica</t>
  </si>
  <si>
    <t>q11ROW3_hidden_northamerica</t>
  </si>
  <si>
    <t>q114_1_northamerica</t>
  </si>
  <si>
    <t>q114_2_northamerica</t>
  </si>
  <si>
    <t>q114_3_northamerica</t>
  </si>
  <si>
    <t>q114_4_northamerica</t>
  </si>
  <si>
    <t>q114_5_northamerica</t>
  </si>
  <si>
    <t>q114_6_northamerica</t>
  </si>
  <si>
    <t>q11ROW4_hidden_northamerica</t>
  </si>
  <si>
    <t>q115_1_northamerica</t>
  </si>
  <si>
    <t>q115_2_northamerica</t>
  </si>
  <si>
    <t>q115_3_northamerica</t>
  </si>
  <si>
    <t>q115_4_northamerica</t>
  </si>
  <si>
    <t>q115_5_northamerica</t>
  </si>
  <si>
    <t>q115_6_northamerica</t>
  </si>
  <si>
    <t>q11ROW5_hidden_northamerica</t>
  </si>
  <si>
    <t>q11COL1_hidden_northamerica</t>
  </si>
  <si>
    <t>q11COL2_hidden_northamerica</t>
  </si>
  <si>
    <t>q11COL3_hidden_northamerica</t>
  </si>
  <si>
    <t>q11COL4_hidden_northamerica</t>
  </si>
  <si>
    <t>q11COL5_hidden_northamerica</t>
  </si>
  <si>
    <t>q11COL6_hidden_northamerica</t>
  </si>
  <si>
    <t>q11GRANDTotal_hidden_northamerica</t>
  </si>
  <si>
    <t>Global_global</t>
  </si>
  <si>
    <t>q101_1_global</t>
  </si>
  <si>
    <t>q101_2_global</t>
  </si>
  <si>
    <t>q101_3_global</t>
  </si>
  <si>
    <t>q101_4_global</t>
  </si>
  <si>
    <t>q101_5_global</t>
  </si>
  <si>
    <t>q101_6_global</t>
  </si>
  <si>
    <t>q10ROW1_hidden_global</t>
  </si>
  <si>
    <t>q102_1_global</t>
  </si>
  <si>
    <t>q102_2_global</t>
  </si>
  <si>
    <t>q102_3_global</t>
  </si>
  <si>
    <t>q102_4_global</t>
  </si>
  <si>
    <t>q102_5_global</t>
  </si>
  <si>
    <t>q102_6_global</t>
  </si>
  <si>
    <t>q10ROW2_hidden_global</t>
  </si>
  <si>
    <t>q103_1_global</t>
  </si>
  <si>
    <t>q103_2_global</t>
  </si>
  <si>
    <t>q103_3_global</t>
  </si>
  <si>
    <t>q103_4_global</t>
  </si>
  <si>
    <t>q103_5_global</t>
  </si>
  <si>
    <t>q103_6_global</t>
  </si>
  <si>
    <t>q10ROW3_hidden_global</t>
  </si>
  <si>
    <t>q104_1_global</t>
  </si>
  <si>
    <t>q104_2_global</t>
  </si>
  <si>
    <t>q104_3_global</t>
  </si>
  <si>
    <t>q104_4_global</t>
  </si>
  <si>
    <t>q104_5_global</t>
  </si>
  <si>
    <t>q104_6_global</t>
  </si>
  <si>
    <t>q10ROW4_hidden_global</t>
  </si>
  <si>
    <t>q105_1_global</t>
  </si>
  <si>
    <t>q105_2_global</t>
  </si>
  <si>
    <t>q105_3_global</t>
  </si>
  <si>
    <t>q105_4_global</t>
  </si>
  <si>
    <t>q105_5_global</t>
  </si>
  <si>
    <t>q105_6_global</t>
  </si>
  <si>
    <t>q10ROW5_hidden_global</t>
  </si>
  <si>
    <t>q106_1_global</t>
  </si>
  <si>
    <t>q106_2_global</t>
  </si>
  <si>
    <t>q106_3_global</t>
  </si>
  <si>
    <t>q106_4_global</t>
  </si>
  <si>
    <t>q106_5_global</t>
  </si>
  <si>
    <t>q106_6_global</t>
  </si>
  <si>
    <t>q10ROW6_hidden_global</t>
  </si>
  <si>
    <t>q107_1_global</t>
  </si>
  <si>
    <t>q107_2_global</t>
  </si>
  <si>
    <t>q107_3_global</t>
  </si>
  <si>
    <t>q107_4_global</t>
  </si>
  <si>
    <t>q107_5_global</t>
  </si>
  <si>
    <t>q107_6_global</t>
  </si>
  <si>
    <t>q10ROW7_hidden_global</t>
  </si>
  <si>
    <t>q10other_global</t>
  </si>
  <si>
    <t>q108_1_global</t>
  </si>
  <si>
    <t>q108_2_global</t>
  </si>
  <si>
    <t>q108_3_global</t>
  </si>
  <si>
    <t>q108_4_global</t>
  </si>
  <si>
    <t>q108_5_global</t>
  </si>
  <si>
    <t>q108_6_global</t>
  </si>
  <si>
    <t>q10ROW8_hidden_global</t>
  </si>
  <si>
    <t>q10COL1_hidden_global</t>
  </si>
  <si>
    <t>q10COL2_hidden_global</t>
  </si>
  <si>
    <t>q10COL3_hidden_global</t>
  </si>
  <si>
    <t>q10COL4_hidden_global</t>
  </si>
  <si>
    <t>q10COL5_hidden_global</t>
  </si>
  <si>
    <t>q10COL6_hidden_global</t>
  </si>
  <si>
    <t>q10GRANDTotal_hidden_global</t>
  </si>
  <si>
    <t>q111_1_global</t>
  </si>
  <si>
    <t>q111_2_global</t>
  </si>
  <si>
    <t>q111_3_global</t>
  </si>
  <si>
    <t>q111_4_global</t>
  </si>
  <si>
    <t>q111_5_global</t>
  </si>
  <si>
    <t>q111_6_global</t>
  </si>
  <si>
    <t>q11ROW1_hidden_global</t>
  </si>
  <si>
    <t>q112_1_global</t>
  </si>
  <si>
    <t>q112_2_global</t>
  </si>
  <si>
    <t>q112_3_global</t>
  </si>
  <si>
    <t>q112_4_global</t>
  </si>
  <si>
    <t>q112_5_global</t>
  </si>
  <si>
    <t>q112_6_global</t>
  </si>
  <si>
    <t>q11ROW2_hidden_global</t>
  </si>
  <si>
    <t>q113_1_global</t>
  </si>
  <si>
    <t>q113_2_global</t>
  </si>
  <si>
    <t>q113_3_global</t>
  </si>
  <si>
    <t>q113_4_global</t>
  </si>
  <si>
    <t>q113_5_global</t>
  </si>
  <si>
    <t>q113_6_global</t>
  </si>
  <si>
    <t>q11ROW3_hidden_global</t>
  </si>
  <si>
    <t>q114_1_global</t>
  </si>
  <si>
    <t>q114_2_global</t>
  </si>
  <si>
    <t>q114_3_global</t>
  </si>
  <si>
    <t>q114_4_global</t>
  </si>
  <si>
    <t>q114_5_global</t>
  </si>
  <si>
    <t>q114_6_global</t>
  </si>
  <si>
    <t>q11ROW4_hidden_global</t>
  </si>
  <si>
    <t>q115_1_global</t>
  </si>
  <si>
    <t>q115_2_global</t>
  </si>
  <si>
    <t>q115_3_global</t>
  </si>
  <si>
    <t>q115_4_global</t>
  </si>
  <si>
    <t>q115_5_global</t>
  </si>
  <si>
    <t>q115_6_global</t>
  </si>
  <si>
    <t>q11ROW5_hidden_global</t>
  </si>
  <si>
    <t>q11COL1_hidden_global</t>
  </si>
  <si>
    <t>q11COL2_hidden_global</t>
  </si>
  <si>
    <t>q11COL3_hidden_global</t>
  </si>
  <si>
    <t>q11COL4_hidden_global</t>
  </si>
  <si>
    <t>q11COL5_hidden_global</t>
  </si>
  <si>
    <t>q11COL6_hidden_global</t>
  </si>
  <si>
    <t>q11GRANDTotal_hidden_global</t>
  </si>
  <si>
    <t>SOUTH AMERICA_southamerica</t>
  </si>
  <si>
    <t>q101_1_southamerica</t>
  </si>
  <si>
    <t>q101_2_southamerica</t>
  </si>
  <si>
    <t>q101_3_southamerica</t>
  </si>
  <si>
    <t>q101_4_southamerica</t>
  </si>
  <si>
    <t>q101_5_southamerica</t>
  </si>
  <si>
    <t>q101_6_southamerica</t>
  </si>
  <si>
    <t>q10ROW1_hidden_southamerica</t>
  </si>
  <si>
    <t>q102_1_southamerica</t>
  </si>
  <si>
    <t>q102_2_southamerica</t>
  </si>
  <si>
    <t>q102_3_southamerica</t>
  </si>
  <si>
    <t>q102_4_southamerica</t>
  </si>
  <si>
    <t>q102_5_southamerica</t>
  </si>
  <si>
    <t>q102_6_southamerica</t>
  </si>
  <si>
    <t>q10ROW2_hidden_southamerica</t>
  </si>
  <si>
    <t>q103_1_southamerica</t>
  </si>
  <si>
    <t>q103_2_southamerica</t>
  </si>
  <si>
    <t>q103_3_southamerica</t>
  </si>
  <si>
    <t>q103_4_southamerica</t>
  </si>
  <si>
    <t>q103_5_southamerica</t>
  </si>
  <si>
    <t>q103_6_southamerica</t>
  </si>
  <si>
    <t>q10ROW3_hidden_southamerica</t>
  </si>
  <si>
    <t>q104_1_southamerica</t>
  </si>
  <si>
    <t>q104_2_southamerica</t>
  </si>
  <si>
    <t>q104_3_southamerica</t>
  </si>
  <si>
    <t>q104_4_southamerica</t>
  </si>
  <si>
    <t>q104_5_southamerica</t>
  </si>
  <si>
    <t>q104_6_southamerica</t>
  </si>
  <si>
    <t>q10ROW4_hidden_southamerica</t>
  </si>
  <si>
    <t>q105_1_southamerica</t>
  </si>
  <si>
    <t>q105_2_southamerica</t>
  </si>
  <si>
    <t>q105_3_southamerica</t>
  </si>
  <si>
    <t>q105_4_southamerica</t>
  </si>
  <si>
    <t>q105_5_southamerica</t>
  </si>
  <si>
    <t>q105_6_southamerica</t>
  </si>
  <si>
    <t>q10ROW5_hidden_southamerica</t>
  </si>
  <si>
    <t>q106_1_southamerica</t>
  </si>
  <si>
    <t>q106_2_southamerica</t>
  </si>
  <si>
    <t>q106_3_southamerica</t>
  </si>
  <si>
    <t>q106_4_southamerica</t>
  </si>
  <si>
    <t>q106_5_southamerica</t>
  </si>
  <si>
    <t>q106_6_southamerica</t>
  </si>
  <si>
    <t>q10ROW6_hidden_southamerica</t>
  </si>
  <si>
    <t>q107_1_southamerica</t>
  </si>
  <si>
    <t>q107_2_southamerica</t>
  </si>
  <si>
    <t>q107_3_southamerica</t>
  </si>
  <si>
    <t>q107_4_southamerica</t>
  </si>
  <si>
    <t>q107_5_southamerica</t>
  </si>
  <si>
    <t>q107_6_southamerica</t>
  </si>
  <si>
    <t>q10ROW7_hidden_southamerica</t>
  </si>
  <si>
    <t>q10other_southamerica</t>
  </si>
  <si>
    <t>q108_1_southamerica</t>
  </si>
  <si>
    <t>q108_2_southamerica</t>
  </si>
  <si>
    <t>q108_3_southamerica</t>
  </si>
  <si>
    <t>q108_4_southamerica</t>
  </si>
  <si>
    <t>q108_5_southamerica</t>
  </si>
  <si>
    <t>q108_6_southamerica</t>
  </si>
  <si>
    <t>q10ROW8_hidden_southamerica</t>
  </si>
  <si>
    <t>q10COL1_hidden_southamerica</t>
  </si>
  <si>
    <t>q10COL2_hidden_southamerica</t>
  </si>
  <si>
    <t>q10COL3_hidden_southamerica</t>
  </si>
  <si>
    <t>q10COL4_hidden_southamerica</t>
  </si>
  <si>
    <t>q10COL5_hidden_southamerica</t>
  </si>
  <si>
    <t>q10COL6_hidden_southamerica</t>
  </si>
  <si>
    <t>q10GRANDTotal_hidden_southamerica</t>
  </si>
  <si>
    <t>q111_1_southamerica</t>
  </si>
  <si>
    <t>q111_2_southamerica</t>
  </si>
  <si>
    <t>q111_3_southamerica</t>
  </si>
  <si>
    <t>q111_4_southamerica</t>
  </si>
  <si>
    <t>q111_5_southamerica</t>
  </si>
  <si>
    <t>q111_6_southamerica</t>
  </si>
  <si>
    <t>q11ROW1_hidden_southamerica</t>
  </si>
  <si>
    <t>q112_1_southamerica</t>
  </si>
  <si>
    <t>q112_2_southamerica</t>
  </si>
  <si>
    <t>q112_3_southamerica</t>
  </si>
  <si>
    <t>q112_4_southamerica</t>
  </si>
  <si>
    <t>q112_5_southamerica</t>
  </si>
  <si>
    <t>q112_6_southamerica</t>
  </si>
  <si>
    <t>q11ROW2_hidden_southamerica</t>
  </si>
  <si>
    <t>q113_1_southamerica</t>
  </si>
  <si>
    <t>q113_2_southamerica</t>
  </si>
  <si>
    <t>q113_3_southamerica</t>
  </si>
  <si>
    <t>q113_4_southamerica</t>
  </si>
  <si>
    <t>q113_5_southamerica</t>
  </si>
  <si>
    <t>q113_6_southamerica</t>
  </si>
  <si>
    <t>q11ROW3_hidden_southamerica</t>
  </si>
  <si>
    <t>q114_1_southamerica</t>
  </si>
  <si>
    <t>q114_2_southamerica</t>
  </si>
  <si>
    <t>q114_3_southamerica</t>
  </si>
  <si>
    <t>q114_4_southamerica</t>
  </si>
  <si>
    <t>q114_5_southamerica</t>
  </si>
  <si>
    <t>q114_6_southamerica</t>
  </si>
  <si>
    <t>q11ROW4_hidden_southamerica</t>
  </si>
  <si>
    <t>q115_1_southamerica</t>
  </si>
  <si>
    <t>q115_2_southamerica</t>
  </si>
  <si>
    <t>q115_3_southamerica</t>
  </si>
  <si>
    <t>q115_4_southamerica</t>
  </si>
  <si>
    <t>q115_5_southamerica</t>
  </si>
  <si>
    <t>q115_6_southamerica</t>
  </si>
  <si>
    <t>q11ROW5_hidden_southamerica</t>
  </si>
  <si>
    <t>q11COL1_hidden_southamerica</t>
  </si>
  <si>
    <t>q11COL2_hidden_southamerica</t>
  </si>
  <si>
    <t>q11COL3_hidden_southamerica</t>
  </si>
  <si>
    <t>q11COL4_hidden_southamerica</t>
  </si>
  <si>
    <t>q11COL5_hidden_southamerica</t>
  </si>
  <si>
    <t>q11COL6_hidden_southamerica</t>
  </si>
  <si>
    <t>q11GRANDTotal_hidden_southamerica</t>
  </si>
  <si>
    <t>AFRICA_africa</t>
  </si>
  <si>
    <t>q101_1_africa</t>
  </si>
  <si>
    <t>q101_2_africa</t>
  </si>
  <si>
    <t>q101_3_africa</t>
  </si>
  <si>
    <t>q101_4_africa</t>
  </si>
  <si>
    <t>q101_5_africa</t>
  </si>
  <si>
    <t>q101_6_africa</t>
  </si>
  <si>
    <t>q10ROW1_hidden_africa</t>
  </si>
  <si>
    <t>q102_1_africa</t>
  </si>
  <si>
    <t>q102_2_africa</t>
  </si>
  <si>
    <t>q102_3_africa</t>
  </si>
  <si>
    <t>q102_4_africa</t>
  </si>
  <si>
    <t>q102_5_africa</t>
  </si>
  <si>
    <t>q102_6_africa</t>
  </si>
  <si>
    <t>q10ROW2_hidden_africa</t>
  </si>
  <si>
    <t>q103_1_africa</t>
  </si>
  <si>
    <t>q103_2_africa</t>
  </si>
  <si>
    <t>q103_3_africa</t>
  </si>
  <si>
    <t>q103_4_africa</t>
  </si>
  <si>
    <t>q103_5_africa</t>
  </si>
  <si>
    <t>q103_6_africa</t>
  </si>
  <si>
    <t>q10ROW3_hidden_africa</t>
  </si>
  <si>
    <t>q104_1_africa</t>
  </si>
  <si>
    <t>q104_2_africa</t>
  </si>
  <si>
    <t>q104_3_africa</t>
  </si>
  <si>
    <t>q104_4_africa</t>
  </si>
  <si>
    <t>q104_5_africa</t>
  </si>
  <si>
    <t>q104_6_africa</t>
  </si>
  <si>
    <t>q10ROW4_hidden_africa</t>
  </si>
  <si>
    <t>q105_1_africa</t>
  </si>
  <si>
    <t>q105_2_africa</t>
  </si>
  <si>
    <t>q105_3_africa</t>
  </si>
  <si>
    <t>q105_4_africa</t>
  </si>
  <si>
    <t>q105_5_africa</t>
  </si>
  <si>
    <t>q105_6_africa</t>
  </si>
  <si>
    <t>q10ROW5_hidden_africa</t>
  </si>
  <si>
    <t>q106_1_africa</t>
  </si>
  <si>
    <t>q106_2_africa</t>
  </si>
  <si>
    <t>q106_3_africa</t>
  </si>
  <si>
    <t>q106_4_africa</t>
  </si>
  <si>
    <t>q106_5_africa</t>
  </si>
  <si>
    <t>q106_6_africa</t>
  </si>
  <si>
    <t>q10ROW6_hidden_africa</t>
  </si>
  <si>
    <t>q107_1_africa</t>
  </si>
  <si>
    <t>q107_2_africa</t>
  </si>
  <si>
    <t>q107_3_africa</t>
  </si>
  <si>
    <t>q107_4_africa</t>
  </si>
  <si>
    <t>q107_5_africa</t>
  </si>
  <si>
    <t>q107_6_africa</t>
  </si>
  <si>
    <t>q10ROW7_hidden_africa</t>
  </si>
  <si>
    <t>q10other_africa</t>
  </si>
  <si>
    <t>q108_1_africa</t>
  </si>
  <si>
    <t>q108_2_africa</t>
  </si>
  <si>
    <t>q108_3_africa</t>
  </si>
  <si>
    <t>q108_4_africa</t>
  </si>
  <si>
    <t>q108_5_africa</t>
  </si>
  <si>
    <t>q108_6_africa</t>
  </si>
  <si>
    <t>q10ROW8_hidden_africa</t>
  </si>
  <si>
    <t>q10COL1_hidden_africa</t>
  </si>
  <si>
    <t>q10COL2_hidden_africa</t>
  </si>
  <si>
    <t>q10COL3_hidden_africa</t>
  </si>
  <si>
    <t>q10COL4_hidden_africa</t>
  </si>
  <si>
    <t>q10COL5_hidden_africa</t>
  </si>
  <si>
    <t>q10COL6_hidden_africa</t>
  </si>
  <si>
    <t>q10GRANDTotal_hidden_africa</t>
  </si>
  <si>
    <t>q111_1_africa</t>
  </si>
  <si>
    <t>q111_2_africa</t>
  </si>
  <si>
    <t>q111_3_africa</t>
  </si>
  <si>
    <t>q111_4_africa</t>
  </si>
  <si>
    <t>q111_5_africa</t>
  </si>
  <si>
    <t>q111_6_africa</t>
  </si>
  <si>
    <t>q11ROW1_hidden_africa</t>
  </si>
  <si>
    <t>q112_1_africa</t>
  </si>
  <si>
    <t>q112_2_africa</t>
  </si>
  <si>
    <t>q112_3_africa</t>
  </si>
  <si>
    <t>q112_4_africa</t>
  </si>
  <si>
    <t>q112_5_africa</t>
  </si>
  <si>
    <t>q112_6_africa</t>
  </si>
  <si>
    <t>q11ROW2_hidden_africa</t>
  </si>
  <si>
    <t>q113_1_africa</t>
  </si>
  <si>
    <t>q113_2_africa</t>
  </si>
  <si>
    <t>q113_3_africa</t>
  </si>
  <si>
    <t>q113_4_africa</t>
  </si>
  <si>
    <t>q113_5_africa</t>
  </si>
  <si>
    <t>q113_6_africa</t>
  </si>
  <si>
    <t>q11ROW3_hidden_africa</t>
  </si>
  <si>
    <t>q114_1_africa</t>
  </si>
  <si>
    <t>q114_2_africa</t>
  </si>
  <si>
    <t>q114_3_africa</t>
  </si>
  <si>
    <t>q114_4_africa</t>
  </si>
  <si>
    <t>q114_5_africa</t>
  </si>
  <si>
    <t>q114_6_africa</t>
  </si>
  <si>
    <t>q11ROW4_hidden_africa</t>
  </si>
  <si>
    <t>q115_1_africa</t>
  </si>
  <si>
    <t>q115_2_africa</t>
  </si>
  <si>
    <t>q115_3_africa</t>
  </si>
  <si>
    <t>q115_4_africa</t>
  </si>
  <si>
    <t>q115_5_africa</t>
  </si>
  <si>
    <t>q115_6_africa</t>
  </si>
  <si>
    <t>q11ROW5_hidden_africa</t>
  </si>
  <si>
    <t>q11COL1_hidden_africa</t>
  </si>
  <si>
    <t>q11COL2_hidden_africa</t>
  </si>
  <si>
    <t>q11COL3_hidden_africa</t>
  </si>
  <si>
    <t>q11COL4_hidden_africa</t>
  </si>
  <si>
    <t>q11COL5_hidden_africa</t>
  </si>
  <si>
    <t>q11COL6_hidden_africa</t>
  </si>
  <si>
    <t>q11GRANDTotal_hidden_africa</t>
  </si>
  <si>
    <t>Original Column</t>
  </si>
  <si>
    <t>_northafrica</t>
  </si>
  <si>
    <t>dtcode</t>
  </si>
  <si>
    <t>5_1</t>
  </si>
  <si>
    <t>7_1</t>
  </si>
  <si>
    <t>7_2</t>
  </si>
  <si>
    <t>7_3</t>
  </si>
  <si>
    <t>7_4</t>
  </si>
  <si>
    <t>7_5</t>
  </si>
  <si>
    <t>7_6</t>
  </si>
  <si>
    <t>7_7</t>
  </si>
  <si>
    <t>7_8</t>
  </si>
  <si>
    <t>7_9</t>
  </si>
  <si>
    <t>7_10</t>
  </si>
  <si>
    <t>7_11</t>
  </si>
  <si>
    <t>7_12</t>
  </si>
  <si>
    <t>7_13</t>
  </si>
  <si>
    <t>7_14</t>
  </si>
  <si>
    <t>7_15</t>
  </si>
  <si>
    <t>7_16</t>
  </si>
  <si>
    <t>7_17</t>
  </si>
  <si>
    <t>7_18</t>
  </si>
  <si>
    <t>7_19</t>
  </si>
  <si>
    <t>7_20</t>
  </si>
  <si>
    <t>7_21</t>
  </si>
  <si>
    <t>7_22</t>
  </si>
  <si>
    <t>7_23</t>
  </si>
  <si>
    <t>7_24</t>
  </si>
  <si>
    <t>7_25</t>
  </si>
  <si>
    <t>7_26</t>
  </si>
  <si>
    <t>7_27</t>
  </si>
  <si>
    <t>7_28</t>
  </si>
  <si>
    <t>7_29</t>
  </si>
  <si>
    <t>7_30</t>
  </si>
  <si>
    <t>7_31</t>
  </si>
  <si>
    <t>7_32</t>
  </si>
  <si>
    <t>7_33</t>
  </si>
  <si>
    <t>7_34</t>
  </si>
  <si>
    <t>7_35</t>
  </si>
  <si>
    <t>7_36</t>
  </si>
  <si>
    <t>7_37</t>
  </si>
  <si>
    <t>7_38</t>
  </si>
  <si>
    <t>7_39</t>
  </si>
  <si>
    <t>7_40</t>
  </si>
  <si>
    <t>7_41</t>
  </si>
  <si>
    <t>7_42</t>
  </si>
  <si>
    <t>7_43</t>
  </si>
  <si>
    <t>7_44</t>
  </si>
  <si>
    <t>7_45</t>
  </si>
  <si>
    <t>7_46</t>
  </si>
  <si>
    <t>7_47</t>
  </si>
  <si>
    <t>7_48</t>
  </si>
  <si>
    <t>7_49</t>
  </si>
  <si>
    <t>7_50</t>
  </si>
  <si>
    <t>7_51</t>
  </si>
  <si>
    <t>7_52</t>
  </si>
  <si>
    <t>7_53</t>
  </si>
  <si>
    <t>7_54</t>
  </si>
  <si>
    <t>7_55</t>
  </si>
  <si>
    <t>7_56</t>
  </si>
  <si>
    <t>7_57</t>
  </si>
  <si>
    <t>7_58</t>
  </si>
  <si>
    <t>7_59</t>
  </si>
  <si>
    <t>7_60</t>
  </si>
  <si>
    <t>7_61</t>
  </si>
  <si>
    <t>7_62</t>
  </si>
  <si>
    <t>7_63</t>
  </si>
  <si>
    <t>7_64</t>
  </si>
  <si>
    <t>7_65</t>
  </si>
  <si>
    <t>7_66</t>
  </si>
  <si>
    <t>7_67</t>
  </si>
  <si>
    <t>7_68</t>
  </si>
  <si>
    <t>7_69</t>
  </si>
  <si>
    <t>7_70</t>
  </si>
  <si>
    <t>7_71</t>
  </si>
  <si>
    <t>7_72</t>
  </si>
  <si>
    <t>7_73</t>
  </si>
  <si>
    <t>7_74</t>
  </si>
  <si>
    <t>7_75</t>
  </si>
  <si>
    <t>7_76</t>
  </si>
  <si>
    <t>7_77</t>
  </si>
  <si>
    <t>7_78</t>
  </si>
  <si>
    <t>7_79</t>
  </si>
  <si>
    <t>7_80</t>
  </si>
  <si>
    <t>7_81</t>
  </si>
  <si>
    <t>7_82</t>
  </si>
  <si>
    <t>7_83</t>
  </si>
  <si>
    <t>7_84</t>
  </si>
  <si>
    <t>7_85</t>
  </si>
  <si>
    <t>10_4</t>
  </si>
  <si>
    <t>14_1</t>
  </si>
  <si>
    <t>8_58</t>
  </si>
  <si>
    <t>8_59</t>
  </si>
  <si>
    <t>8_60</t>
  </si>
  <si>
    <t>8_61</t>
  </si>
  <si>
    <t>8_62</t>
  </si>
  <si>
    <t>8_63</t>
  </si>
  <si>
    <t>8_64</t>
  </si>
  <si>
    <t>9_36</t>
  </si>
  <si>
    <t>9_37</t>
  </si>
  <si>
    <t>9_38</t>
  </si>
  <si>
    <t>9_39</t>
  </si>
  <si>
    <t>9_40</t>
  </si>
  <si>
    <t>9_41</t>
  </si>
  <si>
    <t>9_42</t>
  </si>
  <si>
    <t>14_2</t>
  </si>
  <si>
    <t>14_3</t>
  </si>
  <si>
    <t>14_4</t>
  </si>
  <si>
    <t>14_5</t>
  </si>
  <si>
    <t>14_6</t>
  </si>
  <si>
    <t>14_7</t>
  </si>
  <si>
    <t>14_8</t>
  </si>
  <si>
    <t>14_9</t>
  </si>
  <si>
    <t>14_10</t>
  </si>
  <si>
    <t>14_11</t>
  </si>
  <si>
    <t>14_12</t>
  </si>
  <si>
    <t>14_13</t>
  </si>
  <si>
    <t>14_14</t>
  </si>
  <si>
    <t>14_15</t>
  </si>
  <si>
    <t>14_16</t>
  </si>
  <si>
    <t>14_17</t>
  </si>
  <si>
    <t>14_18</t>
  </si>
  <si>
    <t>14_19</t>
  </si>
  <si>
    <t>14_20</t>
  </si>
  <si>
    <t>14_21</t>
  </si>
  <si>
    <t>14_22</t>
  </si>
  <si>
    <t>14_23</t>
  </si>
  <si>
    <t>14_24</t>
  </si>
  <si>
    <t>14_25</t>
  </si>
  <si>
    <t>14_26</t>
  </si>
  <si>
    <t>14_27</t>
  </si>
  <si>
    <t>14_28</t>
  </si>
  <si>
    <t>14_29</t>
  </si>
  <si>
    <t>14_30</t>
  </si>
  <si>
    <t>14_31</t>
  </si>
  <si>
    <t>14_32</t>
  </si>
  <si>
    <t>14_33</t>
  </si>
  <si>
    <t>14_34</t>
  </si>
  <si>
    <t>14_35</t>
  </si>
  <si>
    <t>14_36</t>
  </si>
  <si>
    <t>14_37</t>
  </si>
  <si>
    <t>14_38</t>
  </si>
  <si>
    <t>14_39</t>
  </si>
  <si>
    <t>14_40</t>
  </si>
  <si>
    <t>14_41</t>
  </si>
  <si>
    <t>14_42</t>
  </si>
  <si>
    <t>14_43</t>
  </si>
  <si>
    <t>14_44</t>
  </si>
  <si>
    <t>14_45</t>
  </si>
  <si>
    <t>14_46</t>
  </si>
  <si>
    <t>14_47</t>
  </si>
  <si>
    <t>14_48</t>
  </si>
  <si>
    <t>14_49</t>
  </si>
  <si>
    <t>14_50</t>
  </si>
  <si>
    <t>14_51</t>
  </si>
  <si>
    <t>14_52</t>
  </si>
  <si>
    <t>14_53</t>
  </si>
  <si>
    <t>14_54</t>
  </si>
  <si>
    <t>14_55</t>
  </si>
  <si>
    <t>14_56</t>
  </si>
  <si>
    <t>14_57</t>
  </si>
  <si>
    <t>14_58</t>
  </si>
  <si>
    <t>14_59</t>
  </si>
  <si>
    <t>14_60</t>
  </si>
  <si>
    <t>14_61</t>
  </si>
  <si>
    <t>14_62</t>
  </si>
  <si>
    <t>14_63</t>
  </si>
  <si>
    <t>14_64</t>
  </si>
  <si>
    <t>15_1</t>
  </si>
  <si>
    <t>15_2</t>
  </si>
  <si>
    <t>15_3</t>
  </si>
  <si>
    <t>15_4</t>
  </si>
  <si>
    <t>15_5</t>
  </si>
  <si>
    <t>15_6</t>
  </si>
  <si>
    <t>15_7</t>
  </si>
  <si>
    <t>15_8</t>
  </si>
  <si>
    <t>15_9</t>
  </si>
  <si>
    <t>15_10</t>
  </si>
  <si>
    <t>15_11</t>
  </si>
  <si>
    <t>15_12</t>
  </si>
  <si>
    <t>15_13</t>
  </si>
  <si>
    <t>15_14</t>
  </si>
  <si>
    <t>15_15</t>
  </si>
  <si>
    <t>15_16</t>
  </si>
  <si>
    <t>15_17</t>
  </si>
  <si>
    <t>15_18</t>
  </si>
  <si>
    <t>15_19</t>
  </si>
  <si>
    <t>15_20</t>
  </si>
  <si>
    <t>15_21</t>
  </si>
  <si>
    <t>15_22</t>
  </si>
  <si>
    <t>15_23</t>
  </si>
  <si>
    <t>15_24</t>
  </si>
  <si>
    <t>15_25</t>
  </si>
  <si>
    <t>15_26</t>
  </si>
  <si>
    <t>15_27</t>
  </si>
  <si>
    <t>15_28</t>
  </si>
  <si>
    <t>15_29</t>
  </si>
  <si>
    <t>15_30</t>
  </si>
  <si>
    <t>15_31</t>
  </si>
  <si>
    <t>15_32</t>
  </si>
  <si>
    <t>15_33</t>
  </si>
  <si>
    <t>15_34</t>
  </si>
  <si>
    <t>15_35</t>
  </si>
  <si>
    <t>15_36</t>
  </si>
  <si>
    <t>15_37</t>
  </si>
  <si>
    <t>15_38</t>
  </si>
  <si>
    <t>15_39</t>
  </si>
  <si>
    <t>15_40</t>
  </si>
  <si>
    <t>15_41</t>
  </si>
  <si>
    <t>15_42</t>
  </si>
  <si>
    <t>16_1</t>
  </si>
  <si>
    <t>16_2</t>
  </si>
  <si>
    <t>16_3</t>
  </si>
  <si>
    <t>16_4</t>
  </si>
  <si>
    <t>16_5</t>
  </si>
  <si>
    <t>16_6</t>
  </si>
  <si>
    <t>16_7</t>
  </si>
  <si>
    <t>16_8</t>
  </si>
  <si>
    <t>16_9</t>
  </si>
  <si>
    <t>16_10</t>
  </si>
  <si>
    <t>16_11</t>
  </si>
  <si>
    <t>16_12</t>
  </si>
  <si>
    <t>16_13</t>
  </si>
  <si>
    <t>16_14</t>
  </si>
  <si>
    <t>16_15</t>
  </si>
  <si>
    <t>16_16</t>
  </si>
  <si>
    <t>16_17</t>
  </si>
  <si>
    <t>16_18</t>
  </si>
  <si>
    <t>16_19</t>
  </si>
  <si>
    <t>16_20</t>
  </si>
  <si>
    <t>16_21</t>
  </si>
  <si>
    <t>16_22</t>
  </si>
  <si>
    <t>16_23</t>
  </si>
  <si>
    <t>16_24</t>
  </si>
  <si>
    <t>16_25</t>
  </si>
  <si>
    <t>16_26</t>
  </si>
  <si>
    <t>16_27</t>
  </si>
  <si>
    <t>16_28</t>
  </si>
  <si>
    <t>16_29</t>
  </si>
  <si>
    <t>16_30</t>
  </si>
  <si>
    <t>16_31</t>
  </si>
  <si>
    <t>16_32</t>
  </si>
  <si>
    <t>16_33</t>
  </si>
  <si>
    <t>16_34</t>
  </si>
  <si>
    <t>16_35</t>
  </si>
  <si>
    <t>16_36</t>
  </si>
  <si>
    <t>16_37</t>
  </si>
  <si>
    <t>16_38</t>
  </si>
  <si>
    <t>16_39</t>
  </si>
  <si>
    <t>16_40</t>
  </si>
  <si>
    <t>16_41</t>
  </si>
  <si>
    <t>16_42</t>
  </si>
  <si>
    <t>16_43</t>
  </si>
  <si>
    <t>16_44</t>
  </si>
  <si>
    <t>16_45</t>
  </si>
  <si>
    <t>16_46</t>
  </si>
  <si>
    <t>16_47</t>
  </si>
  <si>
    <t>16_48</t>
  </si>
  <si>
    <t>16_49</t>
  </si>
  <si>
    <t>16_50</t>
  </si>
  <si>
    <t>16_51</t>
  </si>
  <si>
    <t>16_52</t>
  </si>
  <si>
    <t>16_53</t>
  </si>
  <si>
    <t>16_54</t>
  </si>
  <si>
    <t>16_55</t>
  </si>
  <si>
    <t>16_56</t>
  </si>
  <si>
    <t>16_57</t>
  </si>
  <si>
    <t>16_58</t>
  </si>
  <si>
    <t>16_59</t>
  </si>
  <si>
    <t>16_60</t>
  </si>
  <si>
    <t>16_61</t>
  </si>
  <si>
    <t>16_62</t>
  </si>
  <si>
    <t>16_63</t>
  </si>
  <si>
    <t>16_64</t>
  </si>
  <si>
    <t>17_1</t>
  </si>
  <si>
    <t>17_2</t>
  </si>
  <si>
    <t>17_3</t>
  </si>
  <si>
    <t>17_4</t>
  </si>
  <si>
    <t>17_5</t>
  </si>
  <si>
    <t>17_6</t>
  </si>
  <si>
    <t>17_7</t>
  </si>
  <si>
    <t>17_8</t>
  </si>
  <si>
    <t>17_9</t>
  </si>
  <si>
    <t>17_10</t>
  </si>
  <si>
    <t>17_11</t>
  </si>
  <si>
    <t>17_12</t>
  </si>
  <si>
    <t>17_13</t>
  </si>
  <si>
    <t>17_14</t>
  </si>
  <si>
    <t>17_15</t>
  </si>
  <si>
    <t>17_16</t>
  </si>
  <si>
    <t>17_17</t>
  </si>
  <si>
    <t>17_18</t>
  </si>
  <si>
    <t>17_19</t>
  </si>
  <si>
    <t>17_20</t>
  </si>
  <si>
    <t>17_21</t>
  </si>
  <si>
    <t>17_22</t>
  </si>
  <si>
    <t>17_23</t>
  </si>
  <si>
    <t>17_24</t>
  </si>
  <si>
    <t>17_25</t>
  </si>
  <si>
    <t>17_26</t>
  </si>
  <si>
    <t>17_27</t>
  </si>
  <si>
    <t>17_28</t>
  </si>
  <si>
    <t>17_29</t>
  </si>
  <si>
    <t>17_30</t>
  </si>
  <si>
    <t>17_31</t>
  </si>
  <si>
    <t>17_32</t>
  </si>
  <si>
    <t>17_33</t>
  </si>
  <si>
    <t>17_34</t>
  </si>
  <si>
    <t>17_35</t>
  </si>
  <si>
    <t>17_36</t>
  </si>
  <si>
    <t>17_37</t>
  </si>
  <si>
    <t>17_38</t>
  </si>
  <si>
    <t>17_39</t>
  </si>
  <si>
    <t>17_40</t>
  </si>
  <si>
    <t>17_41</t>
  </si>
  <si>
    <t>17_42</t>
  </si>
  <si>
    <t>18_1</t>
  </si>
  <si>
    <t>18_2</t>
  </si>
  <si>
    <t>18_3</t>
  </si>
  <si>
    <t>18_4</t>
  </si>
  <si>
    <t>18_5</t>
  </si>
  <si>
    <t>18_6</t>
  </si>
  <si>
    <t>18_7</t>
  </si>
  <si>
    <t>18_8</t>
  </si>
  <si>
    <t>18_9</t>
  </si>
  <si>
    <t>18_10</t>
  </si>
  <si>
    <t>18_11</t>
  </si>
  <si>
    <t>18_12</t>
  </si>
  <si>
    <t>18_13</t>
  </si>
  <si>
    <t>18_14</t>
  </si>
  <si>
    <t>18_15</t>
  </si>
  <si>
    <t>18_16</t>
  </si>
  <si>
    <t>18_17</t>
  </si>
  <si>
    <t>18_18</t>
  </si>
  <si>
    <t>18_19</t>
  </si>
  <si>
    <t>18_20</t>
  </si>
  <si>
    <t>18_21</t>
  </si>
  <si>
    <t>18_22</t>
  </si>
  <si>
    <t>18_23</t>
  </si>
  <si>
    <t>18_24</t>
  </si>
  <si>
    <t>18_25</t>
  </si>
  <si>
    <t>18_26</t>
  </si>
  <si>
    <t>18_27</t>
  </si>
  <si>
    <t>18_28</t>
  </si>
  <si>
    <t>18_29</t>
  </si>
  <si>
    <t>18_30</t>
  </si>
  <si>
    <t>18_31</t>
  </si>
  <si>
    <t>18_32</t>
  </si>
  <si>
    <t>18_33</t>
  </si>
  <si>
    <t>18_34</t>
  </si>
  <si>
    <t>18_35</t>
  </si>
  <si>
    <t>18_36</t>
  </si>
  <si>
    <t>18_37</t>
  </si>
  <si>
    <t>18_38</t>
  </si>
  <si>
    <t>18_39</t>
  </si>
  <si>
    <t>18_40</t>
  </si>
  <si>
    <t>18_41</t>
  </si>
  <si>
    <t>18_42</t>
  </si>
  <si>
    <t>18_43</t>
  </si>
  <si>
    <t>18_44</t>
  </si>
  <si>
    <t>18_45</t>
  </si>
  <si>
    <t>18_46</t>
  </si>
  <si>
    <t>18_47</t>
  </si>
  <si>
    <t>18_48</t>
  </si>
  <si>
    <t>18_49</t>
  </si>
  <si>
    <t>18_50</t>
  </si>
  <si>
    <t>18_51</t>
  </si>
  <si>
    <t>18_52</t>
  </si>
  <si>
    <t>18_53</t>
  </si>
  <si>
    <t>18_54</t>
  </si>
  <si>
    <t>18_55</t>
  </si>
  <si>
    <t>18_56</t>
  </si>
  <si>
    <t>18_57</t>
  </si>
  <si>
    <t>18_58</t>
  </si>
  <si>
    <t>18_59</t>
  </si>
  <si>
    <t>18_60</t>
  </si>
  <si>
    <t>18_61</t>
  </si>
  <si>
    <t>18_62</t>
  </si>
  <si>
    <t>18_63</t>
  </si>
  <si>
    <t>18_64</t>
  </si>
  <si>
    <t>19_1</t>
  </si>
  <si>
    <t>19_2</t>
  </si>
  <si>
    <t>19_3</t>
  </si>
  <si>
    <t>19_4</t>
  </si>
  <si>
    <t>19_5</t>
  </si>
  <si>
    <t>19_6</t>
  </si>
  <si>
    <t>19_7</t>
  </si>
  <si>
    <t>19_8</t>
  </si>
  <si>
    <t>19_9</t>
  </si>
  <si>
    <t>19_10</t>
  </si>
  <si>
    <t>19_11</t>
  </si>
  <si>
    <t>19_12</t>
  </si>
  <si>
    <t>19_13</t>
  </si>
  <si>
    <t>19_14</t>
  </si>
  <si>
    <t>19_15</t>
  </si>
  <si>
    <t>19_16</t>
  </si>
  <si>
    <t>19_17</t>
  </si>
  <si>
    <t>19_18</t>
  </si>
  <si>
    <t>19_19</t>
  </si>
  <si>
    <t>19_20</t>
  </si>
  <si>
    <t>19_21</t>
  </si>
  <si>
    <t>19_22</t>
  </si>
  <si>
    <t>19_23</t>
  </si>
  <si>
    <t>19_24</t>
  </si>
  <si>
    <t>19_25</t>
  </si>
  <si>
    <t>19_26</t>
  </si>
  <si>
    <t>19_27</t>
  </si>
  <si>
    <t>19_28</t>
  </si>
  <si>
    <t>19_29</t>
  </si>
  <si>
    <t>19_30</t>
  </si>
  <si>
    <t>19_31</t>
  </si>
  <si>
    <t>19_32</t>
  </si>
  <si>
    <t>19_33</t>
  </si>
  <si>
    <t>19_34</t>
  </si>
  <si>
    <t>19_35</t>
  </si>
  <si>
    <t>19_36</t>
  </si>
  <si>
    <t>19_37</t>
  </si>
  <si>
    <t>19_38</t>
  </si>
  <si>
    <t>19_39</t>
  </si>
  <si>
    <t>19_40</t>
  </si>
  <si>
    <t>19_41</t>
  </si>
  <si>
    <t>19_42</t>
  </si>
  <si>
    <t>20_1</t>
  </si>
  <si>
    <t>20_2</t>
  </si>
  <si>
    <t>20_3</t>
  </si>
  <si>
    <t>20_4</t>
  </si>
  <si>
    <t>20_5</t>
  </si>
  <si>
    <t>20_6</t>
  </si>
  <si>
    <t>20_7</t>
  </si>
  <si>
    <t>20_8</t>
  </si>
  <si>
    <t>20_9</t>
  </si>
  <si>
    <t>20_10</t>
  </si>
  <si>
    <t>20_11</t>
  </si>
  <si>
    <t>20_12</t>
  </si>
  <si>
    <t>20_13</t>
  </si>
  <si>
    <t>20_14</t>
  </si>
  <si>
    <t>20_15</t>
  </si>
  <si>
    <t>20_16</t>
  </si>
  <si>
    <t>20_17</t>
  </si>
  <si>
    <t>20_18</t>
  </si>
  <si>
    <t>20_19</t>
  </si>
  <si>
    <t>20_20</t>
  </si>
  <si>
    <t>20_21</t>
  </si>
  <si>
    <t>20_22</t>
  </si>
  <si>
    <t>20_23</t>
  </si>
  <si>
    <t>20_24</t>
  </si>
  <si>
    <t>20_25</t>
  </si>
  <si>
    <t>20_26</t>
  </si>
  <si>
    <t>20_27</t>
  </si>
  <si>
    <t>20_28</t>
  </si>
  <si>
    <t>20_29</t>
  </si>
  <si>
    <t>20_30</t>
  </si>
  <si>
    <t>20_31</t>
  </si>
  <si>
    <t>20_32</t>
  </si>
  <si>
    <t>20_33</t>
  </si>
  <si>
    <t>20_34</t>
  </si>
  <si>
    <t>20_35</t>
  </si>
  <si>
    <t>20_36</t>
  </si>
  <si>
    <t>20_37</t>
  </si>
  <si>
    <t>20_38</t>
  </si>
  <si>
    <t>20_39</t>
  </si>
  <si>
    <t>20_40</t>
  </si>
  <si>
    <t>20_41</t>
  </si>
  <si>
    <t>20_42</t>
  </si>
  <si>
    <t>20_43</t>
  </si>
  <si>
    <t>20_44</t>
  </si>
  <si>
    <t>20_45</t>
  </si>
  <si>
    <t>20_46</t>
  </si>
  <si>
    <t>20_47</t>
  </si>
  <si>
    <t>20_48</t>
  </si>
  <si>
    <t>20_49</t>
  </si>
  <si>
    <t>20_50</t>
  </si>
  <si>
    <t>20_51</t>
  </si>
  <si>
    <t>20_52</t>
  </si>
  <si>
    <t>20_53</t>
  </si>
  <si>
    <t>20_54</t>
  </si>
  <si>
    <t>20_55</t>
  </si>
  <si>
    <t>20_56</t>
  </si>
  <si>
    <t>20_57</t>
  </si>
  <si>
    <t>20_58</t>
  </si>
  <si>
    <t>20_59</t>
  </si>
  <si>
    <t>20_60</t>
  </si>
  <si>
    <t>20_61</t>
  </si>
  <si>
    <t>20_62</t>
  </si>
  <si>
    <t>20_63</t>
  </si>
  <si>
    <t>20_64</t>
  </si>
  <si>
    <t>21_1</t>
  </si>
  <si>
    <t>21_2</t>
  </si>
  <si>
    <t>21_3</t>
  </si>
  <si>
    <t>21_4</t>
  </si>
  <si>
    <t>21_5</t>
  </si>
  <si>
    <t>21_6</t>
  </si>
  <si>
    <t>21_7</t>
  </si>
  <si>
    <t>21_8</t>
  </si>
  <si>
    <t>21_9</t>
  </si>
  <si>
    <t>21_10</t>
  </si>
  <si>
    <t>21_11</t>
  </si>
  <si>
    <t>21_12</t>
  </si>
  <si>
    <t>21_13</t>
  </si>
  <si>
    <t>21_14</t>
  </si>
  <si>
    <t>21_15</t>
  </si>
  <si>
    <t>21_16</t>
  </si>
  <si>
    <t>21_17</t>
  </si>
  <si>
    <t>21_18</t>
  </si>
  <si>
    <t>21_19</t>
  </si>
  <si>
    <t>21_20</t>
  </si>
  <si>
    <t>21_21</t>
  </si>
  <si>
    <t>21_22</t>
  </si>
  <si>
    <t>21_23</t>
  </si>
  <si>
    <t>21_24</t>
  </si>
  <si>
    <t>21_25</t>
  </si>
  <si>
    <t>21_26</t>
  </si>
  <si>
    <t>21_27</t>
  </si>
  <si>
    <t>21_28</t>
  </si>
  <si>
    <t>21_29</t>
  </si>
  <si>
    <t>21_30</t>
  </si>
  <si>
    <t>21_31</t>
  </si>
  <si>
    <t>21_32</t>
  </si>
  <si>
    <t>21_33</t>
  </si>
  <si>
    <t>21_34</t>
  </si>
  <si>
    <t>21_35</t>
  </si>
  <si>
    <t>21_36</t>
  </si>
  <si>
    <t>21_37</t>
  </si>
  <si>
    <t>21_38</t>
  </si>
  <si>
    <t>21_39</t>
  </si>
  <si>
    <t>21_40</t>
  </si>
  <si>
    <t>21_41</t>
  </si>
  <si>
    <t>21_42</t>
  </si>
  <si>
    <t>22_1</t>
  </si>
  <si>
    <t>22_2</t>
  </si>
  <si>
    <t>22_3</t>
  </si>
  <si>
    <t>22_4</t>
  </si>
  <si>
    <t>22_5</t>
  </si>
  <si>
    <t>22_6</t>
  </si>
  <si>
    <t>22_7</t>
  </si>
  <si>
    <t>22_8</t>
  </si>
  <si>
    <t>22_9</t>
  </si>
  <si>
    <t>22_10</t>
  </si>
  <si>
    <t>22_11</t>
  </si>
  <si>
    <t>22_12</t>
  </si>
  <si>
    <t>22_13</t>
  </si>
  <si>
    <t>22_14</t>
  </si>
  <si>
    <t>22_15</t>
  </si>
  <si>
    <t>22_16</t>
  </si>
  <si>
    <t>22_17</t>
  </si>
  <si>
    <t>22_18</t>
  </si>
  <si>
    <t>22_19</t>
  </si>
  <si>
    <t>22_20</t>
  </si>
  <si>
    <t>22_21</t>
  </si>
  <si>
    <t>22_22</t>
  </si>
  <si>
    <t>22_23</t>
  </si>
  <si>
    <t>22_24</t>
  </si>
  <si>
    <t>22_25</t>
  </si>
  <si>
    <t>22_26</t>
  </si>
  <si>
    <t>22_27</t>
  </si>
  <si>
    <t>22_28</t>
  </si>
  <si>
    <t>22_29</t>
  </si>
  <si>
    <t>22_30</t>
  </si>
  <si>
    <t>22_31</t>
  </si>
  <si>
    <t>22_32</t>
  </si>
  <si>
    <t>22_33</t>
  </si>
  <si>
    <t>22_34</t>
  </si>
  <si>
    <t>22_35</t>
  </si>
  <si>
    <t>22_36</t>
  </si>
  <si>
    <t>22_37</t>
  </si>
  <si>
    <t>22_38</t>
  </si>
  <si>
    <t>22_39</t>
  </si>
  <si>
    <t>22_40</t>
  </si>
  <si>
    <t>22_41</t>
  </si>
  <si>
    <t>22_42</t>
  </si>
  <si>
    <t>22_43</t>
  </si>
  <si>
    <t>22_44</t>
  </si>
  <si>
    <t>22_45</t>
  </si>
  <si>
    <t>22_46</t>
  </si>
  <si>
    <t>22_47</t>
  </si>
  <si>
    <t>22_48</t>
  </si>
  <si>
    <t>22_49</t>
  </si>
  <si>
    <t>22_50</t>
  </si>
  <si>
    <t>22_51</t>
  </si>
  <si>
    <t>22_52</t>
  </si>
  <si>
    <t>22_53</t>
  </si>
  <si>
    <t>22_54</t>
  </si>
  <si>
    <t>22_55</t>
  </si>
  <si>
    <t>22_56</t>
  </si>
  <si>
    <t>22_57</t>
  </si>
  <si>
    <t>22_58</t>
  </si>
  <si>
    <t>22_59</t>
  </si>
  <si>
    <t>22_60</t>
  </si>
  <si>
    <t>22_61</t>
  </si>
  <si>
    <t>22_62</t>
  </si>
  <si>
    <t>22_63</t>
  </si>
  <si>
    <t>22_64</t>
  </si>
  <si>
    <t>23_1</t>
  </si>
  <si>
    <t>23_2</t>
  </si>
  <si>
    <t>23_3</t>
  </si>
  <si>
    <t>23_4</t>
  </si>
  <si>
    <t>23_5</t>
  </si>
  <si>
    <t>23_6</t>
  </si>
  <si>
    <t>23_7</t>
  </si>
  <si>
    <t>23_8</t>
  </si>
  <si>
    <t>23_9</t>
  </si>
  <si>
    <t>23_10</t>
  </si>
  <si>
    <t>23_11</t>
  </si>
  <si>
    <t>23_12</t>
  </si>
  <si>
    <t>23_13</t>
  </si>
  <si>
    <t>23_14</t>
  </si>
  <si>
    <t>23_15</t>
  </si>
  <si>
    <t>23_16</t>
  </si>
  <si>
    <t>23_17</t>
  </si>
  <si>
    <t>23_18</t>
  </si>
  <si>
    <t>23_19</t>
  </si>
  <si>
    <t>23_20</t>
  </si>
  <si>
    <t>23_21</t>
  </si>
  <si>
    <t>23_22</t>
  </si>
  <si>
    <t>23_23</t>
  </si>
  <si>
    <t>23_24</t>
  </si>
  <si>
    <t>23_25</t>
  </si>
  <si>
    <t>23_26</t>
  </si>
  <si>
    <t>23_27</t>
  </si>
  <si>
    <t>23_28</t>
  </si>
  <si>
    <t>23_29</t>
  </si>
  <si>
    <t>23_30</t>
  </si>
  <si>
    <t>23_31</t>
  </si>
  <si>
    <t>23_32</t>
  </si>
  <si>
    <t>23_33</t>
  </si>
  <si>
    <t>23_34</t>
  </si>
  <si>
    <t>23_35</t>
  </si>
  <si>
    <t>23_36</t>
  </si>
  <si>
    <t>23_37</t>
  </si>
  <si>
    <t>23_38</t>
  </si>
  <si>
    <t>23_39</t>
  </si>
  <si>
    <t>23_40</t>
  </si>
  <si>
    <t>23_41</t>
  </si>
  <si>
    <t>23_42</t>
  </si>
  <si>
    <t>24_1</t>
  </si>
  <si>
    <t>24_2</t>
  </si>
  <si>
    <t>24_3</t>
  </si>
  <si>
    <t>24_4</t>
  </si>
  <si>
    <t>24_5</t>
  </si>
  <si>
    <t>24_6</t>
  </si>
  <si>
    <t>24_7</t>
  </si>
  <si>
    <t>24_8</t>
  </si>
  <si>
    <t>24_9</t>
  </si>
  <si>
    <t>24_10</t>
  </si>
  <si>
    <t>24_11</t>
  </si>
  <si>
    <t>24_12</t>
  </si>
  <si>
    <t>24_13</t>
  </si>
  <si>
    <t>24_14</t>
  </si>
  <si>
    <t>24_15</t>
  </si>
  <si>
    <t>24_16</t>
  </si>
  <si>
    <t>24_17</t>
  </si>
  <si>
    <t>24_18</t>
  </si>
  <si>
    <t>24_19</t>
  </si>
  <si>
    <t>24_20</t>
  </si>
  <si>
    <t>24_21</t>
  </si>
  <si>
    <t>24_22</t>
  </si>
  <si>
    <t>24_23</t>
  </si>
  <si>
    <t>24_24</t>
  </si>
  <si>
    <t>24_25</t>
  </si>
  <si>
    <t>24_26</t>
  </si>
  <si>
    <t>24_27</t>
  </si>
  <si>
    <t>24_28</t>
  </si>
  <si>
    <t>24_29</t>
  </si>
  <si>
    <t>24_30</t>
  </si>
  <si>
    <t>24_31</t>
  </si>
  <si>
    <t>24_32</t>
  </si>
  <si>
    <t>24_33</t>
  </si>
  <si>
    <t>24_34</t>
  </si>
  <si>
    <t>24_35</t>
  </si>
  <si>
    <t>24_36</t>
  </si>
  <si>
    <t>24_37</t>
  </si>
  <si>
    <t>24_38</t>
  </si>
  <si>
    <t>24_39</t>
  </si>
  <si>
    <t>24_40</t>
  </si>
  <si>
    <t>24_41</t>
  </si>
  <si>
    <t>24_42</t>
  </si>
  <si>
    <t>24_43</t>
  </si>
  <si>
    <t>24_44</t>
  </si>
  <si>
    <t>24_45</t>
  </si>
  <si>
    <t>24_46</t>
  </si>
  <si>
    <t>24_47</t>
  </si>
  <si>
    <t>24_48</t>
  </si>
  <si>
    <t>24_49</t>
  </si>
  <si>
    <t>24_50</t>
  </si>
  <si>
    <t>24_51</t>
  </si>
  <si>
    <t>24_52</t>
  </si>
  <si>
    <t>24_53</t>
  </si>
  <si>
    <t>24_54</t>
  </si>
  <si>
    <t>24_55</t>
  </si>
  <si>
    <t>24_56</t>
  </si>
  <si>
    <t>24_57</t>
  </si>
  <si>
    <t>24_58</t>
  </si>
  <si>
    <t>24_59</t>
  </si>
  <si>
    <t>24_60</t>
  </si>
  <si>
    <t>24_61</t>
  </si>
  <si>
    <t>24_62</t>
  </si>
  <si>
    <t>24_63</t>
  </si>
  <si>
    <t>24_64</t>
  </si>
  <si>
    <t>25_1</t>
  </si>
  <si>
    <t>25_2</t>
  </si>
  <si>
    <t>25_3</t>
  </si>
  <si>
    <t>25_4</t>
  </si>
  <si>
    <t>25_5</t>
  </si>
  <si>
    <t>25_6</t>
  </si>
  <si>
    <t>25_7</t>
  </si>
  <si>
    <t>25_8</t>
  </si>
  <si>
    <t>25_9</t>
  </si>
  <si>
    <t>25_10</t>
  </si>
  <si>
    <t>25_11</t>
  </si>
  <si>
    <t>25_12</t>
  </si>
  <si>
    <t>25_13</t>
  </si>
  <si>
    <t>25_14</t>
  </si>
  <si>
    <t>25_15</t>
  </si>
  <si>
    <t>25_16</t>
  </si>
  <si>
    <t>25_17</t>
  </si>
  <si>
    <t>25_18</t>
  </si>
  <si>
    <t>25_19</t>
  </si>
  <si>
    <t>25_20</t>
  </si>
  <si>
    <t>25_21</t>
  </si>
  <si>
    <t>25_22</t>
  </si>
  <si>
    <t>25_23</t>
  </si>
  <si>
    <t>25_24</t>
  </si>
  <si>
    <t>25_25</t>
  </si>
  <si>
    <t>25_26</t>
  </si>
  <si>
    <t>25_27</t>
  </si>
  <si>
    <t>25_28</t>
  </si>
  <si>
    <t>25_29</t>
  </si>
  <si>
    <t>25_30</t>
  </si>
  <si>
    <t>25_31</t>
  </si>
  <si>
    <t>25_32</t>
  </si>
  <si>
    <t>25_33</t>
  </si>
  <si>
    <t>25_34</t>
  </si>
  <si>
    <t>25_35</t>
  </si>
  <si>
    <t>25_36</t>
  </si>
  <si>
    <t>25_37</t>
  </si>
  <si>
    <t>25_38</t>
  </si>
  <si>
    <t>25_39</t>
  </si>
  <si>
    <t>25_40</t>
  </si>
  <si>
    <t>25_41</t>
  </si>
  <si>
    <t>25_42</t>
  </si>
  <si>
    <t>col</t>
  </si>
  <si>
    <t>Association_Sample</t>
  </si>
  <si>
    <t>Company_Sample</t>
  </si>
  <si>
    <t>REGION1</t>
  </si>
  <si>
    <t>DateCompleted_Asia</t>
  </si>
  <si>
    <t>REGION2</t>
  </si>
  <si>
    <t>DateCompleted_Europe</t>
  </si>
  <si>
    <t>REGION3</t>
  </si>
  <si>
    <t>DateCompleted_NorthAmerica</t>
  </si>
  <si>
    <t>REGION4</t>
  </si>
  <si>
    <t>DateCompleted_Global</t>
  </si>
  <si>
    <t>REGION5</t>
  </si>
  <si>
    <t>DateCompleted_SouthAmerica</t>
  </si>
  <si>
    <t>REGION6</t>
  </si>
  <si>
    <t>DateCompleted_Africa</t>
  </si>
  <si>
    <t>ASIAPACIFIC_apac</t>
  </si>
  <si>
    <t>NORTHAMERICA_northamerica</t>
  </si>
  <si>
    <t>SOUTHAMERICA_southamerica</t>
  </si>
  <si>
    <t>answer_Label</t>
  </si>
  <si>
    <t>answer_label_condensed</t>
  </si>
  <si>
    <t>qn_breakdown_label</t>
  </si>
  <si>
    <t>section</t>
  </si>
  <si>
    <t>Topic</t>
  </si>
  <si>
    <t>sub_topic</t>
  </si>
  <si>
    <t>Question</t>
  </si>
  <si>
    <t>comment</t>
  </si>
  <si>
    <t/>
  </si>
  <si>
    <t>1</t>
  </si>
  <si>
    <t>CapitalRaisingActivity_NonListedRealEstateVehicles</t>
  </si>
  <si>
    <t>CRact_NLV</t>
  </si>
  <si>
    <t>Capital Raising Activity</t>
  </si>
  <si>
    <t>Capital raising activity</t>
  </si>
  <si>
    <t>2</t>
  </si>
  <si>
    <t>NoCapitalRaisingActivity_Reason</t>
  </si>
  <si>
    <t>NoCR_Reason</t>
  </si>
  <si>
    <t>Reason</t>
  </si>
  <si>
    <t>3</t>
  </si>
  <si>
    <t>NoCapitalRaisingActivity_Reason_Othertext</t>
  </si>
  <si>
    <t>NoCR_Reason_OtherText</t>
  </si>
  <si>
    <t>Reason - Other Text</t>
  </si>
  <si>
    <t>q3</t>
  </si>
  <si>
    <t>4</t>
  </si>
  <si>
    <t>q4</t>
  </si>
  <si>
    <t>4_1</t>
  </si>
  <si>
    <t>TotalRealEstate</t>
  </si>
  <si>
    <t>Total</t>
  </si>
  <si>
    <t>Total real estate</t>
  </si>
  <si>
    <t xml:space="preserve">Capital raised </t>
  </si>
  <si>
    <t>4_2</t>
  </si>
  <si>
    <t>NonListedRealEstate</t>
  </si>
  <si>
    <t>NL</t>
  </si>
  <si>
    <t>5</t>
  </si>
  <si>
    <t>q5</t>
  </si>
  <si>
    <t>CapitalInvested_TotalRealEstate</t>
  </si>
  <si>
    <t>CI_Total</t>
  </si>
  <si>
    <t>Capital invested</t>
  </si>
  <si>
    <t>5_2</t>
  </si>
  <si>
    <t>CapitalInvested_NonListedRealEstate</t>
  </si>
  <si>
    <t>CI_NL</t>
  </si>
  <si>
    <t>6</t>
  </si>
  <si>
    <t>q6</t>
  </si>
  <si>
    <t>6_1</t>
  </si>
  <si>
    <t>RegionalStrategyAsiaPacific_NonListedFunds</t>
  </si>
  <si>
    <t>RSAPAC_NLF</t>
  </si>
  <si>
    <t>Asia Pacific – Non-listed funds</t>
  </si>
  <si>
    <t>Regional Strategy and Vehicle Type</t>
  </si>
  <si>
    <t>6_2</t>
  </si>
  <si>
    <t>RegionalStrategyAsiaPacific_SeparateAccountsDirect</t>
  </si>
  <si>
    <t>RSAPAC_SepAccDirect</t>
  </si>
  <si>
    <t>Asia Pacific - Separate accounts investing directly</t>
  </si>
  <si>
    <t>6_3</t>
  </si>
  <si>
    <t>RegionalStrategyAsiaPacific_SeparateAccountsIndirect</t>
  </si>
  <si>
    <t>RSAPAC_SepAccIndirect</t>
  </si>
  <si>
    <t>Asia Pacific - Separate accounts investing indirectly</t>
  </si>
  <si>
    <t>6_4</t>
  </si>
  <si>
    <t>RegionalStrategyAsiaPacific_JVs</t>
  </si>
  <si>
    <t>RSAPAC_JVs</t>
  </si>
  <si>
    <t>6_5</t>
  </si>
  <si>
    <t>RegionalStrategyAsiaPacific_FundsOfFunds</t>
  </si>
  <si>
    <t>RSAPAC_FOF</t>
  </si>
  <si>
    <t>6_6</t>
  </si>
  <si>
    <t>RegionalStrategyAsiaPacific_Debt</t>
  </si>
  <si>
    <t>RSAPAC_Debt</t>
  </si>
  <si>
    <t>Asia Pacific - Non-listed debt</t>
  </si>
  <si>
    <t>6_7</t>
  </si>
  <si>
    <t>RegionalStrategyAsiaPacific_VehicleType_Total</t>
  </si>
  <si>
    <t>RSAPAC_VT_Total</t>
  </si>
  <si>
    <t>Asia Pacific - Vehicle type total</t>
  </si>
  <si>
    <t>6_8</t>
  </si>
  <si>
    <t>RegionalStrategyEurope_NonListedFunds</t>
  </si>
  <si>
    <t>RSEUR_NLF</t>
  </si>
  <si>
    <t>Europe - Non-listed funds</t>
  </si>
  <si>
    <t>6_9</t>
  </si>
  <si>
    <t>RegionalStrategyEurope_SeparateAccountsDirect</t>
  </si>
  <si>
    <t>RSEUR_SepAccDirect</t>
  </si>
  <si>
    <t>Europe - Separate accounts investing directly</t>
  </si>
  <si>
    <t>6_10</t>
  </si>
  <si>
    <t>RegionalStrategyEurope_SeparateAccountsIndirect</t>
  </si>
  <si>
    <t>RSEUR_SepAccIndirect</t>
  </si>
  <si>
    <t>Europe - Separate accounts investing indirectly</t>
  </si>
  <si>
    <t>6_11</t>
  </si>
  <si>
    <t>RegionalStrategyEurope_JVs</t>
  </si>
  <si>
    <t>RSEUR_JVs</t>
  </si>
  <si>
    <t>Europe -  Joint ventures and club deals</t>
  </si>
  <si>
    <t>6_12</t>
  </si>
  <si>
    <t>RegionalStrategyEurope_FundsOfFunds</t>
  </si>
  <si>
    <t>RSEUR_FOF</t>
  </si>
  <si>
    <t>6_13</t>
  </si>
  <si>
    <t>RegionalStrategyEurope_Debt</t>
  </si>
  <si>
    <t>RSEUR_Debt</t>
  </si>
  <si>
    <t>Europe - Non-listed debt</t>
  </si>
  <si>
    <t>6_14</t>
  </si>
  <si>
    <t>RegionalStrategyEurope_VehicleType_Total</t>
  </si>
  <si>
    <t>RSEUR_VT_Total</t>
  </si>
  <si>
    <t>Europe - Vehicle type total</t>
  </si>
  <si>
    <t>6_15</t>
  </si>
  <si>
    <t>RegionalStrategyNorthAmerica_NonListedFunds</t>
  </si>
  <si>
    <t>RSNA_NLF</t>
  </si>
  <si>
    <t>North America - Non-listed funds</t>
  </si>
  <si>
    <t>6_16</t>
  </si>
  <si>
    <t>RegionalStrategyNorthAmerica_SeparateAccountsDirect</t>
  </si>
  <si>
    <t>RSNA_SepAccDirect</t>
  </si>
  <si>
    <t>North America - Separate accounts investing directly</t>
  </si>
  <si>
    <t>6_17</t>
  </si>
  <si>
    <t>RegionalStrategyNorthAmerica_SeparateAccountsIndirect</t>
  </si>
  <si>
    <t>RSNA_SepAccIndirect</t>
  </si>
  <si>
    <t>North America - Separate accounts investing indirectly</t>
  </si>
  <si>
    <t>6_18</t>
  </si>
  <si>
    <t>RegionalStrategyNorthAmerica_JVs</t>
  </si>
  <si>
    <t>RSNA_JVs</t>
  </si>
  <si>
    <t>North America -  Joint ventures and club deals</t>
  </si>
  <si>
    <t>6_19</t>
  </si>
  <si>
    <t>RegionalStrategyNorthAmerica_FundsOfFunds</t>
  </si>
  <si>
    <t>RSNA_FOF</t>
  </si>
  <si>
    <t>6_20</t>
  </si>
  <si>
    <t>RegionalStrategyNorthAmerica_Debt</t>
  </si>
  <si>
    <t>RSNA_Debt</t>
  </si>
  <si>
    <t>North America - Non-listed debt</t>
  </si>
  <si>
    <t>6_21</t>
  </si>
  <si>
    <t>RegionalStrategyNorthAmerica_VehicleType_Total</t>
  </si>
  <si>
    <t>RSNA_VT_Total</t>
  </si>
  <si>
    <t>North America - Vehicle type total</t>
  </si>
  <si>
    <t>6_22</t>
  </si>
  <si>
    <t>RegionalStrategyGlobal_NonListedFunds</t>
  </si>
  <si>
    <t>RSGLB_NLF</t>
  </si>
  <si>
    <t>Global - Non-listed funds</t>
  </si>
  <si>
    <t>6_23</t>
  </si>
  <si>
    <t>RegionalStrategyGlobal_SeparateAccountsDirect</t>
  </si>
  <si>
    <t>RSGLB_SepAccDirect</t>
  </si>
  <si>
    <t>Global - Separate accounts investing directly</t>
  </si>
  <si>
    <t>6_24</t>
  </si>
  <si>
    <t>RegionalStrategyGlobal_SeparateAccountsIndirect</t>
  </si>
  <si>
    <t>RSGLB_SepAccIndirect</t>
  </si>
  <si>
    <t>Global - Separate accounts investing indirectly</t>
  </si>
  <si>
    <t>6_25</t>
  </si>
  <si>
    <t>RegionalStrategyGlobal_JVs</t>
  </si>
  <si>
    <t>RSGLB_JVs</t>
  </si>
  <si>
    <t>Global -  Joint ventures and club deals</t>
  </si>
  <si>
    <t>6_26</t>
  </si>
  <si>
    <t>RegionalStrategyGlobal_FundsOfFunds</t>
  </si>
  <si>
    <t>RSGLB_FOF</t>
  </si>
  <si>
    <t>Global - Funds of funds</t>
  </si>
  <si>
    <t>6_27</t>
  </si>
  <si>
    <t>RegionalStrategyGlobal_Debt</t>
  </si>
  <si>
    <t>RSGLB_Debt</t>
  </si>
  <si>
    <t>Global - Non-listed debt</t>
  </si>
  <si>
    <t>6_28</t>
  </si>
  <si>
    <t>RegionalStrategyGlobal_VehicleType_Total</t>
  </si>
  <si>
    <t>RSGLB_VT_Total</t>
  </si>
  <si>
    <t>Global - Vehicle type total</t>
  </si>
  <si>
    <t>6_29</t>
  </si>
  <si>
    <t>RegionalStrategySouthAmerica_NonListedFunds</t>
  </si>
  <si>
    <t>RSSA_NLF</t>
  </si>
  <si>
    <t>South America - Non-listed funds</t>
  </si>
  <si>
    <t>6_30</t>
  </si>
  <si>
    <t>RegionalStrategySouthAmerica_SeparateAccountsDirect</t>
  </si>
  <si>
    <t>RSSA_SepAccDirect</t>
  </si>
  <si>
    <t>South America - Separate accounts investing directly</t>
  </si>
  <si>
    <t>6_31</t>
  </si>
  <si>
    <t>RegionalStrategySouthAmerica_SeparateAccountsIndirect</t>
  </si>
  <si>
    <t>RSSA_SepAccIndirect</t>
  </si>
  <si>
    <t>South America - Separate accounts investing indirectly</t>
  </si>
  <si>
    <t>6_32</t>
  </si>
  <si>
    <t>RegionalStrategySouthAmerica_JVs</t>
  </si>
  <si>
    <t>RSSA_JVs</t>
  </si>
  <si>
    <t>South America -  Joint ventures and club deals</t>
  </si>
  <si>
    <t>6_33</t>
  </si>
  <si>
    <t>RegionalStrategySouthAmerica_FundsOfFunds</t>
  </si>
  <si>
    <t>RSSA_FOF</t>
  </si>
  <si>
    <t>6_34</t>
  </si>
  <si>
    <t>RegionalStrategySouthAmerica_Debt</t>
  </si>
  <si>
    <t>RSSA_Debt</t>
  </si>
  <si>
    <t>South America - Non-listed debt</t>
  </si>
  <si>
    <t>6_35</t>
  </si>
  <si>
    <t>RegionalStrategySouthAmerica_VehicleType_Total</t>
  </si>
  <si>
    <t>RSSA_VT_Total</t>
  </si>
  <si>
    <t>South America - Vehicle type total</t>
  </si>
  <si>
    <t>6_36</t>
  </si>
  <si>
    <t>RegionalStrategyAfrica_NonListedFunds</t>
  </si>
  <si>
    <t>RSAFR_NLF</t>
  </si>
  <si>
    <t>Africa - Non-listed funds</t>
  </si>
  <si>
    <t>6_37</t>
  </si>
  <si>
    <t>RegionalStrategyAfrica_SeparateAccountsDirect</t>
  </si>
  <si>
    <t>RSAFR_SepAccDirect</t>
  </si>
  <si>
    <t>Africa - Separate accounts investing directly</t>
  </si>
  <si>
    <t>6_38</t>
  </si>
  <si>
    <t>RegionalStrategyAfrica_SeparateAccountsIndirect</t>
  </si>
  <si>
    <t>RSAFR_SepAccIndirect</t>
  </si>
  <si>
    <t>Africa - Separate accounts investing indirectly</t>
  </si>
  <si>
    <t>6_39</t>
  </si>
  <si>
    <t>RegionalStrategyAfrica_JVs</t>
  </si>
  <si>
    <t>RSAFR_JVs</t>
  </si>
  <si>
    <t>Africa -  Joint ventures and club deals</t>
  </si>
  <si>
    <t>6_40</t>
  </si>
  <si>
    <t>RegionalStrategyAfrica_FundsOfFunds</t>
  </si>
  <si>
    <t>RSAFR_FOF</t>
  </si>
  <si>
    <t>6_41</t>
  </si>
  <si>
    <t>RegionalStrategyAfrica_Debt</t>
  </si>
  <si>
    <t>RSAFR_Debt</t>
  </si>
  <si>
    <t>Africa - Non-listed debt</t>
  </si>
  <si>
    <t>6_42</t>
  </si>
  <si>
    <t>RegionalStrategyAfrica_VehicleType_Total</t>
  </si>
  <si>
    <t>RSAFR_VT_Total</t>
  </si>
  <si>
    <t>Africa - Vehicle type total</t>
  </si>
  <si>
    <t>6_43</t>
  </si>
  <si>
    <t>RegionalStrategy_NonListedFunds</t>
  </si>
  <si>
    <t>RS_NLF</t>
  </si>
  <si>
    <t>Regional strategy - Non-listed funds total</t>
  </si>
  <si>
    <t>6_44</t>
  </si>
  <si>
    <t>RegionalStrategy_SeparateAccountsDirect</t>
  </si>
  <si>
    <t>RS_SepAccDirect</t>
  </si>
  <si>
    <t>Regional strategy - Separate accounts investing directly total</t>
  </si>
  <si>
    <t>6_45</t>
  </si>
  <si>
    <t>RegionalStrategy_SeparateAccountsIndirect</t>
  </si>
  <si>
    <t>RS_SepAccIndirect</t>
  </si>
  <si>
    <t>Regional strategy - Separate accounts investing indirectly total</t>
  </si>
  <si>
    <t>6_46</t>
  </si>
  <si>
    <t>RegionalStrategy_JVs</t>
  </si>
  <si>
    <t>RS_JVs</t>
  </si>
  <si>
    <t>Regional strategy - Joint ventures and club deals total</t>
  </si>
  <si>
    <t>6_47</t>
  </si>
  <si>
    <t>RegionalStrategy_FundsOfFunds</t>
  </si>
  <si>
    <t>RS_FOF</t>
  </si>
  <si>
    <t>Regional strategy - Funds of funds total</t>
  </si>
  <si>
    <t>6_48</t>
  </si>
  <si>
    <t>RegionalStrategy_Debt</t>
  </si>
  <si>
    <t>RS_Debt</t>
  </si>
  <si>
    <t>Regional strategy - Non-listed debt total</t>
  </si>
  <si>
    <t>6_49</t>
  </si>
  <si>
    <t>RegionalStrategy_VehicleType_Total</t>
  </si>
  <si>
    <t>RS_VT_Total</t>
  </si>
  <si>
    <t>Regional strategy - Vehicle type total</t>
  </si>
  <si>
    <t>7</t>
  </si>
  <si>
    <t>q7</t>
  </si>
  <si>
    <t>NOV_RegionalStrategyAsiaPacific_NonListedFunds</t>
  </si>
  <si>
    <t>NOV_RSAPAC_NLF</t>
  </si>
  <si>
    <t>NOV Capital raised</t>
  </si>
  <si>
    <t>NOV_RegionalStrategyAsiaPacific_SeparateAccountsDirect</t>
  </si>
  <si>
    <t>NOV_RSAPAC_SepAccDirect</t>
  </si>
  <si>
    <t>NOV_RegionalStrategyAsiaPacific_SeparateAccountsIndirect</t>
  </si>
  <si>
    <t>NOV_RSAPAC_SepAccIndirect</t>
  </si>
  <si>
    <t>NOV_RegionalStrategyAsiaPacific_JVs</t>
  </si>
  <si>
    <t>NOV_RSAPAC_JVs</t>
  </si>
  <si>
    <t>NOV_RegionalStrategyAsiaPacific_FundsOfFunds</t>
  </si>
  <si>
    <t>NOV_RSAPAC_FOF</t>
  </si>
  <si>
    <t>NOV_RegionalStrategyAsiaPacific_Debt</t>
  </si>
  <si>
    <t>NOV_RSAPAC_Debt</t>
  </si>
  <si>
    <t>NOV_RegionalStrategyAsiaPacific_VehicleType_Total</t>
  </si>
  <si>
    <t>NOV_RSAPAC_VT_Total</t>
  </si>
  <si>
    <t>NOV_RegionalStrategyEurope_NonListedFunds</t>
  </si>
  <si>
    <t>NOV_RSEUR_NLF</t>
  </si>
  <si>
    <t>NOV_RegionalStrategyEurope_SeparateAccountsDirect</t>
  </si>
  <si>
    <t>NOV_RSEUR_SepAccDirect</t>
  </si>
  <si>
    <t>NOV_RegionalStrategyEurope_SeparateAccountsIndirect</t>
  </si>
  <si>
    <t>NOV_RSEUR_SepAccIndirect</t>
  </si>
  <si>
    <t>NOV_RegionalStrategyEurope_JVs</t>
  </si>
  <si>
    <t>NOV_RSEUR_JVs</t>
  </si>
  <si>
    <t>NOV_RegionalStrategyEurope_FundsOfFunds</t>
  </si>
  <si>
    <t>NOV_RSEUR_FOF</t>
  </si>
  <si>
    <t>NOV_RegionalStrategyEurope_Debt</t>
  </si>
  <si>
    <t>NOV_RSEUR_Debt</t>
  </si>
  <si>
    <t>NOV_RegionalStrategyEurope_VehicleType_Total</t>
  </si>
  <si>
    <t>NOV_RSEUR_VT_Total</t>
  </si>
  <si>
    <t>NOV_RegionalStrategyNorthAmerica_NonListedFunds</t>
  </si>
  <si>
    <t>NOV_RSNA_NLF</t>
  </si>
  <si>
    <t>NOV_RegionalStrategyNorthAmerica_SeparateAccountsDirect</t>
  </si>
  <si>
    <t>NOV_RSNA_SepAccDirect</t>
  </si>
  <si>
    <t>NOV_RegionalStrategyNorthAmerica_SeparateAccountsIndirect</t>
  </si>
  <si>
    <t>NOV_RSNA_SepAccIndirect</t>
  </si>
  <si>
    <t>NOV_RegionalStrategyNorthAmerica_JVs</t>
  </si>
  <si>
    <t>NOV_RSNA_JVs</t>
  </si>
  <si>
    <t>NOV_RegionalStrategyNorthAmerica_FundsOfFunds</t>
  </si>
  <si>
    <t>NOV_RSNA_FOF</t>
  </si>
  <si>
    <t>NOV_RegionalStrategyNorthAmerica_Debt</t>
  </si>
  <si>
    <t>NOV_RSNA_Debt</t>
  </si>
  <si>
    <t>NOV_RegionalStrategyNorthAmerica_VehicleType_Total</t>
  </si>
  <si>
    <t>NOV_RSNA_VT_Total</t>
  </si>
  <si>
    <t>NOV_RegionalStrategyGlobal_NonListedFunds</t>
  </si>
  <si>
    <t>NOV_RSGLB_NLF</t>
  </si>
  <si>
    <t>NOV_RegionalStrategyGlobal_SeparateAccountsDirect</t>
  </si>
  <si>
    <t>NOV_RSGLB_SepAccDirect</t>
  </si>
  <si>
    <t>NOV_RegionalStrategyGlobal_SeparateAccountsIndirect</t>
  </si>
  <si>
    <t>NOV_RSGLB_SepAccIndirect</t>
  </si>
  <si>
    <t>NOV_RegionalStrategyGlobal_JVs</t>
  </si>
  <si>
    <t>NOV_RSGLB_JVs</t>
  </si>
  <si>
    <t>NOV_RegionalStrategyGlobal_FundsOfFunds</t>
  </si>
  <si>
    <t>NOV_RSGLB_FOF</t>
  </si>
  <si>
    <t>NOV_RegionalStrategyGlobal_Debt</t>
  </si>
  <si>
    <t>NOV_RSGLB_Debt</t>
  </si>
  <si>
    <t>NOV_RegionalStrategyGlobal_VehicleType_Total</t>
  </si>
  <si>
    <t>NOV_RSGLB_VT_Total</t>
  </si>
  <si>
    <t>NOV_RegionalStrategySouthAmerica_NonListedFunds</t>
  </si>
  <si>
    <t>NOV_RSSA_NLF</t>
  </si>
  <si>
    <t>NOV_RegionalStrategySouthAmerica_SeparateAccountsDirect</t>
  </si>
  <si>
    <t>NOV_RSSA_SepAccDirect</t>
  </si>
  <si>
    <t>NOV_RegionalStrategySouthAmerica_SeparateAccountsIndirect</t>
  </si>
  <si>
    <t>NOV_RSSA_SepAccIndirect</t>
  </si>
  <si>
    <t>NOV_RegionalStrategySouthAmerica_JVs</t>
  </si>
  <si>
    <t>NOV_RSSA_JVs</t>
  </si>
  <si>
    <t>NOV_RegionalStrategySouthAmerica_FundsOfFunds</t>
  </si>
  <si>
    <t>NOV_RSSA_FOF</t>
  </si>
  <si>
    <t>NOV_RegionalStrategySouthAmerica_Debt</t>
  </si>
  <si>
    <t>NOV_RSSA_Debt</t>
  </si>
  <si>
    <t>NOV_RegionalStrategySouthAmerica_VehicleType_Total</t>
  </si>
  <si>
    <t>NOV_RSSA_VT_Total</t>
  </si>
  <si>
    <t>NOV_RegionalStrategyAfrica_NonListedFunds</t>
  </si>
  <si>
    <t>NOV_RSAFR_NLF</t>
  </si>
  <si>
    <t>NOV_RegionalStrategyAfrica_SeparateAccountsDirect</t>
  </si>
  <si>
    <t>NOV_RSAFR_SepAccDirect</t>
  </si>
  <si>
    <t>NOV_RegionalStrategyAfrica_SeparateAccountsIndirect</t>
  </si>
  <si>
    <t>NOV_RSAFR_SepAccIndirect</t>
  </si>
  <si>
    <t>NOV_RegionalStrategyAfrica_JVs</t>
  </si>
  <si>
    <t>NOV_RSAFR_JVs</t>
  </si>
  <si>
    <t>NOV_RegionalStrategyAfrica_FundsOfFunds</t>
  </si>
  <si>
    <t>NOV_RSAFR_FOF</t>
  </si>
  <si>
    <t>NOV_RegionalStrategyAfrica_Debt</t>
  </si>
  <si>
    <t>NOV_RSAFR_Debt</t>
  </si>
  <si>
    <t>NOV_RegionalStrategyAfrica_VehicleType_Total</t>
  </si>
  <si>
    <t>NOV_RSAFR_VT_Total</t>
  </si>
  <si>
    <t>NOV_RegionalStrategy_NonListedFunds</t>
  </si>
  <si>
    <t>NOV_RS_NLF</t>
  </si>
  <si>
    <t>NOV_RegionalStrategy_SeparateAccountsDirect</t>
  </si>
  <si>
    <t>NOV_RS_SepAccDirect</t>
  </si>
  <si>
    <t>NOV_RegionalStrategy_SeparateAccountsIndirect</t>
  </si>
  <si>
    <t>NOV_RS_SepAccIndirect</t>
  </si>
  <si>
    <t>NOV_RegionalStrategy_JVs</t>
  </si>
  <si>
    <t>NOV_RS_JVs</t>
  </si>
  <si>
    <t>NOV_RegionalStrategy_FundsOfFunds</t>
  </si>
  <si>
    <t>NOV_RS_FOF</t>
  </si>
  <si>
    <t>NOV_RegionalStrategy_Debt</t>
  </si>
  <si>
    <t>NOV_RS_Debt</t>
  </si>
  <si>
    <t>NOV_RegionalStrategy_VehicleType_Total</t>
  </si>
  <si>
    <t>NOV_RS_VT_Total</t>
  </si>
  <si>
    <t>8</t>
  </si>
  <si>
    <t>8_1</t>
  </si>
  <si>
    <t>PensionFunds_NonListedFunds</t>
  </si>
  <si>
    <t>PF_NLF</t>
  </si>
  <si>
    <t>Pension funds - Non-listed fund</t>
  </si>
  <si>
    <t>Investor Type and Vehicle Type</t>
  </si>
  <si>
    <t>8_2</t>
  </si>
  <si>
    <t>PensionFunds_SeparateAccountsDirect</t>
  </si>
  <si>
    <t>PF_SepAccDirect</t>
  </si>
  <si>
    <t>Pension funds - Separate accounts investing directly</t>
  </si>
  <si>
    <t>8_3</t>
  </si>
  <si>
    <t>PensionFunds_SeparateAccountsIndirect</t>
  </si>
  <si>
    <t>PF_SepAccIndirect</t>
  </si>
  <si>
    <t>Pension funds - Separate accounts investing indirectly</t>
  </si>
  <si>
    <t>8_4</t>
  </si>
  <si>
    <t>PensionFunds_JVs</t>
  </si>
  <si>
    <t>PF_JVs</t>
  </si>
  <si>
    <t>8_5</t>
  </si>
  <si>
    <t>PensionFunds_FundsOfFunds</t>
  </si>
  <si>
    <t>PF_FOF</t>
  </si>
  <si>
    <t>8_6</t>
  </si>
  <si>
    <t>PensionFunds_Debt</t>
  </si>
  <si>
    <t>PF_Debt</t>
  </si>
  <si>
    <t>8_7</t>
  </si>
  <si>
    <t>PensionFunds_VehicleType_Total</t>
  </si>
  <si>
    <t>PF_VT_Total</t>
  </si>
  <si>
    <t>Pension funds - Vehicle type total</t>
  </si>
  <si>
    <t>8_8</t>
  </si>
  <si>
    <t>InsuranceCompanies_NonListedFunds</t>
  </si>
  <si>
    <t>IC_NLF</t>
  </si>
  <si>
    <t>Insurance companies - Non-listed fund</t>
  </si>
  <si>
    <t>8_9</t>
  </si>
  <si>
    <t>InsuranceCompanies_SeparateAccountsDirect</t>
  </si>
  <si>
    <t>IC_SepAccDirect</t>
  </si>
  <si>
    <t>Insurance companies - Separate accounts investing directly</t>
  </si>
  <si>
    <t>8_10</t>
  </si>
  <si>
    <t>InsuranceCompanies_SeparateAccountsIndirect</t>
  </si>
  <si>
    <t>IC_SepAccIndirect</t>
  </si>
  <si>
    <t>Insurance companies - Separate accounts investing indirectly</t>
  </si>
  <si>
    <t>8_11</t>
  </si>
  <si>
    <t>InsuranceCompanies_JVs</t>
  </si>
  <si>
    <t>IC_JVs</t>
  </si>
  <si>
    <t>8_12</t>
  </si>
  <si>
    <t>InsuranceCompanies_FundsOfFunds</t>
  </si>
  <si>
    <t>IC_FOF</t>
  </si>
  <si>
    <t>8_13</t>
  </si>
  <si>
    <t>InsuranceCompanies_Debt</t>
  </si>
  <si>
    <t>IC_Debt</t>
  </si>
  <si>
    <t>8_14</t>
  </si>
  <si>
    <t>InsuranceCompanies_VehicleType_Total</t>
  </si>
  <si>
    <t>IC_VT_Total</t>
  </si>
  <si>
    <t>Insurance companies - Vehicle type total</t>
  </si>
  <si>
    <t>8_15</t>
  </si>
  <si>
    <t>SovereignWealthFunds_NonListedFunds</t>
  </si>
  <si>
    <t>SWF_NLF</t>
  </si>
  <si>
    <t>Sovereign wealth funds - Non-listed fund</t>
  </si>
  <si>
    <t>8_16</t>
  </si>
  <si>
    <t>SovereignWealthFunds_SeparateAccountsDirect</t>
  </si>
  <si>
    <t>SWF_SepAccDirect</t>
  </si>
  <si>
    <t>Sovereign wealth funds - Separate accounts investing directly</t>
  </si>
  <si>
    <t>8_17</t>
  </si>
  <si>
    <t>SovereignWealthFunds_SeparateAccountsIndirect</t>
  </si>
  <si>
    <t>SWF_SepAccIndirect</t>
  </si>
  <si>
    <t>Sovereign wealth funds - Separate accounts investing indirectly</t>
  </si>
  <si>
    <t>8_18</t>
  </si>
  <si>
    <t>SovereignWealthFunds_JVs</t>
  </si>
  <si>
    <t>SWF_JVs</t>
  </si>
  <si>
    <t>8_19</t>
  </si>
  <si>
    <t>SovereignWealthFunds_FundsOfFunds</t>
  </si>
  <si>
    <t>SWF_FOF</t>
  </si>
  <si>
    <t>8_20</t>
  </si>
  <si>
    <t>SovereignWealthFunds_Debt</t>
  </si>
  <si>
    <t>SWF_Debt</t>
  </si>
  <si>
    <t>8_21</t>
  </si>
  <si>
    <t>SovereignWealthFunds_VehicleType_Total</t>
  </si>
  <si>
    <t>SWF_VT_Total</t>
  </si>
  <si>
    <t>Sovereign wealth funds - Vehicle type total</t>
  </si>
  <si>
    <t>8_22</t>
  </si>
  <si>
    <t>GovernmentInstitutions_NonListedFunds</t>
  </si>
  <si>
    <t>GI_NLF</t>
  </si>
  <si>
    <t>Government institutions - Non-listed fund</t>
  </si>
  <si>
    <t>8_23</t>
  </si>
  <si>
    <t>GovernmentInstitutions_SeparateAccountsDirect</t>
  </si>
  <si>
    <t>GI_SepAccDirect</t>
  </si>
  <si>
    <t>Government institutions - Separate accounts investing directly</t>
  </si>
  <si>
    <t>8_24</t>
  </si>
  <si>
    <t>GovernmentInstitutions_SeparateAccountsIndirect</t>
  </si>
  <si>
    <t>GI_SepAccIndirect</t>
  </si>
  <si>
    <t>Government institutions - Separate accounts investing indirectly</t>
  </si>
  <si>
    <t>8_25</t>
  </si>
  <si>
    <t>GovernmentInstitutions_JVs</t>
  </si>
  <si>
    <t>GI_JVs</t>
  </si>
  <si>
    <t>8_26</t>
  </si>
  <si>
    <t>GovernmentInstitutions_FundsOfFunds</t>
  </si>
  <si>
    <t>GI_FOF</t>
  </si>
  <si>
    <t>8_27</t>
  </si>
  <si>
    <t>GovernmentInstitutions_Debt</t>
  </si>
  <si>
    <t>GI_Debt</t>
  </si>
  <si>
    <t>8_28</t>
  </si>
  <si>
    <t>GovernmentInstitutions_VehicleType_Total</t>
  </si>
  <si>
    <t>GI_VT_Total</t>
  </si>
  <si>
    <t>Government institutions - Vehicle type total</t>
  </si>
  <si>
    <t>8_29</t>
  </si>
  <si>
    <t>CharitiesFoundationsNonProfitOrganizations_NonListedFunds</t>
  </si>
  <si>
    <t>CF&amp;NPO_NLF</t>
  </si>
  <si>
    <t>Charities, foundations &amp; non-profit organisations - Non-listed fund</t>
  </si>
  <si>
    <t>8_30</t>
  </si>
  <si>
    <t>CharitiesFoundationsNonProfitOrganizations_SeparateAccountsDirect</t>
  </si>
  <si>
    <t>CF&amp;NPO_SepAccDirect</t>
  </si>
  <si>
    <t>Charities, foundations &amp; non-profit organisations - Separate accounts investing directly</t>
  </si>
  <si>
    <t>8_31</t>
  </si>
  <si>
    <t>CharitiesFoundationsNonProfitOrganizations_SeparateAccountsIndirect</t>
  </si>
  <si>
    <t>CF&amp;NPO_SepAccIndirect</t>
  </si>
  <si>
    <t>Charities, foundations &amp; non-profit organisations - Separate accounts investing indirectly</t>
  </si>
  <si>
    <t>8_32</t>
  </si>
  <si>
    <t>CharitiesFoundationsNonProfitOrganizations_JVs</t>
  </si>
  <si>
    <t>CF&amp;NPO_JVs</t>
  </si>
  <si>
    <t>Charities, foundations &amp; non-profit organisations - Joint ventures and club deals</t>
  </si>
  <si>
    <t>8_33</t>
  </si>
  <si>
    <t>CharitiesFoundationsNonProfitOrganizations_FundsOfFunds</t>
  </si>
  <si>
    <t>CF&amp;NPO_FOF</t>
  </si>
  <si>
    <t>Charities, foundations &amp; non-profit organisations - Funds of funds</t>
  </si>
  <si>
    <t>8_34</t>
  </si>
  <si>
    <t>CharitiesFoundationsNonProfitOrganizations_Debt</t>
  </si>
  <si>
    <t>CF&amp;NPO_Debt</t>
  </si>
  <si>
    <t>Charities, foundations &amp; non-profit organisations - Non-listed debt products</t>
  </si>
  <si>
    <t>8_35</t>
  </si>
  <si>
    <t>CharitiesFoundationsNonProfitOrganizations_VehicleType_Total</t>
  </si>
  <si>
    <t>CF&amp;NPO_VT_Total</t>
  </si>
  <si>
    <t>Charities, foundations &amp; non-profit organisations - Vehicle type total</t>
  </si>
  <si>
    <t>8_36</t>
  </si>
  <si>
    <t>FundsOfFunds_NonListedFunds</t>
  </si>
  <si>
    <t>FOF_NLF</t>
  </si>
  <si>
    <t>Funds of funds - Non-listed fund</t>
  </si>
  <si>
    <t>8_37</t>
  </si>
  <si>
    <t>FundsOfFunds_SeparateAccountsDirect</t>
  </si>
  <si>
    <t>FOF_SepAccDirect</t>
  </si>
  <si>
    <t>Funds of funds - Separate accounts investing directly</t>
  </si>
  <si>
    <t>8_38</t>
  </si>
  <si>
    <t>FundsOfFunds_SeparateAccountsIndirect</t>
  </si>
  <si>
    <t>FOF_SepAccIndirect</t>
  </si>
  <si>
    <t>Funds of funds - Separate accounts investing indirectly</t>
  </si>
  <si>
    <t>8_39</t>
  </si>
  <si>
    <t>FundsOfFunds_JVs</t>
  </si>
  <si>
    <t>FOF_JVs</t>
  </si>
  <si>
    <t>8_40</t>
  </si>
  <si>
    <t>FundsOfFunds_FundsOfFunds</t>
  </si>
  <si>
    <t>FOF_FOF</t>
  </si>
  <si>
    <t>8_41</t>
  </si>
  <si>
    <t>FundsOfFunds_Debt</t>
  </si>
  <si>
    <t>FOF_Debt</t>
  </si>
  <si>
    <t>8_42</t>
  </si>
  <si>
    <t>FundsOfFunds_VehicleType_Total</t>
  </si>
  <si>
    <t>FOF_VT_Total</t>
  </si>
  <si>
    <t>Funds of funds - Vehicle type total</t>
  </si>
  <si>
    <t>8_43</t>
  </si>
  <si>
    <t>HighnetWorthIndividualsFamilyOffices_NonListedFunds</t>
  </si>
  <si>
    <t>HNWI/FO_NLF</t>
  </si>
  <si>
    <t>Hign net worth individuals/Family offices - Non-listed fund</t>
  </si>
  <si>
    <t>8_44</t>
  </si>
  <si>
    <t>HighnetWorthIndividualsFamilyOffices_SeparateAccountsDirect</t>
  </si>
  <si>
    <t>HNWI/FO_SepAccDirect</t>
  </si>
  <si>
    <t>Hign net worth individuals/Family offices - Separate accounts investing directly</t>
  </si>
  <si>
    <t>8_45</t>
  </si>
  <si>
    <t>HighnetWorthIndividualsFamilyOffices_SeparateAccountsIndirect</t>
  </si>
  <si>
    <t>HNWI/FO_SepAccIndirect</t>
  </si>
  <si>
    <t>Hign net worth individuals/Family offices - Separate accounts investing indirectly</t>
  </si>
  <si>
    <t>8_46</t>
  </si>
  <si>
    <t>HighnetWorthIndividualsFamilyOffices_JVs</t>
  </si>
  <si>
    <t>HNWI/FO_JVs</t>
  </si>
  <si>
    <t>Hign net worth individuals/Family offices - Joint ventures and club deals</t>
  </si>
  <si>
    <t>8_47</t>
  </si>
  <si>
    <t>HighnetWorthIndividualsFamilyOffices_FundsOfFunds</t>
  </si>
  <si>
    <t>HNWI/FO_FOF</t>
  </si>
  <si>
    <t>Hign net worth individuals/Family offices - Funds of funds</t>
  </si>
  <si>
    <t>8_48</t>
  </si>
  <si>
    <t>HighnetWorthIndividualsFamilyOffices_Debt</t>
  </si>
  <si>
    <t>HNWI/FO_Debt</t>
  </si>
  <si>
    <t>Hign net worth individuals/Family offices - Non-listed debt products</t>
  </si>
  <si>
    <t>8_49</t>
  </si>
  <si>
    <t>HighnetWorthIndividualsFamilyOffices_VehicleType_Total</t>
  </si>
  <si>
    <t>HNWI/FO_VT_Total</t>
  </si>
  <si>
    <t>Hign net worth individuals/Family offices - Vehicle type total</t>
  </si>
  <si>
    <t>8_50</t>
  </si>
  <si>
    <t>OtherInvestorTypetext</t>
  </si>
  <si>
    <t>OtherITText</t>
  </si>
  <si>
    <t>Other investor type</t>
  </si>
  <si>
    <t>8_51</t>
  </si>
  <si>
    <t>OtherInvestorType_NonListedFunds</t>
  </si>
  <si>
    <t>OtherIT_NLF</t>
  </si>
  <si>
    <t>Other investor type - Non-listed fund</t>
  </si>
  <si>
    <t>8_52</t>
  </si>
  <si>
    <t>OtherInvestorType_SeparateAccountsDirect</t>
  </si>
  <si>
    <t>OtherIT_SepAccDirect</t>
  </si>
  <si>
    <t>Other investor type - Separate accounts investing directly</t>
  </si>
  <si>
    <t>8_53</t>
  </si>
  <si>
    <t>OtherInvestorType_SeparateAccountsIndirect</t>
  </si>
  <si>
    <t>OtherIT_SepAccIndirect</t>
  </si>
  <si>
    <t>Other investor type - Separate accounts investing indirectly</t>
  </si>
  <si>
    <t>8_54</t>
  </si>
  <si>
    <t>OtherInvestorType_JVs</t>
  </si>
  <si>
    <t>OtherIT_JVs</t>
  </si>
  <si>
    <t>Other investor type - Joint ventures and club deals</t>
  </si>
  <si>
    <t>8_55</t>
  </si>
  <si>
    <t>OtherInvestorType_FundsOfFunds</t>
  </si>
  <si>
    <t>OtherIT_FOF</t>
  </si>
  <si>
    <t>Other investor type - Funds of funds</t>
  </si>
  <si>
    <t>8_56</t>
  </si>
  <si>
    <t>OtherInvestorType_Debt</t>
  </si>
  <si>
    <t>OtherIT_Debt</t>
  </si>
  <si>
    <t>Other investor type - Non-listed debt products</t>
  </si>
  <si>
    <t>8_57</t>
  </si>
  <si>
    <t>OtherInvestorType_VehicleType_Total</t>
  </si>
  <si>
    <t>OtherIT_VT_Total</t>
  </si>
  <si>
    <t>Other investor type - Vehicle type total</t>
  </si>
  <si>
    <t>InvestorType_NonListedFunds_Total</t>
  </si>
  <si>
    <t>IT_NLF_Total</t>
  </si>
  <si>
    <t>Investor type - Non-listed fund total</t>
  </si>
  <si>
    <t>InvestorType_SeparateAccountsDirect_Total</t>
  </si>
  <si>
    <t>IT_SepAccDirect_Total</t>
  </si>
  <si>
    <t>Investor type - Separate accounts investing directly total</t>
  </si>
  <si>
    <t>InvestorType_SeparateAccountsIndirect_Total</t>
  </si>
  <si>
    <t>IT_SepAccIndirect_Total</t>
  </si>
  <si>
    <t>Investor type - Separate accounts investing indirectly total</t>
  </si>
  <si>
    <t>InvestorType_JVs_Total</t>
  </si>
  <si>
    <t>IT_JVs_Total</t>
  </si>
  <si>
    <t>Investor type - Joint ventures and club deals total</t>
  </si>
  <si>
    <t>InvestorType_FundsOfFunds_Total</t>
  </si>
  <si>
    <t>IT_FOF_Total</t>
  </si>
  <si>
    <t>Investor type - Funds of funds total</t>
  </si>
  <si>
    <t>InvestorType_Debt_Total</t>
  </si>
  <si>
    <t>IT_Debt_Total</t>
  </si>
  <si>
    <t>Investor type - Non-listed debt products total</t>
  </si>
  <si>
    <t>InvestorType_VehicleType_Total</t>
  </si>
  <si>
    <t>IT_VT_Total</t>
  </si>
  <si>
    <t>Investor type - Vehicle type total</t>
  </si>
  <si>
    <t>9</t>
  </si>
  <si>
    <t>9_1</t>
  </si>
  <si>
    <t>InvestorDomicileAsiaPacific_NonListedFunds</t>
  </si>
  <si>
    <t>IDAPAC_NLF</t>
  </si>
  <si>
    <t>Investor Domicile and Vehicle Type</t>
  </si>
  <si>
    <t>9_2</t>
  </si>
  <si>
    <t>InvestorDomicileAsiaPacific_SeparateAccountsDirect</t>
  </si>
  <si>
    <t>IDAPAC_SepAccDirect</t>
  </si>
  <si>
    <t>Asia Pacific - Separate accounts direct</t>
  </si>
  <si>
    <t>9_3</t>
  </si>
  <si>
    <t>InvestorDomicileAsiaPacific_SeparateAccountsIndirect</t>
  </si>
  <si>
    <t>IDAPAC_SepAccIndirect</t>
  </si>
  <si>
    <t>Asia Pacific - Separate accounts indirect</t>
  </si>
  <si>
    <t>9_4</t>
  </si>
  <si>
    <t>InvestorDomicileAsiaPacific_JVs</t>
  </si>
  <si>
    <t>IDAPAC_JVs</t>
  </si>
  <si>
    <t>9_5</t>
  </si>
  <si>
    <t>InvestorDomicileAsiaPacific_FundsOfFunds</t>
  </si>
  <si>
    <t>IDAPAC_FOF</t>
  </si>
  <si>
    <t>9_6</t>
  </si>
  <si>
    <t>InvestorDomicileAsiaPacific_Debt</t>
  </si>
  <si>
    <t>IDAPAC_Debt</t>
  </si>
  <si>
    <t>9_7</t>
  </si>
  <si>
    <t>InvestorDomicileAsiaPacific_VehicleType_Total</t>
  </si>
  <si>
    <t>IDAPAC_VT_Total</t>
  </si>
  <si>
    <t>9_8</t>
  </si>
  <si>
    <t>InvestorDomicileEurope_NonListedFunds</t>
  </si>
  <si>
    <t>IDEUR_NLF</t>
  </si>
  <si>
    <t>9_9</t>
  </si>
  <si>
    <t>InvestorDomicileEurope_SeparateAccountsDirect</t>
  </si>
  <si>
    <t>IDEUR_SepAccDirect</t>
  </si>
  <si>
    <t>Europe - Separate accounts direct</t>
  </si>
  <si>
    <t>9_10</t>
  </si>
  <si>
    <t>InvestorDomicileEurope_SeparateAccountsIndirect</t>
  </si>
  <si>
    <t>IDEUR_SepAccIndirect</t>
  </si>
  <si>
    <t>Europe - Separate accounts indirect</t>
  </si>
  <si>
    <t>9_11</t>
  </si>
  <si>
    <t>InvestorDomicileEurope_JVs</t>
  </si>
  <si>
    <t>IDEUR_JVs</t>
  </si>
  <si>
    <t>9_12</t>
  </si>
  <si>
    <t>InvestorDomicileEurope_FundsOfFunds</t>
  </si>
  <si>
    <t>IDEUR_FOF</t>
  </si>
  <si>
    <t>9_13</t>
  </si>
  <si>
    <t>InvestorDomicileEurope_Debt</t>
  </si>
  <si>
    <t>IDEUR_Debt</t>
  </si>
  <si>
    <t>9_14</t>
  </si>
  <si>
    <t>InvestorDomicileEurope_VehicleType_Total</t>
  </si>
  <si>
    <t>IDEUR_VT_Total</t>
  </si>
  <si>
    <t>9_15</t>
  </si>
  <si>
    <t>InvestorDomicileNorthAmerica_NonListedFunds</t>
  </si>
  <si>
    <t>IDNA_NLF</t>
  </si>
  <si>
    <t>9_16</t>
  </si>
  <si>
    <t>InvestorDomicileNorthAmerica_SeparateAccountsDirect</t>
  </si>
  <si>
    <t>IDNA_SepAccDirect</t>
  </si>
  <si>
    <t>North America - Separate accounts direct</t>
  </si>
  <si>
    <t>9_17</t>
  </si>
  <si>
    <t>InvestorDomicileNorthAmerica_SeparateAccountsIndirect</t>
  </si>
  <si>
    <t>IDNA_SepAccIndirect</t>
  </si>
  <si>
    <t>North America - Separate accounts indirect</t>
  </si>
  <si>
    <t>9_18</t>
  </si>
  <si>
    <t>InvestorDomicileNorthAmerica_JVs</t>
  </si>
  <si>
    <t>IDNA_JVs</t>
  </si>
  <si>
    <t>9_19</t>
  </si>
  <si>
    <t>InvestorDomicileNorthAmerica_FundsOfFunds</t>
  </si>
  <si>
    <t>IDNA_FOF</t>
  </si>
  <si>
    <t>9_20</t>
  </si>
  <si>
    <t>InvestorDomicileNorthAmerica_Debt</t>
  </si>
  <si>
    <t>IDNA_Debt</t>
  </si>
  <si>
    <t>9_21</t>
  </si>
  <si>
    <t>InvestorDomicileNorthAmerica_VehicleType_Total</t>
  </si>
  <si>
    <t>IDNA_VT_Total</t>
  </si>
  <si>
    <t>9_22</t>
  </si>
  <si>
    <t>InvestorDomicileSouthAmerica_NonListedFunds</t>
  </si>
  <si>
    <t>IDSA_NLF</t>
  </si>
  <si>
    <t>9_23</t>
  </si>
  <si>
    <t>InvestorDomicileSouthAmerica_SeparateAccountsDirect</t>
  </si>
  <si>
    <t>IDSA_SepAccDirect</t>
  </si>
  <si>
    <t>South America - Separate accounts direct</t>
  </si>
  <si>
    <t>9_24</t>
  </si>
  <si>
    <t>InvestorDomicileSouthAmerica_SeparateAccountsIndirect</t>
  </si>
  <si>
    <t>IDSA_SepAccIndirect</t>
  </si>
  <si>
    <t>South America - Separate accounts indirect</t>
  </si>
  <si>
    <t>9_25</t>
  </si>
  <si>
    <t>InvestorDomicileSouthAmerica_JVs</t>
  </si>
  <si>
    <t>IDSA_JVs</t>
  </si>
  <si>
    <t>9_26</t>
  </si>
  <si>
    <t>InvestorDomicileSouthAmerica_FundsOfFunds</t>
  </si>
  <si>
    <t>IDSA_FOF</t>
  </si>
  <si>
    <t>9_27</t>
  </si>
  <si>
    <t>InvestorDomicileSouthAmerica_Debt</t>
  </si>
  <si>
    <t>IDSA_Debt</t>
  </si>
  <si>
    <t>9_28</t>
  </si>
  <si>
    <t>InvestorDomicileSouthAmerica_VehicleType_Total</t>
  </si>
  <si>
    <t>IDSA_VT_Total</t>
  </si>
  <si>
    <t>9_29</t>
  </si>
  <si>
    <t>InvestorDomicileAfrica_NonListedFunds</t>
  </si>
  <si>
    <t>IDAFR_NLF</t>
  </si>
  <si>
    <t>9_30</t>
  </si>
  <si>
    <t>InvestorDomicileAfrica_SeparateAccountsDirect</t>
  </si>
  <si>
    <t>IDAFR_SepAccDirect</t>
  </si>
  <si>
    <t>Africa - Separate accounts direct</t>
  </si>
  <si>
    <t>9_31</t>
  </si>
  <si>
    <t>InvestorDomicileAfrica_SeparateAccountsIndirect</t>
  </si>
  <si>
    <t>IDAFR_SepAccIndirect</t>
  </si>
  <si>
    <t>Africa - Separate accounts indirect</t>
  </si>
  <si>
    <t>9_32</t>
  </si>
  <si>
    <t>InvestorDomicileAfrica_JVs</t>
  </si>
  <si>
    <t>IDAFR_JVs</t>
  </si>
  <si>
    <t>9_33</t>
  </si>
  <si>
    <t>InvestorDomicileAfrica_FundsOfFunds</t>
  </si>
  <si>
    <t>IDAFR_FOF</t>
  </si>
  <si>
    <t>9_34</t>
  </si>
  <si>
    <t>InvestorDomicileAfrica_Debt</t>
  </si>
  <si>
    <t>IDAFR_Debt</t>
  </si>
  <si>
    <t>9_35</t>
  </si>
  <si>
    <t>InvestorDomicileAfrica_VehicleType_Total</t>
  </si>
  <si>
    <t>IDAFR_VT_Total</t>
  </si>
  <si>
    <t>InvestorDomicile_NonListedFunds_Total</t>
  </si>
  <si>
    <t>ID_NLF_Total</t>
  </si>
  <si>
    <t>InvestorDomicile_SeparateAccountsDirect_Total</t>
  </si>
  <si>
    <t>ID_SepAccDirect_Total</t>
  </si>
  <si>
    <t>InvestorDomicile_SeparateAccountsIndirect_Total</t>
  </si>
  <si>
    <t>ID_SepAccIndirect_Total</t>
  </si>
  <si>
    <t>Regional strategy - Separate accounts indirect total</t>
  </si>
  <si>
    <t>InvestorDomicile_JVs_Total</t>
  </si>
  <si>
    <t>ID_JVs_Total</t>
  </si>
  <si>
    <t>InvestorDomicile_FundsOfFunds_Total</t>
  </si>
  <si>
    <t>ID_FOF_Total</t>
  </si>
  <si>
    <t>InvestorDomicile_Debt_Total</t>
  </si>
  <si>
    <t>ID_Debt_Total</t>
  </si>
  <si>
    <t>InvestorDomicile_VehicleType_Total</t>
  </si>
  <si>
    <t>ID_VT_Total</t>
  </si>
  <si>
    <t>10</t>
  </si>
  <si>
    <t>q10</t>
  </si>
  <si>
    <t>PERCENT</t>
  </si>
  <si>
    <t>10_1</t>
  </si>
  <si>
    <t>PercentMethod_PlacementAgent</t>
  </si>
  <si>
    <t>PercMeth_PlacAg</t>
  </si>
  <si>
    <t>Method</t>
  </si>
  <si>
    <t>10_2</t>
  </si>
  <si>
    <t>PercentMethod_InvestorsContactingDirectly</t>
  </si>
  <si>
    <t>PercMeth_InvConDirect</t>
  </si>
  <si>
    <t>Investor contracting directly</t>
  </si>
  <si>
    <t>10_3</t>
  </si>
  <si>
    <t>PercentMethod_RelationshipWithInvestors</t>
  </si>
  <si>
    <t>PercMeth_RelWithInv</t>
  </si>
  <si>
    <t>Relationship with investors</t>
  </si>
  <si>
    <t>PercentMethod_Othertext</t>
  </si>
  <si>
    <t>PercMeth_OtherText</t>
  </si>
  <si>
    <t>Other Text</t>
  </si>
  <si>
    <t>10_5</t>
  </si>
  <si>
    <t>PercentMethod_Other</t>
  </si>
  <si>
    <t>PercMeth_Other</t>
  </si>
  <si>
    <t>Other Method</t>
  </si>
  <si>
    <t>11</t>
  </si>
  <si>
    <t>CapitalRaisingActivity_Development</t>
  </si>
  <si>
    <t>CRact_Dev</t>
  </si>
  <si>
    <t>q11</t>
  </si>
  <si>
    <t>12</t>
  </si>
  <si>
    <t>CapitalRaisingActivity_Impactregulation</t>
  </si>
  <si>
    <t>CRact_ImpReg</t>
  </si>
  <si>
    <t>q12</t>
  </si>
  <si>
    <t>13</t>
  </si>
  <si>
    <t>Companynameincluded</t>
  </si>
  <si>
    <t>CompNameIncl</t>
  </si>
  <si>
    <t>Name</t>
  </si>
  <si>
    <t>q13</t>
  </si>
  <si>
    <t>14</t>
  </si>
  <si>
    <t>APAC Capital raised</t>
  </si>
  <si>
    <t>q14</t>
  </si>
  <si>
    <t>APAC_PensionFunds_NonListedFunds</t>
  </si>
  <si>
    <t>APAC_PF_NLF</t>
  </si>
  <si>
    <t>APAC_PensionFunds_SeparateAccountsDirect</t>
  </si>
  <si>
    <t>APAC_PF_SepAccDirect</t>
  </si>
  <si>
    <t>APAC_PensionFunds_SeparateAccountsIndirect</t>
  </si>
  <si>
    <t>APAC_PF_SepAccIndirect</t>
  </si>
  <si>
    <t>APAC_PensionFunds_JVs</t>
  </si>
  <si>
    <t>APAC_PF_JVs</t>
  </si>
  <si>
    <t>APAC_PensionFunds_FundsOfFunds</t>
  </si>
  <si>
    <t>APAC_PF_FOF</t>
  </si>
  <si>
    <t>APAC_PensionFunds_Debt</t>
  </si>
  <si>
    <t>APAC_PF_Debt</t>
  </si>
  <si>
    <t>APAC_PensionFunds_VehicleType_Total</t>
  </si>
  <si>
    <t>APAC_PF_VT_Total</t>
  </si>
  <si>
    <t>APAC_InsuranceCompanies_NonListedFunds</t>
  </si>
  <si>
    <t>APAC_IC_NLF</t>
  </si>
  <si>
    <t>APAC_InsuranceCompanies_SeparateAccountsDirect</t>
  </si>
  <si>
    <t>APAC_IC_SepAccDirect</t>
  </si>
  <si>
    <t>APAC_InsuranceCompanies_SeparateAccountsIndirect</t>
  </si>
  <si>
    <t>APAC_IC_SepAccIndirect</t>
  </si>
  <si>
    <t>APAC_InsuranceCompanies_JVs</t>
  </si>
  <si>
    <t>APAC_IC_JVs</t>
  </si>
  <si>
    <t>APAC_InsuranceCompanies_FundsOfFunds</t>
  </si>
  <si>
    <t>APAC_IC_FOF</t>
  </si>
  <si>
    <t>APAC_InsuranceCompanies_Debt</t>
  </si>
  <si>
    <t>APAC_IC_Debt</t>
  </si>
  <si>
    <t>APAC_InsuranceCompanies_VehicleType_Total</t>
  </si>
  <si>
    <t>APAC_IC_VT_Total</t>
  </si>
  <si>
    <t>APAC_SovereignWealthFunds_NonListedFunds</t>
  </si>
  <si>
    <t>APAC_SWF_NLF</t>
  </si>
  <si>
    <t>APAC_SovereignWealthFunds_SeparateAccountsDirect</t>
  </si>
  <si>
    <t>APAC_SWF_SepAccDirect</t>
  </si>
  <si>
    <t>APAC_SovereignWealthFunds_SeparateAccountsIndirect</t>
  </si>
  <si>
    <t>APAC_SWF_SepAccIndirect</t>
  </si>
  <si>
    <t>APAC_SovereignWealthFunds_JVs</t>
  </si>
  <si>
    <t>APAC_SWF_JVs</t>
  </si>
  <si>
    <t>APAC_SovereignWealthFunds_FundsOfFunds</t>
  </si>
  <si>
    <t>APAC_SWF_FOF</t>
  </si>
  <si>
    <t>APAC_SovereignWealthFunds_Debt</t>
  </si>
  <si>
    <t>APAC_SWF_Debt</t>
  </si>
  <si>
    <t>APAC_SovereignWealthFunds_VehicleType_Total</t>
  </si>
  <si>
    <t>APAC_SWF_VT_Total</t>
  </si>
  <si>
    <t>APAC_GovernmentInstitutions_NonListedFunds</t>
  </si>
  <si>
    <t>APAC_GI_NLF</t>
  </si>
  <si>
    <t>APAC_GovernmentInstitutions_SeparateAccountsDirect</t>
  </si>
  <si>
    <t>APAC_GI_SepAccDirect</t>
  </si>
  <si>
    <t>APAC_GovernmentInstitutions_SeparateAccountsIndirect</t>
  </si>
  <si>
    <t>APAC_GI_SepAccIndirect</t>
  </si>
  <si>
    <t>APAC_GovernmentInstitutions_JVs</t>
  </si>
  <si>
    <t>APAC_GI_JVs</t>
  </si>
  <si>
    <t>APAC_GovernmentInstitutions_FundsOfFunds</t>
  </si>
  <si>
    <t>APAC_GI_FOF</t>
  </si>
  <si>
    <t>APAC_GovernmentInstitutions_Debt</t>
  </si>
  <si>
    <t>APAC_GI_Debt</t>
  </si>
  <si>
    <t>APAC_GovernmentInstitutions_VehicleType_Total</t>
  </si>
  <si>
    <t>APAC_GI_VT_Total</t>
  </si>
  <si>
    <t>APAC_CharitiesFoundationsNonProfitOrganizations_NonListedFunds</t>
  </si>
  <si>
    <t>APAC_CF&amp;NPO_NLF</t>
  </si>
  <si>
    <t>APAC_CharitiesFoundationsNonProfitOrganizations_SeparateAccountsDirect</t>
  </si>
  <si>
    <t>APAC_CF&amp;NPO_SepAccDirect</t>
  </si>
  <si>
    <t>APAC_CharitiesFoundationsNonProfitOrganizations_SeparateAccountsIndirect</t>
  </si>
  <si>
    <t>APAC_CF&amp;NPO_SepAccIndirect</t>
  </si>
  <si>
    <t>APAC_CharitiesFoundationsNonProfitOrganizations_JVs</t>
  </si>
  <si>
    <t>APAC_CF&amp;NPO_JVs</t>
  </si>
  <si>
    <t>APAC_CharitiesFoundationsNonProfitOrganizations_FundsOfFunds</t>
  </si>
  <si>
    <t>APAC_CF&amp;NPO_FOF</t>
  </si>
  <si>
    <t>APAC_CharitiesFoundationsNonProfitOrganizations_Debt</t>
  </si>
  <si>
    <t>APAC_CF&amp;NPO_Debt</t>
  </si>
  <si>
    <t>APAC_CharitiesFoundationsNonProfitOrganizations_VehicleType_Total</t>
  </si>
  <si>
    <t>APAC_CF&amp;NPO_VT_Total</t>
  </si>
  <si>
    <t>APAC_FundsOfFunds_NonListedFunds</t>
  </si>
  <si>
    <t>APAC_FOF_NLF</t>
  </si>
  <si>
    <t>APAC_FundsOfFunds_SeparateAccountsDirect</t>
  </si>
  <si>
    <t>APAC_FOF_SepAccDirect</t>
  </si>
  <si>
    <t>APAC_FundsOfFunds_SeparateAccountsIndirect</t>
  </si>
  <si>
    <t>APAC_FOF_SepAccIndirect</t>
  </si>
  <si>
    <t>APAC_FundsOfFunds_JVs</t>
  </si>
  <si>
    <t>APAC_FOF_JVs</t>
  </si>
  <si>
    <t>APAC_FundsOfFunds_FundsOfFunds</t>
  </si>
  <si>
    <t>APAC_FOF_FOF</t>
  </si>
  <si>
    <t>APAC_FundsOfFunds_Debt</t>
  </si>
  <si>
    <t>APAC_FOF_Debt</t>
  </si>
  <si>
    <t>APAC_FundsOfFunds_VehicleType_Total</t>
  </si>
  <si>
    <t>APAC_FOF_VT_Total</t>
  </si>
  <si>
    <t>APAC_HighnetWorthIndividualsFamilyOffices_NonListedFunds</t>
  </si>
  <si>
    <t>APAC_HNWI/FO_NLF</t>
  </si>
  <si>
    <t>APAC_HighnetWorthIndividualsFamilyOffices_SeparateAccountsDirect</t>
  </si>
  <si>
    <t>APAC_HNWI/FO_SepAccDirect</t>
  </si>
  <si>
    <t>APAC_HighnetWorthIndividualsFamilyOffices_SeparateAccountsIndirect</t>
  </si>
  <si>
    <t>APAC_HNWI/FO_SepAccIndirect</t>
  </si>
  <si>
    <t>APAC_HighnetWorthIndividualsFamilyOffices_JVs</t>
  </si>
  <si>
    <t>APAC_HNWI/FO_JVs</t>
  </si>
  <si>
    <t>APAC_HighnetWorthIndividualsFamilyOffices_FundsOfFunds</t>
  </si>
  <si>
    <t>APAC_HNWI/FO_FOF</t>
  </si>
  <si>
    <t>APAC_HighnetWorthIndividualsFamilyOffices_Debt</t>
  </si>
  <si>
    <t>APAC_HNWI/FO_Debt</t>
  </si>
  <si>
    <t>APAC_HighnetWorthIndividualsFamilyOffices_VehicleType_Total</t>
  </si>
  <si>
    <t>APAC_HNWI/FO_VT_Total</t>
  </si>
  <si>
    <t>APAC_OtherInvestorTypetext</t>
  </si>
  <si>
    <t>APAC_OtherITText</t>
  </si>
  <si>
    <t>APAC_OtherInvestorType_NonListedFunds</t>
  </si>
  <si>
    <t>APAC_OtherIT_NLF</t>
  </si>
  <si>
    <t>APAC_OtherInvestorType_SeparateAccountsDirect</t>
  </si>
  <si>
    <t>APAC_OtherIT_SepAccDirect</t>
  </si>
  <si>
    <t>APAC_OtherInvestorType_SeparateAccountsIndirect</t>
  </si>
  <si>
    <t>APAC_OtherIT_SepAccIndirect</t>
  </si>
  <si>
    <t>APAC_OtherInvestorType_JVs</t>
  </si>
  <si>
    <t>APAC_OtherIT_JVs</t>
  </si>
  <si>
    <t>APAC_OtherInvestorType_FundsOfFunds</t>
  </si>
  <si>
    <t>APAC_OtherIT_FOF</t>
  </si>
  <si>
    <t>APAC_OtherInvestorType_Debt</t>
  </si>
  <si>
    <t>APAC_OtherIT_Debt</t>
  </si>
  <si>
    <t>APAC_OtherInvestorType_VehicleType_Total</t>
  </si>
  <si>
    <t>APAC_OtherIT_VT_Total</t>
  </si>
  <si>
    <t>APAC_InvestorType_NonListedFunds_Total</t>
  </si>
  <si>
    <t>APAC_IT_NLF_Total</t>
  </si>
  <si>
    <t>APAC_InvestorType_SeparateAccountsDirect_Total</t>
  </si>
  <si>
    <t>APAC_IT_SepAccDirect_Total</t>
  </si>
  <si>
    <t>APAC_InvestorType_SeparateAccountsIndirect_Total</t>
  </si>
  <si>
    <t>APAC_IT_SepAccIndirect_Total</t>
  </si>
  <si>
    <t>APAC_InvestorType_JVs_Total</t>
  </si>
  <si>
    <t>APAC_IT_JVs_Total</t>
  </si>
  <si>
    <t>APAC_InvestorType_FundsOfFunds_Total</t>
  </si>
  <si>
    <t>APAC_IT_FOF_Total</t>
  </si>
  <si>
    <t>APAC_InvestorType_Debt_Total</t>
  </si>
  <si>
    <t>APAC_IT_Debt_Total</t>
  </si>
  <si>
    <t>APAC_InvestorType_VehicleType_Total</t>
  </si>
  <si>
    <t>APAC_IT_VT_Total</t>
  </si>
  <si>
    <t>15</t>
  </si>
  <si>
    <t>q15</t>
  </si>
  <si>
    <t>APAC_InvestorDomicileEurope_NonListedFunds</t>
  </si>
  <si>
    <t>APAC_IDEUR_NLF</t>
  </si>
  <si>
    <t>Asia Pacific - Non-listed funds</t>
  </si>
  <si>
    <t>APAC_InvestorDomicileEurope_SeparateAccountsDirect</t>
  </si>
  <si>
    <t>APAC_IDEUR_SepAccDirect</t>
  </si>
  <si>
    <t>APAC_InvestorDomicileEurope_SeparateAccountsIndirect</t>
  </si>
  <si>
    <t>APAC_IDEUR_SepAccIndirect</t>
  </si>
  <si>
    <t>APAC_InvestorDomicileEurope_JVs</t>
  </si>
  <si>
    <t>APAC_IDEUR_JVs</t>
  </si>
  <si>
    <t>APAC_InvestorDomicileEurope_FundsOfFunds</t>
  </si>
  <si>
    <t>APAC_IDEUR_FOF</t>
  </si>
  <si>
    <t>APAC_InvestorDomicileEurope_Debt</t>
  </si>
  <si>
    <t>APAC_IDEUR_Debt</t>
  </si>
  <si>
    <t>APAC_InvestorDomicileEurope_VehicleType_Total</t>
  </si>
  <si>
    <t>APAC_IDEUR_VT_Total</t>
  </si>
  <si>
    <t>APAC_InvestorDomicileAsiaPacific_NonListedFunds</t>
  </si>
  <si>
    <t>APAC_IDAPAC_NLF</t>
  </si>
  <si>
    <t>APAC_InvestorDomicileAsiaPacific_SeparateAccountsDirect</t>
  </si>
  <si>
    <t>APAC_IDAPAC_SepAccDirect</t>
  </si>
  <si>
    <t>APAC_InvestorDomicileAsiaPacific_SeparateAccountsIndirect</t>
  </si>
  <si>
    <t>APAC_IDAPAC_SepAccIndirect</t>
  </si>
  <si>
    <t>APAC_InvestorDomicileAsiaPacific_JVs</t>
  </si>
  <si>
    <t>APAC_IDAPAC_JVs</t>
  </si>
  <si>
    <t>APAC_InvestorDomicileAsiaPacific_FundsOfFunds</t>
  </si>
  <si>
    <t>APAC_IDAPAC_FOF</t>
  </si>
  <si>
    <t>APAC_InvestorDomicileAsiaPacific_Debt</t>
  </si>
  <si>
    <t>APAC_IDAPAC_Debt</t>
  </si>
  <si>
    <t>APAC_InvestorDomicileAsiaPacific_VehicleType_Total</t>
  </si>
  <si>
    <t>APAC_IDAPAC_VT_Total</t>
  </si>
  <si>
    <t>APAC_InvestorDomicileNorthAmerica_NonListedFunds</t>
  </si>
  <si>
    <t>APAC_IDNA_NLF</t>
  </si>
  <si>
    <t>APAC_InvestorDomicileNorthAmerica_SeparateAccountsDirect</t>
  </si>
  <si>
    <t>APAC_IDNA_SepAccDirect</t>
  </si>
  <si>
    <t>APAC_InvestorDomicileNorthAmerica_SeparateAccountsIndirect</t>
  </si>
  <si>
    <t>APAC_IDNA_SepAccIndirect</t>
  </si>
  <si>
    <t>APAC_InvestorDomicileNorthAmerica_JVs</t>
  </si>
  <si>
    <t>APAC_IDNA_JVs</t>
  </si>
  <si>
    <t>APAC_InvestorDomicileNorthAmerica_FundsOfFunds</t>
  </si>
  <si>
    <t>APAC_IDNA_FOF</t>
  </si>
  <si>
    <t>APAC_InvestorDomicileNorthAmerica_Debt</t>
  </si>
  <si>
    <t>APAC_IDNA_Debt</t>
  </si>
  <si>
    <t>APAC_InvestorDomicileNorthAmerica_VehicleType_Total</t>
  </si>
  <si>
    <t>APAC_IDNA_VT_Total</t>
  </si>
  <si>
    <t>APAC_InvestorDomicileSouthAmerica_NonListedFunds</t>
  </si>
  <si>
    <t>APAC_IDSA_NLF</t>
  </si>
  <si>
    <t>APAC_InvestorDomicileSouthAmerica_SeparateAccountsDirect</t>
  </si>
  <si>
    <t>APAC_IDSA_SepAccDirect</t>
  </si>
  <si>
    <t>APAC_InvestorDomicileSouthAmerica_SeparateAccountsIndirect</t>
  </si>
  <si>
    <t>APAC_IDSA_SepAccIndirect</t>
  </si>
  <si>
    <t>APAC_InvestorDomicileSouthAmerica_JVs</t>
  </si>
  <si>
    <t>APAC_IDSA_JVs</t>
  </si>
  <si>
    <t>APAC_InvestorDomicileSouthAmerica_FundsOfFunds</t>
  </si>
  <si>
    <t>APAC_IDSA_FOF</t>
  </si>
  <si>
    <t>APAC_InvestorDomicileSouthAmerica_Debt</t>
  </si>
  <si>
    <t>APAC_IDSA_Debt</t>
  </si>
  <si>
    <t>APAC_InvestorDomicileSouthAmerica_VehicleType_Total</t>
  </si>
  <si>
    <t>APAC_IDSA_VT_Total</t>
  </si>
  <si>
    <t>APAC_InvestorDomicileAfrica_NonListedFunds</t>
  </si>
  <si>
    <t>APAC_IDAFR_NLF</t>
  </si>
  <si>
    <t>APAC_InvestorDomicileAfrica_SeparateAccountsDirect</t>
  </si>
  <si>
    <t>APAC_IDAFR_SepAccDirect</t>
  </si>
  <si>
    <t>APAC_InvestorDomicileAfrica_SeparateAccountsIndirect</t>
  </si>
  <si>
    <t>APAC_IDAFR_SepAccIndirect</t>
  </si>
  <si>
    <t>APAC_InvestorDomicileAfrica_JVs</t>
  </si>
  <si>
    <t>APAC_IDAFR_JVs</t>
  </si>
  <si>
    <t>APAC_InvestorDomicileAfrica_FundsOfFunds</t>
  </si>
  <si>
    <t>APAC_IDAFR_FOF</t>
  </si>
  <si>
    <t>APAC_InvestorDomicileAfrica_Debt</t>
  </si>
  <si>
    <t>APAC_IDAFR_Debt</t>
  </si>
  <si>
    <t>APAC_InvestorDomicileAfrica_VehicleType_Total</t>
  </si>
  <si>
    <t>APAC_IDAFR_VT_Total</t>
  </si>
  <si>
    <t>APAC_InvestorDomicile_NonListedFunds_Total</t>
  </si>
  <si>
    <t>APAC_ID_NLF_Total</t>
  </si>
  <si>
    <t>Investor domicile total - Non-listed funds</t>
  </si>
  <si>
    <t>APAC_InvestorDomicile_SeparateAccountsDirect_Total</t>
  </si>
  <si>
    <t>APAC_ID_SepAccDirect_Total</t>
  </si>
  <si>
    <t>Investor domicile total - Separate accounts investing directly</t>
  </si>
  <si>
    <t>APAC_InvestorDomicile_SeparateAccountsIndirect_Total</t>
  </si>
  <si>
    <t>APAC_ID_SepAccIndirect_Total</t>
  </si>
  <si>
    <t>Investor domicile total - Separate accounts investing indirectly</t>
  </si>
  <si>
    <t>APAC_InvestorDomicile_JVs_Total</t>
  </si>
  <si>
    <t>APAC_ID_JVs_Total</t>
  </si>
  <si>
    <t>Investor domicile total - Joint ventures and club deals</t>
  </si>
  <si>
    <t>APAC_InvestorDomicile_FundsOfFunds_Total</t>
  </si>
  <si>
    <t>APAC_ID_FOF_Total</t>
  </si>
  <si>
    <t>Investor domicile total - Funds of funds</t>
  </si>
  <si>
    <t>APAC_InvestorDomicile_Debt_Total</t>
  </si>
  <si>
    <t>APAC_ID_Debt_Total</t>
  </si>
  <si>
    <t>Investor domicile total - Non-listed debt products</t>
  </si>
  <si>
    <t>APAC_InvestorDomicile_VehicleType_Total</t>
  </si>
  <si>
    <t>APAC_ID_VT_Total</t>
  </si>
  <si>
    <t>Investor domicile total - Vehicle type total</t>
  </si>
  <si>
    <t>16</t>
  </si>
  <si>
    <t>Europe Capital raised</t>
  </si>
  <si>
    <t>q16</t>
  </si>
  <si>
    <t>EUROPE_PensionFunds_NonListedFunds</t>
  </si>
  <si>
    <t>EUR_PF_NLF</t>
  </si>
  <si>
    <t>EUROPE_PensionFunds_SeparateAccountsDirect</t>
  </si>
  <si>
    <t>EUR_PF_SepAccDirect</t>
  </si>
  <si>
    <t>EUROPE_PensionFunds_SeparateAccountsIndirect</t>
  </si>
  <si>
    <t>EUR_PF_SepAccIndirect</t>
  </si>
  <si>
    <t>EUROPE_PensionFunds_JVs</t>
  </si>
  <si>
    <t>EUR_PF_JVs</t>
  </si>
  <si>
    <t>EUROPE_PensionFunds_FundsOfFunds</t>
  </si>
  <si>
    <t>EUR_PF_FOF</t>
  </si>
  <si>
    <t>EUROPE_PensionFunds_Debt</t>
  </si>
  <si>
    <t>EUR_PF_Debt</t>
  </si>
  <si>
    <t>EUROPE_PensionFunds_VehicleType_Total</t>
  </si>
  <si>
    <t>EUR_PF_VT_Total</t>
  </si>
  <si>
    <t>EUROPE_InsuranceCompanies_NonListedFunds</t>
  </si>
  <si>
    <t>EUR_IC_NLF</t>
  </si>
  <si>
    <t>EUROPE_InsuranceCompanies_SeparateAccountsDirect</t>
  </si>
  <si>
    <t>EUR_IC_SepAccDirect</t>
  </si>
  <si>
    <t>EUROPE_InsuranceCompanies_SeparateAccountsIndirect</t>
  </si>
  <si>
    <t>EUR_IC_SepAccIndirect</t>
  </si>
  <si>
    <t>EUROPE_InsuranceCompanies_JVs</t>
  </si>
  <si>
    <t>EUR_IC_JVs</t>
  </si>
  <si>
    <t>EUROPE_InsuranceCompanies_FundsOfFunds</t>
  </si>
  <si>
    <t>EUR_IC_FOF</t>
  </si>
  <si>
    <t>EUROPE_InsuranceCompanies_Debt</t>
  </si>
  <si>
    <t>EUR_IC_Debt</t>
  </si>
  <si>
    <t>EUROPE_InsuranceCompanies_VehicleType_Total</t>
  </si>
  <si>
    <t>EUR_IC_VT_Total</t>
  </si>
  <si>
    <t>EUROPE_SovereignWealthFunds_NonListedFunds</t>
  </si>
  <si>
    <t>EUR_SWF_NLF</t>
  </si>
  <si>
    <t>EUROPE_SovereignWealthFunds_SeparateAccountsDirect</t>
  </si>
  <si>
    <t>EUR_SWF_SepAccDirect</t>
  </si>
  <si>
    <t>EUROPE_SovereignWealthFunds_SeparateAccountsIndirect</t>
  </si>
  <si>
    <t>EUR_SWF_SepAccIndirect</t>
  </si>
  <si>
    <t>EUROPE_SovereignWealthFunds_JVs</t>
  </si>
  <si>
    <t>EUR_SWF_JVs</t>
  </si>
  <si>
    <t>EUROPE_SovereignWealthFunds_FundsOfFunds</t>
  </si>
  <si>
    <t>EUR_SWF_FOF</t>
  </si>
  <si>
    <t>EUROPE_SovereignWealthFunds_Debt</t>
  </si>
  <si>
    <t>EUR_SWF_Debt</t>
  </si>
  <si>
    <t>EUROPE_SovereignWealthFunds_VehicleType_Total</t>
  </si>
  <si>
    <t>EUR_SWF_VT_Total</t>
  </si>
  <si>
    <t>EUROPE_GovernmentInstitutions_NonListedFunds</t>
  </si>
  <si>
    <t>EUR_GI_NLF</t>
  </si>
  <si>
    <t>EUROPE_GovernmentInstitutions_SeparateAccountsDirect</t>
  </si>
  <si>
    <t>EUR_GI_SepAccDirect</t>
  </si>
  <si>
    <t>EUROPE_GovernmentInstitutions_SeparateAccountsIndirect</t>
  </si>
  <si>
    <t>EUR_GI_SepAccIndirect</t>
  </si>
  <si>
    <t>EUROPE_GovernmentInstitutions_JVs</t>
  </si>
  <si>
    <t>EUR_GI_JVs</t>
  </si>
  <si>
    <t>EUROPE_GovernmentInstitutions_FundsOfFunds</t>
  </si>
  <si>
    <t>EUR_GI_FOF</t>
  </si>
  <si>
    <t>EUROPE_GovernmentInstitutions_Debt</t>
  </si>
  <si>
    <t>EUR_GI_Debt</t>
  </si>
  <si>
    <t>EUROPE_GovernmentInstitutions_VehicleType_Total</t>
  </si>
  <si>
    <t>EUR_GI_VT_Total</t>
  </si>
  <si>
    <t>EUROPE_CharitiesFoundationsNonProfitOrganizations_NonListedFunds</t>
  </si>
  <si>
    <t>EUR_CF&amp;NPO_NLF</t>
  </si>
  <si>
    <t>EUROPE_CharitiesFoundationsNonProfitOrganizations_SeparateAccountsDirect</t>
  </si>
  <si>
    <t>EUR_CF&amp;NPO_SepAccDirect</t>
  </si>
  <si>
    <t>EUROPE_CharitiesFoundationsNonProfitOrganizations_SeparateAccountsIndirect</t>
  </si>
  <si>
    <t>EUR_CF&amp;NPO_SepAccIndirect</t>
  </si>
  <si>
    <t>EUROPE_CharitiesFoundationsNonProfitOrganizations_JVs</t>
  </si>
  <si>
    <t>EUR_CF&amp;NPO_JVs</t>
  </si>
  <si>
    <t>EUROPE_CharitiesFoundationsNonProfitOrganizations_FundsOfFunds</t>
  </si>
  <si>
    <t>EUR_CF&amp;NPO_FOF</t>
  </si>
  <si>
    <t>EUROPE_CharitiesFoundationsNonProfitOrganizations_Debt</t>
  </si>
  <si>
    <t>EUR_CF&amp;NPO_Debt</t>
  </si>
  <si>
    <t>EUROPE_CharitiesFoundationsNonProfitOrganizations_VehicleType_Total</t>
  </si>
  <si>
    <t>EUR_CF&amp;NPO_VT_Total</t>
  </si>
  <si>
    <t>EUROPE_FundsOfFunds_NonListedFunds</t>
  </si>
  <si>
    <t>EUR_FOF_NLF</t>
  </si>
  <si>
    <t>EUROPE_FundsOfFunds_SeparateAccountsDirect</t>
  </si>
  <si>
    <t>EUR_FOF_SepAccDirect</t>
  </si>
  <si>
    <t>EUROPE_FundsOfFunds_SeparateAccountsIndirect</t>
  </si>
  <si>
    <t>EUR_FOF_SepAccIndirect</t>
  </si>
  <si>
    <t>EUROPE_FundsOfFunds_JVs</t>
  </si>
  <si>
    <t>EUR_FOF_JVs</t>
  </si>
  <si>
    <t>EUROPE_FundsOfFunds_FundsOfFunds</t>
  </si>
  <si>
    <t>EUR_FOF_FOF</t>
  </si>
  <si>
    <t>EUROPE_FundsOfFunds_Debt</t>
  </si>
  <si>
    <t>EUR_FOF_Debt</t>
  </si>
  <si>
    <t>EUROPE_FundsOfFunds_VehicleType_Total</t>
  </si>
  <si>
    <t>EUR_FOF_VT_Total</t>
  </si>
  <si>
    <t>EUROPE_HighnetWorthIndividualsFamilyOffices_NonListedFunds</t>
  </si>
  <si>
    <t>EUR_HNWI/FO_NLF</t>
  </si>
  <si>
    <t>EUROPE_HighnetWorthIndividualsFamilyOffices_SeparateAccountsDirect</t>
  </si>
  <si>
    <t>EUR_HNWI/FO_SepAccDirect</t>
  </si>
  <si>
    <t>EUROPE_HighnetWorthIndividualsFamilyOffices_SeparateAccountsIndirect</t>
  </si>
  <si>
    <t>EUR_HNWI/FO_SepAccIndirect</t>
  </si>
  <si>
    <t>EUROPE_HighnetWorthIndividualsFamilyOffices_JVs</t>
  </si>
  <si>
    <t>EUR_HNWI/FO_JVs</t>
  </si>
  <si>
    <t>EUROPE_HighnetWorthIndividualsFamilyOffices_FundsOfFunds</t>
  </si>
  <si>
    <t>EUR_HNWI/FO_FOF</t>
  </si>
  <si>
    <t>EUROPE_HighnetWorthIndividualsFamilyOffices_Debt</t>
  </si>
  <si>
    <t>EUR_HNWI/FO_Debt</t>
  </si>
  <si>
    <t>EUROPE_HighnetWorthIndividualsFamilyOffices_VehicleType_Total</t>
  </si>
  <si>
    <t>EUR_HNWI/FO_VT_Total</t>
  </si>
  <si>
    <t>EUROPE_OtherInvestorTypetext</t>
  </si>
  <si>
    <t>EUR_OtherITText</t>
  </si>
  <si>
    <t>EUROPE_OtherInvestorType_NonListedFunds</t>
  </si>
  <si>
    <t>EUR_OtherIT_NLF</t>
  </si>
  <si>
    <t>EUROPE_OtherInvestorType_SeparateAccountsDirect</t>
  </si>
  <si>
    <t>EUR_OtherIT_SepAccDirect</t>
  </si>
  <si>
    <t>EUROPE_OtherInvestorType_SeparateAccountsIndirect</t>
  </si>
  <si>
    <t>EUR_OtherIT_SepAccIndirect</t>
  </si>
  <si>
    <t>EUROPE_OtherInvestorType_JVs</t>
  </si>
  <si>
    <t>EUR_OtherIT_JVs</t>
  </si>
  <si>
    <t>EUROPE_OtherInvestorType_FundsOfFunds</t>
  </si>
  <si>
    <t>EUR_OtherIT_FOF</t>
  </si>
  <si>
    <t>EUROPE_OtherInvestorType_Debt</t>
  </si>
  <si>
    <t>EUR_OtherIT_Debt</t>
  </si>
  <si>
    <t>EUROPE_OtherInvestorType_VehicleType_Total</t>
  </si>
  <si>
    <t>EUR_OtherIT_VT_Total</t>
  </si>
  <si>
    <t>EUROPE_InvestorType_NonListedFunds_Total</t>
  </si>
  <si>
    <t>EUR_IT_NLF_Total</t>
  </si>
  <si>
    <t>EUROPE_InvestorType_SeparateAccountsDirect_Total</t>
  </si>
  <si>
    <t>EUR_IT_SepAccDirect_Total</t>
  </si>
  <si>
    <t>EUROPE_InvestorType_SeparateAccountsIndirect_Total</t>
  </si>
  <si>
    <t>EUR_IT_SepAccIndirect_Total</t>
  </si>
  <si>
    <t>EUROPE_InvestorType_JVs_Total</t>
  </si>
  <si>
    <t>EUR_IT_JVs_Total</t>
  </si>
  <si>
    <t>EUROPE_InvestorType_FundsOfFunds_Total</t>
  </si>
  <si>
    <t>EUR_IT_FOF_Total</t>
  </si>
  <si>
    <t>EUROPE_InvestorType_Debt_Total</t>
  </si>
  <si>
    <t>EUR_IT_Debt_Total</t>
  </si>
  <si>
    <t>EUROPE_InvestorType_VehicleType_Total</t>
  </si>
  <si>
    <t>EUR_IT_VT_Total</t>
  </si>
  <si>
    <t>17</t>
  </si>
  <si>
    <t>21</t>
  </si>
  <si>
    <t>q17</t>
  </si>
  <si>
    <t>EUROPE_InvestorDomicileEurope_NonListedFunds</t>
  </si>
  <si>
    <t>EUR_IDEUR_NLF</t>
  </si>
  <si>
    <t>EUROPE_InvestorDomicileEurope_SeparateAccountsDirect</t>
  </si>
  <si>
    <t>EUR_IDEUR_SepAccDirect</t>
  </si>
  <si>
    <t>EUROPE_InvestorDomicileEurope_SeparateAccountsIndirect</t>
  </si>
  <si>
    <t>EUR_IDEUR_SepAccIndirect</t>
  </si>
  <si>
    <t>EUROPE_InvestorDomicileEurope_JVs</t>
  </si>
  <si>
    <t>EUR_IDEUR_JVs</t>
  </si>
  <si>
    <t>EUROPE_InvestorDomicileEurope_FundsOfFunds</t>
  </si>
  <si>
    <t>EUR_IDEUR_FOF</t>
  </si>
  <si>
    <t>EUROPE_InvestorDomicileEurope_Debt</t>
  </si>
  <si>
    <t>EUR_IDEUR_Debt</t>
  </si>
  <si>
    <t>EUROPE_InvestorDomicileEurope_VehicleType_Total</t>
  </si>
  <si>
    <t>EUR_IDEUR_VT_Total</t>
  </si>
  <si>
    <t>EUROPE_InvestorDomicileAsiaPacific_NonListedFunds</t>
  </si>
  <si>
    <t>EUR_IDAPAC_NLF</t>
  </si>
  <si>
    <t>EUROPE_InvestorDomicileAsiaPacific_SeparateAccountsDirect</t>
  </si>
  <si>
    <t>EUR_IDAPAC_SepAccDirect</t>
  </si>
  <si>
    <t>EUROPE_InvestorDomicileAsiaPacific_SeparateAccountsIndirect</t>
  </si>
  <si>
    <t>EUR_IDAPAC_SepAccIndirect</t>
  </si>
  <si>
    <t>EUROPE_InvestorDomicileAsiaPacific_JVs</t>
  </si>
  <si>
    <t>EUR_IDAPAC_JVs</t>
  </si>
  <si>
    <t>EUROPE_InvestorDomicileAsiaPacific_FundsOfFunds</t>
  </si>
  <si>
    <t>EUR_IDAPAC_FOF</t>
  </si>
  <si>
    <t>EUROPE_InvestorDomicileAsiaPacific_Debt</t>
  </si>
  <si>
    <t>EUR_IDAPAC_Debt</t>
  </si>
  <si>
    <t>EUROPE_InvestorDomicileAsiaPacific_VehicleType_Total</t>
  </si>
  <si>
    <t>EUR_IDAPAC_VT_Total</t>
  </si>
  <si>
    <t>EUROPE_InvestorDomicileNorthAmerica_NonListedFunds</t>
  </si>
  <si>
    <t>EUR_IDNA_NLF</t>
  </si>
  <si>
    <t>EUROPE_InvestorDomicileNorthAmerica_SeparateAccountsDirect</t>
  </si>
  <si>
    <t>EUR_IDNA_SepAccDirect</t>
  </si>
  <si>
    <t>EUROPE_InvestorDomicileNorthAmerica_SeparateAccountsIndirect</t>
  </si>
  <si>
    <t>EUR_IDNA_SepAccIndirect</t>
  </si>
  <si>
    <t>EUROPE_InvestorDomicileNorthAmerica_JVs</t>
  </si>
  <si>
    <t>EUR_IDNA_JVs</t>
  </si>
  <si>
    <t>EUROPE_InvestorDomicileNorthAmerica_FundsOfFunds</t>
  </si>
  <si>
    <t>EUR_IDNA_FOF</t>
  </si>
  <si>
    <t>EUROPE_InvestorDomicileNorthAmerica_Debt</t>
  </si>
  <si>
    <t>EUR_IDNA_Debt</t>
  </si>
  <si>
    <t>EUROPE_InvestorDomicileNorthAmerica_VehicleType_Total</t>
  </si>
  <si>
    <t>EUR_IDNA_VT_Total</t>
  </si>
  <si>
    <t>EUROPE_InvestorDomicileSouthAmerica_NonListedFunds</t>
  </si>
  <si>
    <t>EUR_IDSA_NLF</t>
  </si>
  <si>
    <t>EUROPE_InvestorDomicileSouthAmerica_SeparateAccountsDirect</t>
  </si>
  <si>
    <t>EUR_IDSA_SepAccDirect</t>
  </si>
  <si>
    <t>EUROPE_InvestorDomicileSouthAmerica_SeparateAccountsIndirect</t>
  </si>
  <si>
    <t>EUR_IDSA_SepAccIndirect</t>
  </si>
  <si>
    <t>EUROPE_InvestorDomicileSouthAmerica_JVs</t>
  </si>
  <si>
    <t>EUR_IDSA_JVs</t>
  </si>
  <si>
    <t>EUROPE_InvestorDomicileSouthAmerica_FundsOfFunds</t>
  </si>
  <si>
    <t>EUR_IDSA_FOF</t>
  </si>
  <si>
    <t>EUROPE_InvestorDomicileSouthAmerica_Debt</t>
  </si>
  <si>
    <t>EUR_IDSA_Debt</t>
  </si>
  <si>
    <t>EUROPE_InvestorDomicileSouthAmerica_VehicleType_Total</t>
  </si>
  <si>
    <t>EUR_IDSA_VT_Total</t>
  </si>
  <si>
    <t>EUROPE_InvestorDomicileAfrica_NonListedFunds</t>
  </si>
  <si>
    <t>EUR_IDAFR_NLF</t>
  </si>
  <si>
    <t>EUROPE_InvestorDomicileAfrica_SeparateAccountsDirect</t>
  </si>
  <si>
    <t>EUR_IDAFR_SepAccDirect</t>
  </si>
  <si>
    <t>EUROPE_InvestorDomicileAfrica_SeparateAccountsIndirect</t>
  </si>
  <si>
    <t>EUR_IDAFR_SepAccIndirect</t>
  </si>
  <si>
    <t>EUROPE_InvestorDomicileAfrica_JVs</t>
  </si>
  <si>
    <t>EUR_IDAFR_JVs</t>
  </si>
  <si>
    <t>EUROPE_InvestorDomicileAfrica_FundsOfFunds</t>
  </si>
  <si>
    <t>EUR_IDAFR_FOF</t>
  </si>
  <si>
    <t>EUROPE_InvestorDomicileAfrica_Debt</t>
  </si>
  <si>
    <t>EUR_IDAFR_Debt</t>
  </si>
  <si>
    <t>EUROPE_InvestorDomicileAfrica_VehicleType_Total</t>
  </si>
  <si>
    <t>EUR_IDAFR_VT_Total</t>
  </si>
  <si>
    <t>EUROPE_InvestorDomicile_NonListedFunds_Total</t>
  </si>
  <si>
    <t>EUR_ID_NLF_Total</t>
  </si>
  <si>
    <t>EUROPE_InvestorDomicile_SeparateAccountsDirect_Total</t>
  </si>
  <si>
    <t>EUR_ID_SepAccDirect_Total</t>
  </si>
  <si>
    <t>EUROPE_InvestorDomicile_SeparateAccountsIndirect_Total</t>
  </si>
  <si>
    <t>EUR_ID_SepAccIndirect_Total</t>
  </si>
  <si>
    <t>EUROPE_InvestorDomicile_JVs_Total</t>
  </si>
  <si>
    <t>EUR_ID_JVs_Total</t>
  </si>
  <si>
    <t>EUROPE_InvestorDomicile_FundsOfFunds_Total</t>
  </si>
  <si>
    <t>EUR_ID_FOF_Total</t>
  </si>
  <si>
    <t>EUROPE_InvestorDomicile_Debt_Total</t>
  </si>
  <si>
    <t>EUR_ID_Debt_Total</t>
  </si>
  <si>
    <t>EUROPE_InvestorDomicile_VehicleType_Total</t>
  </si>
  <si>
    <t>EUR_ID_VT_Total</t>
  </si>
  <si>
    <t>18</t>
  </si>
  <si>
    <t>NA Capital raised</t>
  </si>
  <si>
    <t>q18</t>
  </si>
  <si>
    <t>NA_PensionFunds_NonListedFunds</t>
  </si>
  <si>
    <t>NA_PF_NLF</t>
  </si>
  <si>
    <t>NA_PensionFunds_SeparateAccountsDirect</t>
  </si>
  <si>
    <t>NA_PF_SepAccDirect</t>
  </si>
  <si>
    <t>NA_PensionFunds_SeparateAccountsIndirect</t>
  </si>
  <si>
    <t>NA_PF_SepAccIndirect</t>
  </si>
  <si>
    <t>NA_PensionFunds_JVs</t>
  </si>
  <si>
    <t>NA_PF_JVs</t>
  </si>
  <si>
    <t>NA_PensionFunds_FundsOfFunds</t>
  </si>
  <si>
    <t>NA_PF_FOF</t>
  </si>
  <si>
    <t>NA_PensionFunds_Debt</t>
  </si>
  <si>
    <t>NA_PF_Debt</t>
  </si>
  <si>
    <t>NA_PensionFunds_VehicleType_Total</t>
  </si>
  <si>
    <t>NA_PF_VT_Total</t>
  </si>
  <si>
    <t>NA_InsuranceCompanies_NonListedFunds</t>
  </si>
  <si>
    <t>NA_IC_NLF</t>
  </si>
  <si>
    <t>NA_InsuranceCompanies_SeparateAccountsDirect</t>
  </si>
  <si>
    <t>NA_IC_SepAccDirect</t>
  </si>
  <si>
    <t>NA_InsuranceCompanies_SeparateAccountsIndirect</t>
  </si>
  <si>
    <t>NA_IC_SepAccIndirect</t>
  </si>
  <si>
    <t>NA_InsuranceCompanies_JVs</t>
  </si>
  <si>
    <t>NA_IC_JVs</t>
  </si>
  <si>
    <t>NA_InsuranceCompanies_FundsOfFunds</t>
  </si>
  <si>
    <t>NA_IC_FOF</t>
  </si>
  <si>
    <t>NA_InsuranceCompanies_Debt</t>
  </si>
  <si>
    <t>NA_IC_Debt</t>
  </si>
  <si>
    <t>NA_InsuranceCompanies_VehicleType_Total</t>
  </si>
  <si>
    <t>NA_IC_VT_Total</t>
  </si>
  <si>
    <t>NA_SovereignWealthFunds_NonListedFunds</t>
  </si>
  <si>
    <t>NA_SWF_NLF</t>
  </si>
  <si>
    <t>NA_SovereignWealthFunds_SeparateAccountsDirect</t>
  </si>
  <si>
    <t>NA_SWF_SepAccDirect</t>
  </si>
  <si>
    <t>NA_SovereignWealthFunds_SeparateAccountsIndirect</t>
  </si>
  <si>
    <t>NA_SWF_SepAccIndirect</t>
  </si>
  <si>
    <t>NA_SovereignWealthFunds_JVs</t>
  </si>
  <si>
    <t>NA_SWF_JVs</t>
  </si>
  <si>
    <t>NA_SovereignWealthFunds_FundsOfFunds</t>
  </si>
  <si>
    <t>NA_SWF_FOF</t>
  </si>
  <si>
    <t>NA_SovereignWealthFunds_Debt</t>
  </si>
  <si>
    <t>NA_SWF_Debt</t>
  </si>
  <si>
    <t>NA_SovereignWealthFunds_VehicleType_Total</t>
  </si>
  <si>
    <t>NA_SWF_VT_Total</t>
  </si>
  <si>
    <t>NA_GovernmentInstitutions_NonListedFunds</t>
  </si>
  <si>
    <t>NA_GI_NLF</t>
  </si>
  <si>
    <t>NA_GovernmentInstitutions_SeparateAccountsDirect</t>
  </si>
  <si>
    <t>NA_GI_SepAccDirect</t>
  </si>
  <si>
    <t>NA_GovernmentInstitutions_SeparateAccountsIndirect</t>
  </si>
  <si>
    <t>NA_GI_SepAccIndirect</t>
  </si>
  <si>
    <t>NA_GovernmentInstitutions_JVs</t>
  </si>
  <si>
    <t>NA_GI_JVs</t>
  </si>
  <si>
    <t>NA_GovernmentInstitutions_FundsOfFunds</t>
  </si>
  <si>
    <t>NA_GI_FOF</t>
  </si>
  <si>
    <t>NA_GovernmentInstitutions_Debt</t>
  </si>
  <si>
    <t>NA_GI_Debt</t>
  </si>
  <si>
    <t>NA_GovernmentInstitutions_VehicleType_Total</t>
  </si>
  <si>
    <t>NA_GI_VT_Total</t>
  </si>
  <si>
    <t>NA_CharitiesFoundationsNonProfitOrganizations_NonListedFunds</t>
  </si>
  <si>
    <t>NA_CF&amp;NPO_NLF</t>
  </si>
  <si>
    <t>NA_CharitiesFoundationsNonProfitOrganizations_SeparateAccountsDirect</t>
  </si>
  <si>
    <t>NA_CF&amp;NPO_SepAccDirect</t>
  </si>
  <si>
    <t>NA_CharitiesFoundationsNonProfitOrganizations_SeparateAccountsIndirect</t>
  </si>
  <si>
    <t>NA_CF&amp;NPO_SepAccIndirect</t>
  </si>
  <si>
    <t>NA_CharitiesFoundationsNonProfitOrganizations_JVs</t>
  </si>
  <si>
    <t>NA_CF&amp;NPO_JVs</t>
  </si>
  <si>
    <t>NA_CharitiesFoundationsNonProfitOrganizations_FundsOfFunds</t>
  </si>
  <si>
    <t>NA_CF&amp;NPO_FOF</t>
  </si>
  <si>
    <t>NA_CharitiesFoundationsNonProfitOrganizations_Debt</t>
  </si>
  <si>
    <t>NA_CF&amp;NPO_Debt</t>
  </si>
  <si>
    <t>NA_CharitiesFoundationsNonProfitOrganizations_VehicleType_Total</t>
  </si>
  <si>
    <t>NA_CF&amp;NPO_VT_Total</t>
  </si>
  <si>
    <t>NA_FundsOfFunds_NonListedFunds</t>
  </si>
  <si>
    <t>NA_FOF_NLF</t>
  </si>
  <si>
    <t>NA_FundsOfFunds_SeparateAccountsDirect</t>
  </si>
  <si>
    <t>NA_FOF_SepAccDirect</t>
  </si>
  <si>
    <t>NA_FundsOfFunds_SeparateAccountsIndirect</t>
  </si>
  <si>
    <t>NA_FOF_SepAccIndirect</t>
  </si>
  <si>
    <t>NA_FundsOfFunds_JVs</t>
  </si>
  <si>
    <t>NA_FOF_JVs</t>
  </si>
  <si>
    <t>NA_FundsOfFunds_FundsOfFunds</t>
  </si>
  <si>
    <t>NA_FOF_FOF</t>
  </si>
  <si>
    <t>NA_FundsOfFunds_Debt</t>
  </si>
  <si>
    <t>NA_FOF_Debt</t>
  </si>
  <si>
    <t>NA_FundsOfFunds_VehicleType_Total</t>
  </si>
  <si>
    <t>NA_FOF_VT_Total</t>
  </si>
  <si>
    <t>NA_HighnetWorthIndividualsFamilyOffices_NonListedFunds</t>
  </si>
  <si>
    <t>NA_HNWI/FO_NLF</t>
  </si>
  <si>
    <t>NA_HighnetWorthIndividualsFamilyOffices_SeparateAccountsDirect</t>
  </si>
  <si>
    <t>NA_HNWI/FO_SepAccDirect</t>
  </si>
  <si>
    <t>NA_HighnetWorthIndividualsFamilyOffices_SeparateAccountsIndirect</t>
  </si>
  <si>
    <t>NA_HNWI/FO_SepAccIndirect</t>
  </si>
  <si>
    <t>NA_HighnetWorthIndividualsFamilyOffices_JVs</t>
  </si>
  <si>
    <t>NA_HNWI/FO_JVs</t>
  </si>
  <si>
    <t>NA_HighnetWorthIndividualsFamilyOffices_FundsOfFunds</t>
  </si>
  <si>
    <t>NA_HNWI/FO_FOF</t>
  </si>
  <si>
    <t>NA_HighnetWorthIndividualsFamilyOffices_Debt</t>
  </si>
  <si>
    <t>NA_HNWI/FO_Debt</t>
  </si>
  <si>
    <t>NA_HighnetWorthIndividualsFamilyOffices_VehicleType_Total</t>
  </si>
  <si>
    <t>NA_HNWI/FO_VT_Total</t>
  </si>
  <si>
    <t>NA_OtherInvestorTypetext</t>
  </si>
  <si>
    <t>NA_OtherITText</t>
  </si>
  <si>
    <t>NA_OtherInvestorType_NonListedFunds</t>
  </si>
  <si>
    <t>NA_OtherIT_NLF</t>
  </si>
  <si>
    <t>NA_OtherInvestorType_SeparateAccountsDirect</t>
  </si>
  <si>
    <t>NA_OtherIT_SepAccDirect</t>
  </si>
  <si>
    <t>NA_OtherInvestorType_SeparateAccountsIndirect</t>
  </si>
  <si>
    <t>NA_OtherIT_SepAccIndirect</t>
  </si>
  <si>
    <t>NA_OtherInvestorType_JVs</t>
  </si>
  <si>
    <t>NA_OtherIT_JVs</t>
  </si>
  <si>
    <t>NA_OtherInvestorType_FundsOfFunds</t>
  </si>
  <si>
    <t>NA_OtherIT_FOF</t>
  </si>
  <si>
    <t>NA_OtherInvestorType_Debt</t>
  </si>
  <si>
    <t>NA_OtherIT_Debt</t>
  </si>
  <si>
    <t>NA_OtherInvestorType_VehicleType_Total</t>
  </si>
  <si>
    <t>NA_OtherIT_VT_Total</t>
  </si>
  <si>
    <t>NA_InvestorType_NonListedFunds_Total</t>
  </si>
  <si>
    <t>NA_IT_NLF_Total</t>
  </si>
  <si>
    <t>NA_InvestorType_SeparateAccountsDirect_Total</t>
  </si>
  <si>
    <t>NA_IT_SepAccDirect_Total</t>
  </si>
  <si>
    <t>NA_InvestorType_SeparateAccountsIndirect_Total</t>
  </si>
  <si>
    <t>NA_IT_SepAccIndirect_Total</t>
  </si>
  <si>
    <t>NA_InvestorType_JVs_Total</t>
  </si>
  <si>
    <t>NA_IT_JVs_Total</t>
  </si>
  <si>
    <t>NA_InvestorType_FundsOfFunds_Total</t>
  </si>
  <si>
    <t>NA_IT_FOF_Total</t>
  </si>
  <si>
    <t>NA_InvestorType_Debt_Total</t>
  </si>
  <si>
    <t>NA_IT_Debt_Total</t>
  </si>
  <si>
    <t>NA_InvestorType_VehicleType_Total</t>
  </si>
  <si>
    <t>NA_IT_VT_Total</t>
  </si>
  <si>
    <t>19</t>
  </si>
  <si>
    <t>q19</t>
  </si>
  <si>
    <t>NA_InvestorDomicileEurope_NonListedFunds</t>
  </si>
  <si>
    <t>NA_IDEUR_NLF</t>
  </si>
  <si>
    <t>NA_InvestorDomicileEurope_SeparateAccountsDirect</t>
  </si>
  <si>
    <t>NA_IDEUR_SepAccDirect</t>
  </si>
  <si>
    <t>NA_InvestorDomicileEurope_SeparateAccountsIndirect</t>
  </si>
  <si>
    <t>NA_IDEUR_SepAccIndirect</t>
  </si>
  <si>
    <t>NA_InvestorDomicileEurope_JVs</t>
  </si>
  <si>
    <t>NA_IDEUR_JVs</t>
  </si>
  <si>
    <t>NA_InvestorDomicileEurope_FundsOfFunds</t>
  </si>
  <si>
    <t>NA_IDEUR_FOF</t>
  </si>
  <si>
    <t>NA_InvestorDomicileEurope_Debt</t>
  </si>
  <si>
    <t>NA_IDEUR_Debt</t>
  </si>
  <si>
    <t>NA_InvestorDomicileEurope_VehicleType_Total</t>
  </si>
  <si>
    <t>NA_IDEUR_VT_Total</t>
  </si>
  <si>
    <t>NA_InvestorDomicileAsiaPacific_NonListedFunds</t>
  </si>
  <si>
    <t>NA_IDAPAC_NLF</t>
  </si>
  <si>
    <t>NA_InvestorDomicileAsiaPacific_SeparateAccountsDirect</t>
  </si>
  <si>
    <t>NA_IDAPAC_SepAccDirect</t>
  </si>
  <si>
    <t>NA_InvestorDomicileAsiaPacific_SeparateAccountsIndirect</t>
  </si>
  <si>
    <t>NA_IDAPAC_SepAccIndirect</t>
  </si>
  <si>
    <t>NA_InvestorDomicileAsiaPacific_JVs</t>
  </si>
  <si>
    <t>NA_IDAPAC_JVs</t>
  </si>
  <si>
    <t>NA_InvestorDomicileAsiaPacific_FundsOfFunds</t>
  </si>
  <si>
    <t>NA_IDAPAC_FOF</t>
  </si>
  <si>
    <t>NA_InvestorDomicileAsiaPacific_Debt</t>
  </si>
  <si>
    <t>NA_IDAPAC_Debt</t>
  </si>
  <si>
    <t>NA_InvestorDomicileAsiaPacific_VehicleType_Total</t>
  </si>
  <si>
    <t>NA_IDAPAC_VT_Total</t>
  </si>
  <si>
    <t>NA_InvestorDomicileNorthAmerica_NonListedFunds</t>
  </si>
  <si>
    <t>NA_IDNA_NLF</t>
  </si>
  <si>
    <t>NA_InvestorDomicileNorthAmerica_SeparateAccountsDirect</t>
  </si>
  <si>
    <t>NA_IDNA_SepAccDirect</t>
  </si>
  <si>
    <t>NA_InvestorDomicileNorthAmerica_SeparateAccountsIndirect</t>
  </si>
  <si>
    <t>NA_IDNA_SepAccIndirect</t>
  </si>
  <si>
    <t>NA_InvestorDomicileNorthAmerica_JVs</t>
  </si>
  <si>
    <t>NA_IDNA_JVs</t>
  </si>
  <si>
    <t>NA_InvestorDomicileNorthAmerica_FundsOfFunds</t>
  </si>
  <si>
    <t>NA_IDNA_FOF</t>
  </si>
  <si>
    <t>NA_InvestorDomicileNorthAmerica_Debt</t>
  </si>
  <si>
    <t>NA_IDNA_Debt</t>
  </si>
  <si>
    <t>NA_InvestorDomicileNorthAmerica_VehicleType_Total</t>
  </si>
  <si>
    <t>NA_IDNA_VT_Total</t>
  </si>
  <si>
    <t>NA_InvestorDomicileSouthAmerica_NonListedFunds</t>
  </si>
  <si>
    <t>NA_IDSA_NLF</t>
  </si>
  <si>
    <t>NA_InvestorDomicileSouthAmerica_SeparateAccountsDirect</t>
  </si>
  <si>
    <t>NA_IDSA_SepAccDirect</t>
  </si>
  <si>
    <t>NA_InvestorDomicileSouthAmerica_SeparateAccountsIndirect</t>
  </si>
  <si>
    <t>NA_IDSA_SepAccIndirect</t>
  </si>
  <si>
    <t>NA_InvestorDomicileSouthAmerica_JVs</t>
  </si>
  <si>
    <t>NA_IDSA_JVs</t>
  </si>
  <si>
    <t>NA_InvestorDomicileSouthAmerica_FundsOfFunds</t>
  </si>
  <si>
    <t>NA_IDSA_FOF</t>
  </si>
  <si>
    <t>NA_InvestorDomicileSouthAmerica_Debt</t>
  </si>
  <si>
    <t>NA_IDSA_Debt</t>
  </si>
  <si>
    <t>NA_InvestorDomicileSouthAmerica_VehicleType_Total</t>
  </si>
  <si>
    <t>NA_IDSA_VT_Total</t>
  </si>
  <si>
    <t>NA_InvestorDomicileAfrica_NonListedFunds</t>
  </si>
  <si>
    <t>NA_IDAFR_NLF</t>
  </si>
  <si>
    <t>NA_InvestorDomicileAfrica_SeparateAccountsDirect</t>
  </si>
  <si>
    <t>NA_IDAFR_SepAccDirect</t>
  </si>
  <si>
    <t>NA_InvestorDomicileAfrica_SeparateAccountsIndirect</t>
  </si>
  <si>
    <t>NA_IDAFR_SepAccIndirect</t>
  </si>
  <si>
    <t>NA_InvestorDomicileAfrica_JVs</t>
  </si>
  <si>
    <t>NA_IDAFR_JVs</t>
  </si>
  <si>
    <t>NA_InvestorDomicileAfrica_FundsOfFunds</t>
  </si>
  <si>
    <t>NA_IDAFR_FOF</t>
  </si>
  <si>
    <t>NA_InvestorDomicileAfrica_Debt</t>
  </si>
  <si>
    <t>NA_IDAFR_Debt</t>
  </si>
  <si>
    <t>NA_InvestorDomicileAfrica_VehicleType_Total</t>
  </si>
  <si>
    <t>NA_IDAFR_VT_Total</t>
  </si>
  <si>
    <t>NA_InvestorDomicile_NonListedFunds_Total</t>
  </si>
  <si>
    <t>NA_ID_NLF_Total</t>
  </si>
  <si>
    <t>NA_InvestorDomicile_SeparateAccountsDirect_Total</t>
  </si>
  <si>
    <t>NA_ID_SepAccDirect_Total</t>
  </si>
  <si>
    <t>NA_InvestorDomicile_SeparateAccountsIndirect_Total</t>
  </si>
  <si>
    <t>NA_ID_SepAccIndirect_Total</t>
  </si>
  <si>
    <t>NA_InvestorDomicile_JVs_Total</t>
  </si>
  <si>
    <t>NA_ID_JVs_Total</t>
  </si>
  <si>
    <t>NA_InvestorDomicile_FundsOfFunds_Total</t>
  </si>
  <si>
    <t>NA_ID_FOF_Total</t>
  </si>
  <si>
    <t>NA_InvestorDomicile_Debt_Total</t>
  </si>
  <si>
    <t>NA_ID_Debt_Total</t>
  </si>
  <si>
    <t>NA_InvestorDomicile_VehicleType_Total</t>
  </si>
  <si>
    <t>NA_ID_VT_Total</t>
  </si>
  <si>
    <t>20</t>
  </si>
  <si>
    <t>Global Capital raised</t>
  </si>
  <si>
    <t>q20</t>
  </si>
  <si>
    <t>GLOBAL_PensionFunds_NonListedFunds</t>
  </si>
  <si>
    <t>GLB_PF_NLF</t>
  </si>
  <si>
    <t>GLOBAL_PensionFunds_SeparateAccountsDirect</t>
  </si>
  <si>
    <t>GLB_PF_SepAccDirect</t>
  </si>
  <si>
    <t>GLOBAL_PensionFunds_SeparateAccountsIndirect</t>
  </si>
  <si>
    <t>GLB_PF_SepAccIndirect</t>
  </si>
  <si>
    <t>GLOBAL_PensionFunds_JVs</t>
  </si>
  <si>
    <t>GLB_PF_JVs</t>
  </si>
  <si>
    <t>GLOBAL_PensionFunds_FundsOfFunds</t>
  </si>
  <si>
    <t>GLB_PF_FOF</t>
  </si>
  <si>
    <t>GLOBAL_PensionFunds_Debt</t>
  </si>
  <si>
    <t>GLB_PF_Debt</t>
  </si>
  <si>
    <t>GLOBAL_PensionFunds_VehicleType_Total</t>
  </si>
  <si>
    <t>GLB_PF_VT_Total</t>
  </si>
  <si>
    <t>GLOBAL_InsuranceCompanies_NonListedFunds</t>
  </si>
  <si>
    <t>GLB_IC_NLF</t>
  </si>
  <si>
    <t>GLOBAL_InsuranceCompanies_SeparateAccountsDirect</t>
  </si>
  <si>
    <t>GLB_IC_SepAccDirect</t>
  </si>
  <si>
    <t>GLOBAL_InsuranceCompanies_SeparateAccountsIndirect</t>
  </si>
  <si>
    <t>GLB_IC_SepAccIndirect</t>
  </si>
  <si>
    <t>GLOBAL_InsuranceCompanies_JVs</t>
  </si>
  <si>
    <t>GLB_IC_JVs</t>
  </si>
  <si>
    <t>GLOBAL_InsuranceCompanies_FundsOfFunds</t>
  </si>
  <si>
    <t>GLB_IC_FOF</t>
  </si>
  <si>
    <t>GLOBAL_InsuranceCompanies_Debt</t>
  </si>
  <si>
    <t>GLB_IC_Debt</t>
  </si>
  <si>
    <t>GLOBAL_InsuranceCompanies_VehicleType_Total</t>
  </si>
  <si>
    <t>GLB_IC_VT_Total</t>
  </si>
  <si>
    <t>GLOBAL_SovereignWealthFunds_NonListedFunds</t>
  </si>
  <si>
    <t>GLB_SWF_NLF</t>
  </si>
  <si>
    <t>GLOBAL_SovereignWealthFunds_SeparateAccountsDirect</t>
  </si>
  <si>
    <t>GLB_SWF_SepAccDirect</t>
  </si>
  <si>
    <t>GLOBAL_SovereignWealthFunds_SeparateAccountsIndirect</t>
  </si>
  <si>
    <t>GLB_SWF_SepAccIndirect</t>
  </si>
  <si>
    <t>GLOBAL_SovereignWealthFunds_JVs</t>
  </si>
  <si>
    <t>GLB_SWF_JVs</t>
  </si>
  <si>
    <t>GLOBAL_SovereignWealthFunds_FundsOfFunds</t>
  </si>
  <si>
    <t>GLB_SWF_FOF</t>
  </si>
  <si>
    <t>GLOBAL_SovereignWealthFunds_Debt</t>
  </si>
  <si>
    <t>GLB_SWF_Debt</t>
  </si>
  <si>
    <t>GLOBAL_SovereignWealthFunds_VehicleType_Total</t>
  </si>
  <si>
    <t>GLB_SWF_VT_Total</t>
  </si>
  <si>
    <t>GLOBAL_GovernmentInstitutions_NonListedFunds</t>
  </si>
  <si>
    <t>GLB_GI_NLF</t>
  </si>
  <si>
    <t>GLOBAL_GovernmentInstitutions_SeparateAccountsDirect</t>
  </si>
  <si>
    <t>GLB_GI_SepAccDirect</t>
  </si>
  <si>
    <t>GLOBAL_GovernmentInstitutions_SeparateAccountsIndirect</t>
  </si>
  <si>
    <t>GLB_GI_SepAccIndirect</t>
  </si>
  <si>
    <t>GLOBAL_GovernmentInstitutions_JVs</t>
  </si>
  <si>
    <t>GLB_GI_JVs</t>
  </si>
  <si>
    <t>GLOBAL_GovernmentInstitutions_FundsOfFunds</t>
  </si>
  <si>
    <t>GLB_GI_FOF</t>
  </si>
  <si>
    <t>GLOBAL_GovernmentInstitutions_Debt</t>
  </si>
  <si>
    <t>GLB_GI_Debt</t>
  </si>
  <si>
    <t>GLOBAL_GovernmentInstitutions_VehicleType_Total</t>
  </si>
  <si>
    <t>GLB_GI_VT_Total</t>
  </si>
  <si>
    <t>GLOBAL_CharitiesFoundationsNonProfitOrganizations_NonListedFunds</t>
  </si>
  <si>
    <t>GLB_CF&amp;NPO_NLF</t>
  </si>
  <si>
    <t>GLOBAL_CharitiesFoundationsNonProfitOrganizations_SeparateAccountsDirect</t>
  </si>
  <si>
    <t>GLB_CF&amp;NPO_SepAccDirect</t>
  </si>
  <si>
    <t>GLOBAL_CharitiesFoundationsNonProfitOrganizations_SeparateAccountsIndirect</t>
  </si>
  <si>
    <t>GLB_CF&amp;NPO_SepAccIndirect</t>
  </si>
  <si>
    <t>GLOBAL_CharitiesFoundationsNonProfitOrganizations_JVs</t>
  </si>
  <si>
    <t>GLB_CF&amp;NPO_JVs</t>
  </si>
  <si>
    <t>GLOBAL_CharitiesFoundationsNonProfitOrganizations_FundsOfFunds</t>
  </si>
  <si>
    <t>GLB_CF&amp;NPO_FOF</t>
  </si>
  <si>
    <t>GLOBAL_CharitiesFoundationsNonProfitOrganizations_Debt</t>
  </si>
  <si>
    <t>GLB_CF&amp;NPO_Debt</t>
  </si>
  <si>
    <t>GLOBAL_CharitiesFoundationsNonProfitOrganizations_VehicleType_Total</t>
  </si>
  <si>
    <t>GLB_CF&amp;NPO_VT_Total</t>
  </si>
  <si>
    <t>GLOBAL_FundsOfFunds_NonListedFunds</t>
  </si>
  <si>
    <t>GLB_FOF_NLF</t>
  </si>
  <si>
    <t>GLOBAL_FundsOfFunds_SeparateAccountsDirect</t>
  </si>
  <si>
    <t>GLB_FOF_SepAccDirect</t>
  </si>
  <si>
    <t>GLOBAL_FundsOfFunds_SeparateAccountsIndirect</t>
  </si>
  <si>
    <t>GLB_FOF_SepAccIndirect</t>
  </si>
  <si>
    <t>GLOBAL_FundsOfFunds_JVs</t>
  </si>
  <si>
    <t>GLB_FOF_JVs</t>
  </si>
  <si>
    <t>GLOBAL_FundsOfFunds_FundsOfFunds</t>
  </si>
  <si>
    <t>GLB_FOF_FOF</t>
  </si>
  <si>
    <t>GLOBAL_FundsOfFunds_Debt</t>
  </si>
  <si>
    <t>GLB_FOF_Debt</t>
  </si>
  <si>
    <t>GLOBAL_FundsOfFunds_VehicleType_Total</t>
  </si>
  <si>
    <t>GLB_FOF_VT_Total</t>
  </si>
  <si>
    <t>GLOBAL_HighnetWorthIndividualsFamilyOffices_NonListedFunds</t>
  </si>
  <si>
    <t>GLB_HNWI/FO_NLF</t>
  </si>
  <si>
    <t>GLOBAL_HighnetWorthIndividualsFamilyOffices_SeparateAccountsDirect</t>
  </si>
  <si>
    <t>GLB_HNWI/FO_SepAccDirect</t>
  </si>
  <si>
    <t>GLOBAL_HighnetWorthIndividualsFamilyOffices_SeparateAccountsIndirect</t>
  </si>
  <si>
    <t>GLB_HNWI/FO_SepAccIndirect</t>
  </si>
  <si>
    <t>GLOBAL_HighnetWorthIndividualsFamilyOffices_JVs</t>
  </si>
  <si>
    <t>GLB_HNWI/FO_JVs</t>
  </si>
  <si>
    <t>GLOBAL_HighnetWorthIndividualsFamilyOffices_FundsOfFunds</t>
  </si>
  <si>
    <t>GLB_HNWI/FO_FOF</t>
  </si>
  <si>
    <t>GLOBAL_HighnetWorthIndividualsFamilyOffices_Debt</t>
  </si>
  <si>
    <t>GLB_HNWI/FO_Debt</t>
  </si>
  <si>
    <t>GLOBAL_HighnetWorthIndividualsFamilyOffices_VehicleType_Total</t>
  </si>
  <si>
    <t>GLB_HNWI/FO_VT_Total</t>
  </si>
  <si>
    <t>GLOBAL_OtherInvestorTypetext</t>
  </si>
  <si>
    <t>GLB_OtherITText</t>
  </si>
  <si>
    <t>GLOBAL_OtherInvestorType_NonListedFunds</t>
  </si>
  <si>
    <t>GLB_OtherIT_NLF</t>
  </si>
  <si>
    <t>GLOBAL_OtherInvestorType_SeparateAccountsDirect</t>
  </si>
  <si>
    <t>GLB_OtherIT_SepAccDirect</t>
  </si>
  <si>
    <t>GLOBAL_OtherInvestorType_SeparateAccountsIndirect</t>
  </si>
  <si>
    <t>GLB_OtherIT_SepAccIndirect</t>
  </si>
  <si>
    <t>GLOBAL_OtherInvestorType_JVs</t>
  </si>
  <si>
    <t>GLB_OtherIT_JVs</t>
  </si>
  <si>
    <t>GLOBAL_OtherInvestorType_FundsOfFunds</t>
  </si>
  <si>
    <t>GLB_OtherIT_FOF</t>
  </si>
  <si>
    <t>GLOBAL_OtherInvestorType_Debt</t>
  </si>
  <si>
    <t>GLB_OtherIT_Debt</t>
  </si>
  <si>
    <t>GLOBAL_OtherInvestorType_VehicleType_Total</t>
  </si>
  <si>
    <t>GLB_OtherIT_VT_Total</t>
  </si>
  <si>
    <t>GLOBAL_InvestorType_NonListedFunds_Total</t>
  </si>
  <si>
    <t>GLB_IT_NLF_Total</t>
  </si>
  <si>
    <t>GLOBAL_InvestorType_SeparateAccountsDirect_Total</t>
  </si>
  <si>
    <t>GLB_IT_SepAccDirect_Total</t>
  </si>
  <si>
    <t>GLOBAL_InvestorType_SeparateAccountsIndirect_Total</t>
  </si>
  <si>
    <t>GLB_IT_SepAccIndirect_Total</t>
  </si>
  <si>
    <t>GLOBAL_InvestorType_JVs_Total</t>
  </si>
  <si>
    <t>GLB_IT_JVs_Total</t>
  </si>
  <si>
    <t>GLOBAL_InvestorType_FundsOfFunds_Total</t>
  </si>
  <si>
    <t>GLB_IT_FOF_Total</t>
  </si>
  <si>
    <t>GLOBAL_InvestorType_Debt_Total</t>
  </si>
  <si>
    <t>GLB_IT_Debt_Total</t>
  </si>
  <si>
    <t>GLOBAL_InvestorType_VehicleType_Total</t>
  </si>
  <si>
    <t>GLB_IT_VT_Total</t>
  </si>
  <si>
    <t>q21</t>
  </si>
  <si>
    <t>GLOBAL_InvestorDomicileEurope_NonListedFunds</t>
  </si>
  <si>
    <t>GLB_IDEUR_NLF</t>
  </si>
  <si>
    <t>GLOBAL_InvestorDomicileEurope_SeparateAccountsDirect</t>
  </si>
  <si>
    <t>GLB_IDEUR_SepAccDirect</t>
  </si>
  <si>
    <t>GLOBAL_InvestorDomicileEurope_SeparateAccountsIndirect</t>
  </si>
  <si>
    <t>GLB_IDEUR_SepAccIndirect</t>
  </si>
  <si>
    <t>GLOBAL_InvestorDomicileEurope_JVs</t>
  </si>
  <si>
    <t>GLB_IDEUR_JVs</t>
  </si>
  <si>
    <t>GLOBAL_InvestorDomicileEurope_FundsOfFunds</t>
  </si>
  <si>
    <t>GLB_IDEUR_FOF</t>
  </si>
  <si>
    <t>GLOBAL_InvestorDomicileEurope_Debt</t>
  </si>
  <si>
    <t>GLB_IDEUR_Debt</t>
  </si>
  <si>
    <t>GLOBAL_InvestorDomicileEurope_VehicleType_Total</t>
  </si>
  <si>
    <t>GLB_IDEUR_VT_Total</t>
  </si>
  <si>
    <t>GLOBAL_InvestorDomicileAsiaPacific_NonListedFunds</t>
  </si>
  <si>
    <t>GLB_IDAPAC_NLF</t>
  </si>
  <si>
    <t>GLOBAL_InvestorDomicileAsiaPacific_SeparateAccountsDirect</t>
  </si>
  <si>
    <t>GLB_IDAPAC_SepAccDirect</t>
  </si>
  <si>
    <t>GLOBAL_InvestorDomicileAsiaPacific_SeparateAccountsIndirect</t>
  </si>
  <si>
    <t>GLB_IDAPAC_SepAccIndirect</t>
  </si>
  <si>
    <t>GLOBAL_InvestorDomicileAsiaPacific_JVs</t>
  </si>
  <si>
    <t>GLB_IDAPAC_JVs</t>
  </si>
  <si>
    <t>GLOBAL_InvestorDomicileAsiaPacific_FundsOfFunds</t>
  </si>
  <si>
    <t>GLB_IDAPAC_FOF</t>
  </si>
  <si>
    <t>GLOBAL_InvestorDomicileAsiaPacific_Debt</t>
  </si>
  <si>
    <t>GLB_IDAPAC_Debt</t>
  </si>
  <si>
    <t>GLOBAL_InvestorDomicileAsiaPacific_VehicleType_Total</t>
  </si>
  <si>
    <t>GLB_IDAPAC_VT_Total</t>
  </si>
  <si>
    <t>GLOBAL_InvestorDomicileNorthAmerica_NonListedFunds</t>
  </si>
  <si>
    <t>GLB_IDNA_NLF</t>
  </si>
  <si>
    <t>GLOBAL_InvestorDomicileNorthAmerica_SeparateAccountsDirect</t>
  </si>
  <si>
    <t>GLB_IDNA_SepAccDirect</t>
  </si>
  <si>
    <t>GLOBAL_InvestorDomicileNorthAmerica_SeparateAccountsIndirect</t>
  </si>
  <si>
    <t>GLB_IDNA_SepAccIndirect</t>
  </si>
  <si>
    <t>GLOBAL_InvestorDomicileNorthAmerica_JVs</t>
  </si>
  <si>
    <t>GLB_IDNA_JVs</t>
  </si>
  <si>
    <t>GLOBAL_InvestorDomicileNorthAmerica_FundsOfFunds</t>
  </si>
  <si>
    <t>GLB_IDNA_FOF</t>
  </si>
  <si>
    <t>GLOBAL_InvestorDomicileNorthAmerica_Debt</t>
  </si>
  <si>
    <t>GLB_IDNA_Debt</t>
  </si>
  <si>
    <t>GLOBAL_InvestorDomicileNorthAmerica_VehicleType_Total</t>
  </si>
  <si>
    <t>GLB_IDNA_VT_Total</t>
  </si>
  <si>
    <t>GLOBAL_InvestorDomicileSouthAmerica_NonListedFunds</t>
  </si>
  <si>
    <t>GLB_IDSA_NLF</t>
  </si>
  <si>
    <t>GLOBAL_InvestorDomicileSouthAmerica_SeparateAccountsDirect</t>
  </si>
  <si>
    <t>GLB_IDSA_SepAccDirect</t>
  </si>
  <si>
    <t>GLOBAL_InvestorDomicileSouthAmerica_SeparateAccountsIndirect</t>
  </si>
  <si>
    <t>GLB_IDSA_SepAccIndirect</t>
  </si>
  <si>
    <t>GLOBAL_InvestorDomicileSouthAmerica_JVs</t>
  </si>
  <si>
    <t>GLB_IDSA_JVs</t>
  </si>
  <si>
    <t>GLOBAL_InvestorDomicileSouthAmerica_FundsOfFunds</t>
  </si>
  <si>
    <t>GLB_IDSA_FOF</t>
  </si>
  <si>
    <t>GLOBAL_InvestorDomicileSouthAmerica_Debt</t>
  </si>
  <si>
    <t>GLB_IDSA_Debt</t>
  </si>
  <si>
    <t>GLOBAL_InvestorDomicileSouthAmerica_VehicleType_Total</t>
  </si>
  <si>
    <t>GLB_IDSA_VT_Total</t>
  </si>
  <si>
    <t>GLOBAL_InvestorDomicileAfrica_NonListedFunds</t>
  </si>
  <si>
    <t>GLB_IDAFR_NLF</t>
  </si>
  <si>
    <t>GLOBAL_InvestorDomicileAfrica_SeparateAccountsDirect</t>
  </si>
  <si>
    <t>GLB_IDAFR_SepAccDirect</t>
  </si>
  <si>
    <t>GLOBAL_InvestorDomicileAfrica_SeparateAccountsIndirect</t>
  </si>
  <si>
    <t>GLB_IDAFR_SepAccIndirect</t>
  </si>
  <si>
    <t>GLOBAL_InvestorDomicileAfrica_JVs</t>
  </si>
  <si>
    <t>GLB_IDAFR_JVs</t>
  </si>
  <si>
    <t>GLOBAL_InvestorDomicileAfrica_FundsOfFunds</t>
  </si>
  <si>
    <t>GLB_IDAFR_FOF</t>
  </si>
  <si>
    <t>GLOBAL_InvestorDomicileAfrica_Debt</t>
  </si>
  <si>
    <t>GLB_IDAFR_Debt</t>
  </si>
  <si>
    <t>GLOBAL_InvestorDomicileAfrica_VehicleType_Total</t>
  </si>
  <si>
    <t>GLB_IDAFR_VT_Total</t>
  </si>
  <si>
    <t>GLOBAL_InvestorDomicile_NonListedFunds_Total</t>
  </si>
  <si>
    <t>GLB_ID_NLF_Total</t>
  </si>
  <si>
    <t>GLOBAL_InvestorDomicile_SeparateAccountsDirect_Total</t>
  </si>
  <si>
    <t>GLB_ID_SepAccDirect_Total</t>
  </si>
  <si>
    <t>GLOBAL_InvestorDomicile_SeparateAccountsIndirect_Total</t>
  </si>
  <si>
    <t>GLB_ID_SepAccIndirect_Total</t>
  </si>
  <si>
    <t>GLOBAL_InvestorDomicile_JVs_Total</t>
  </si>
  <si>
    <t>GLB_ID_JVs_Total</t>
  </si>
  <si>
    <t>GLOBAL_InvestorDomicile_FundsOfFunds_Total</t>
  </si>
  <si>
    <t>GLB_ID_FOF_Total</t>
  </si>
  <si>
    <t>GLOBAL_InvestorDomicile_Debt_Total</t>
  </si>
  <si>
    <t>GLB_ID_Debt_Total</t>
  </si>
  <si>
    <t>GLOBAL_InvestorDomicile_VehicleType_Total</t>
  </si>
  <si>
    <t>GLB_ID_VT_Total</t>
  </si>
  <si>
    <t>22</t>
  </si>
  <si>
    <t>SA Capital raised</t>
  </si>
  <si>
    <t>q22</t>
  </si>
  <si>
    <t>SA_PensionFunds_NonListedFunds</t>
  </si>
  <si>
    <t>SA_PF_NLF</t>
  </si>
  <si>
    <t>SA_PensionFunds_SeparateAccountsDirect</t>
  </si>
  <si>
    <t>SA_PF_SepAccDirect</t>
  </si>
  <si>
    <t>SA_PensionFunds_SeparateAccountsIndirect</t>
  </si>
  <si>
    <t>SA_PF_SepAccIndirect</t>
  </si>
  <si>
    <t>SA_PensionFunds_JVs</t>
  </si>
  <si>
    <t>SA_PF_JVs</t>
  </si>
  <si>
    <t>SA_PensionFunds_FundsOfFunds</t>
  </si>
  <si>
    <t>SA_PF_FOF</t>
  </si>
  <si>
    <t>SA_PensionFunds_Debt</t>
  </si>
  <si>
    <t>SA_PF_Debt</t>
  </si>
  <si>
    <t>SA_PensionFunds_VehicleType_Total</t>
  </si>
  <si>
    <t>SA_PF_VT_Total</t>
  </si>
  <si>
    <t>SA_InsuranceCompanies_NonListedFunds</t>
  </si>
  <si>
    <t>SA_IC_NLF</t>
  </si>
  <si>
    <t>SA_InsuranceCompanies_SeparateAccountsDirect</t>
  </si>
  <si>
    <t>SA_IC_SepAccDirect</t>
  </si>
  <si>
    <t>SA_InsuranceCompanies_SeparateAccountsIndirect</t>
  </si>
  <si>
    <t>SA_IC_SepAccIndirect</t>
  </si>
  <si>
    <t>SA_InsuranceCompanies_JVs</t>
  </si>
  <si>
    <t>SA_IC_JVs</t>
  </si>
  <si>
    <t>SA_InsuranceCompanies_FundsOfFunds</t>
  </si>
  <si>
    <t>SA_IC_FOF</t>
  </si>
  <si>
    <t>SA_InsuranceCompanies_Debt</t>
  </si>
  <si>
    <t>SA_IC_Debt</t>
  </si>
  <si>
    <t>SA_InsuranceCompanies_VehicleType_Total</t>
  </si>
  <si>
    <t>SA_IC_VT_Total</t>
  </si>
  <si>
    <t>SA_SovereignWealthFunds_NonListedFunds</t>
  </si>
  <si>
    <t>SA_SWF_NLF</t>
  </si>
  <si>
    <t>SA_SovereignWealthFunds_SeparateAccountsDirect</t>
  </si>
  <si>
    <t>SA_SWF_SepAccDirect</t>
  </si>
  <si>
    <t>SA_SovereignWealthFunds_SeparateAccountsIndirect</t>
  </si>
  <si>
    <t>SA_SWF_SepAccIndirect</t>
  </si>
  <si>
    <t>SA_SovereignWealthFunds_JVs</t>
  </si>
  <si>
    <t>SA_SWF_JVs</t>
  </si>
  <si>
    <t>SA_SovereignWealthFunds_FundsOfFunds</t>
  </si>
  <si>
    <t>SA_SWF_FOF</t>
  </si>
  <si>
    <t>SA_SovereignWealthFunds_Debt</t>
  </si>
  <si>
    <t>SA_SWF_Debt</t>
  </si>
  <si>
    <t>SA_SovereignWealthFunds_VehicleType_Total</t>
  </si>
  <si>
    <t>SA_SWF_VT_Total</t>
  </si>
  <si>
    <t>SA_GovernmentInstitutions_NonListedFunds</t>
  </si>
  <si>
    <t>SA_GI_NLF</t>
  </si>
  <si>
    <t>SA_GovernmentInstitutions_SeparateAccountsDirect</t>
  </si>
  <si>
    <t>SA_GI_SepAccDirect</t>
  </si>
  <si>
    <t>SA_GovernmentInstitutions_SeparateAccountsIndirect</t>
  </si>
  <si>
    <t>SA_GI_SepAccIndirect</t>
  </si>
  <si>
    <t>SA_GovernmentInstitutions_JVs</t>
  </si>
  <si>
    <t>SA_GI_JVs</t>
  </si>
  <si>
    <t>SA_GovernmentInstitutions_FundsOfFunds</t>
  </si>
  <si>
    <t>SA_GI_FOF</t>
  </si>
  <si>
    <t>SA_GovernmentInstitutions_Debt</t>
  </si>
  <si>
    <t>SA_GI_Debt</t>
  </si>
  <si>
    <t>SA_GovernmentInstitutions_VehicleType_Total</t>
  </si>
  <si>
    <t>SA_GI_VT_Total</t>
  </si>
  <si>
    <t>SA_CharitiesFoundationsNonProfitOrganizations_NonListedFunds</t>
  </si>
  <si>
    <t>SA_CF&amp;NPO_NLF</t>
  </si>
  <si>
    <t>SA_CharitiesFoundationsNonProfitOrganizations_SeparateAccountsDirect</t>
  </si>
  <si>
    <t>SA_CF&amp;NPO_SepAccDirect</t>
  </si>
  <si>
    <t>SA_CharitiesFoundationsNonProfitOrganizations_SeparateAccountsIndirect</t>
  </si>
  <si>
    <t>SA_CF&amp;NPO_SepAccIndirect</t>
  </si>
  <si>
    <t>SA_CharitiesFoundationsNonProfitOrganizations_JVs</t>
  </si>
  <si>
    <t>SA_CF&amp;NPO_JVs</t>
  </si>
  <si>
    <t>SA_CharitiesFoundationsNonProfitOrganizations_FundsOfFunds</t>
  </si>
  <si>
    <t>SA_CF&amp;NPO_FOF</t>
  </si>
  <si>
    <t>SA_CharitiesFoundationsNonProfitOrganizations_Debt</t>
  </si>
  <si>
    <t>SA_CF&amp;NPO_Debt</t>
  </si>
  <si>
    <t>SA_CharitiesFoundationsNonProfitOrganizations_VehicleType_Total</t>
  </si>
  <si>
    <t>SA_CF&amp;NPO_VT_Total</t>
  </si>
  <si>
    <t>SA_FundsOfFunds_NonListedFunds</t>
  </si>
  <si>
    <t>SA_FOF_NLF</t>
  </si>
  <si>
    <t>SA_FundsOfFunds_SeparateAccountsDirect</t>
  </si>
  <si>
    <t>SA_FOF_SepAccDirect</t>
  </si>
  <si>
    <t>SA_FundsOfFunds_SeparateAccountsIndirect</t>
  </si>
  <si>
    <t>SA_FOF_SepAccIndirect</t>
  </si>
  <si>
    <t>SA_FundsOfFunds_JVs</t>
  </si>
  <si>
    <t>SA_FOF_JVs</t>
  </si>
  <si>
    <t>SA_FundsOfFunds_FundsOfFunds</t>
  </si>
  <si>
    <t>SA_FOF_FOF</t>
  </si>
  <si>
    <t>SA_FundsOfFunds_Debt</t>
  </si>
  <si>
    <t>SA_FOF_Debt</t>
  </si>
  <si>
    <t>SA_FundsOfFunds_VehicleType_Total</t>
  </si>
  <si>
    <t>SA_FOF_VT_Total</t>
  </si>
  <si>
    <t>SA_HighnetWorthIndividualsFamilyOffices_NonListedFunds</t>
  </si>
  <si>
    <t>SA_HNWI/FO_NLF</t>
  </si>
  <si>
    <t>SA_HighnetWorthIndividualsFamilyOffices_SeparateAccountsDirect</t>
  </si>
  <si>
    <t>SA_HNWI/FO_SepAccDirect</t>
  </si>
  <si>
    <t>SA_HighnetWorthIndividualsFamilyOffices_SeparateAccountsIndirect</t>
  </si>
  <si>
    <t>SA_HNWI/FO_SepAccIndirect</t>
  </si>
  <si>
    <t>SA_HighnetWorthIndividualsFamilyOffices_JVs</t>
  </si>
  <si>
    <t>SA_HNWI/FO_JVs</t>
  </si>
  <si>
    <t>SA_HighnetWorthIndividualsFamilyOffices_FundsOfFunds</t>
  </si>
  <si>
    <t>SA_HNWI/FO_FOF</t>
  </si>
  <si>
    <t>SA_HighnetWorthIndividualsFamilyOffices_Debt</t>
  </si>
  <si>
    <t>SA_HNWI/FO_Debt</t>
  </si>
  <si>
    <t>SA_HighnetWorthIndividualsFamilyOffices_VehicleType_Total</t>
  </si>
  <si>
    <t>SA_HNWI/FO_VT_Total</t>
  </si>
  <si>
    <t>SA_OtherInvestorTypetext</t>
  </si>
  <si>
    <t>SA_OtherITText</t>
  </si>
  <si>
    <t>SA_OtherInvestorType_NonListedFunds</t>
  </si>
  <si>
    <t>SA_OtherIT_NLF</t>
  </si>
  <si>
    <t>SA_OtherInvestorType_SeparateAccountsDirect</t>
  </si>
  <si>
    <t>SA_OtherIT_SepAccDirect</t>
  </si>
  <si>
    <t>SA_OtherInvestorType_SeparateAccountsIndirect</t>
  </si>
  <si>
    <t>SA_OtherIT_SepAccIndirect</t>
  </si>
  <si>
    <t>SA_OtherInvestorType_JVs</t>
  </si>
  <si>
    <t>SA_OtherIT_JVs</t>
  </si>
  <si>
    <t>SA_OtherInvestorType_FundsOfFunds</t>
  </si>
  <si>
    <t>SA_OtherIT_FOF</t>
  </si>
  <si>
    <t>SA_OtherInvestorType_Debt</t>
  </si>
  <si>
    <t>SA_OtherIT_Debt</t>
  </si>
  <si>
    <t>SA_OtherInvestorType_VehicleType_Total</t>
  </si>
  <si>
    <t>SA_OtherIT_VT_Total</t>
  </si>
  <si>
    <t>SA_InvestorType_NonListedFunds_Total</t>
  </si>
  <si>
    <t>SA_IT_NLF_Total</t>
  </si>
  <si>
    <t>SA_InvestorType_SeparateAccountsDirect_Total</t>
  </si>
  <si>
    <t>SA_IT_SepAccDirect_Total</t>
  </si>
  <si>
    <t>SA_InvestorType_SeparateAccountsIndirect_Total</t>
  </si>
  <si>
    <t>SA_IT_SepAccIndirect_Total</t>
  </si>
  <si>
    <t>SA_InvestorType_JVs_Total</t>
  </si>
  <si>
    <t>SA_IT_JVs_Total</t>
  </si>
  <si>
    <t>SA_InvestorType_FundsOfFunds_Total</t>
  </si>
  <si>
    <t>SA_IT_FOF_Total</t>
  </si>
  <si>
    <t>SA_InvestorType_Debt_Total</t>
  </si>
  <si>
    <t>SA_IT_Debt_Total</t>
  </si>
  <si>
    <t>SA_InvestorType_VehicleType_Total</t>
  </si>
  <si>
    <t>SA_IT_VT_Total</t>
  </si>
  <si>
    <t>23</t>
  </si>
  <si>
    <t>q23</t>
  </si>
  <si>
    <t>SA_InvestorDomicileEurope_NonListedFunds</t>
  </si>
  <si>
    <t>SA_IDEUR_NLF</t>
  </si>
  <si>
    <t>SA_InvestorDomicileEurope_SeparateAccountsDirect</t>
  </si>
  <si>
    <t>SA_IDEUR_SepAccDirect</t>
  </si>
  <si>
    <t>SA_InvestorDomicileEurope_SeparateAccountsIndirect</t>
  </si>
  <si>
    <t>SA_IDEUR_SepAccIndirect</t>
  </si>
  <si>
    <t>SA_InvestorDomicileEurope_JVs</t>
  </si>
  <si>
    <t>SA_IDEUR_JVs</t>
  </si>
  <si>
    <t>SA_InvestorDomicileEurope_FundsOfFunds</t>
  </si>
  <si>
    <t>SA_IDEUR_FOF</t>
  </si>
  <si>
    <t>SA_InvestorDomicileEurope_Debt</t>
  </si>
  <si>
    <t>SA_IDEUR_Debt</t>
  </si>
  <si>
    <t>SA_InvestorDomicileEurope_VehicleType_Total</t>
  </si>
  <si>
    <t>SA_IDEUR_VT_Total</t>
  </si>
  <si>
    <t>SA_InvestorDomicileAsiaPacific_NonListedFunds</t>
  </si>
  <si>
    <t>SA_IDAPAC_NLF</t>
  </si>
  <si>
    <t>SA_InvestorDomicileAsiaPacific_SeparateAccountsDirect</t>
  </si>
  <si>
    <t>SA_IDAPAC_SepAccDirect</t>
  </si>
  <si>
    <t>SA_InvestorDomicileAsiaPacific_SeparateAccountsIndirect</t>
  </si>
  <si>
    <t>SA_IDAPAC_SepAccIndirect</t>
  </si>
  <si>
    <t>SA_InvestorDomicileAsiaPacific_JVs</t>
  </si>
  <si>
    <t>SA_IDAPAC_JVs</t>
  </si>
  <si>
    <t>SA_InvestorDomicileAsiaPacific_FundsOfFunds</t>
  </si>
  <si>
    <t>SA_IDAPAC_FOF</t>
  </si>
  <si>
    <t>SA_InvestorDomicileAsiaPacific_Debt</t>
  </si>
  <si>
    <t>SA_IDAPAC_Debt</t>
  </si>
  <si>
    <t>SA_InvestorDomicileAsiaPacific_VehicleType_Total</t>
  </si>
  <si>
    <t>SA_IDAPAC_VT_Total</t>
  </si>
  <si>
    <t>SA_InvestorDomicileNorthAmerica_NonListedFunds</t>
  </si>
  <si>
    <t>SA_IDNA_NLF</t>
  </si>
  <si>
    <t>SA_InvestorDomicileNorthAmerica_SeparateAccountsDirect</t>
  </si>
  <si>
    <t>SA_IDNA_SepAccDirect</t>
  </si>
  <si>
    <t>SA_InvestorDomicileNorthAmerica_SeparateAccountsIndirect</t>
  </si>
  <si>
    <t>SA_IDNA_SepAccIndirect</t>
  </si>
  <si>
    <t>SA_InvestorDomicileNorthAmerica_JVs</t>
  </si>
  <si>
    <t>SA_IDNA_JVs</t>
  </si>
  <si>
    <t>SA_InvestorDomicileNorthAmerica_FundsOfFunds</t>
  </si>
  <si>
    <t>SA_IDNA_FOF</t>
  </si>
  <si>
    <t>SA_InvestorDomicileNorthAmerica_Debt</t>
  </si>
  <si>
    <t>SA_IDNA_Debt</t>
  </si>
  <si>
    <t>SA_InvestorDomicileNorthAmerica_VehicleType_Total</t>
  </si>
  <si>
    <t>SA_IDNA_VT_Total</t>
  </si>
  <si>
    <t>SA_InvestorDomicileSouthAmerica_NonListedFunds</t>
  </si>
  <si>
    <t>SA_IDSA_NLF</t>
  </si>
  <si>
    <t>SA_InvestorDomicileSouthAmerica_SeparateAccountsDirect</t>
  </si>
  <si>
    <t>SA_IDSA_SepAccDirect</t>
  </si>
  <si>
    <t>SA_InvestorDomicileSouthAmerica_SeparateAccountsIndirect</t>
  </si>
  <si>
    <t>SA_IDSA_SepAccIndirect</t>
  </si>
  <si>
    <t>SA_InvestorDomicileSouthAmerica_JVs</t>
  </si>
  <si>
    <t>SA_IDSA_JVs</t>
  </si>
  <si>
    <t>SA_InvestorDomicileSouthAmerica_FundsOfFunds</t>
  </si>
  <si>
    <t>SA_IDSA_FOF</t>
  </si>
  <si>
    <t>SA_InvestorDomicileSouthAmerica_Debt</t>
  </si>
  <si>
    <t>SA_IDSA_Debt</t>
  </si>
  <si>
    <t>SA_InvestorDomicileSouthAmerica_VehicleType_Total</t>
  </si>
  <si>
    <t>SA_IDSA_VT_Total</t>
  </si>
  <si>
    <t>SA_InvestorDomicileAfrica_NonListedFunds</t>
  </si>
  <si>
    <t>SA_IDAFR_NLF</t>
  </si>
  <si>
    <t>SA_InvestorDomicileAfrica_SeparateAccountsDirect</t>
  </si>
  <si>
    <t>SA_IDAFR_SepAccDirect</t>
  </si>
  <si>
    <t>SA_InvestorDomicileAfrica_SeparateAccountsIndirect</t>
  </si>
  <si>
    <t>SA_IDAFR_SepAccIndirect</t>
  </si>
  <si>
    <t>SA_InvestorDomicileAfrica_JVs</t>
  </si>
  <si>
    <t>SA_IDAFR_JVs</t>
  </si>
  <si>
    <t>SA_InvestorDomicileAfrica_FundsOfFunds</t>
  </si>
  <si>
    <t>SA_IDAFR_FOF</t>
  </si>
  <si>
    <t>SA_InvestorDomicileAfrica_Debt</t>
  </si>
  <si>
    <t>SA_IDAFR_Debt</t>
  </si>
  <si>
    <t>SA_InvestorDomicileAfrica_VehicleType_Total</t>
  </si>
  <si>
    <t>SA_IDAFR_VT_Total</t>
  </si>
  <si>
    <t>SA_InvestorDomicile_NonListedFunds_Total</t>
  </si>
  <si>
    <t>SA_ID_NLF_Total</t>
  </si>
  <si>
    <t>SA_InvestorDomicile_SeparateAccountsDirect_Total</t>
  </si>
  <si>
    <t>SA_ID_SepAccDirect_Total</t>
  </si>
  <si>
    <t>SA_InvestorDomicile_SeparateAccountsIndirect_Total</t>
  </si>
  <si>
    <t>SA_ID_SepAccIndirect_Total</t>
  </si>
  <si>
    <t>SA_InvestorDomicile_JVs_Total</t>
  </si>
  <si>
    <t>SA_ID_JVs_Total</t>
  </si>
  <si>
    <t>SA_InvestorDomicile_FundsOfFunds_Total</t>
  </si>
  <si>
    <t>SA_ID_FOF_Total</t>
  </si>
  <si>
    <t>SA_InvestorDomicile_Debt_Total</t>
  </si>
  <si>
    <t>SA_ID_Debt_Total</t>
  </si>
  <si>
    <t>SA_InvestorDomicile_VehicleType_Total</t>
  </si>
  <si>
    <t>SA_ID_VT_Total</t>
  </si>
  <si>
    <t>24</t>
  </si>
  <si>
    <t>Africa Capital raised</t>
  </si>
  <si>
    <t>q24</t>
  </si>
  <si>
    <t>AFRICA_PensionFunds_NonListedFunds</t>
  </si>
  <si>
    <t>AFR_PF_NLF</t>
  </si>
  <si>
    <t>AFRICA_PensionFunds_SeparateAccountsDirect</t>
  </si>
  <si>
    <t>AFR_PF_SepAccDirect</t>
  </si>
  <si>
    <t>AFRICA_PensionFunds_SeparateAccountsIndirect</t>
  </si>
  <si>
    <t>AFR_PF_SepAccIndirect</t>
  </si>
  <si>
    <t>AFRICA_PensionFunds_JVs</t>
  </si>
  <si>
    <t>AFR_PF_JVs</t>
  </si>
  <si>
    <t>AFRICA_PensionFunds_FundsOfFunds</t>
  </si>
  <si>
    <t>AFR_PF_FOF</t>
  </si>
  <si>
    <t>AFRICA_PensionFunds_Debt</t>
  </si>
  <si>
    <t>AFR_PF_Debt</t>
  </si>
  <si>
    <t>AFRICA_PensionFunds_VehicleType_Total</t>
  </si>
  <si>
    <t>AFR_PF_VT_Total</t>
  </si>
  <si>
    <t>AFRICA_InsuranceCompanies_NonListedFunds</t>
  </si>
  <si>
    <t>AFR_IC_NLF</t>
  </si>
  <si>
    <t>AFRICA_InsuranceCompanies_SeparateAccountsDirect</t>
  </si>
  <si>
    <t>AFR_IC_SepAccDirect</t>
  </si>
  <si>
    <t>AFRICA_InsuranceCompanies_SeparateAccountsIndirect</t>
  </si>
  <si>
    <t>AFR_IC_SepAccIndirect</t>
  </si>
  <si>
    <t>AFRICA_InsuranceCompanies_JVs</t>
  </si>
  <si>
    <t>AFR_IC_JVs</t>
  </si>
  <si>
    <t>AFRICA_InsuranceCompanies_FundsOfFunds</t>
  </si>
  <si>
    <t>AFR_IC_FOF</t>
  </si>
  <si>
    <t>AFRICA_InsuranceCompanies_Debt</t>
  </si>
  <si>
    <t>AFR_IC_Debt</t>
  </si>
  <si>
    <t>AFRICA_InsuranceCompanies_VehicleType_Total</t>
  </si>
  <si>
    <t>AFR_IC_VT_Total</t>
  </si>
  <si>
    <t>AFRICA_SovereignWealthFunds_NonListedFunds</t>
  </si>
  <si>
    <t>AFR_SWF_NLF</t>
  </si>
  <si>
    <t>AFRICA_SovereignWealthFunds_SeparateAccountsDirect</t>
  </si>
  <si>
    <t>AFR_SWF_SepAccDirect</t>
  </si>
  <si>
    <t>AFRICA_SovereignWealthFunds_SeparateAccountsIndirect</t>
  </si>
  <si>
    <t>AFR_SWF_SepAccIndirect</t>
  </si>
  <si>
    <t>AFRICA_SovereignWealthFunds_JVs</t>
  </si>
  <si>
    <t>AFR_SWF_JVs</t>
  </si>
  <si>
    <t>AFRICA_SovereignWealthFunds_FundsOfFunds</t>
  </si>
  <si>
    <t>AFR_SWF_FOF</t>
  </si>
  <si>
    <t>AFRICA_SovereignWealthFunds_Debt</t>
  </si>
  <si>
    <t>AFR_SWF_Debt</t>
  </si>
  <si>
    <t>AFRICA_SovereignWealthFunds_VehicleType_Total</t>
  </si>
  <si>
    <t>AFR_SWF_VT_Total</t>
  </si>
  <si>
    <t>AFRICA_GovernmentInstitutions_NonListedFunds</t>
  </si>
  <si>
    <t>AFR_GI_NLF</t>
  </si>
  <si>
    <t>AFRICA_GovernmentInstitutions_SeparateAccountsDirect</t>
  </si>
  <si>
    <t>AFR_GI_SepAccDirect</t>
  </si>
  <si>
    <t>AFRICA_GovernmentInstitutions_SeparateAccountsIndirect</t>
  </si>
  <si>
    <t>AFR_GI_SepAccIndirect</t>
  </si>
  <si>
    <t>AFRICA_GovernmentInstitutions_JVs</t>
  </si>
  <si>
    <t>AFR_GI_JVs</t>
  </si>
  <si>
    <t>AFRICA_GovernmentInstitutions_FundsOfFunds</t>
  </si>
  <si>
    <t>AFR_GI_FOF</t>
  </si>
  <si>
    <t>AFRICA_GovernmentInstitutions_Debt</t>
  </si>
  <si>
    <t>AFR_GI_Debt</t>
  </si>
  <si>
    <t>AFRICA_GovernmentInstitutions_VehicleType_Total</t>
  </si>
  <si>
    <t>AFR_GI_VT_Total</t>
  </si>
  <si>
    <t>AFRICA_CharitiesFoundationsNonProfitOrganizations_NonListedFunds</t>
  </si>
  <si>
    <t>AFR_CF&amp;NPO_NLF</t>
  </si>
  <si>
    <t>AFRICA_CharitiesFoundationsNonProfitOrganizations_SeparateAccountsDirect</t>
  </si>
  <si>
    <t>AFR_CF&amp;NPO_SepAccDirect</t>
  </si>
  <si>
    <t>AFRICA_CharitiesFoundationsNonProfitOrganizations_SeparateAccountsIndirect</t>
  </si>
  <si>
    <t>AFR_CF&amp;NPO_SepAccIndirect</t>
  </si>
  <si>
    <t>AFRICA_CharitiesFoundationsNonProfitOrganizations_JVs</t>
  </si>
  <si>
    <t>AFR_CF&amp;NPO_JVs</t>
  </si>
  <si>
    <t>AFRICA_CharitiesFoundationsNonProfitOrganizations_FundsOfFunds</t>
  </si>
  <si>
    <t>AFR_CF&amp;NPO_FOF</t>
  </si>
  <si>
    <t>AFRICA_CharitiesFoundationsNonProfitOrganizations_Debt</t>
  </si>
  <si>
    <t>AFR_CF&amp;NPO_Debt</t>
  </si>
  <si>
    <t>AFRICA_CharitiesFoundationsNonProfitOrganizations_VehicleType_Total</t>
  </si>
  <si>
    <t>AFR_CF&amp;NPO_VT_Total</t>
  </si>
  <si>
    <t>AFRICA_FundsOfFunds_NonListedFunds</t>
  </si>
  <si>
    <t>AFR_FOF_NLF</t>
  </si>
  <si>
    <t>AFRICA_FundsOfFunds_SeparateAccountsDirect</t>
  </si>
  <si>
    <t>AFR_FOF_SepAccDirect</t>
  </si>
  <si>
    <t>AFRICA_FundsOfFunds_SeparateAccountsIndirect</t>
  </si>
  <si>
    <t>AFR_FOF_SepAccIndirect</t>
  </si>
  <si>
    <t>AFRICA_FundsOfFunds_JVs</t>
  </si>
  <si>
    <t>AFR_FOF_JVs</t>
  </si>
  <si>
    <t>AFRICA_FundsOfFunds_FundsOfFunds</t>
  </si>
  <si>
    <t>AFR_FOF_FOF</t>
  </si>
  <si>
    <t>AFRICA_FundsOfFunds_Debt</t>
  </si>
  <si>
    <t>AFR_FOF_Debt</t>
  </si>
  <si>
    <t>AFRICA_FundsOfFunds_VehicleType_Total</t>
  </si>
  <si>
    <t>AFR_FOF_VT_Total</t>
  </si>
  <si>
    <t>AFRICA_HighnetWorthIndividualsFamilyOffices_NonListedFunds</t>
  </si>
  <si>
    <t>AFR_HNWI/FO_NLF</t>
  </si>
  <si>
    <t>AFRICA_HighnetWorthIndividualsFamilyOffices_SeparateAccountsDirect</t>
  </si>
  <si>
    <t>AFR_HNWI/FO_SepAccDirect</t>
  </si>
  <si>
    <t>AFRICA_HighnetWorthIndividualsFamilyOffices_SeparateAccountsIndirect</t>
  </si>
  <si>
    <t>AFR_HNWI/FO_SepAccIndirect</t>
  </si>
  <si>
    <t>AFRICA_HighnetWorthIndividualsFamilyOffices_JVs</t>
  </si>
  <si>
    <t>AFR_HNWI/FO_JVs</t>
  </si>
  <si>
    <t>AFRICA_HighnetWorthIndividualsFamilyOffices_FundsOfFunds</t>
  </si>
  <si>
    <t>AFR_HNWI/FO_FOF</t>
  </si>
  <si>
    <t>AFRICA_HighnetWorthIndividualsFamilyOffices_Debt</t>
  </si>
  <si>
    <t>AFR_HNWI/FO_Debt</t>
  </si>
  <si>
    <t>AFRICA_HighnetWorthIndividualsFamilyOffices_VehicleType_Total</t>
  </si>
  <si>
    <t>AFR_HNWI/FO_VT_Total</t>
  </si>
  <si>
    <t>AFRICA_OtherInvestorTypetext</t>
  </si>
  <si>
    <t>AFR_OtherITText</t>
  </si>
  <si>
    <t>AFRICA_OtherInvestorType_NonListedFunds</t>
  </si>
  <si>
    <t>AFR_OtherIT_NLF</t>
  </si>
  <si>
    <t>AFRICA_OtherInvestorType_SeparateAccountsDirect</t>
  </si>
  <si>
    <t>AFR_OtherIT_SepAccDirect</t>
  </si>
  <si>
    <t>AFRICA_OtherInvestorType_SeparateAccountsIndirect</t>
  </si>
  <si>
    <t>AFR_OtherIT_SepAccIndirect</t>
  </si>
  <si>
    <t>AFRICA_OtherInvestorType_JVs</t>
  </si>
  <si>
    <t>AFR_OtherIT_JVs</t>
  </si>
  <si>
    <t>AFRICA_OtherInvestorType_FundsOfFunds</t>
  </si>
  <si>
    <t>AFR_OtherIT_FOF</t>
  </si>
  <si>
    <t>AFRICA_OtherInvestorType_Debt</t>
  </si>
  <si>
    <t>AFR_OtherIT_Debt</t>
  </si>
  <si>
    <t>AFRICA_OtherInvestorType_VehicleType_Total</t>
  </si>
  <si>
    <t>AFR_OtherIT_VT_Total</t>
  </si>
  <si>
    <t>AFRICA_InvestorType_NonListedFunds_Total</t>
  </si>
  <si>
    <t>AFR_IT_NLF_Total</t>
  </si>
  <si>
    <t>AFRICA_InvestorType_SeparateAccountsDirect_Total</t>
  </si>
  <si>
    <t>AFR_IT_SepAccDirect_Total</t>
  </si>
  <si>
    <t>AFRICA_InvestorType_SeparateAccountsIndirect_Total</t>
  </si>
  <si>
    <t>AFR_IT_SepAccIndirect_Total</t>
  </si>
  <si>
    <t>AFRICA_InvestorType_JVs_Total</t>
  </si>
  <si>
    <t>AFR_IT_JVs_Total</t>
  </si>
  <si>
    <t>AFRICA_InvestorType_FundsOfFunds_Total</t>
  </si>
  <si>
    <t>AFR_IT_FOF_Total</t>
  </si>
  <si>
    <t>AFRICA_InvestorType_Debt_Total</t>
  </si>
  <si>
    <t>AFR_IT_Debt_Total</t>
  </si>
  <si>
    <t>AFRICA_InvestorType_VehicleType_Total</t>
  </si>
  <si>
    <t>AFR_IT_VT_Total</t>
  </si>
  <si>
    <t>25</t>
  </si>
  <si>
    <t>q25</t>
  </si>
  <si>
    <t>AFRICA_InvestorDomicileEurope_NonListedFunds</t>
  </si>
  <si>
    <t>AFR_IDEUR_NLF</t>
  </si>
  <si>
    <t>AFRICA_InvestorDomicileEurope_SeparateAccountsDirect</t>
  </si>
  <si>
    <t>AFR_IDEUR_SepAccDirect</t>
  </si>
  <si>
    <t>AFRICA_InvestorDomicileEurope_SeparateAccountsIndirect</t>
  </si>
  <si>
    <t>AFR_IDEUR_SepAccIndirect</t>
  </si>
  <si>
    <t>AFRICA_InvestorDomicileEurope_JVs</t>
  </si>
  <si>
    <t>AFR_IDEUR_JVs</t>
  </si>
  <si>
    <t>AFRICA_InvestorDomicileEurope_FundsOfFunds</t>
  </si>
  <si>
    <t>AFR_IDEUR_FOF</t>
  </si>
  <si>
    <t>AFRICA_InvestorDomicileEurope_Debt</t>
  </si>
  <si>
    <t>AFR_IDEUR_Debt</t>
  </si>
  <si>
    <t>AFRICA_InvestorDomicileEurope_VehicleType_Total</t>
  </si>
  <si>
    <t>AFR_IDEUR_VT_Total</t>
  </si>
  <si>
    <t>AFRICA_InvestorDomicileAsiaPacific_NonListedFunds</t>
  </si>
  <si>
    <t>AFR_IDAPAC_NLF</t>
  </si>
  <si>
    <t>AFRICA_InvestorDomicileAsiaPacific_SeparateAccountsDirect</t>
  </si>
  <si>
    <t>AFR_IDAPAC_SepAccDirect</t>
  </si>
  <si>
    <t>AFRICA_InvestorDomicileAsiaPacific_SeparateAccountsIndirect</t>
  </si>
  <si>
    <t>AFR_IDAPAC_SepAccIndirect</t>
  </si>
  <si>
    <t>AFRICA_InvestorDomicileAsiaPacific_JVs</t>
  </si>
  <si>
    <t>AFR_IDAPAC_JVs</t>
  </si>
  <si>
    <t>AFRICA_InvestorDomicileAsiaPacific_FundsOfFunds</t>
  </si>
  <si>
    <t>AFR_IDAPAC_FOF</t>
  </si>
  <si>
    <t>AFRICA_InvestorDomicileAsiaPacific_Debt</t>
  </si>
  <si>
    <t>AFR_IDAPAC_Debt</t>
  </si>
  <si>
    <t>AFRICA_InvestorDomicileAsiaPacific_VehicleType_Total</t>
  </si>
  <si>
    <t>AFR_IDAPAC_VT_Total</t>
  </si>
  <si>
    <t>AFRICA_InvestorDomicileNorthAmerica_NonListedFunds</t>
  </si>
  <si>
    <t>AFR_IDNA_NLF</t>
  </si>
  <si>
    <t>AFRICA_InvestorDomicileNorthAmerica_SeparateAccountsDirect</t>
  </si>
  <si>
    <t>AFR_IDNA_SepAccDirect</t>
  </si>
  <si>
    <t>AFRICA_InvestorDomicileNorthAmerica_SeparateAccountsIndirect</t>
  </si>
  <si>
    <t>AFR_IDNA_SepAccIndirect</t>
  </si>
  <si>
    <t>AFRICA_InvestorDomicileNorthAmerica_JVs</t>
  </si>
  <si>
    <t>AFR_IDNA_JVs</t>
  </si>
  <si>
    <t>AFRICA_InvestorDomicileNorthAmerica_FundsOfFunds</t>
  </si>
  <si>
    <t>AFR_IDNA_FOF</t>
  </si>
  <si>
    <t>AFRICA_InvestorDomicileNorthAmerica_Debt</t>
  </si>
  <si>
    <t>AFR_IDNA_Debt</t>
  </si>
  <si>
    <t>AFRICA_InvestorDomicileNorthAmerica_VehicleType_Total</t>
  </si>
  <si>
    <t>AFR_IDNA_VT_Total</t>
  </si>
  <si>
    <t>AFRICA_InvestorDomicileSouthAmerica_NonListedFunds</t>
  </si>
  <si>
    <t>AFR_IDSA_NLF</t>
  </si>
  <si>
    <t>AFRICA_InvestorDomicileSouthAmerica_SeparateAccountsDirect</t>
  </si>
  <si>
    <t>AFR_IDSA_SepAccDirect</t>
  </si>
  <si>
    <t>AFRICA_InvestorDomicileSouthAmerica_SeparateAccountsIndirect</t>
  </si>
  <si>
    <t>AFR_IDSA_SepAccIndirect</t>
  </si>
  <si>
    <t>AFRICA_InvestorDomicileSouthAmerica_JVs</t>
  </si>
  <si>
    <t>AFR_IDSA_JVs</t>
  </si>
  <si>
    <t>AFRICA_InvestorDomicileSouthAmerica_FundsOfFunds</t>
  </si>
  <si>
    <t>AFR_IDSA_FOF</t>
  </si>
  <si>
    <t>AFRICA_InvestorDomicileSouthAmerica_Debt</t>
  </si>
  <si>
    <t>AFR_IDSA_Debt</t>
  </si>
  <si>
    <t>AFRICA_InvestorDomicileSouthAmerica_VehicleType_Total</t>
  </si>
  <si>
    <t>AFR_IDSA_VT_Total</t>
  </si>
  <si>
    <t>AFRICA_InvestorDomicileAfrica_NonListedFunds</t>
  </si>
  <si>
    <t>AFR_IDAFR_NLF</t>
  </si>
  <si>
    <t>AFRICA_InvestorDomicileAfrica_SeparateAccountsDirect</t>
  </si>
  <si>
    <t>AFR_IDAFR_SepAccDirect</t>
  </si>
  <si>
    <t>AFRICA_InvestorDomicileAfrica_SeparateAccountsIndirect</t>
  </si>
  <si>
    <t>AFR_IDAFR_SepAccIndirect</t>
  </si>
  <si>
    <t>AFRICA_InvestorDomicileAfrica_JVs</t>
  </si>
  <si>
    <t>AFR_IDAFR_JVs</t>
  </si>
  <si>
    <t>AFRICA_InvestorDomicileAfrica_FundsOfFunds</t>
  </si>
  <si>
    <t>AFR_IDAFR_FOF</t>
  </si>
  <si>
    <t>AFRICA_InvestorDomicileAfrica_Debt</t>
  </si>
  <si>
    <t>AFR_IDAFR_Debt</t>
  </si>
  <si>
    <t>AFRICA_InvestorDomicileAfrica_VehicleType_Total</t>
  </si>
  <si>
    <t>AFR_IDAFR_VT_Total</t>
  </si>
  <si>
    <t>AFRICA_InvestorDomicile_NonListedFunds_Total</t>
  </si>
  <si>
    <t>AFR_ID_NLF_Total</t>
  </si>
  <si>
    <t>AFRICA_InvestorDomicile_SeparateAccountsDirect_Total</t>
  </si>
  <si>
    <t>AFR_ID_SepAccDirect_Total</t>
  </si>
  <si>
    <t>AFRICA_InvestorDomicile_SeparateAccountsIndirect_Total</t>
  </si>
  <si>
    <t>AFR_ID_SepAccIndirect_Total</t>
  </si>
  <si>
    <t>AFRICA_InvestorDomicile_JVs_Total</t>
  </si>
  <si>
    <t>AFR_ID_JVs_Total</t>
  </si>
  <si>
    <t>AFRICA_InvestorDomicile_FundsOfFunds_Total</t>
  </si>
  <si>
    <t>AFR_ID_FOF_Total</t>
  </si>
  <si>
    <t>AFRICA_InvestorDomicile_Debt_Total</t>
  </si>
  <si>
    <t>AFR_ID_Debt_Total</t>
  </si>
  <si>
    <t>AFRICA_InvestorDomicile_VehicleType_Total</t>
  </si>
  <si>
    <t>AFR_ID_VT_Total</t>
  </si>
  <si>
    <t>0_1</t>
  </si>
  <si>
    <t>0_2</t>
  </si>
  <si>
    <t>0_3</t>
  </si>
  <si>
    <t>0_4</t>
  </si>
  <si>
    <t>0_5</t>
  </si>
  <si>
    <t>0_6</t>
  </si>
  <si>
    <t>0_7</t>
  </si>
  <si>
    <t>0_8</t>
  </si>
  <si>
    <t>0_9</t>
  </si>
  <si>
    <t>0_10</t>
  </si>
  <si>
    <t>0_11</t>
  </si>
  <si>
    <t>0_12</t>
  </si>
  <si>
    <t>0_13</t>
  </si>
  <si>
    <t>0_14</t>
  </si>
  <si>
    <t>0_15</t>
  </si>
  <si>
    <t>0_16</t>
  </si>
  <si>
    <t>0_17</t>
  </si>
  <si>
    <t>0_18</t>
  </si>
  <si>
    <t>0_19</t>
  </si>
  <si>
    <t>0_20</t>
  </si>
  <si>
    <t>0_21</t>
  </si>
  <si>
    <t>0_22</t>
  </si>
  <si>
    <t>0_23</t>
  </si>
  <si>
    <t>0_24</t>
  </si>
  <si>
    <t>0_25</t>
  </si>
  <si>
    <t>0_26</t>
  </si>
  <si>
    <t>0_27</t>
  </si>
  <si>
    <t>0_28</t>
  </si>
  <si>
    <t>0_29</t>
  </si>
  <si>
    <t>0_30</t>
  </si>
  <si>
    <t>0_31</t>
  </si>
  <si>
    <t>0_32</t>
  </si>
  <si>
    <t>0_33</t>
  </si>
  <si>
    <t>0_34</t>
  </si>
  <si>
    <t>0_35</t>
  </si>
  <si>
    <t>0_36</t>
  </si>
  <si>
    <t>0_37</t>
  </si>
  <si>
    <t>0_38</t>
  </si>
  <si>
    <t>0_39</t>
  </si>
  <si>
    <t>mnumber</t>
  </si>
  <si>
    <t>Mnumber</t>
  </si>
  <si>
    <t>0_40</t>
  </si>
  <si>
    <t>Value</t>
  </si>
  <si>
    <t>Text</t>
  </si>
  <si>
    <t>Label</t>
  </si>
  <si>
    <t>Euro (EUR)</t>
  </si>
  <si>
    <t>Pound Sterling (GBP)</t>
  </si>
  <si>
    <t>US Dollar (USD)</t>
  </si>
  <si>
    <t>Australian Dollar (AUD)</t>
  </si>
  <si>
    <t>Swiss Francs (CHF)</t>
  </si>
  <si>
    <t>Chinese Yuan (CNY)</t>
  </si>
  <si>
    <t>Danish Krona (DKK)</t>
  </si>
  <si>
    <t>HKD</t>
  </si>
  <si>
    <t>Hong Kong Dollar (HKD)</t>
  </si>
  <si>
    <t>IDR</t>
  </si>
  <si>
    <t>Indonesian Rupiah (IDR)</t>
  </si>
  <si>
    <t>INR</t>
  </si>
  <si>
    <t>Indian Rupee (INR)</t>
  </si>
  <si>
    <t>Japanese Yen (JPY)</t>
  </si>
  <si>
    <t>South Korean Won (KRW)</t>
  </si>
  <si>
    <t>LKR</t>
  </si>
  <si>
    <t>Sri Lankan Rupee (LKR)</t>
  </si>
  <si>
    <t>MYR</t>
  </si>
  <si>
    <t>Malaysian Ringgit (MYR)</t>
  </si>
  <si>
    <t>Norwegian Krone (NOK)</t>
  </si>
  <si>
    <t>NZD</t>
  </si>
  <si>
    <t>New Zealand Dollar (NZD)</t>
  </si>
  <si>
    <t>PHP</t>
  </si>
  <si>
    <t>Philippine Peso (PHP)</t>
  </si>
  <si>
    <t>PKR</t>
  </si>
  <si>
    <t>Pakistani Rupee (PKR)</t>
  </si>
  <si>
    <t>SEK</t>
  </si>
  <si>
    <t>Swedish Krona (SEK)</t>
  </si>
  <si>
    <t>Singapore Dollar (SGD)</t>
  </si>
  <si>
    <t>THB</t>
  </si>
  <si>
    <t>Thai Baht (THB)</t>
  </si>
  <si>
    <t>TWD</t>
  </si>
  <si>
    <t>New Taiwan Dollar (TWD)</t>
  </si>
  <si>
    <t>VND</t>
  </si>
  <si>
    <t>Vietnamese Dong (VND)</t>
  </si>
  <si>
    <t>CAD</t>
  </si>
  <si>
    <t>Canadian Dollar (CAD)</t>
  </si>
  <si>
    <t>OTHER</t>
  </si>
  <si>
    <t>Yes</t>
  </si>
  <si>
    <t>No</t>
  </si>
  <si>
    <t>Track record</t>
  </si>
  <si>
    <t>Alignment of interest</t>
  </si>
  <si>
    <t>Fund manager reputation</t>
  </si>
  <si>
    <t>Associated costs</t>
  </si>
  <si>
    <t>Corporate governance framework</t>
  </si>
  <si>
    <t>Increase</t>
  </si>
  <si>
    <t>Decrease</t>
  </si>
  <si>
    <t>No change</t>
  </si>
  <si>
    <t>Positive impact</t>
  </si>
  <si>
    <t>Negative impact</t>
  </si>
  <si>
    <t>No impact</t>
  </si>
  <si>
    <t>M710</t>
  </si>
  <si>
    <t>Total raised</t>
  </si>
  <si>
    <t>Invested</t>
  </si>
  <si>
    <t>M665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</si>
</sst>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Arial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0" fillId="2" borderId="0" xfId="0" applyFill="1" applyAlignment="1">
      <alignment wrapText="1"/>
    </xf>
    <xf numFmtId="0" fontId="0" fillId="2" borderId="0" xfId="0" applyFill="1"/>
    <xf numFmtId="22" fontId="0" fillId="0" borderId="0" xfId="0" applyNumberFormat="1"/>
    <xf numFmtId="0" fontId="3" fillId="2" borderId="0" xfId="1" applyFill="1"/>
    <xf numFmtId="0" fontId="6" fillId="2" borderId="0" xfId="1" applyFont="1" applyFill="1" applyAlignment="1">
      <alignment horizontal="center"/>
    </xf>
    <xf numFmtId="0" fontId="3" fillId="0" borderId="0" xfId="1"/>
    <xf numFmtId="0" fontId="6" fillId="3" borderId="0" xfId="1" applyFont="1" applyFill="1" applyAlignment="1">
      <alignment horizontal="center"/>
    </xf>
    <xf numFmtId="0" fontId="6" fillId="0" borderId="0" xfId="1" applyFont="1" applyAlignment="1">
      <alignment horizontal="center"/>
    </xf>
    <xf numFmtId="0" fontId="3" fillId="4" borderId="0" xfId="1" applyFill="1"/>
    <xf numFmtId="0" fontId="6" fillId="4" borderId="0" xfId="1" applyFont="1" applyFill="1" applyAlignment="1">
      <alignment horizontal="center"/>
    </xf>
    <xf numFmtId="0" fontId="4" fillId="0" borderId="0" xfId="1" applyFont="1"/>
    <xf numFmtId="0" fontId="4" fillId="4" borderId="0" xfId="1" applyFont="1" applyFill="1"/>
    <xf numFmtId="0" fontId="5" fillId="5" borderId="0" xfId="1" applyFont="1" applyFill="1"/>
    <xf numFmtId="0" fontId="7" fillId="4" borderId="0" xfId="1" applyFont="1" applyFill="1"/>
    <xf numFmtId="0" fontId="6" fillId="0" borderId="0" xfId="1" applyFont="1"/>
    <xf numFmtId="0" fontId="2" fillId="2" borderId="0" xfId="1" applyFont="1" applyFill="1"/>
    <xf numFmtId="0" fontId="2" fillId="0" borderId="0" xfId="1" applyFont="1"/>
    <xf numFmtId="0" fontId="1" fillId="2" borderId="0" xfId="1" applyFont="1" applyFill="1"/>
    <xf numFmtId="0" fontId="1" fillId="0" borderId="0" xfId="1" applyFont="1"/>
    <xf numFmtId="14" fontId="0" fillId="0" borderId="0" xfId="0" applyNumberFormat="1"/>
    <xf numFmtId="0" fontId="0" fillId="0" borderId="0" xfId="0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9" fillId="0" borderId="0" xfId="0" applyFont="1"/>
  </cellXfs>
  <cellStyles count="2">
    <cellStyle name="Normal" xfId="0" builtinId="0"/>
    <cellStyle name="Normal 2" xfId="1" xr:uid="{E89B8DE7-50F3-4637-91A8-259196682A42}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tyles" Target="styles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microsoft.com/office/2017/06/relationships/rdRichValue" Target="richData/rdrichvalu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microsoft.com/office/2017/06/relationships/rdRichValueTypes" Target="richData/rdRichValueTypes.xml"/><Relationship Id="rId28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microsoft.com/office/2017/06/relationships/rdRichValueStructure" Target="richData/rdrichvaluestructure.xml"/><Relationship Id="rId27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INREVTeam/Shared%20Documents/IT/_Data%20Team/INREV/2.%20Capital%20Raising/analysis/2019/Capital%20Raising%202019%20-%20SurveyLab%20Analysis%20-%20MAST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INREVTeam/Shared%20Documents/IT/_Data%20Team/cr_survey/mappings/Mnumber%20master%20lis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question_map/cr_2019_question_m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actDetails"/>
      <sheetName val="Frontpage"/>
      <sheetName val="RunControl"/>
      <sheetName val="Control"/>
      <sheetName val="TableofContents"/>
      <sheetName val="AUX"/>
      <sheetName val="KeyFig (1)"/>
      <sheetName val="KeyFig (2)"/>
      <sheetName val="KeyFig (4)"/>
      <sheetName val="KeyFig (3)"/>
      <sheetName val="KeyFig (5)"/>
      <sheetName val="KeyFig (6)"/>
      <sheetName val="KeyFig (7)"/>
      <sheetName val="Figure (1)"/>
      <sheetName val="Figure (2)"/>
      <sheetName val="Figure (3)"/>
      <sheetName val="Figure (4)"/>
      <sheetName val="Figure (5)"/>
      <sheetName val="Figure (6)"/>
      <sheetName val="Figure (7)"/>
      <sheetName val="Figure (8)"/>
      <sheetName val="Figure (9)"/>
      <sheetName val="Figure (10)"/>
      <sheetName val="Figure (11)"/>
      <sheetName val="Figure (12)"/>
      <sheetName val="Figure (13)"/>
      <sheetName val="Figure (12x)"/>
      <sheetName val="Figure (14)"/>
      <sheetName val="Figure (15)"/>
      <sheetName val="Figure (16)"/>
      <sheetName val="Figure (17)"/>
      <sheetName val="Figure (18)"/>
      <sheetName val="Figure (19)"/>
      <sheetName val="Figure (20)"/>
      <sheetName val="Figure (21)"/>
      <sheetName val="Figure (22)"/>
      <sheetName val="Figure (23)"/>
      <sheetName val="Figure (24)"/>
      <sheetName val="Figure (25)"/>
      <sheetName val="Figure (19x)"/>
      <sheetName val="Figure (23x)"/>
      <sheetName val="Figure (25x)"/>
      <sheetName val="Figure (28x)"/>
      <sheetName val="Figure (30x)"/>
      <sheetName val="Full Data-Map"/>
      <sheetName val="DataAdj"/>
      <sheetName val="Data-Map Answers"/>
      <sheetName val="RawData"/>
      <sheetName val="TermsofUse&amp;Disclaimer"/>
      <sheetName val="Currencies"/>
      <sheetName val="qCountry"/>
      <sheetName val="Lists"/>
    </sheetNames>
    <sheetDataSet>
      <sheetData sheetId="0">
        <row r="9">
          <cell r="B9" t="str">
            <v>Edgar Orlovskis</v>
          </cell>
        </row>
        <row r="10">
          <cell r="B10" t="str">
            <v>Connor van Leeuwen</v>
          </cell>
        </row>
        <row r="11">
          <cell r="B11" t="str">
            <v>Ivo Stoyanov</v>
          </cell>
        </row>
        <row r="12">
          <cell r="B12" t="str">
            <v>Jose Monsalve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9"/>
    </sheetNames>
    <sheetDataSet>
      <sheetData sheetId="0">
        <row r="1">
          <cell r="D1" t="str">
            <v>extension</v>
          </cell>
          <cell r="E1" t="str">
            <v>Year</v>
          </cell>
          <cell r="F1" t="str">
            <v>Mnumber</v>
          </cell>
        </row>
        <row r="2">
          <cell r="D2" t="str">
            <v>@ezland.vn</v>
          </cell>
          <cell r="E2">
            <v>2022</v>
          </cell>
          <cell r="F2" t="str">
            <v>M0278</v>
          </cell>
        </row>
        <row r="3">
          <cell r="D3" t="str">
            <v>@wprei.com</v>
          </cell>
          <cell r="E3">
            <v>2022</v>
          </cell>
          <cell r="F3" t="str">
            <v>M0128</v>
          </cell>
        </row>
        <row r="4">
          <cell r="D4" t="str">
            <v>@assemblyfm.com.au</v>
          </cell>
          <cell r="E4">
            <v>2022</v>
          </cell>
          <cell r="F4" t="str">
            <v>M0412</v>
          </cell>
        </row>
        <row r="5">
          <cell r="D5" t="str">
            <v>@hdfc.com</v>
          </cell>
          <cell r="E5">
            <v>2022</v>
          </cell>
          <cell r="F5" t="str">
            <v>M0293</v>
          </cell>
        </row>
        <row r="6">
          <cell r="D6" t="str">
            <v>@mapletree.com.sg</v>
          </cell>
          <cell r="E6">
            <v>2022</v>
          </cell>
          <cell r="F6" t="str">
            <v>M0180</v>
          </cell>
        </row>
        <row r="7">
          <cell r="D7" t="str">
            <v>@citiccapital.com</v>
          </cell>
          <cell r="E7">
            <v>2022</v>
          </cell>
          <cell r="F7" t="str">
            <v>M0107</v>
          </cell>
        </row>
        <row r="8">
          <cell r="D8" t="str">
            <v>@silkroadpp.com</v>
          </cell>
          <cell r="E8">
            <v>2022</v>
          </cell>
          <cell r="F8" t="str">
            <v>M0182</v>
          </cell>
        </row>
        <row r="9">
          <cell r="D9" t="str">
            <v>@ampcapital.com</v>
          </cell>
          <cell r="E9">
            <v>2022</v>
          </cell>
          <cell r="F9" t="str">
            <v>M0082</v>
          </cell>
        </row>
        <row r="10">
          <cell r="D10" t="str">
            <v>@ppinvestors.com</v>
          </cell>
          <cell r="E10">
            <v>2022</v>
          </cell>
          <cell r="F10" t="str">
            <v>M0088</v>
          </cell>
        </row>
        <row r="11">
          <cell r="D11" t="str">
            <v>@glprop.com</v>
          </cell>
          <cell r="E11">
            <v>2022</v>
          </cell>
          <cell r="F11" t="str">
            <v>M0144</v>
          </cell>
        </row>
        <row r="12">
          <cell r="D12" t="str">
            <v>@corval.com.au</v>
          </cell>
          <cell r="E12">
            <v>2022</v>
          </cell>
          <cell r="F12" t="str">
            <v>M0306</v>
          </cell>
        </row>
        <row r="13">
          <cell r="D13" t="str">
            <v>@dexus.com</v>
          </cell>
          <cell r="E13">
            <v>2022</v>
          </cell>
          <cell r="F13" t="str">
            <v>M0090</v>
          </cell>
        </row>
        <row r="14">
          <cell r="D14" t="str">
            <v>@bpeasia.com</v>
          </cell>
          <cell r="E14">
            <v>2022</v>
          </cell>
          <cell r="F14" t="str">
            <v>M0149</v>
          </cell>
        </row>
        <row r="15">
          <cell r="D15" t="str">
            <v>@mecgpasia.com</v>
          </cell>
          <cell r="E15">
            <v>2022</v>
          </cell>
          <cell r="F15" t="str">
            <v>N0300</v>
          </cell>
        </row>
        <row r="16">
          <cell r="D16" t="str">
            <v>@kepcapital.com</v>
          </cell>
          <cell r="E16">
            <v>2022</v>
          </cell>
          <cell r="F16" t="str">
            <v>M0106</v>
          </cell>
        </row>
        <row r="17">
          <cell r="D17" t="str">
            <v>@archcapital.net</v>
          </cell>
          <cell r="E17">
            <v>2022</v>
          </cell>
          <cell r="F17" t="str">
            <v>M421</v>
          </cell>
        </row>
        <row r="18">
          <cell r="D18" t="str">
            <v>@proprium.com</v>
          </cell>
          <cell r="E18">
            <v>2022</v>
          </cell>
          <cell r="F18" t="str">
            <v>M0201</v>
          </cell>
        </row>
        <row r="19">
          <cell r="D19" t="str">
            <v>@ispt.net.au</v>
          </cell>
          <cell r="E19">
            <v>2022</v>
          </cell>
          <cell r="F19" t="str">
            <v>M0269</v>
          </cell>
        </row>
        <row r="20">
          <cell r="D20" t="str">
            <v>@gpt.com.au</v>
          </cell>
          <cell r="E20">
            <v>2022</v>
          </cell>
          <cell r="F20" t="str">
            <v>M0075</v>
          </cell>
        </row>
        <row r="21">
          <cell r="D21" t="str">
            <v>@mc-dream.com</v>
          </cell>
          <cell r="E21">
            <v>2022</v>
          </cell>
          <cell r="F21" t="str">
            <v>M0007</v>
          </cell>
        </row>
        <row r="22">
          <cell r="D22" t="str">
            <v>@capitaland.com</v>
          </cell>
          <cell r="E22">
            <v>2022</v>
          </cell>
          <cell r="F22" t="str">
            <v>M0091</v>
          </cell>
        </row>
        <row r="23">
          <cell r="D23" t="str">
            <v>@charterhall.com.au</v>
          </cell>
          <cell r="E23">
            <v>2022</v>
          </cell>
          <cell r="F23" t="str">
            <v>M03232</v>
          </cell>
        </row>
        <row r="24">
          <cell r="D24" t="str">
            <v>@tt-ia.com</v>
          </cell>
          <cell r="E24">
            <v>2022</v>
          </cell>
          <cell r="F24" t="str">
            <v>M0239</v>
          </cell>
        </row>
        <row r="25">
          <cell r="D25" t="str">
            <v>@GOODMAN.COM</v>
          </cell>
          <cell r="E25">
            <v>2022</v>
          </cell>
          <cell r="F25" t="str">
            <v>M065</v>
          </cell>
        </row>
        <row r="26">
          <cell r="D26" t="str">
            <v>@mfia.co.jp</v>
          </cell>
          <cell r="E26">
            <v>2022</v>
          </cell>
          <cell r="F26" t="str">
            <v>M0177</v>
          </cell>
        </row>
        <row r="27">
          <cell r="D27" t="str">
            <v>@scape.com</v>
          </cell>
          <cell r="E27">
            <v>2022</v>
          </cell>
          <cell r="F27" t="str">
            <v>M0319</v>
          </cell>
        </row>
        <row r="28">
          <cell r="D28" t="str">
            <v>@schroders.com</v>
          </cell>
          <cell r="E28">
            <v>2022</v>
          </cell>
          <cell r="F28" t="str">
            <v>M037</v>
          </cell>
        </row>
        <row r="29">
          <cell r="D29" t="str">
            <v>@aetosjapan.com</v>
          </cell>
          <cell r="E29">
            <v>2022</v>
          </cell>
          <cell r="F29" t="str">
            <v>M0225</v>
          </cell>
        </row>
        <row r="30">
          <cell r="D30" t="str">
            <v>@eg.com.au</v>
          </cell>
          <cell r="E30">
            <v>2022</v>
          </cell>
          <cell r="F30" t="str">
            <v>M0249</v>
          </cell>
        </row>
        <row r="31">
          <cell r="D31" t="str">
            <v>@madigancapital.com</v>
          </cell>
          <cell r="E31">
            <v>2022</v>
          </cell>
          <cell r="F31" t="str">
            <v>M0325</v>
          </cell>
        </row>
        <row r="32">
          <cell r="D32" t="str">
            <v>@meritz.co.kr</v>
          </cell>
          <cell r="E32">
            <v>2022</v>
          </cell>
          <cell r="F32" t="str">
            <v>N0287</v>
          </cell>
        </row>
        <row r="33">
          <cell r="D33" t="str">
            <v>@vicinity.com.au</v>
          </cell>
          <cell r="E33">
            <v>2022</v>
          </cell>
          <cell r="F33" t="str">
            <v>N0298</v>
          </cell>
        </row>
        <row r="34">
          <cell r="D34" t="str">
            <v>@sevenseas-adv.com</v>
          </cell>
          <cell r="E34">
            <v>2021</v>
          </cell>
          <cell r="F34" t="str">
            <v>M0235</v>
          </cell>
        </row>
        <row r="35">
          <cell r="D35" t="str">
            <v>@madigancapital.com</v>
          </cell>
          <cell r="E35">
            <v>2021</v>
          </cell>
          <cell r="F35" t="str">
            <v>M0325</v>
          </cell>
        </row>
        <row r="36">
          <cell r="D36" t="str">
            <v>@fortius.com.au</v>
          </cell>
          <cell r="E36">
            <v>2021</v>
          </cell>
          <cell r="F36" t="str">
            <v>N0281</v>
          </cell>
        </row>
        <row r="37">
          <cell r="D37" t="str">
            <v>@dexus.com</v>
          </cell>
          <cell r="E37">
            <v>2021</v>
          </cell>
          <cell r="F37" t="str">
            <v>M0090</v>
          </cell>
        </row>
        <row r="38">
          <cell r="D38" t="str">
            <v>@cos-capital.com</v>
          </cell>
          <cell r="E38">
            <v>2021</v>
          </cell>
          <cell r="F38" t="str">
            <v>M0335</v>
          </cell>
        </row>
        <row r="39">
          <cell r="D39" t="str">
            <v>@proprium.com</v>
          </cell>
          <cell r="E39">
            <v>2021</v>
          </cell>
          <cell r="F39" t="str">
            <v>M0201</v>
          </cell>
        </row>
        <row r="40">
          <cell r="D40" t="str">
            <v>@ispt.net.au</v>
          </cell>
          <cell r="E40">
            <v>2021</v>
          </cell>
          <cell r="F40" t="str">
            <v>M0269</v>
          </cell>
        </row>
        <row r="41">
          <cell r="D41" t="str">
            <v>@HDFC.COM</v>
          </cell>
          <cell r="E41">
            <v>2021</v>
          </cell>
          <cell r="F41" t="str">
            <v>M0293</v>
          </cell>
        </row>
        <row r="42">
          <cell r="D42" t="str">
            <v>@gpt.com.au</v>
          </cell>
          <cell r="E42">
            <v>2021</v>
          </cell>
          <cell r="F42" t="str">
            <v>M0075</v>
          </cell>
        </row>
        <row r="43">
          <cell r="D43" t="str">
            <v>@recapinvestments.com</v>
          </cell>
          <cell r="E43">
            <v>2021</v>
          </cell>
          <cell r="F43" t="str">
            <v>M0159</v>
          </cell>
        </row>
        <row r="44">
          <cell r="D44" t="str">
            <v>@pamfleet.com</v>
          </cell>
          <cell r="E44">
            <v>2021</v>
          </cell>
          <cell r="F44" t="str">
            <v>M0125</v>
          </cell>
        </row>
        <row r="45">
          <cell r="D45" t="str">
            <v>@meritz.co.kr</v>
          </cell>
          <cell r="E45">
            <v>2021</v>
          </cell>
          <cell r="F45" t="str">
            <v>N0287</v>
          </cell>
        </row>
        <row r="46">
          <cell r="D46" t="str">
            <v>@lendlease.com</v>
          </cell>
          <cell r="E46">
            <v>2021</v>
          </cell>
          <cell r="F46" t="str">
            <v>M243</v>
          </cell>
        </row>
        <row r="47">
          <cell r="D47" t="str">
            <v>@clsa.com</v>
          </cell>
          <cell r="E47">
            <v>2021</v>
          </cell>
          <cell r="F47" t="str">
            <v>M0309</v>
          </cell>
        </row>
        <row r="48">
          <cell r="D48" t="str">
            <v>@ppinvestors.com</v>
          </cell>
          <cell r="E48">
            <v>2021</v>
          </cell>
          <cell r="F48" t="str">
            <v>M0088</v>
          </cell>
        </row>
        <row r="49">
          <cell r="D49" t="str">
            <v>@citiccapital.com</v>
          </cell>
          <cell r="E49">
            <v>2021</v>
          </cell>
          <cell r="F49" t="str">
            <v>M0107</v>
          </cell>
        </row>
        <row r="50">
          <cell r="D50" t="str">
            <v>@eg.com.au</v>
          </cell>
          <cell r="E50">
            <v>2021</v>
          </cell>
          <cell r="F50" t="str">
            <v>M0249</v>
          </cell>
        </row>
        <row r="51">
          <cell r="D51" t="str">
            <v>@archcapital.net</v>
          </cell>
          <cell r="E51">
            <v>2021</v>
          </cell>
          <cell r="F51" t="str">
            <v>M421</v>
          </cell>
        </row>
        <row r="52">
          <cell r="D52" t="str">
            <v>@mfia.co.jp</v>
          </cell>
          <cell r="E52">
            <v>2021</v>
          </cell>
          <cell r="F52" t="str">
            <v>M0177</v>
          </cell>
        </row>
        <row r="53">
          <cell r="D53" t="str">
            <v>@kenedix.com</v>
          </cell>
          <cell r="E53">
            <v>2021</v>
          </cell>
          <cell r="F53" t="str">
            <v>M0230</v>
          </cell>
        </row>
        <row r="54">
          <cell r="D54" t="str">
            <v>@glprop.com</v>
          </cell>
          <cell r="E54">
            <v>2021</v>
          </cell>
          <cell r="F54" t="str">
            <v>M0144</v>
          </cell>
        </row>
        <row r="55">
          <cell r="D55" t="str">
            <v>@tokiomarineam.co.jp</v>
          </cell>
          <cell r="E55">
            <v>2021</v>
          </cell>
          <cell r="F55" t="str">
            <v>N0247</v>
          </cell>
        </row>
        <row r="56">
          <cell r="D56" t="str">
            <v>@igisam.com</v>
          </cell>
          <cell r="E56">
            <v>2021</v>
          </cell>
          <cell r="F56" t="str">
            <v>M0333</v>
          </cell>
        </row>
        <row r="57">
          <cell r="D57" t="str">
            <v>@gawcapital.com</v>
          </cell>
          <cell r="E57">
            <v>2021</v>
          </cell>
          <cell r="F57" t="str">
            <v>M0186</v>
          </cell>
        </row>
        <row r="58">
          <cell r="D58" t="str">
            <v>@investa.com.au</v>
          </cell>
          <cell r="E58">
            <v>2021</v>
          </cell>
          <cell r="F58" t="str">
            <v>M0077</v>
          </cell>
        </row>
        <row r="59">
          <cell r="D59" t="str">
            <v>@kepcapital.com (2) laykeng.lee@kepcapital.com</v>
          </cell>
          <cell r="E59">
            <v>2021</v>
          </cell>
          <cell r="F59" t="str">
            <v>M0106</v>
          </cell>
        </row>
        <row r="60">
          <cell r="D60" t="str">
            <v>@sg.esr.com</v>
          </cell>
          <cell r="E60">
            <v>2021</v>
          </cell>
          <cell r="F60" t="str">
            <v>M0231</v>
          </cell>
        </row>
        <row r="61">
          <cell r="D61" t="str">
            <v>@altisproperty.com.au</v>
          </cell>
          <cell r="E61">
            <v>2021</v>
          </cell>
          <cell r="F61" t="str">
            <v>N0275</v>
          </cell>
        </row>
        <row r="62">
          <cell r="D62" t="str">
            <v>@vicinity.com.au</v>
          </cell>
          <cell r="E62">
            <v>2021</v>
          </cell>
          <cell r="F62" t="str">
            <v>N0298</v>
          </cell>
        </row>
        <row r="63">
          <cell r="D63" t="str">
            <v>@am-one.co.jp</v>
          </cell>
          <cell r="E63">
            <v>2021</v>
          </cell>
          <cell r="F63" t="str">
            <v>M04035</v>
          </cell>
        </row>
        <row r="64">
          <cell r="D64" t="str">
            <v>@challenger.com.au</v>
          </cell>
          <cell r="E64">
            <v>2021</v>
          </cell>
          <cell r="F64" t="str">
            <v>M0224</v>
          </cell>
        </row>
        <row r="65">
          <cell r="D65" t="str">
            <v>@tt-ia.com</v>
          </cell>
          <cell r="E65">
            <v>2021</v>
          </cell>
          <cell r="F65" t="str">
            <v>M0239</v>
          </cell>
        </row>
        <row r="66">
          <cell r="D66" t="str">
            <v>@ampcapital.com</v>
          </cell>
          <cell r="E66">
            <v>2021</v>
          </cell>
          <cell r="F66" t="str">
            <v>M0082</v>
          </cell>
        </row>
        <row r="67">
          <cell r="D67" t="str">
            <v>@charterhall.com.au</v>
          </cell>
          <cell r="E67">
            <v>2021</v>
          </cell>
          <cell r="F67" t="str">
            <v>M03232</v>
          </cell>
        </row>
        <row r="68">
          <cell r="D68" t="str">
            <v>@sevenseas-adv.com</v>
          </cell>
          <cell r="E68">
            <v>2020</v>
          </cell>
          <cell r="F68" t="str">
            <v>M0235</v>
          </cell>
        </row>
        <row r="69">
          <cell r="D69" t="str">
            <v>@madigancapital.com</v>
          </cell>
          <cell r="E69">
            <v>2020</v>
          </cell>
          <cell r="F69" t="str">
            <v>M0325</v>
          </cell>
        </row>
        <row r="70">
          <cell r="D70" t="str">
            <v>@fortius.com.au</v>
          </cell>
          <cell r="E70">
            <v>2020</v>
          </cell>
          <cell r="F70" t="str">
            <v>N0281</v>
          </cell>
        </row>
        <row r="71">
          <cell r="D71" t="str">
            <v>@dexus.com</v>
          </cell>
          <cell r="E71">
            <v>2020</v>
          </cell>
          <cell r="F71" t="str">
            <v>M0090</v>
          </cell>
        </row>
        <row r="72">
          <cell r="D72" t="str">
            <v>@cos-capital.com</v>
          </cell>
          <cell r="E72">
            <v>2020</v>
          </cell>
          <cell r="F72" t="str">
            <v>M0335</v>
          </cell>
        </row>
        <row r="73">
          <cell r="D73" t="str">
            <v>@proprium.com</v>
          </cell>
          <cell r="E73">
            <v>2020</v>
          </cell>
          <cell r="F73" t="str">
            <v>M0201</v>
          </cell>
        </row>
        <row r="74">
          <cell r="D74" t="str">
            <v>@ispt.net.au</v>
          </cell>
          <cell r="E74">
            <v>2020</v>
          </cell>
          <cell r="F74" t="str">
            <v>M0269</v>
          </cell>
        </row>
        <row r="75">
          <cell r="D75" t="str">
            <v>@HDFC.COM</v>
          </cell>
          <cell r="E75">
            <v>2020</v>
          </cell>
          <cell r="F75" t="str">
            <v>M0293</v>
          </cell>
        </row>
        <row r="76">
          <cell r="D76" t="str">
            <v>@gpt.com.au</v>
          </cell>
          <cell r="E76">
            <v>2020</v>
          </cell>
          <cell r="F76" t="str">
            <v>M0075</v>
          </cell>
        </row>
        <row r="77">
          <cell r="D77" t="str">
            <v>@recapinvestments.com</v>
          </cell>
          <cell r="E77">
            <v>2020</v>
          </cell>
          <cell r="F77" t="str">
            <v>M0159</v>
          </cell>
        </row>
        <row r="78">
          <cell r="D78" t="str">
            <v>@pamfleet.com</v>
          </cell>
          <cell r="E78">
            <v>2020</v>
          </cell>
          <cell r="F78" t="str">
            <v>M0125</v>
          </cell>
        </row>
        <row r="79">
          <cell r="D79" t="str">
            <v>@meritz.co.kr</v>
          </cell>
          <cell r="E79">
            <v>2020</v>
          </cell>
          <cell r="F79" t="str">
            <v>N0287</v>
          </cell>
        </row>
        <row r="80">
          <cell r="D80" t="str">
            <v>@lendlease.com</v>
          </cell>
          <cell r="E80">
            <v>2020</v>
          </cell>
          <cell r="F80" t="str">
            <v>M243</v>
          </cell>
        </row>
        <row r="81">
          <cell r="D81" t="str">
            <v>@clsa.com</v>
          </cell>
          <cell r="E81">
            <v>2020</v>
          </cell>
          <cell r="F81" t="str">
            <v>M0309</v>
          </cell>
        </row>
        <row r="82">
          <cell r="D82" t="str">
            <v>@ppinvestors.com</v>
          </cell>
          <cell r="E82">
            <v>2020</v>
          </cell>
          <cell r="F82" t="str">
            <v>M0088</v>
          </cell>
        </row>
        <row r="83">
          <cell r="D83" t="str">
            <v>@citiccapital.com</v>
          </cell>
          <cell r="E83">
            <v>2020</v>
          </cell>
          <cell r="F83" t="str">
            <v>M0107</v>
          </cell>
        </row>
        <row r="84">
          <cell r="D84" t="str">
            <v>@eg.com.au</v>
          </cell>
          <cell r="E84">
            <v>2020</v>
          </cell>
          <cell r="F84" t="str">
            <v>M0249</v>
          </cell>
        </row>
        <row r="85">
          <cell r="D85" t="str">
            <v>@archcapital.net</v>
          </cell>
          <cell r="E85">
            <v>2020</v>
          </cell>
          <cell r="F85" t="str">
            <v>M421</v>
          </cell>
        </row>
        <row r="86">
          <cell r="D86" t="str">
            <v>@mfia.co.jp</v>
          </cell>
          <cell r="E86">
            <v>2020</v>
          </cell>
          <cell r="F86" t="str">
            <v>M0177</v>
          </cell>
        </row>
        <row r="87">
          <cell r="D87" t="str">
            <v>@kenedix.com</v>
          </cell>
          <cell r="E87">
            <v>2020</v>
          </cell>
          <cell r="F87" t="str">
            <v>M0230</v>
          </cell>
        </row>
        <row r="88">
          <cell r="D88" t="str">
            <v>@glprop.com</v>
          </cell>
          <cell r="E88">
            <v>2020</v>
          </cell>
          <cell r="F88" t="str">
            <v>M0144</v>
          </cell>
        </row>
        <row r="89">
          <cell r="D89" t="str">
            <v>@tokiomarineam.co.jp</v>
          </cell>
          <cell r="E89">
            <v>2020</v>
          </cell>
          <cell r="F89" t="str">
            <v>N0247</v>
          </cell>
        </row>
        <row r="90">
          <cell r="D90" t="str">
            <v>@igisam.com</v>
          </cell>
          <cell r="E90">
            <v>2020</v>
          </cell>
          <cell r="F90" t="str">
            <v>M0333</v>
          </cell>
        </row>
        <row r="91">
          <cell r="D91" t="str">
            <v>@gawcapital.com</v>
          </cell>
          <cell r="E91">
            <v>2020</v>
          </cell>
          <cell r="F91" t="str">
            <v>M0186</v>
          </cell>
        </row>
        <row r="92">
          <cell r="D92" t="str">
            <v>@investa.com.au</v>
          </cell>
          <cell r="E92">
            <v>2020</v>
          </cell>
          <cell r="F92" t="str">
            <v>M0077</v>
          </cell>
        </row>
        <row r="93">
          <cell r="D93" t="str">
            <v>@kepcapital.com (2) laykeng.lee@kepcapital.com</v>
          </cell>
          <cell r="E93">
            <v>2020</v>
          </cell>
          <cell r="F93" t="str">
            <v>M0106</v>
          </cell>
        </row>
        <row r="94">
          <cell r="D94" t="str">
            <v>@sg.esr.com</v>
          </cell>
          <cell r="E94">
            <v>2020</v>
          </cell>
          <cell r="F94" t="str">
            <v>M0231</v>
          </cell>
        </row>
        <row r="95">
          <cell r="D95" t="str">
            <v>@altisproperty.com.au</v>
          </cell>
          <cell r="E95">
            <v>2020</v>
          </cell>
          <cell r="F95" t="str">
            <v>N0275</v>
          </cell>
        </row>
        <row r="96">
          <cell r="D96" t="str">
            <v>@vicinity.com.au</v>
          </cell>
          <cell r="E96">
            <v>2020</v>
          </cell>
          <cell r="F96" t="str">
            <v>N0298</v>
          </cell>
        </row>
        <row r="97">
          <cell r="D97" t="str">
            <v>@am-one.co.jp</v>
          </cell>
          <cell r="E97">
            <v>2020</v>
          </cell>
          <cell r="F97" t="str">
            <v>M04035</v>
          </cell>
        </row>
        <row r="98">
          <cell r="D98" t="str">
            <v>@challenger.com.au</v>
          </cell>
          <cell r="E98">
            <v>2020</v>
          </cell>
          <cell r="F98" t="str">
            <v>M0224</v>
          </cell>
        </row>
        <row r="99">
          <cell r="D99" t="str">
            <v>@tt-ia.com</v>
          </cell>
          <cell r="E99">
            <v>2020</v>
          </cell>
          <cell r="F99" t="str">
            <v>M0239</v>
          </cell>
        </row>
        <row r="100">
          <cell r="D100" t="str">
            <v>@ampcapital.com</v>
          </cell>
          <cell r="E100">
            <v>2020</v>
          </cell>
          <cell r="F100" t="str">
            <v>M0082</v>
          </cell>
        </row>
        <row r="101">
          <cell r="D101" t="str">
            <v>@charterhall.com.au</v>
          </cell>
          <cell r="E101">
            <v>2020</v>
          </cell>
          <cell r="F101" t="str">
            <v>M03232</v>
          </cell>
        </row>
        <row r="102">
          <cell r="D102" t="str">
            <v>@logosproperty.com</v>
          </cell>
          <cell r="E102">
            <v>2019</v>
          </cell>
          <cell r="F102" t="str">
            <v>M0318</v>
          </cell>
        </row>
        <row r="103">
          <cell r="D103" t="str">
            <v>@charterhall.com.au</v>
          </cell>
          <cell r="E103">
            <v>2019</v>
          </cell>
          <cell r="F103" t="str">
            <v>M03232</v>
          </cell>
        </row>
        <row r="104">
          <cell r="D104" t="str">
            <v>@qic.com</v>
          </cell>
          <cell r="E104">
            <v>2019</v>
          </cell>
          <cell r="F104" t="str">
            <v>M0350</v>
          </cell>
        </row>
        <row r="105">
          <cell r="D105" t="str">
            <v>@pamfleet.com</v>
          </cell>
          <cell r="E105">
            <v>2019</v>
          </cell>
          <cell r="F105" t="str">
            <v>M0125</v>
          </cell>
        </row>
        <row r="106">
          <cell r="D106" t="str">
            <v>@citiccapital.com</v>
          </cell>
          <cell r="E106">
            <v>2019</v>
          </cell>
          <cell r="F106" t="str">
            <v>M0107</v>
          </cell>
        </row>
        <row r="107">
          <cell r="D107" t="str">
            <v>@propertylink.com.au</v>
          </cell>
          <cell r="E107">
            <v>2019</v>
          </cell>
          <cell r="F107" t="str">
            <v>M0220</v>
          </cell>
        </row>
        <row r="108">
          <cell r="D108" t="str">
            <v>@wprei.com</v>
          </cell>
          <cell r="E108">
            <v>2019</v>
          </cell>
          <cell r="F108" t="str">
            <v>M0128</v>
          </cell>
        </row>
        <row r="109">
          <cell r="D109" t="str">
            <v>@lendlease.com</v>
          </cell>
          <cell r="E109">
            <v>2019</v>
          </cell>
          <cell r="F109" t="str">
            <v>M243</v>
          </cell>
        </row>
        <row r="110">
          <cell r="D110" t="str">
            <v>@bpeasia.com</v>
          </cell>
          <cell r="E110">
            <v>2019</v>
          </cell>
          <cell r="F110" t="str">
            <v>M0149</v>
          </cell>
        </row>
        <row r="111">
          <cell r="D111" t="str">
            <v>@mfia.co.jp</v>
          </cell>
          <cell r="E111">
            <v>2019</v>
          </cell>
          <cell r="F111" t="str">
            <v>M0177</v>
          </cell>
        </row>
        <row r="112">
          <cell r="D112" t="str">
            <v>@vicinity.com.au</v>
          </cell>
          <cell r="E112">
            <v>2019</v>
          </cell>
          <cell r="F112" t="str">
            <v>N0298</v>
          </cell>
        </row>
        <row r="113">
          <cell r="D113" t="str">
            <v>@kenedix.com</v>
          </cell>
          <cell r="E113">
            <v>2019</v>
          </cell>
          <cell r="F113" t="str">
            <v>M0230</v>
          </cell>
        </row>
        <row r="114">
          <cell r="D114" t="str">
            <v>@aep-im.com</v>
          </cell>
          <cell r="E114">
            <v>2019</v>
          </cell>
          <cell r="F114" t="str">
            <v>M0291</v>
          </cell>
        </row>
        <row r="115">
          <cell r="D115" t="str">
            <v>@sevenseas-adv.com</v>
          </cell>
          <cell r="E115">
            <v>2019</v>
          </cell>
          <cell r="F115" t="str">
            <v>M0235</v>
          </cell>
        </row>
        <row r="116">
          <cell r="D116" t="str">
            <v>@tt-ia.com</v>
          </cell>
          <cell r="E116">
            <v>2019</v>
          </cell>
          <cell r="F116" t="str">
            <v>M0239</v>
          </cell>
        </row>
        <row r="117">
          <cell r="D117" t="str">
            <v>@maxcapgroup.com.au</v>
          </cell>
          <cell r="E117">
            <v>2019</v>
          </cell>
          <cell r="F117" t="str">
            <v>M0263</v>
          </cell>
        </row>
        <row r="118">
          <cell r="D118" t="str">
            <v>@tr.mufg.jp</v>
          </cell>
          <cell r="E118">
            <v>2019</v>
          </cell>
          <cell r="F118" t="str">
            <v>M0232</v>
          </cell>
        </row>
        <row r="119">
          <cell r="D119" t="str">
            <v>@archcapital.net</v>
          </cell>
          <cell r="E119">
            <v>2019</v>
          </cell>
          <cell r="F119" t="str">
            <v>M421</v>
          </cell>
        </row>
        <row r="120">
          <cell r="D120" t="str">
            <v>@madigancapital.com</v>
          </cell>
          <cell r="E120">
            <v>2019</v>
          </cell>
          <cell r="F120" t="str">
            <v>M0325</v>
          </cell>
        </row>
        <row r="121">
          <cell r="D121" t="str">
            <v>@challenger.com.au</v>
          </cell>
          <cell r="E121">
            <v>2019</v>
          </cell>
          <cell r="F121" t="str">
            <v>M0224</v>
          </cell>
        </row>
        <row r="122">
          <cell r="D122" t="str">
            <v>@orionpartners.com</v>
          </cell>
          <cell r="E122">
            <v>2019</v>
          </cell>
          <cell r="F122" t="str">
            <v>M0035</v>
          </cell>
        </row>
        <row r="123">
          <cell r="D123" t="str">
            <v>@gpt.com.au</v>
          </cell>
          <cell r="E123">
            <v>2019</v>
          </cell>
          <cell r="F123" t="str">
            <v>M0075</v>
          </cell>
        </row>
        <row r="124">
          <cell r="D124" t="str">
            <v>@dexus.com</v>
          </cell>
          <cell r="E124">
            <v>2019</v>
          </cell>
          <cell r="F124" t="str">
            <v>M0090</v>
          </cell>
        </row>
        <row r="125">
          <cell r="D125" t="str">
            <v>@greenoakrealestate.com</v>
          </cell>
          <cell r="E125">
            <v>2019</v>
          </cell>
          <cell r="F125" t="str">
            <v>M0296</v>
          </cell>
        </row>
        <row r="126">
          <cell r="D126" t="str">
            <v>@proprium.com</v>
          </cell>
          <cell r="E126">
            <v>2019</v>
          </cell>
          <cell r="F126" t="str">
            <v>M0201</v>
          </cell>
        </row>
        <row r="127">
          <cell r="D127" t="str">
            <v>@clsa.com</v>
          </cell>
          <cell r="E127">
            <v>2019</v>
          </cell>
          <cell r="F127" t="str">
            <v>M0309</v>
          </cell>
        </row>
        <row r="128">
          <cell r="D128" t="str">
            <v>@ampcapital.com</v>
          </cell>
          <cell r="E128">
            <v>2019</v>
          </cell>
          <cell r="F128" t="str">
            <v>M0082</v>
          </cell>
        </row>
        <row r="129">
          <cell r="D129" t="str">
            <v>@qualitas.com.au</v>
          </cell>
          <cell r="E129">
            <v>2019</v>
          </cell>
          <cell r="F129" t="str">
            <v>M0274</v>
          </cell>
        </row>
        <row r="130">
          <cell r="D130" t="str">
            <v>@meritz.co.kr</v>
          </cell>
          <cell r="E130">
            <v>2019</v>
          </cell>
          <cell r="F130" t="str">
            <v>N0287</v>
          </cell>
        </row>
        <row r="131">
          <cell r="D131" t="str">
            <v>@goodman.com</v>
          </cell>
          <cell r="E131">
            <v>2019</v>
          </cell>
          <cell r="F131" t="str">
            <v>M065</v>
          </cell>
        </row>
        <row r="132">
          <cell r="D132" t="str">
            <v>@investa.com.au</v>
          </cell>
          <cell r="E132">
            <v>2019</v>
          </cell>
          <cell r="F132" t="str">
            <v>M0077</v>
          </cell>
        </row>
        <row r="133">
          <cell r="D133" t="str">
            <v>@silkroadpp.com</v>
          </cell>
          <cell r="E133">
            <v>2019</v>
          </cell>
          <cell r="F133" t="str">
            <v>M0182</v>
          </cell>
        </row>
        <row r="134">
          <cell r="D134" t="str">
            <v>@igisam.com</v>
          </cell>
          <cell r="E134">
            <v>2019</v>
          </cell>
          <cell r="F134" t="str">
            <v>M0333</v>
          </cell>
        </row>
        <row r="135">
          <cell r="D135" t="str">
            <v>@recapinvestments.com</v>
          </cell>
          <cell r="E135">
            <v>2019</v>
          </cell>
          <cell r="F135" t="str">
            <v>M0159</v>
          </cell>
        </row>
        <row r="136">
          <cell r="D136" t="str">
            <v>@cromwell.com.au</v>
          </cell>
          <cell r="E136">
            <v>2019</v>
          </cell>
          <cell r="F136" t="str">
            <v>M126</v>
          </cell>
        </row>
        <row r="137">
          <cell r="D137" t="str">
            <v>@eg.com.au</v>
          </cell>
          <cell r="E137">
            <v>2019</v>
          </cell>
          <cell r="F137" t="str">
            <v>M0249</v>
          </cell>
        </row>
        <row r="138">
          <cell r="D138" t="str">
            <v>@cos-capital.com</v>
          </cell>
          <cell r="E138">
            <v>2019</v>
          </cell>
          <cell r="F138" t="str">
            <v>M0335</v>
          </cell>
        </row>
        <row r="139">
          <cell r="D139" t="str">
            <v>@ppinvestors.com</v>
          </cell>
          <cell r="E139">
            <v>2019</v>
          </cell>
          <cell r="F139" t="str">
            <v>M0088</v>
          </cell>
        </row>
        <row r="140">
          <cell r="D140" t="str">
            <v>@mc-dream.com</v>
          </cell>
          <cell r="E140">
            <v>2019</v>
          </cell>
          <cell r="F140" t="str">
            <v>M0007</v>
          </cell>
        </row>
        <row r="141">
          <cell r="D141" t="str">
            <v>@glprop.com</v>
          </cell>
          <cell r="E141">
            <v>2019</v>
          </cell>
          <cell r="F141" t="str">
            <v>M0144</v>
          </cell>
        </row>
        <row r="142">
          <cell r="D142" t="str">
            <v>@tokiomarineam.co.jp</v>
          </cell>
          <cell r="E142">
            <v>2019</v>
          </cell>
          <cell r="F142" t="str">
            <v>N0247</v>
          </cell>
        </row>
        <row r="143">
          <cell r="D143" t="str">
            <v>@ascendas-singbridge.com</v>
          </cell>
          <cell r="E143">
            <v>2019</v>
          </cell>
          <cell r="F143" t="str">
            <v>M0189</v>
          </cell>
        </row>
        <row r="144">
          <cell r="D144" t="str">
            <v>@capitaland.com</v>
          </cell>
          <cell r="E144">
            <v>2019</v>
          </cell>
          <cell r="F144" t="str">
            <v>M0091</v>
          </cell>
        </row>
        <row r="145">
          <cell r="D145" t="str">
            <v>@tokyu-tlcm.co.jp</v>
          </cell>
          <cell r="E145">
            <v>2019</v>
          </cell>
          <cell r="F145" t="str">
            <v>M0298</v>
          </cell>
        </row>
        <row r="146">
          <cell r="D146" t="str">
            <v>@ezland.vn</v>
          </cell>
          <cell r="E146">
            <v>2019</v>
          </cell>
          <cell r="F146" t="str">
            <v>M0278</v>
          </cell>
        </row>
        <row r="147">
          <cell r="D147" t="str">
            <v>@ispt.net.au</v>
          </cell>
          <cell r="E147">
            <v>2019</v>
          </cell>
          <cell r="F147" t="str">
            <v>M0269</v>
          </cell>
        </row>
        <row r="148">
          <cell r="D148" t="str">
            <v>@starcrestcap.com</v>
          </cell>
          <cell r="E148">
            <v>2019</v>
          </cell>
          <cell r="F148" t="str">
            <v>M0255</v>
          </cell>
        </row>
        <row r="149">
          <cell r="D149" t="str">
            <v>@mapletree.com.sg</v>
          </cell>
          <cell r="E149">
            <v>2019</v>
          </cell>
          <cell r="F149" t="str">
            <v>M0180</v>
          </cell>
        </row>
        <row r="150">
          <cell r="D150" t="str">
            <v>@fortius.com.au</v>
          </cell>
          <cell r="E150">
            <v>2019</v>
          </cell>
          <cell r="F150" t="str">
            <v>N0281</v>
          </cell>
        </row>
        <row r="151">
          <cell r="D151" t="str">
            <v>@proprium.com</v>
          </cell>
          <cell r="E151">
            <v>2018</v>
          </cell>
          <cell r="F151" t="str">
            <v>M0201</v>
          </cell>
        </row>
        <row r="152">
          <cell r="D152" t="str">
            <v>@tokyu-tlcm.co.jp</v>
          </cell>
          <cell r="E152">
            <v>2018</v>
          </cell>
          <cell r="F152" t="str">
            <v>M0298</v>
          </cell>
        </row>
        <row r="153">
          <cell r="D153" t="str">
            <v>@kailongrei.com</v>
          </cell>
          <cell r="E153">
            <v>2018</v>
          </cell>
          <cell r="F153" t="str">
            <v>M0226</v>
          </cell>
        </row>
        <row r="154">
          <cell r="D154" t="str">
            <v>@eg.com.au</v>
          </cell>
          <cell r="E154">
            <v>2018</v>
          </cell>
          <cell r="F154" t="str">
            <v>M0249</v>
          </cell>
        </row>
        <row r="155">
          <cell r="D155" t="str">
            <v>@tr.mufg.jp</v>
          </cell>
          <cell r="E155">
            <v>2018</v>
          </cell>
          <cell r="F155" t="str">
            <v>M0232</v>
          </cell>
        </row>
        <row r="156">
          <cell r="D156" t="str">
            <v>@creditease.hk</v>
          </cell>
          <cell r="E156">
            <v>2018</v>
          </cell>
          <cell r="F156" t="str">
            <v>N0278</v>
          </cell>
        </row>
        <row r="157">
          <cell r="D157" t="str">
            <v>@kenedix.com</v>
          </cell>
          <cell r="E157">
            <v>2018</v>
          </cell>
          <cell r="F157" t="str">
            <v>M0230</v>
          </cell>
        </row>
        <row r="158">
          <cell r="D158" t="str">
            <v>@pamfleet.com</v>
          </cell>
          <cell r="E158">
            <v>2018</v>
          </cell>
          <cell r="F158" t="str">
            <v>M0125</v>
          </cell>
        </row>
        <row r="159">
          <cell r="D159" t="str">
            <v>@chelsfield.com</v>
          </cell>
          <cell r="E159">
            <v>2018</v>
          </cell>
          <cell r="F159" t="str">
            <v>M03089</v>
          </cell>
        </row>
        <row r="160">
          <cell r="D160" t="str">
            <v>@mfia.co.jp</v>
          </cell>
          <cell r="E160">
            <v>2018</v>
          </cell>
          <cell r="F160" t="str">
            <v>M0177</v>
          </cell>
        </row>
        <row r="161">
          <cell r="D161" t="str">
            <v>@aventusproperty.com.au</v>
          </cell>
          <cell r="E161">
            <v>2018</v>
          </cell>
          <cell r="F161" t="str">
            <v>N0302</v>
          </cell>
        </row>
        <row r="162">
          <cell r="D162" t="str">
            <v>@aep-im.com</v>
          </cell>
          <cell r="E162">
            <v>2018</v>
          </cell>
          <cell r="F162" t="str">
            <v>M0291</v>
          </cell>
        </row>
        <row r="163">
          <cell r="D163" t="str">
            <v>@bpeasia.com</v>
          </cell>
          <cell r="E163">
            <v>2018</v>
          </cell>
          <cell r="F163" t="str">
            <v>M0149</v>
          </cell>
        </row>
        <row r="164">
          <cell r="D164" t="str">
            <v>@blackrock.com</v>
          </cell>
          <cell r="E164">
            <v>2018</v>
          </cell>
          <cell r="F164" t="str">
            <v>M181</v>
          </cell>
        </row>
        <row r="165">
          <cell r="D165" t="str">
            <v>@sg.esr.com</v>
          </cell>
          <cell r="E165">
            <v>2018</v>
          </cell>
          <cell r="F165" t="str">
            <v>M0231</v>
          </cell>
        </row>
        <row r="166">
          <cell r="D166" t="str">
            <v>@blackstone.com</v>
          </cell>
          <cell r="E166">
            <v>2018</v>
          </cell>
          <cell r="F166" t="str">
            <v>M178</v>
          </cell>
        </row>
        <row r="167">
          <cell r="D167" t="str">
            <v>@igisam.com</v>
          </cell>
          <cell r="E167">
            <v>2018</v>
          </cell>
          <cell r="F167" t="str">
            <v>M0333</v>
          </cell>
        </row>
        <row r="168">
          <cell r="D168" t="str">
            <v>@cromwell.com.au</v>
          </cell>
          <cell r="E168">
            <v>2018</v>
          </cell>
          <cell r="F168" t="str">
            <v>M126</v>
          </cell>
        </row>
        <row r="169">
          <cell r="D169" t="str">
            <v>@glprop.com</v>
          </cell>
          <cell r="E169">
            <v>2018</v>
          </cell>
          <cell r="F169" t="str">
            <v>M0144</v>
          </cell>
        </row>
        <row r="170">
          <cell r="D170" t="str">
            <v>@pgim.com</v>
          </cell>
          <cell r="E170">
            <v>2018</v>
          </cell>
          <cell r="F170" t="str">
            <v>M042</v>
          </cell>
        </row>
        <row r="171">
          <cell r="D171" t="str">
            <v>@nipponrescap.com</v>
          </cell>
          <cell r="E171">
            <v>2018</v>
          </cell>
          <cell r="F171" t="str">
            <v>N0304</v>
          </cell>
        </row>
        <row r="172">
          <cell r="D172" t="str">
            <v>@vicinity.com.au</v>
          </cell>
          <cell r="E172">
            <v>2018</v>
          </cell>
          <cell r="F172" t="str">
            <v>N0298</v>
          </cell>
        </row>
        <row r="173">
          <cell r="D173" t="str">
            <v>@alphaipartners.com&gt;</v>
          </cell>
          <cell r="E173">
            <v>2018</v>
          </cell>
          <cell r="F173" t="str">
            <v>M0106</v>
          </cell>
        </row>
        <row r="174">
          <cell r="D174" t="str">
            <v>@gpt.com.au</v>
          </cell>
          <cell r="E174">
            <v>2018</v>
          </cell>
          <cell r="F174" t="str">
            <v>M0075</v>
          </cell>
        </row>
        <row r="175">
          <cell r="D175" t="str">
            <v>@capitaland.com</v>
          </cell>
          <cell r="E175">
            <v>2018</v>
          </cell>
          <cell r="F175" t="str">
            <v>M0091</v>
          </cell>
        </row>
        <row r="176">
          <cell r="D176" t="str">
            <v>@dexus.com</v>
          </cell>
          <cell r="E176">
            <v>2018</v>
          </cell>
          <cell r="F176" t="str">
            <v>M0090</v>
          </cell>
        </row>
        <row r="177">
          <cell r="D177" t="str">
            <v>@citiccapital.com</v>
          </cell>
          <cell r="E177">
            <v>2018</v>
          </cell>
          <cell r="F177" t="str">
            <v>M0107</v>
          </cell>
        </row>
        <row r="178">
          <cell r="D178" t="str">
            <v>@ezland.vn</v>
          </cell>
          <cell r="E178">
            <v>2018</v>
          </cell>
          <cell r="F178" t="str">
            <v>M0278</v>
          </cell>
        </row>
        <row r="179">
          <cell r="D179" t="str">
            <v>@macquarie.com</v>
          </cell>
          <cell r="E179">
            <v>2018</v>
          </cell>
          <cell r="F179" t="str">
            <v>M766</v>
          </cell>
        </row>
        <row r="180">
          <cell r="D180" t="str">
            <v>@orionpartners.com</v>
          </cell>
          <cell r="E180">
            <v>2018</v>
          </cell>
          <cell r="F180" t="str">
            <v>M0035</v>
          </cell>
        </row>
        <row r="181">
          <cell r="D181" t="str">
            <v>@piramal.com</v>
          </cell>
          <cell r="E181">
            <v>2018</v>
          </cell>
          <cell r="F181" t="str">
            <v>N0292</v>
          </cell>
        </row>
        <row r="182">
          <cell r="D182" t="str">
            <v>@wprei.com</v>
          </cell>
          <cell r="E182">
            <v>2018</v>
          </cell>
          <cell r="F182" t="str">
            <v>M0128</v>
          </cell>
        </row>
        <row r="183">
          <cell r="D183" t="str">
            <v>@archcapital.net</v>
          </cell>
          <cell r="E183">
            <v>2018</v>
          </cell>
          <cell r="F183" t="str">
            <v>M421</v>
          </cell>
        </row>
        <row r="184">
          <cell r="D184" t="str">
            <v>@investa.com.au</v>
          </cell>
          <cell r="E184">
            <v>2018</v>
          </cell>
          <cell r="F184" t="str">
            <v>M0077</v>
          </cell>
        </row>
        <row r="185">
          <cell r="D185" t="str">
            <v>@sevenseas-adv.com</v>
          </cell>
          <cell r="E185">
            <v>2018</v>
          </cell>
          <cell r="F185" t="str">
            <v>M0235</v>
          </cell>
        </row>
        <row r="186">
          <cell r="D186" t="str">
            <v>@ispt.net.au</v>
          </cell>
          <cell r="E186">
            <v>2018</v>
          </cell>
          <cell r="F186" t="str">
            <v>M0269</v>
          </cell>
        </row>
        <row r="187">
          <cell r="D187" t="str">
            <v>@ascendas.com</v>
          </cell>
          <cell r="E187">
            <v>2018</v>
          </cell>
          <cell r="F187" t="str">
            <v>M0189</v>
          </cell>
        </row>
        <row r="188">
          <cell r="D188" t="str">
            <v>@tt-ia.com</v>
          </cell>
          <cell r="E188">
            <v>2018</v>
          </cell>
          <cell r="F188" t="str">
            <v>M0239</v>
          </cell>
        </row>
        <row r="189">
          <cell r="D189" t="str">
            <v>@silkroadpp.com</v>
          </cell>
          <cell r="E189">
            <v>2018</v>
          </cell>
          <cell r="F189" t="str">
            <v>M0182</v>
          </cell>
        </row>
        <row r="190">
          <cell r="D190" t="str">
            <v>@mapletree.com.sg</v>
          </cell>
          <cell r="E190">
            <v>2018</v>
          </cell>
          <cell r="F190" t="str">
            <v>M0180</v>
          </cell>
        </row>
        <row r="191">
          <cell r="D191" t="str">
            <v>@pagasia.com</v>
          </cell>
          <cell r="E191">
            <v>2018</v>
          </cell>
          <cell r="F191" t="str">
            <v>M0137</v>
          </cell>
        </row>
        <row r="192">
          <cell r="D192" t="str">
            <v>@charterhall.com.au</v>
          </cell>
          <cell r="E192">
            <v>2018</v>
          </cell>
          <cell r="F192" t="str">
            <v>M03232</v>
          </cell>
        </row>
        <row r="193">
          <cell r="D193" t="str">
            <v>@citysquarerei.com</v>
          </cell>
          <cell r="E193">
            <v>2018</v>
          </cell>
          <cell r="F193" t="str">
            <v>M0279</v>
          </cell>
        </row>
        <row r="194">
          <cell r="D194" t="str">
            <v>@propertylink.com.au'</v>
          </cell>
          <cell r="E194">
            <v>2018</v>
          </cell>
          <cell r="F194" t="str">
            <v>M0220</v>
          </cell>
        </row>
        <row r="195">
          <cell r="D195" t="str">
            <v>@mc-dream.com</v>
          </cell>
          <cell r="E195">
            <v>2018</v>
          </cell>
          <cell r="F195" t="str">
            <v>M0007</v>
          </cell>
        </row>
        <row r="196">
          <cell r="D196" t="str">
            <v>@dynasty-investments.com</v>
          </cell>
          <cell r="E196">
            <v>2018</v>
          </cell>
          <cell r="F196" t="str">
            <v>M0278</v>
          </cell>
        </row>
        <row r="197">
          <cell r="D197" t="str">
            <v>@ampcapital.com</v>
          </cell>
          <cell r="E197">
            <v>2018</v>
          </cell>
          <cell r="F197" t="str">
            <v>M0082</v>
          </cell>
        </row>
        <row r="198">
          <cell r="D198" t="str">
            <v>@clsa.com</v>
          </cell>
          <cell r="E198">
            <v>2018</v>
          </cell>
          <cell r="F198" t="str">
            <v>M0309</v>
          </cell>
        </row>
        <row r="199">
          <cell r="D199" t="str">
            <v>@silkroadpp.com</v>
          </cell>
          <cell r="E199">
            <v>2017</v>
          </cell>
          <cell r="F199" t="str">
            <v>M0182</v>
          </cell>
        </row>
        <row r="200">
          <cell r="D200" t="str">
            <v>@heitman.com</v>
          </cell>
          <cell r="E200">
            <v>2017</v>
          </cell>
          <cell r="F200" t="str">
            <v>M107</v>
          </cell>
        </row>
        <row r="201">
          <cell r="D201" t="str">
            <v>@bpeasia.com</v>
          </cell>
          <cell r="E201">
            <v>2017</v>
          </cell>
          <cell r="F201" t="str">
            <v>M0149</v>
          </cell>
        </row>
        <row r="202">
          <cell r="D202" t="str">
            <v>@charterhall.com.au</v>
          </cell>
          <cell r="E202">
            <v>2017</v>
          </cell>
          <cell r="F202" t="str">
            <v>M03232</v>
          </cell>
        </row>
        <row r="203">
          <cell r="D203" t="str">
            <v>@igisam.com</v>
          </cell>
          <cell r="E203">
            <v>2017</v>
          </cell>
          <cell r="F203" t="str">
            <v>M0333</v>
          </cell>
        </row>
        <row r="204">
          <cell r="D204" t="str">
            <v>@redwoodgroup.com</v>
          </cell>
          <cell r="E204">
            <v>2017</v>
          </cell>
          <cell r="F204" t="str">
            <v>M0231</v>
          </cell>
        </row>
        <row r="205">
          <cell r="D205" t="str">
            <v>@pagasia.com</v>
          </cell>
          <cell r="E205">
            <v>2017</v>
          </cell>
          <cell r="F205" t="str">
            <v>M0137</v>
          </cell>
        </row>
        <row r="206">
          <cell r="D206" t="str">
            <v>@macquarie.com</v>
          </cell>
          <cell r="E206">
            <v>2017</v>
          </cell>
          <cell r="F206" t="str">
            <v>M766</v>
          </cell>
        </row>
        <row r="207">
          <cell r="D207" t="str">
            <v>@jpmorgan.com</v>
          </cell>
          <cell r="E207">
            <v>2017</v>
          </cell>
          <cell r="F207" t="str">
            <v>M082</v>
          </cell>
        </row>
        <row r="208">
          <cell r="D208" t="str">
            <v>@kailongrei.com</v>
          </cell>
          <cell r="E208">
            <v>2017</v>
          </cell>
          <cell r="F208" t="str">
            <v>M0226</v>
          </cell>
        </row>
        <row r="209">
          <cell r="D209" t="str">
            <v>@recapinvestments.com</v>
          </cell>
          <cell r="E209">
            <v>2017</v>
          </cell>
          <cell r="F209" t="str">
            <v>M0159</v>
          </cell>
        </row>
        <row r="210">
          <cell r="D210" t="str">
            <v>@dexus.com</v>
          </cell>
          <cell r="E210">
            <v>2017</v>
          </cell>
          <cell r="F210" t="str">
            <v>M0090</v>
          </cell>
        </row>
        <row r="211">
          <cell r="D211" t="str">
            <v>@archcapital.net</v>
          </cell>
          <cell r="E211">
            <v>2017</v>
          </cell>
          <cell r="F211" t="str">
            <v>M421</v>
          </cell>
        </row>
        <row r="212">
          <cell r="D212" t="str">
            <v>@ascendas-singbridge.com</v>
          </cell>
          <cell r="E212">
            <v>2017</v>
          </cell>
          <cell r="F212" t="str">
            <v>M0189</v>
          </cell>
        </row>
        <row r="213">
          <cell r="D213" t="str">
            <v>@mapletree.com.sg</v>
          </cell>
          <cell r="E213">
            <v>2017</v>
          </cell>
          <cell r="F213" t="str">
            <v>M0180</v>
          </cell>
        </row>
        <row r="214">
          <cell r="D214" t="str">
            <v>@kepcapital.com</v>
          </cell>
          <cell r="E214">
            <v>2017</v>
          </cell>
          <cell r="F214" t="str">
            <v>M0106</v>
          </cell>
        </row>
        <row r="215">
          <cell r="D215" t="str">
            <v>@angelogordon.com</v>
          </cell>
          <cell r="E215">
            <v>2017</v>
          </cell>
          <cell r="F215" t="str">
            <v>M0001</v>
          </cell>
        </row>
        <row r="216">
          <cell r="D216" t="str">
            <v>@ampcapital.com</v>
          </cell>
          <cell r="E216">
            <v>2017</v>
          </cell>
          <cell r="F216" t="str">
            <v>M0082</v>
          </cell>
        </row>
        <row r="217">
          <cell r="D217" t="str">
            <v>@investa.com.au</v>
          </cell>
          <cell r="E217">
            <v>2017</v>
          </cell>
          <cell r="F217" t="str">
            <v>M0077</v>
          </cell>
        </row>
        <row r="218">
          <cell r="D218" t="str">
            <v>@gawcapital.com</v>
          </cell>
          <cell r="E218">
            <v>2017</v>
          </cell>
          <cell r="F218" t="str">
            <v>M0186</v>
          </cell>
        </row>
        <row r="219">
          <cell r="D219" t="str">
            <v>@goodman.com</v>
          </cell>
          <cell r="E219">
            <v>2017</v>
          </cell>
          <cell r="F219" t="str">
            <v>M065</v>
          </cell>
        </row>
        <row r="220">
          <cell r="D220" t="str">
            <v xml:space="preserve">@clsa.com   </v>
          </cell>
          <cell r="E220">
            <v>2017</v>
          </cell>
          <cell r="F220" t="str">
            <v>M0309</v>
          </cell>
        </row>
        <row r="221">
          <cell r="D221" t="str">
            <v>@glprop.com</v>
          </cell>
          <cell r="E221">
            <v>2017</v>
          </cell>
          <cell r="F221" t="str">
            <v>M0144</v>
          </cell>
        </row>
        <row r="222">
          <cell r="D222" t="str">
            <v>@valad.co.uk</v>
          </cell>
          <cell r="E222">
            <v>2017</v>
          </cell>
          <cell r="F222" t="str">
            <v>M0267</v>
          </cell>
        </row>
        <row r="223">
          <cell r="D223" t="str">
            <v>@tt-ia.com</v>
          </cell>
          <cell r="E223">
            <v>2017</v>
          </cell>
          <cell r="F223" t="str">
            <v>M0239</v>
          </cell>
        </row>
        <row r="224">
          <cell r="D224" t="str">
            <v>@gpt.com.au</v>
          </cell>
          <cell r="E224">
            <v>2017</v>
          </cell>
          <cell r="F224" t="str">
            <v>M0075</v>
          </cell>
        </row>
        <row r="225">
          <cell r="D225" t="str">
            <v>@chlesfield.com</v>
          </cell>
          <cell r="E225">
            <v>2017</v>
          </cell>
          <cell r="F225" t="str">
            <v>M0271</v>
          </cell>
        </row>
        <row r="226">
          <cell r="D226" t="str">
            <v>@invesco.com</v>
          </cell>
          <cell r="E226">
            <v>2017</v>
          </cell>
          <cell r="F226" t="str">
            <v>M114</v>
          </cell>
        </row>
        <row r="227">
          <cell r="D227" t="str">
            <v>@morganstanley.com</v>
          </cell>
          <cell r="E227">
            <v>2017</v>
          </cell>
          <cell r="F227" t="str">
            <v>M0045</v>
          </cell>
        </row>
        <row r="228">
          <cell r="D228" t="str">
            <v xml:space="preserve">@citiccapital.com </v>
          </cell>
          <cell r="E228">
            <v>2017</v>
          </cell>
          <cell r="F228" t="str">
            <v>M0107</v>
          </cell>
        </row>
        <row r="229">
          <cell r="D229" t="str">
            <v>@ara.com.hk</v>
          </cell>
          <cell r="E229">
            <v>2017</v>
          </cell>
          <cell r="F229" t="str">
            <v>M0222</v>
          </cell>
        </row>
        <row r="230">
          <cell r="D230" t="str">
            <v>@gmail.com</v>
          </cell>
          <cell r="E230">
            <v>2017</v>
          </cell>
          <cell r="F230" t="str">
            <v>M03210</v>
          </cell>
        </row>
        <row r="231">
          <cell r="D231" t="str">
            <v>@piramal.com</v>
          </cell>
          <cell r="E231">
            <v>2017</v>
          </cell>
          <cell r="F231" t="str">
            <v>N0292</v>
          </cell>
        </row>
        <row r="232">
          <cell r="D232" t="str">
            <v>@lendlease.com</v>
          </cell>
          <cell r="E232">
            <v>2017</v>
          </cell>
          <cell r="F232" t="str">
            <v>M243</v>
          </cell>
        </row>
        <row r="233">
          <cell r="D233" t="str">
            <v>@idera-capital.com</v>
          </cell>
          <cell r="E233">
            <v>2017</v>
          </cell>
          <cell r="F233" t="str">
            <v>M0124</v>
          </cell>
        </row>
        <row r="234">
          <cell r="D234" t="str">
            <v>@orionpartners.com</v>
          </cell>
          <cell r="E234">
            <v>2017</v>
          </cell>
          <cell r="F234" t="str">
            <v>M0035</v>
          </cell>
        </row>
        <row r="235">
          <cell r="D235" t="str">
            <v>@propertylink.com.au</v>
          </cell>
          <cell r="E235">
            <v>2017</v>
          </cell>
          <cell r="F235" t="str">
            <v>M0220</v>
          </cell>
        </row>
        <row r="236">
          <cell r="D236" t="str">
            <v>@ispt.net.au</v>
          </cell>
          <cell r="E236">
            <v>2017</v>
          </cell>
          <cell r="F236" t="str">
            <v>M0269</v>
          </cell>
        </row>
        <row r="237">
          <cell r="D237" t="str">
            <v>@blackrock.com</v>
          </cell>
          <cell r="E237">
            <v>2017</v>
          </cell>
          <cell r="F237" t="str">
            <v>M181</v>
          </cell>
        </row>
        <row r="238">
          <cell r="D238" t="str">
            <v>@capitaland.com</v>
          </cell>
          <cell r="E238">
            <v>2017</v>
          </cell>
          <cell r="F238" t="str">
            <v>M0091</v>
          </cell>
        </row>
        <row r="239">
          <cell r="D239" t="str">
            <v>@eg.com.au</v>
          </cell>
          <cell r="E239">
            <v>2017</v>
          </cell>
          <cell r="F239" t="str">
            <v>M0249</v>
          </cell>
        </row>
        <row r="240">
          <cell r="D240" t="str">
            <v>@mc-dream.com</v>
          </cell>
          <cell r="E240">
            <v>2017</v>
          </cell>
          <cell r="F240" t="str">
            <v>M0007</v>
          </cell>
        </row>
        <row r="241">
          <cell r="D241" t="str">
            <v>@sevenseas-adv.com</v>
          </cell>
          <cell r="E241">
            <v>2017</v>
          </cell>
          <cell r="F241" t="str">
            <v>M0235</v>
          </cell>
        </row>
        <row r="242">
          <cell r="D242" t="str">
            <v>@wprei.com</v>
          </cell>
          <cell r="E242">
            <v>2017</v>
          </cell>
          <cell r="F242" t="str">
            <v>M0128</v>
          </cell>
        </row>
        <row r="243">
          <cell r="D243" t="str">
            <v>@kenedix.com</v>
          </cell>
          <cell r="E243">
            <v>2017</v>
          </cell>
          <cell r="F243" t="str">
            <v>M0230</v>
          </cell>
        </row>
        <row r="244">
          <cell r="D244" t="str">
            <v>@ilfsindia.com</v>
          </cell>
          <cell r="E244">
            <v>2017</v>
          </cell>
          <cell r="F244" t="str">
            <v>M0258</v>
          </cell>
        </row>
        <row r="245">
          <cell r="D245" t="str">
            <v>@sg.fifecapital.com</v>
          </cell>
          <cell r="E245">
            <v>2017</v>
          </cell>
          <cell r="F245" t="str">
            <v>N0280</v>
          </cell>
        </row>
        <row r="246">
          <cell r="D246" t="str">
            <v>@aep-im.com</v>
          </cell>
          <cell r="E246">
            <v>2017</v>
          </cell>
          <cell r="F246" t="str">
            <v>M0291</v>
          </cell>
        </row>
        <row r="247">
          <cell r="D247" t="str">
            <v>@pamfleet.com</v>
          </cell>
          <cell r="E247">
            <v>2017</v>
          </cell>
          <cell r="F247" t="str">
            <v>M0125</v>
          </cell>
        </row>
        <row r="248">
          <cell r="D248" t="str">
            <v>@aep-im.com</v>
          </cell>
          <cell r="E248">
            <v>2016</v>
          </cell>
          <cell r="F248" t="str">
            <v>M0291</v>
          </cell>
        </row>
        <row r="249">
          <cell r="D249" t="str">
            <v>@igisam.com</v>
          </cell>
          <cell r="E249">
            <v>2016</v>
          </cell>
          <cell r="F249" t="str">
            <v>M0333</v>
          </cell>
        </row>
        <row r="250">
          <cell r="D250" t="str">
            <v>@capitaland.com</v>
          </cell>
          <cell r="E250">
            <v>2016</v>
          </cell>
          <cell r="F250" t="str">
            <v>M0091</v>
          </cell>
        </row>
        <row r="251">
          <cell r="D251" t="str">
            <v>@dynasty-investments.com</v>
          </cell>
          <cell r="E251">
            <v>2016</v>
          </cell>
          <cell r="F251" t="str">
            <v>M0278</v>
          </cell>
        </row>
        <row r="252">
          <cell r="D252" t="str">
            <v>@kenedix.com</v>
          </cell>
          <cell r="E252">
            <v>2016</v>
          </cell>
          <cell r="F252" t="str">
            <v>M0230</v>
          </cell>
        </row>
        <row r="253">
          <cell r="D253" t="str">
            <v>@tt-ia.com</v>
          </cell>
          <cell r="E253">
            <v>2016</v>
          </cell>
          <cell r="F253" t="str">
            <v>M0239</v>
          </cell>
        </row>
        <row r="254">
          <cell r="D254" t="str">
            <v>@dexus.com</v>
          </cell>
          <cell r="E254">
            <v>2016</v>
          </cell>
          <cell r="F254" t="str">
            <v>M0090</v>
          </cell>
        </row>
        <row r="255">
          <cell r="D255" t="str">
            <v>@mc-dream.com</v>
          </cell>
          <cell r="E255">
            <v>2016</v>
          </cell>
          <cell r="F255" t="str">
            <v>M0007</v>
          </cell>
        </row>
        <row r="256">
          <cell r="D256" t="str">
            <v>@tr.mufg.jp</v>
          </cell>
          <cell r="E256">
            <v>2016</v>
          </cell>
          <cell r="F256" t="str">
            <v>M0232</v>
          </cell>
        </row>
        <row r="257">
          <cell r="D257" t="str">
            <v>@mandg.com</v>
          </cell>
          <cell r="E257">
            <v>2016</v>
          </cell>
          <cell r="F257" t="str">
            <v>M010</v>
          </cell>
        </row>
        <row r="258">
          <cell r="D258" t="str">
            <v>@ascendas.com</v>
          </cell>
          <cell r="E258">
            <v>2016</v>
          </cell>
          <cell r="F258" t="str">
            <v>M0189</v>
          </cell>
        </row>
        <row r="259">
          <cell r="D259" t="str">
            <v>@challenger.com.au</v>
          </cell>
          <cell r="E259">
            <v>2016</v>
          </cell>
          <cell r="F259" t="str">
            <v>M0224</v>
          </cell>
        </row>
        <row r="260">
          <cell r="D260" t="str">
            <v>@gpt.com.ay</v>
          </cell>
          <cell r="E260">
            <v>2016</v>
          </cell>
          <cell r="F260" t="str">
            <v>M0075</v>
          </cell>
        </row>
        <row r="261">
          <cell r="D261" t="str">
            <v>@wprei.com</v>
          </cell>
          <cell r="E261">
            <v>2016</v>
          </cell>
          <cell r="F261" t="str">
            <v>M0128</v>
          </cell>
        </row>
        <row r="262">
          <cell r="D262" t="str">
            <v>@silkroadpp.com</v>
          </cell>
          <cell r="E262">
            <v>2016</v>
          </cell>
          <cell r="F262" t="str">
            <v>M0182</v>
          </cell>
        </row>
        <row r="263">
          <cell r="D263" t="str">
            <v>@alphaipartners.com</v>
          </cell>
          <cell r="E263">
            <v>2016</v>
          </cell>
          <cell r="F263" t="str">
            <v>M0106</v>
          </cell>
        </row>
        <row r="264">
          <cell r="D264" t="str">
            <v>@maxcapgroup.com.au</v>
          </cell>
          <cell r="E264">
            <v>2016</v>
          </cell>
          <cell r="F264" t="str">
            <v>M0263</v>
          </cell>
        </row>
        <row r="265">
          <cell r="D265" t="str">
            <v>@citiccapital.com</v>
          </cell>
          <cell r="E265">
            <v>2016</v>
          </cell>
          <cell r="F265" t="str">
            <v>M0107</v>
          </cell>
        </row>
        <row r="266">
          <cell r="D266" t="str">
            <v>@dymonasia.com</v>
          </cell>
          <cell r="E266">
            <v>2016</v>
          </cell>
          <cell r="F266" t="str">
            <v>N0303</v>
          </cell>
        </row>
        <row r="267">
          <cell r="D267" t="str">
            <v>@orionpartners.com</v>
          </cell>
          <cell r="E267">
            <v>2016</v>
          </cell>
          <cell r="F267" t="str">
            <v>M0035</v>
          </cell>
        </row>
        <row r="268">
          <cell r="D268" t="str">
            <v>@archcapital.net</v>
          </cell>
          <cell r="E268">
            <v>2016</v>
          </cell>
          <cell r="F268" t="str">
            <v>M421</v>
          </cell>
        </row>
        <row r="269">
          <cell r="D269" t="str">
            <v>@quadrantrea.com</v>
          </cell>
          <cell r="E269">
            <v>2016</v>
          </cell>
          <cell r="F269" t="str">
            <v>M0158</v>
          </cell>
        </row>
        <row r="270">
          <cell r="D270" t="str">
            <v>@pagasia.com</v>
          </cell>
          <cell r="E270">
            <v>2016</v>
          </cell>
          <cell r="F270" t="str">
            <v>M0137</v>
          </cell>
        </row>
        <row r="271">
          <cell r="D271" t="str">
            <v>@tokiomarine-pim.com</v>
          </cell>
          <cell r="E271">
            <v>2016</v>
          </cell>
          <cell r="F271" t="str">
            <v>N0247</v>
          </cell>
        </row>
        <row r="272">
          <cell r="D272" t="str">
            <v>@citysquarerei.com</v>
          </cell>
          <cell r="E272">
            <v>2016</v>
          </cell>
          <cell r="F272" t="str">
            <v>M0279</v>
          </cell>
        </row>
        <row r="273">
          <cell r="D273" t="str">
            <v>@ampcapital.com</v>
          </cell>
          <cell r="E273">
            <v>2016</v>
          </cell>
          <cell r="F273" t="str">
            <v>M0082</v>
          </cell>
        </row>
        <row r="274">
          <cell r="D274" t="str">
            <v>@ara.com.hk</v>
          </cell>
          <cell r="E274">
            <v>2016</v>
          </cell>
          <cell r="F274" t="str">
            <v>M0222</v>
          </cell>
        </row>
        <row r="275">
          <cell r="D275" t="str">
            <v>@eg.com.au</v>
          </cell>
          <cell r="E275">
            <v>2016</v>
          </cell>
          <cell r="F275" t="str">
            <v>M0249</v>
          </cell>
        </row>
        <row r="276">
          <cell r="D276" t="str">
            <v>@ispt.net.au</v>
          </cell>
          <cell r="E276">
            <v>2016</v>
          </cell>
          <cell r="F276" t="str">
            <v>M0269</v>
          </cell>
        </row>
        <row r="277">
          <cell r="D277" t="str">
            <v>@propertylink.com.au</v>
          </cell>
          <cell r="E277">
            <v>2016</v>
          </cell>
          <cell r="F277" t="str">
            <v>M0220</v>
          </cell>
        </row>
        <row r="278">
          <cell r="D278" t="str">
            <v>@mapletree.com.sg</v>
          </cell>
          <cell r="E278">
            <v>2016</v>
          </cell>
          <cell r="F278" t="str">
            <v>M0180</v>
          </cell>
        </row>
        <row r="279">
          <cell r="D279" t="str">
            <v>@ask-capital.com</v>
          </cell>
          <cell r="E279">
            <v>2016</v>
          </cell>
          <cell r="F279" t="str">
            <v>N0301</v>
          </cell>
        </row>
        <row r="280">
          <cell r="D280" t="str">
            <v>@nomura-re.co.jp</v>
          </cell>
          <cell r="E280">
            <v>2016</v>
          </cell>
          <cell r="F280" t="str">
            <v>N0290</v>
          </cell>
        </row>
        <row r="281">
          <cell r="D281" t="str">
            <v>@piramal.com</v>
          </cell>
          <cell r="E281">
            <v>2016</v>
          </cell>
          <cell r="F281" t="str">
            <v>N0292</v>
          </cell>
        </row>
        <row r="282">
          <cell r="D282" t="e">
            <v>#VALUE!</v>
          </cell>
          <cell r="E282">
            <v>2016</v>
          </cell>
          <cell r="F282" t="str">
            <v>N0174</v>
          </cell>
        </row>
        <row r="283">
          <cell r="D283" t="str">
            <v>@charterhall.com.au</v>
          </cell>
          <cell r="E283">
            <v>2016</v>
          </cell>
          <cell r="F283" t="str">
            <v>M03232</v>
          </cell>
        </row>
        <row r="284">
          <cell r="D284" t="str">
            <v>@ilfsindia.com</v>
          </cell>
          <cell r="E284">
            <v>2016</v>
          </cell>
          <cell r="F284" t="str">
            <v>M0258</v>
          </cell>
        </row>
        <row r="285">
          <cell r="D285" t="str">
            <v>@recapinvestments.com</v>
          </cell>
          <cell r="E285">
            <v>2016</v>
          </cell>
          <cell r="F285" t="str">
            <v>M0159</v>
          </cell>
        </row>
        <row r="286">
          <cell r="D286" t="str">
            <v>@mcasset.com</v>
          </cell>
          <cell r="E286">
            <v>2016</v>
          </cell>
          <cell r="F286" t="str">
            <v>N0288</v>
          </cell>
        </row>
        <row r="287">
          <cell r="D287" t="str">
            <v>@CREDITEASE.HK</v>
          </cell>
          <cell r="E287">
            <v>2016</v>
          </cell>
          <cell r="F287" t="str">
            <v>N0278</v>
          </cell>
        </row>
        <row r="288">
          <cell r="D288" t="str">
            <v>@vinacapital.com</v>
          </cell>
          <cell r="E288">
            <v>2016</v>
          </cell>
          <cell r="F288" t="str">
            <v>N0299</v>
          </cell>
        </row>
        <row r="289">
          <cell r="D289" t="str">
            <v>@kailongrei.com</v>
          </cell>
          <cell r="E289">
            <v>2016</v>
          </cell>
          <cell r="F289" t="str">
            <v>M0226</v>
          </cell>
        </row>
        <row r="290">
          <cell r="D290" t="str">
            <v>@pamfleet.com</v>
          </cell>
          <cell r="E290">
            <v>2016</v>
          </cell>
          <cell r="F290" t="str">
            <v>M0125</v>
          </cell>
        </row>
        <row r="291">
          <cell r="D291" t="str">
            <v>@lendlease.com</v>
          </cell>
          <cell r="E291">
            <v>2016</v>
          </cell>
          <cell r="F291" t="str">
            <v>M243</v>
          </cell>
        </row>
        <row r="292">
          <cell r="D292" t="str">
            <v>@investa.com.au</v>
          </cell>
          <cell r="E292">
            <v>2016</v>
          </cell>
          <cell r="F292" t="str">
            <v>M0077</v>
          </cell>
        </row>
        <row r="293">
          <cell r="D293" t="str">
            <v>@guidancefinancial.com</v>
          </cell>
          <cell r="E293">
            <v>2016</v>
          </cell>
          <cell r="F293" t="str">
            <v>M0216</v>
          </cell>
        </row>
        <row r="294">
          <cell r="D294" t="str">
            <v>@glprop.com</v>
          </cell>
          <cell r="E294">
            <v>2016</v>
          </cell>
          <cell r="F294" t="str">
            <v>M0144</v>
          </cell>
        </row>
        <row r="295">
          <cell r="D295" t="str">
            <v>@gawcapital.com</v>
          </cell>
          <cell r="E295">
            <v>2016</v>
          </cell>
          <cell r="F295" t="str">
            <v>M0186</v>
          </cell>
        </row>
        <row r="296">
          <cell r="D296" t="str">
            <v>@starcrestcap.com</v>
          </cell>
          <cell r="E296">
            <v>2016</v>
          </cell>
          <cell r="F296" t="str">
            <v>M0255</v>
          </cell>
        </row>
        <row r="297">
          <cell r="D297" t="str">
            <v>@redwoodgroup.com</v>
          </cell>
          <cell r="E297">
            <v>2016</v>
          </cell>
          <cell r="F297" t="str">
            <v>M0231</v>
          </cell>
        </row>
        <row r="298">
          <cell r="D298" t="str">
            <v>@farmopp.com</v>
          </cell>
          <cell r="E298">
            <v>2022</v>
          </cell>
          <cell r="F298" t="str">
            <v>NC001</v>
          </cell>
        </row>
        <row r="299">
          <cell r="D299" t="str">
            <v>@pacificurbaninvestors.com</v>
          </cell>
          <cell r="E299">
            <v>2022</v>
          </cell>
          <cell r="F299" t="str">
            <v>NC002</v>
          </cell>
        </row>
        <row r="300">
          <cell r="D300" t="str">
            <v>@jamestownlp.com</v>
          </cell>
          <cell r="E300">
            <v>2022</v>
          </cell>
          <cell r="F300" t="str">
            <v>M551</v>
          </cell>
        </row>
        <row r="301">
          <cell r="D301" t="str">
            <v>@sraco.com</v>
          </cell>
          <cell r="E301">
            <v>2022</v>
          </cell>
          <cell r="F301" t="str">
            <v>NC003</v>
          </cell>
        </row>
        <row r="302">
          <cell r="D302" t="str">
            <v>@barings.com</v>
          </cell>
          <cell r="E302">
            <v>2022</v>
          </cell>
          <cell r="F302" t="str">
            <v>M215</v>
          </cell>
        </row>
        <row r="303">
          <cell r="D303" t="str">
            <v>@ubs.com</v>
          </cell>
          <cell r="E303">
            <v>2022</v>
          </cell>
          <cell r="F303" t="str">
            <v>M064</v>
          </cell>
        </row>
        <row r="304">
          <cell r="D304" t="str">
            <v>@wheelockst.com</v>
          </cell>
          <cell r="E304">
            <v>2022</v>
          </cell>
          <cell r="F304" t="str">
            <v>NC004</v>
          </cell>
        </row>
        <row r="305">
          <cell r="D305" t="str">
            <v>@whirep.com</v>
          </cell>
          <cell r="E305">
            <v>2022</v>
          </cell>
          <cell r="F305" t="str">
            <v>NC005</v>
          </cell>
        </row>
        <row r="306">
          <cell r="D306" t="str">
            <v>@hartadvisers.com</v>
          </cell>
          <cell r="E306">
            <v>2022</v>
          </cell>
          <cell r="F306" t="str">
            <v>NC006</v>
          </cell>
        </row>
        <row r="307">
          <cell r="D307" t="str">
            <v>@bentallgreenoak.com</v>
          </cell>
          <cell r="E307">
            <v>2022</v>
          </cell>
          <cell r="F307" t="str">
            <v>M679</v>
          </cell>
        </row>
        <row r="308">
          <cell r="D308" t="str">
            <v>@sentinelcorp.com</v>
          </cell>
          <cell r="E308">
            <v>2022</v>
          </cell>
          <cell r="F308" t="str">
            <v>M473</v>
          </cell>
        </row>
        <row r="309">
          <cell r="D309" t="str">
            <v>@intercontinental.net</v>
          </cell>
          <cell r="E309">
            <v>2022</v>
          </cell>
          <cell r="F309" t="str">
            <v>NC007</v>
          </cell>
        </row>
        <row r="310">
          <cell r="D310" t="str">
            <v>@forestinvest.com</v>
          </cell>
          <cell r="E310">
            <v>2022</v>
          </cell>
          <cell r="F310" t="str">
            <v>NC008</v>
          </cell>
        </row>
        <row r="311">
          <cell r="D311" t="str">
            <v>@tarealty.com</v>
          </cell>
          <cell r="E311">
            <v>2022</v>
          </cell>
          <cell r="F311" t="str">
            <v>NC009</v>
          </cell>
        </row>
        <row r="312">
          <cell r="D312" t="str">
            <v>@everwest.com</v>
          </cell>
          <cell r="E312">
            <v>2021</v>
          </cell>
          <cell r="F312" t="str">
            <v>NC010</v>
          </cell>
        </row>
        <row r="313">
          <cell r="D313" t="str">
            <v>@intercontinental.net</v>
          </cell>
          <cell r="E313">
            <v>2021</v>
          </cell>
          <cell r="F313" t="str">
            <v>NC007</v>
          </cell>
        </row>
        <row r="314">
          <cell r="D314" t="str">
            <v>@farmopp.com</v>
          </cell>
          <cell r="E314">
            <v>2021</v>
          </cell>
          <cell r="F314" t="str">
            <v>NC001</v>
          </cell>
        </row>
        <row r="315">
          <cell r="D315" t="str">
            <v>@pgim.com</v>
          </cell>
          <cell r="E315">
            <v>2021</v>
          </cell>
          <cell r="F315" t="str">
            <v>M042</v>
          </cell>
        </row>
        <row r="316">
          <cell r="D316" t="str">
            <v>@prologis.com</v>
          </cell>
          <cell r="E316">
            <v>2021</v>
          </cell>
          <cell r="F316" t="str">
            <v>M024</v>
          </cell>
        </row>
        <row r="317">
          <cell r="D317" t="str">
            <v>@sentinelcorp.com</v>
          </cell>
          <cell r="E317">
            <v>2021</v>
          </cell>
          <cell r="F317" t="str">
            <v>M473</v>
          </cell>
        </row>
        <row r="318">
          <cell r="D318" t="str">
            <v>@jamestownlp.com</v>
          </cell>
          <cell r="E318">
            <v>2021</v>
          </cell>
          <cell r="F318" t="str">
            <v>M551</v>
          </cell>
        </row>
        <row r="319">
          <cell r="D319" t="str">
            <v>@tarealty.com</v>
          </cell>
          <cell r="E319">
            <v>2021</v>
          </cell>
          <cell r="F319" t="str">
            <v>NC009</v>
          </cell>
        </row>
        <row r="320">
          <cell r="D320" t="str">
            <v>@morganstanley.com</v>
          </cell>
          <cell r="E320">
            <v>2021</v>
          </cell>
          <cell r="F320" t="str">
            <v>M548</v>
          </cell>
        </row>
        <row r="321">
          <cell r="D321" t="str">
            <v>@aracapital.com</v>
          </cell>
          <cell r="E321">
            <v>2021</v>
          </cell>
          <cell r="F321" t="str">
            <v>NC011</v>
          </cell>
        </row>
        <row r="322">
          <cell r="D322" t="str">
            <v>@newportcapitalptrs.com</v>
          </cell>
          <cell r="E322">
            <v>2021</v>
          </cell>
          <cell r="F322" t="str">
            <v>NC012</v>
          </cell>
        </row>
        <row r="323">
          <cell r="D323" t="str">
            <v>@bluevistallc.com</v>
          </cell>
          <cell r="E323">
            <v>2021</v>
          </cell>
          <cell r="F323" t="str">
            <v>NC013</v>
          </cell>
        </row>
        <row r="324">
          <cell r="D324" t="str">
            <v>@metlife.com</v>
          </cell>
          <cell r="E324">
            <v>2021</v>
          </cell>
          <cell r="F324" t="str">
            <v>M03148</v>
          </cell>
        </row>
        <row r="325">
          <cell r="D325" t="str">
            <v>@barings.com</v>
          </cell>
          <cell r="E325">
            <v>2021</v>
          </cell>
          <cell r="F325" t="str">
            <v>M215</v>
          </cell>
        </row>
        <row r="326">
          <cell r="D326" t="str">
            <v>@waterton.com</v>
          </cell>
          <cell r="E326">
            <v>2021</v>
          </cell>
          <cell r="F326" t="str">
            <v>NC014</v>
          </cell>
        </row>
        <row r="327">
          <cell r="D327" t="str">
            <v>@resourcemgt.com</v>
          </cell>
          <cell r="E327">
            <v>2021</v>
          </cell>
          <cell r="F327" t="str">
            <v>NC015</v>
          </cell>
        </row>
        <row r="328">
          <cell r="D328" t="str">
            <v>@sraco.com</v>
          </cell>
          <cell r="E328">
            <v>2021</v>
          </cell>
          <cell r="F328" t="str">
            <v>NC003</v>
          </cell>
        </row>
        <row r="329">
          <cell r="D329" t="str">
            <v>@buzzoates.com</v>
          </cell>
          <cell r="E329">
            <v>2021</v>
          </cell>
          <cell r="F329" t="str">
            <v>NC016</v>
          </cell>
        </row>
        <row r="330">
          <cell r="D330" t="str">
            <v>@forestinvest.com</v>
          </cell>
          <cell r="E330">
            <v>2021</v>
          </cell>
          <cell r="F330" t="str">
            <v>NC008</v>
          </cell>
        </row>
        <row r="331">
          <cell r="D331" t="str">
            <v>@everwest.com</v>
          </cell>
          <cell r="E331">
            <v>2020</v>
          </cell>
          <cell r="F331" t="str">
            <v>NC010</v>
          </cell>
        </row>
        <row r="332">
          <cell r="D332" t="str">
            <v>@intercontinental.net</v>
          </cell>
          <cell r="E332">
            <v>2020</v>
          </cell>
          <cell r="F332" t="str">
            <v>NC007</v>
          </cell>
        </row>
        <row r="333">
          <cell r="D333" t="str">
            <v>@farmopp.com</v>
          </cell>
          <cell r="E333">
            <v>2020</v>
          </cell>
          <cell r="F333" t="str">
            <v>NC001</v>
          </cell>
        </row>
        <row r="334">
          <cell r="D334" t="str">
            <v>@pgim.com</v>
          </cell>
          <cell r="E334">
            <v>2020</v>
          </cell>
          <cell r="F334" t="str">
            <v>M042</v>
          </cell>
        </row>
        <row r="335">
          <cell r="D335" t="str">
            <v>@prologis.com</v>
          </cell>
          <cell r="E335">
            <v>2020</v>
          </cell>
          <cell r="F335" t="str">
            <v>M024</v>
          </cell>
        </row>
        <row r="336">
          <cell r="D336" t="str">
            <v>@sentinelcorp.com</v>
          </cell>
          <cell r="E336">
            <v>2020</v>
          </cell>
          <cell r="F336" t="str">
            <v>M473</v>
          </cell>
        </row>
        <row r="337">
          <cell r="D337" t="str">
            <v>@jamestownlp.com</v>
          </cell>
          <cell r="E337">
            <v>2020</v>
          </cell>
          <cell r="F337" t="str">
            <v>M551</v>
          </cell>
        </row>
        <row r="338">
          <cell r="D338" t="str">
            <v>@tarealty.com</v>
          </cell>
          <cell r="E338">
            <v>2020</v>
          </cell>
          <cell r="F338" t="str">
            <v>NC009</v>
          </cell>
        </row>
        <row r="339">
          <cell r="D339" t="str">
            <v>@morganstanley.com</v>
          </cell>
          <cell r="E339">
            <v>2020</v>
          </cell>
          <cell r="F339" t="str">
            <v>M548</v>
          </cell>
        </row>
        <row r="340">
          <cell r="D340" t="str">
            <v>@aracapital.com</v>
          </cell>
          <cell r="E340">
            <v>2020</v>
          </cell>
          <cell r="F340" t="str">
            <v>NC011</v>
          </cell>
        </row>
        <row r="341">
          <cell r="D341" t="str">
            <v>@newportcapitalptrs.com</v>
          </cell>
          <cell r="E341">
            <v>2020</v>
          </cell>
          <cell r="F341" t="str">
            <v>NC012</v>
          </cell>
        </row>
        <row r="342">
          <cell r="D342" t="str">
            <v>@bluevistallc.com</v>
          </cell>
          <cell r="E342">
            <v>2020</v>
          </cell>
          <cell r="F342" t="str">
            <v>NC013</v>
          </cell>
        </row>
        <row r="343">
          <cell r="D343" t="str">
            <v>@metlife.com</v>
          </cell>
          <cell r="E343">
            <v>2020</v>
          </cell>
          <cell r="F343" t="str">
            <v>M03148</v>
          </cell>
        </row>
        <row r="344">
          <cell r="D344" t="str">
            <v>@barings.com</v>
          </cell>
          <cell r="E344">
            <v>2020</v>
          </cell>
          <cell r="F344" t="str">
            <v>M215</v>
          </cell>
        </row>
        <row r="345">
          <cell r="D345" t="str">
            <v>@waterton.com</v>
          </cell>
          <cell r="E345">
            <v>2020</v>
          </cell>
          <cell r="F345" t="str">
            <v>NC014</v>
          </cell>
        </row>
        <row r="346">
          <cell r="D346" t="str">
            <v>@resourcemgt.com</v>
          </cell>
          <cell r="E346">
            <v>2020</v>
          </cell>
          <cell r="F346" t="str">
            <v>NC015</v>
          </cell>
        </row>
        <row r="347">
          <cell r="D347" t="str">
            <v>@sraco.com</v>
          </cell>
          <cell r="E347">
            <v>2020</v>
          </cell>
          <cell r="F347" t="str">
            <v>NC003</v>
          </cell>
        </row>
        <row r="348">
          <cell r="D348" t="str">
            <v>@buzzoates.com</v>
          </cell>
          <cell r="E348">
            <v>2020</v>
          </cell>
          <cell r="F348" t="str">
            <v>NC016</v>
          </cell>
        </row>
        <row r="349">
          <cell r="D349" t="str">
            <v>@forestinvest.com</v>
          </cell>
          <cell r="E349">
            <v>2020</v>
          </cell>
          <cell r="F349" t="str">
            <v>NC008</v>
          </cell>
        </row>
        <row r="350">
          <cell r="D350" t="str">
            <v>@equuspartners.com</v>
          </cell>
          <cell r="E350">
            <v>2019</v>
          </cell>
          <cell r="F350" t="str">
            <v>NC017</v>
          </cell>
        </row>
        <row r="351">
          <cell r="D351" t="str">
            <v>@farmopp.com</v>
          </cell>
          <cell r="E351">
            <v>2019</v>
          </cell>
          <cell r="F351" t="str">
            <v>NC001</v>
          </cell>
        </row>
        <row r="352">
          <cell r="D352" t="str">
            <v>@intercontinental.net</v>
          </cell>
          <cell r="E352">
            <v>2019</v>
          </cell>
          <cell r="F352" t="str">
            <v>NC007</v>
          </cell>
        </row>
        <row r="353">
          <cell r="D353" t="str">
            <v>@buzzoates.com</v>
          </cell>
          <cell r="E353">
            <v>2019</v>
          </cell>
          <cell r="F353" t="str">
            <v>NC016</v>
          </cell>
        </row>
        <row r="354">
          <cell r="D354" t="str">
            <v>@ascentris.com</v>
          </cell>
          <cell r="E354">
            <v>2019</v>
          </cell>
          <cell r="F354" t="str">
            <v>NC018</v>
          </cell>
        </row>
        <row r="355">
          <cell r="D355" t="str">
            <v>@metlife.com</v>
          </cell>
          <cell r="E355">
            <v>2019</v>
          </cell>
          <cell r="F355" t="str">
            <v>M03148</v>
          </cell>
        </row>
        <row r="356">
          <cell r="D356" t="str">
            <v>@heitman.com</v>
          </cell>
          <cell r="E356">
            <v>2019</v>
          </cell>
          <cell r="F356" t="str">
            <v>M107</v>
          </cell>
        </row>
        <row r="357">
          <cell r="D357" t="str">
            <v>@northwesternmutual.com</v>
          </cell>
          <cell r="E357">
            <v>2019</v>
          </cell>
          <cell r="F357" t="str">
            <v>NC019</v>
          </cell>
        </row>
        <row r="358">
          <cell r="D358" t="str">
            <v>@forestinvest.com</v>
          </cell>
          <cell r="E358">
            <v>2019</v>
          </cell>
          <cell r="F358" t="str">
            <v>NC008</v>
          </cell>
        </row>
        <row r="359">
          <cell r="D359" t="str">
            <v>@pccpllc.com</v>
          </cell>
          <cell r="E359">
            <v>2019</v>
          </cell>
          <cell r="F359" t="str">
            <v>M05120</v>
          </cell>
        </row>
        <row r="360">
          <cell r="D360" t="str">
            <v>@sraco.com</v>
          </cell>
          <cell r="E360">
            <v>2019</v>
          </cell>
          <cell r="F360" t="str">
            <v>NC003</v>
          </cell>
        </row>
        <row r="361">
          <cell r="D361" t="str">
            <v>@aracapital.com</v>
          </cell>
          <cell r="E361">
            <v>2019</v>
          </cell>
          <cell r="F361" t="str">
            <v>NC011</v>
          </cell>
        </row>
        <row r="362">
          <cell r="D362" t="str">
            <v>@hines.com</v>
          </cell>
          <cell r="E362">
            <v>2019</v>
          </cell>
          <cell r="F362" t="str">
            <v>M073</v>
          </cell>
        </row>
        <row r="363">
          <cell r="D363" t="str">
            <v>@greystar.com</v>
          </cell>
          <cell r="E363">
            <v>2019</v>
          </cell>
          <cell r="F363" t="str">
            <v>M718</v>
          </cell>
        </row>
        <row r="364">
          <cell r="D364" t="str">
            <v>@cbreglobalinvestors.com</v>
          </cell>
          <cell r="E364">
            <v>2019</v>
          </cell>
          <cell r="F364" t="str">
            <v>M231</v>
          </cell>
        </row>
        <row r="365">
          <cell r="D365" t="str">
            <v>@bluevistallc.com</v>
          </cell>
          <cell r="E365">
            <v>2019</v>
          </cell>
          <cell r="F365" t="str">
            <v>NC013</v>
          </cell>
        </row>
        <row r="366">
          <cell r="D366" t="str">
            <v>@pnc.com</v>
          </cell>
          <cell r="E366">
            <v>2019</v>
          </cell>
          <cell r="F366" t="str">
            <v>NC020</v>
          </cell>
        </row>
        <row r="367">
          <cell r="D367" t="str">
            <v>@nylinvestors.com</v>
          </cell>
          <cell r="E367">
            <v>2019</v>
          </cell>
          <cell r="F367" t="str">
            <v>M03851</v>
          </cell>
        </row>
        <row r="368">
          <cell r="D368" t="str">
            <v>@invesco.com</v>
          </cell>
          <cell r="E368">
            <v>2019</v>
          </cell>
          <cell r="F368" t="str">
            <v>M114</v>
          </cell>
        </row>
        <row r="369">
          <cell r="D369" t="str">
            <v>@pgim.com</v>
          </cell>
          <cell r="E369">
            <v>2019</v>
          </cell>
          <cell r="F369" t="str">
            <v>M042</v>
          </cell>
        </row>
        <row r="370">
          <cell r="D370" t="str">
            <v>@jamestownlp.com</v>
          </cell>
          <cell r="E370">
            <v>2019</v>
          </cell>
          <cell r="F370" t="str">
            <v>M551</v>
          </cell>
        </row>
        <row r="371">
          <cell r="D371" t="str">
            <v>@lasalle.com</v>
          </cell>
          <cell r="E371">
            <v>2019</v>
          </cell>
          <cell r="F371" t="str">
            <v>M020</v>
          </cell>
        </row>
        <row r="372">
          <cell r="D372" t="str">
            <v>@dakotapacific.com</v>
          </cell>
          <cell r="E372">
            <v>2019</v>
          </cell>
          <cell r="F372" t="str">
            <v>NC021</v>
          </cell>
        </row>
        <row r="373">
          <cell r="D373" t="str">
            <v>@morganstanley.com</v>
          </cell>
          <cell r="E373">
            <v>2019</v>
          </cell>
          <cell r="F373" t="str">
            <v>M548</v>
          </cell>
        </row>
        <row r="374">
          <cell r="D374" t="str">
            <v>@lbrealty.com</v>
          </cell>
          <cell r="E374">
            <v>2019</v>
          </cell>
          <cell r="F374" t="str">
            <v>NC022</v>
          </cell>
        </row>
        <row r="375">
          <cell r="D375" t="str">
            <v>@jpmorgan.com</v>
          </cell>
          <cell r="E375">
            <v>2019</v>
          </cell>
          <cell r="F375" t="str">
            <v>M082</v>
          </cell>
        </row>
        <row r="376">
          <cell r="D376" t="str">
            <v>@sentinelcorp.com</v>
          </cell>
          <cell r="E376">
            <v>2019</v>
          </cell>
          <cell r="F376" t="str">
            <v>M473</v>
          </cell>
        </row>
        <row r="377">
          <cell r="D377" t="str">
            <v>@orminc.com</v>
          </cell>
          <cell r="E377">
            <v>2019</v>
          </cell>
          <cell r="F377" t="str">
            <v>NC023</v>
          </cell>
        </row>
        <row r="378">
          <cell r="D378" t="str">
            <v>@hartadvisers.com</v>
          </cell>
          <cell r="E378">
            <v>2019</v>
          </cell>
          <cell r="F378" t="str">
            <v>NC006</v>
          </cell>
        </row>
        <row r="379">
          <cell r="D379" t="str">
            <v>@prologis.com</v>
          </cell>
          <cell r="E379">
            <v>2019</v>
          </cell>
          <cell r="F379" t="str">
            <v>M024</v>
          </cell>
        </row>
        <row r="380">
          <cell r="D380" t="str">
            <v>@barings.com</v>
          </cell>
          <cell r="E380">
            <v>2018</v>
          </cell>
          <cell r="F380" t="str">
            <v>M215</v>
          </cell>
        </row>
        <row r="381">
          <cell r="D381" t="str">
            <v>@wallc.com</v>
          </cell>
          <cell r="E381">
            <v>2018</v>
          </cell>
          <cell r="F381" t="str">
            <v>NC024</v>
          </cell>
        </row>
        <row r="382">
          <cell r="D382" t="str">
            <v>@sraco.com</v>
          </cell>
          <cell r="E382">
            <v>2018</v>
          </cell>
          <cell r="F382" t="str">
            <v>NC003</v>
          </cell>
        </row>
        <row r="383">
          <cell r="D383" t="str">
            <v>@sentinelcorp.com</v>
          </cell>
          <cell r="E383">
            <v>2018</v>
          </cell>
          <cell r="F383" t="str">
            <v>M473</v>
          </cell>
        </row>
        <row r="384">
          <cell r="D384" t="str">
            <v>@cottonwoodpartners.com</v>
          </cell>
          <cell r="E384">
            <v>2018</v>
          </cell>
          <cell r="F384" t="str">
            <v>NC025</v>
          </cell>
        </row>
        <row r="385">
          <cell r="D385" t="str">
            <v>@northwesternmutual.com</v>
          </cell>
          <cell r="E385">
            <v>2018</v>
          </cell>
          <cell r="F385" t="str">
            <v>NC019</v>
          </cell>
        </row>
        <row r="386">
          <cell r="D386" t="str">
            <v>@lasalle.com</v>
          </cell>
          <cell r="E386">
            <v>2018</v>
          </cell>
          <cell r="F386" t="str">
            <v>M020</v>
          </cell>
        </row>
        <row r="387">
          <cell r="D387" t="str">
            <v>@tiaa-cref.org</v>
          </cell>
          <cell r="E387">
            <v>2018</v>
          </cell>
          <cell r="F387" t="str">
            <v>M038</v>
          </cell>
        </row>
        <row r="388">
          <cell r="D388" t="str">
            <v>@bluevistallc.com</v>
          </cell>
          <cell r="E388">
            <v>2018</v>
          </cell>
          <cell r="F388" t="str">
            <v>NC013</v>
          </cell>
        </row>
        <row r="389">
          <cell r="D389" t="str">
            <v>@lpc.com</v>
          </cell>
          <cell r="E389">
            <v>2018</v>
          </cell>
          <cell r="F389" t="str">
            <v>NC026</v>
          </cell>
        </row>
        <row r="390">
          <cell r="D390" t="str">
            <v>@pnc.com</v>
          </cell>
          <cell r="E390">
            <v>2018</v>
          </cell>
          <cell r="F390" t="str">
            <v>NC020</v>
          </cell>
        </row>
        <row r="391">
          <cell r="D391" t="str">
            <v>@gid.com</v>
          </cell>
          <cell r="E391">
            <v>2018</v>
          </cell>
          <cell r="F391" t="str">
            <v>NC027</v>
          </cell>
        </row>
        <row r="392">
          <cell r="D392" t="str">
            <v>@hartadvisers.com</v>
          </cell>
          <cell r="E392">
            <v>2018</v>
          </cell>
          <cell r="F392" t="str">
            <v>NC006</v>
          </cell>
        </row>
        <row r="393">
          <cell r="D393" t="str">
            <v>@equuspartners.com</v>
          </cell>
          <cell r="E393">
            <v>2018</v>
          </cell>
          <cell r="F393" t="str">
            <v>NC017</v>
          </cell>
        </row>
        <row r="394">
          <cell r="D394" t="str">
            <v>@heitman.com</v>
          </cell>
          <cell r="E394">
            <v>2018</v>
          </cell>
          <cell r="F394" t="str">
            <v>M107</v>
          </cell>
        </row>
        <row r="395">
          <cell r="D395" t="str">
            <v>@amcap.com</v>
          </cell>
          <cell r="E395">
            <v>2018</v>
          </cell>
          <cell r="F395" t="str">
            <v>NC028</v>
          </cell>
        </row>
        <row r="396">
          <cell r="D396" t="str">
            <v>@americanreal.com</v>
          </cell>
          <cell r="E396">
            <v>2018</v>
          </cell>
          <cell r="F396" t="str">
            <v>NC029</v>
          </cell>
        </row>
        <row r="397">
          <cell r="D397" t="str">
            <v>@prologis.com</v>
          </cell>
          <cell r="E397">
            <v>2018</v>
          </cell>
          <cell r="F397" t="str">
            <v>M024</v>
          </cell>
        </row>
        <row r="398">
          <cell r="D398" t="str">
            <v>@asbrealestate.com</v>
          </cell>
          <cell r="E398">
            <v>2018</v>
          </cell>
          <cell r="F398" t="str">
            <v>NC030</v>
          </cell>
        </row>
        <row r="399">
          <cell r="D399" t="str">
            <v>@clarionpartners.com</v>
          </cell>
          <cell r="E399">
            <v>2018</v>
          </cell>
          <cell r="F399" t="str">
            <v>M677</v>
          </cell>
        </row>
        <row r="400">
          <cell r="D400" t="str">
            <v>@intercontinental.net</v>
          </cell>
          <cell r="E400">
            <v>2018</v>
          </cell>
          <cell r="F400" t="str">
            <v>NC007</v>
          </cell>
        </row>
        <row r="401">
          <cell r="D401" t="str">
            <v>@invesco.com</v>
          </cell>
          <cell r="E401">
            <v>2018</v>
          </cell>
          <cell r="F401" t="str">
            <v>M114</v>
          </cell>
        </row>
        <row r="402">
          <cell r="D402" t="str">
            <v>@principal.com</v>
          </cell>
          <cell r="E402">
            <v>2017</v>
          </cell>
          <cell r="F402" t="str">
            <v>M03132</v>
          </cell>
        </row>
        <row r="403">
          <cell r="D403" t="str">
            <v>@guggenheimrealestate.com</v>
          </cell>
          <cell r="E403">
            <v>2017</v>
          </cell>
          <cell r="F403" t="str">
            <v>NC031</v>
          </cell>
        </row>
        <row r="404">
          <cell r="D404" t="str">
            <v>@americanreal.com</v>
          </cell>
          <cell r="E404">
            <v>2017</v>
          </cell>
          <cell r="F404" t="str">
            <v>NC029</v>
          </cell>
        </row>
        <row r="405">
          <cell r="D405" t="str">
            <v>@intercontinental.net</v>
          </cell>
          <cell r="E405">
            <v>2017</v>
          </cell>
          <cell r="F405" t="str">
            <v>NC007</v>
          </cell>
        </row>
        <row r="406">
          <cell r="D406" t="str">
            <v>@pnc.com</v>
          </cell>
          <cell r="E406">
            <v>2017</v>
          </cell>
          <cell r="F406" t="str">
            <v>NC020</v>
          </cell>
        </row>
        <row r="407">
          <cell r="D407" t="str">
            <v>@sraco.com</v>
          </cell>
          <cell r="E407">
            <v>2017</v>
          </cell>
          <cell r="F407" t="str">
            <v>NC003</v>
          </cell>
        </row>
        <row r="408">
          <cell r="D408" t="str">
            <v>@blackrock.com</v>
          </cell>
          <cell r="E408">
            <v>2016</v>
          </cell>
          <cell r="F408" t="str">
            <v>M181</v>
          </cell>
        </row>
        <row r="409">
          <cell r="D409" t="str">
            <v>@cbreglobalinvestors.com</v>
          </cell>
          <cell r="E409">
            <v>2016</v>
          </cell>
          <cell r="F409" t="str">
            <v>M231</v>
          </cell>
        </row>
        <row r="410">
          <cell r="D410" t="str">
            <v>@cornerstoneadvisers.com</v>
          </cell>
          <cell r="E410">
            <v>2016</v>
          </cell>
          <cell r="F410" t="str">
            <v>NC032</v>
          </cell>
        </row>
        <row r="411">
          <cell r="D411" t="str">
            <v>@sraco.com</v>
          </cell>
          <cell r="E411">
            <v>2016</v>
          </cell>
          <cell r="F411" t="str">
            <v>NC003</v>
          </cell>
        </row>
        <row r="412">
          <cell r="D412" t="str">
            <v>@intercontinental.net</v>
          </cell>
          <cell r="E412">
            <v>2016</v>
          </cell>
          <cell r="F412" t="str">
            <v>NC007</v>
          </cell>
        </row>
        <row r="413">
          <cell r="D413" t="str">
            <v>@morganstanley.com</v>
          </cell>
          <cell r="E413">
            <v>2016</v>
          </cell>
          <cell r="F413" t="str">
            <v>M548</v>
          </cell>
        </row>
        <row r="414">
          <cell r="D414" t="str">
            <v>@americanreal.com</v>
          </cell>
          <cell r="E414">
            <v>2016</v>
          </cell>
          <cell r="F414" t="str">
            <v>NC029</v>
          </cell>
        </row>
        <row r="415">
          <cell r="D415" t="str">
            <v>@fpamf.com</v>
          </cell>
          <cell r="E415">
            <v>2016</v>
          </cell>
          <cell r="F415" t="str">
            <v>NC033</v>
          </cell>
        </row>
        <row r="416">
          <cell r="D416" t="str">
            <v>@jpmorgan.com</v>
          </cell>
          <cell r="E416">
            <v>2016</v>
          </cell>
          <cell r="F416" t="str">
            <v>M082</v>
          </cell>
        </row>
        <row r="417">
          <cell r="D417" t="str">
            <v>@lasalle.com</v>
          </cell>
          <cell r="E417">
            <v>2016</v>
          </cell>
          <cell r="F417" t="str">
            <v>M020</v>
          </cell>
        </row>
        <row r="418">
          <cell r="D418" t="str">
            <v>@waterton.com</v>
          </cell>
          <cell r="E418">
            <v>2016</v>
          </cell>
          <cell r="F418" t="str">
            <v>NC014</v>
          </cell>
        </row>
        <row r="419">
          <cell r="D419" t="str">
            <v>@guggenheimrealestate.com</v>
          </cell>
          <cell r="E419">
            <v>2016</v>
          </cell>
          <cell r="F419" t="str">
            <v>NC031</v>
          </cell>
        </row>
        <row r="420">
          <cell r="D420" t="str">
            <v>@cbreglobalinvestors.com</v>
          </cell>
          <cell r="E420">
            <v>2016</v>
          </cell>
          <cell r="F420" t="str">
            <v>M231</v>
          </cell>
        </row>
        <row r="421">
          <cell r="D421" t="str">
            <v>@sentinelcorp.com</v>
          </cell>
          <cell r="E421">
            <v>2016</v>
          </cell>
          <cell r="F421" t="str">
            <v>M473</v>
          </cell>
        </row>
        <row r="422">
          <cell r="D422" t="str">
            <v>@heitman.com</v>
          </cell>
          <cell r="E422">
            <v>2016</v>
          </cell>
          <cell r="F422" t="str">
            <v>M107</v>
          </cell>
        </row>
        <row r="423">
          <cell r="D423" t="str">
            <v>@hines.com</v>
          </cell>
          <cell r="E423">
            <v>2016</v>
          </cell>
          <cell r="F423" t="str">
            <v>M073</v>
          </cell>
        </row>
        <row r="424">
          <cell r="D424" t="str">
            <v>@starwood.com</v>
          </cell>
          <cell r="E424">
            <v>2022</v>
          </cell>
          <cell r="F424" t="str">
            <v>M05105</v>
          </cell>
        </row>
        <row r="425">
          <cell r="D425" t="str">
            <v>@axa-im.com</v>
          </cell>
          <cell r="E425">
            <v>2022</v>
          </cell>
          <cell r="F425" t="str">
            <v>M041</v>
          </cell>
        </row>
        <row r="426">
          <cell r="D426" t="str">
            <v>@conrenland.com</v>
          </cell>
          <cell r="E426">
            <v>2022</v>
          </cell>
          <cell r="F426" t="str">
            <v>M690</v>
          </cell>
        </row>
        <row r="427">
          <cell r="D427" t="str">
            <v>@unitestudents.com</v>
          </cell>
          <cell r="E427">
            <v>2022</v>
          </cell>
          <cell r="F427" t="str">
            <v>M333</v>
          </cell>
        </row>
        <row r="428">
          <cell r="D428" t="str">
            <v>@invesco.com</v>
          </cell>
          <cell r="E428">
            <v>2022</v>
          </cell>
          <cell r="F428" t="str">
            <v>M114</v>
          </cell>
        </row>
        <row r="429">
          <cell r="D429" t="str">
            <v>@morganstanley.com</v>
          </cell>
          <cell r="E429">
            <v>2022</v>
          </cell>
          <cell r="F429" t="str">
            <v>M548</v>
          </cell>
        </row>
        <row r="430">
          <cell r="D430" t="str">
            <v>@art-invest.de</v>
          </cell>
          <cell r="E430">
            <v>2022</v>
          </cell>
          <cell r="F430" t="str">
            <v>M600</v>
          </cell>
        </row>
        <row r="431">
          <cell r="D431" t="str">
            <v>@crowholdings.com</v>
          </cell>
          <cell r="E431">
            <v>2022</v>
          </cell>
          <cell r="F431" t="str">
            <v>M2548</v>
          </cell>
        </row>
        <row r="432">
          <cell r="D432" t="str">
            <v>@nrep.com</v>
          </cell>
          <cell r="E432">
            <v>2022</v>
          </cell>
          <cell r="F432" t="str">
            <v>M305</v>
          </cell>
        </row>
        <row r="433">
          <cell r="D433" t="str">
            <v>@lasalle.com</v>
          </cell>
          <cell r="E433">
            <v>2022</v>
          </cell>
          <cell r="F433" t="str">
            <v>M020</v>
          </cell>
        </row>
        <row r="434">
          <cell r="D434" t="str">
            <v>@cbreim.com</v>
          </cell>
          <cell r="E434">
            <v>2022</v>
          </cell>
          <cell r="F434" t="str">
            <v>M759</v>
          </cell>
        </row>
        <row r="435">
          <cell r="D435" t="str">
            <v>@tribecafundmanagement.com</v>
          </cell>
          <cell r="E435">
            <v>2022</v>
          </cell>
          <cell r="F435" t="str">
            <v>M03293</v>
          </cell>
        </row>
        <row r="436">
          <cell r="D436" t="str">
            <v>@hearthstone.co.uk</v>
          </cell>
          <cell r="E436">
            <v>2022</v>
          </cell>
          <cell r="F436" t="str">
            <v>M05002</v>
          </cell>
        </row>
        <row r="437">
          <cell r="D437" t="str">
            <v>@brookfield.com</v>
          </cell>
          <cell r="E437">
            <v>2022</v>
          </cell>
          <cell r="F437" t="str">
            <v>M233</v>
          </cell>
        </row>
        <row r="438">
          <cell r="D438" t="str">
            <v>@web.de</v>
          </cell>
          <cell r="E438">
            <v>2022</v>
          </cell>
          <cell r="F438" t="str">
            <v>M369</v>
          </cell>
        </row>
        <row r="439">
          <cell r="D439" t="str">
            <v>@kgal.de</v>
          </cell>
          <cell r="E439">
            <v>2022</v>
          </cell>
          <cell r="F439" t="str">
            <v>M637</v>
          </cell>
        </row>
        <row r="440">
          <cell r="D440" t="str">
            <v>@dws.com</v>
          </cell>
          <cell r="E440">
            <v>2022</v>
          </cell>
          <cell r="F440" t="str">
            <v>M085</v>
          </cell>
        </row>
        <row r="441">
          <cell r="D441" t="str">
            <v>@achmea.nl</v>
          </cell>
          <cell r="E441">
            <v>2022</v>
          </cell>
          <cell r="F441" t="str">
            <v>M03190</v>
          </cell>
        </row>
        <row r="442">
          <cell r="D442" t="str">
            <v>@prudential.com</v>
          </cell>
          <cell r="E442">
            <v>2022</v>
          </cell>
          <cell r="F442" t="str">
            <v>M042</v>
          </cell>
        </row>
        <row r="443">
          <cell r="D443" t="str">
            <v>@ctp.eu</v>
          </cell>
          <cell r="E443">
            <v>2022</v>
          </cell>
          <cell r="F443" t="str">
            <v>M03574</v>
          </cell>
        </row>
        <row r="444">
          <cell r="D444" t="str">
            <v>@fil.com</v>
          </cell>
          <cell r="E444">
            <v>2022</v>
          </cell>
          <cell r="F444" t="str">
            <v>M250</v>
          </cell>
        </row>
        <row r="445">
          <cell r="D445" t="str">
            <v>@revelop.se</v>
          </cell>
          <cell r="E445">
            <v>2022</v>
          </cell>
          <cell r="F445" t="str">
            <v>M04304</v>
          </cell>
        </row>
        <row r="446">
          <cell r="D446" t="str">
            <v>@blackstone.com</v>
          </cell>
          <cell r="E446">
            <v>2022</v>
          </cell>
          <cell r="F446" t="str">
            <v>M178</v>
          </cell>
        </row>
        <row r="447">
          <cell r="D447" t="str">
            <v>@lordslb.lt</v>
          </cell>
          <cell r="E447">
            <v>2022</v>
          </cell>
          <cell r="F447" t="str">
            <v>M04251</v>
          </cell>
        </row>
        <row r="448">
          <cell r="D448" t="str">
            <v>@octopusinvestments.com</v>
          </cell>
          <cell r="E448">
            <v>2022</v>
          </cell>
          <cell r="F448" t="str">
            <v>M2762</v>
          </cell>
        </row>
        <row r="449">
          <cell r="D449" t="str">
            <v>@clarionpartners.com</v>
          </cell>
          <cell r="E449">
            <v>2022</v>
          </cell>
          <cell r="F449" t="str">
            <v>M677</v>
          </cell>
        </row>
        <row r="450">
          <cell r="D450" t="str">
            <v>@heitman.com</v>
          </cell>
          <cell r="E450">
            <v>2022</v>
          </cell>
          <cell r="F450" t="str">
            <v>M107</v>
          </cell>
        </row>
        <row r="451">
          <cell r="D451" t="str">
            <v>@tishmanspeyer.com</v>
          </cell>
          <cell r="E451">
            <v>2022</v>
          </cell>
          <cell r="F451" t="str">
            <v>M054</v>
          </cell>
        </row>
        <row r="452">
          <cell r="D452" t="str">
            <v>@ece.com</v>
          </cell>
          <cell r="E452">
            <v>2022</v>
          </cell>
          <cell r="F452" t="str">
            <v>M657</v>
          </cell>
        </row>
        <row r="453">
          <cell r="D453" t="str">
            <v>@icgam.com</v>
          </cell>
          <cell r="E453">
            <v>2022</v>
          </cell>
          <cell r="F453" t="str">
            <v>M674</v>
          </cell>
        </row>
        <row r="454">
          <cell r="D454" t="str">
            <v>@lgim.com</v>
          </cell>
          <cell r="E454">
            <v>2022</v>
          </cell>
          <cell r="F454" t="str">
            <v>M465</v>
          </cell>
        </row>
        <row r="455">
          <cell r="D455" t="str">
            <v>@tristancap.com</v>
          </cell>
          <cell r="E455">
            <v>2022</v>
          </cell>
          <cell r="F455" t="str">
            <v>M486</v>
          </cell>
        </row>
        <row r="456">
          <cell r="D456" t="str">
            <v>@union-investment.de</v>
          </cell>
          <cell r="E456">
            <v>2022</v>
          </cell>
          <cell r="F456" t="str">
            <v>M218</v>
          </cell>
        </row>
        <row r="457">
          <cell r="D457" t="str">
            <v>@prologis.com</v>
          </cell>
          <cell r="E457">
            <v>2022</v>
          </cell>
          <cell r="F457" t="str">
            <v>M024</v>
          </cell>
        </row>
        <row r="458">
          <cell r="D458" t="str">
            <v>@brunswickrealestate.com</v>
          </cell>
          <cell r="E458">
            <v>2022</v>
          </cell>
          <cell r="F458" t="str">
            <v>M319</v>
          </cell>
        </row>
        <row r="459">
          <cell r="D459" t="str">
            <v>@storebrand.no</v>
          </cell>
          <cell r="E459">
            <v>2022</v>
          </cell>
          <cell r="F459" t="str">
            <v>M019</v>
          </cell>
        </row>
        <row r="460">
          <cell r="D460" t="str">
            <v>@reggeborghvastgoed.nl</v>
          </cell>
          <cell r="E460">
            <v>2022</v>
          </cell>
          <cell r="F460" t="str">
            <v>M647</v>
          </cell>
        </row>
        <row r="461">
          <cell r="D461" t="str">
            <v>@truenortherep.eu</v>
          </cell>
          <cell r="E461">
            <v>2022</v>
          </cell>
          <cell r="F461" t="str">
            <v>M04209</v>
          </cell>
        </row>
        <row r="462">
          <cell r="D462" t="str">
            <v>@frogmore.co.uk</v>
          </cell>
          <cell r="E462">
            <v>2022</v>
          </cell>
          <cell r="F462" t="str">
            <v>M490</v>
          </cell>
        </row>
        <row r="463">
          <cell r="D463" t="str">
            <v>@lasalle.com</v>
          </cell>
          <cell r="E463">
            <v>2022</v>
          </cell>
          <cell r="F463" t="str">
            <v>M020</v>
          </cell>
        </row>
        <row r="464">
          <cell r="D464" t="str">
            <v>@amundi.com</v>
          </cell>
          <cell r="E464">
            <v>2022</v>
          </cell>
          <cell r="F464" t="str">
            <v>M365</v>
          </cell>
        </row>
        <row r="465">
          <cell r="D465" t="str">
            <v>@mandg.com</v>
          </cell>
          <cell r="E465">
            <v>2022</v>
          </cell>
          <cell r="F465" t="str">
            <v>M010</v>
          </cell>
        </row>
        <row r="466">
          <cell r="D466" t="str">
            <v>@sirius.fi</v>
          </cell>
          <cell r="E466">
            <v>2022</v>
          </cell>
          <cell r="F466" t="str">
            <v>M757</v>
          </cell>
        </row>
        <row r="467">
          <cell r="D467" t="str">
            <v>@niam.com</v>
          </cell>
          <cell r="E467">
            <v>2022</v>
          </cell>
          <cell r="F467" t="str">
            <v>M013</v>
          </cell>
        </row>
        <row r="468">
          <cell r="D468" t="str">
            <v>@reim-edr.com</v>
          </cell>
          <cell r="E468">
            <v>2022</v>
          </cell>
          <cell r="F468" t="str">
            <v>M506</v>
          </cell>
        </row>
        <row r="469">
          <cell r="D469" t="str">
            <v>@bouwinvest.nl</v>
          </cell>
          <cell r="E469">
            <v>2022</v>
          </cell>
          <cell r="F469" t="str">
            <v>M660</v>
          </cell>
        </row>
        <row r="470">
          <cell r="D470" t="str">
            <v>@garbe.de</v>
          </cell>
          <cell r="E470">
            <v>2022</v>
          </cell>
          <cell r="F470" t="str">
            <v>M300</v>
          </cell>
        </row>
        <row r="471">
          <cell r="D471" t="str">
            <v>@amvest.nl</v>
          </cell>
          <cell r="E471">
            <v>2022</v>
          </cell>
          <cell r="F471" t="str">
            <v>M015</v>
          </cell>
        </row>
        <row r="472">
          <cell r="D472" t="str">
            <v>@europacapital.com</v>
          </cell>
          <cell r="E472">
            <v>2022</v>
          </cell>
          <cell r="F472" t="str">
            <v>M111</v>
          </cell>
        </row>
        <row r="473">
          <cell r="D473" t="str">
            <v>@ardian.com</v>
          </cell>
          <cell r="E473">
            <v>2022</v>
          </cell>
          <cell r="F473" t="str">
            <v>M705</v>
          </cell>
        </row>
        <row r="474">
          <cell r="D474" t="str">
            <v>@op.fi</v>
          </cell>
          <cell r="E474">
            <v>2022</v>
          </cell>
          <cell r="F474" t="str">
            <v>M122</v>
          </cell>
        </row>
        <row r="475">
          <cell r="D475" t="str">
            <v>@colliers.it</v>
          </cell>
          <cell r="E475">
            <v>2022</v>
          </cell>
          <cell r="F475" t="str">
            <v>M776</v>
          </cell>
        </row>
        <row r="476">
          <cell r="D476" t="str">
            <v>@m7re.eu</v>
          </cell>
          <cell r="E476">
            <v>2022</v>
          </cell>
          <cell r="F476" t="str">
            <v>M2505</v>
          </cell>
        </row>
        <row r="477">
          <cell r="D477" t="str">
            <v>@capman.com</v>
          </cell>
          <cell r="E477">
            <v>2022</v>
          </cell>
          <cell r="F477" t="str">
            <v>M168</v>
          </cell>
        </row>
        <row r="478">
          <cell r="D478" t="str">
            <v>@sonaesierra.com</v>
          </cell>
          <cell r="E478">
            <v>2022</v>
          </cell>
          <cell r="F478" t="str">
            <v>M028</v>
          </cell>
        </row>
        <row r="479">
          <cell r="D479" t="str">
            <v>@nnip.com</v>
          </cell>
          <cell r="E479">
            <v>2022</v>
          </cell>
          <cell r="F479" t="str">
            <v>M03330</v>
          </cell>
        </row>
        <row r="480">
          <cell r="D480" t="str">
            <v>@pradera.com</v>
          </cell>
          <cell r="E480">
            <v>2022</v>
          </cell>
          <cell r="F480" t="str">
            <v>M093</v>
          </cell>
        </row>
        <row r="481">
          <cell r="D481" t="str">
            <v>@alteravastgoed.nl</v>
          </cell>
          <cell r="E481">
            <v>2022</v>
          </cell>
          <cell r="F481" t="str">
            <v>M021</v>
          </cell>
        </row>
        <row r="482">
          <cell r="D482" t="str">
            <v>@hines.com</v>
          </cell>
          <cell r="E482">
            <v>2022</v>
          </cell>
          <cell r="F482" t="str">
            <v>M073</v>
          </cell>
        </row>
        <row r="483">
          <cell r="D483" t="str">
            <v>@avanath.com</v>
          </cell>
          <cell r="E483">
            <v>2022</v>
          </cell>
          <cell r="F483" t="str">
            <v>M03220</v>
          </cell>
        </row>
        <row r="484">
          <cell r="D484" t="str">
            <v>@optimumam.com</v>
          </cell>
          <cell r="E484">
            <v>2022</v>
          </cell>
          <cell r="F484" t="str">
            <v>M2678</v>
          </cell>
        </row>
        <row r="485">
          <cell r="D485" t="str">
            <v>@la-francaise.com</v>
          </cell>
          <cell r="E485">
            <v>2022</v>
          </cell>
          <cell r="F485" t="str">
            <v>M379</v>
          </cell>
        </row>
        <row r="486">
          <cell r="D486" t="str">
            <v>@greystar.com</v>
          </cell>
          <cell r="E486">
            <v>2022</v>
          </cell>
          <cell r="F486" t="str">
            <v>M718</v>
          </cell>
        </row>
        <row r="487">
          <cell r="D487" t="str">
            <v>@dnb.no</v>
          </cell>
          <cell r="E487">
            <v>2022</v>
          </cell>
          <cell r="F487" t="str">
            <v>M209</v>
          </cell>
        </row>
        <row r="488">
          <cell r="D488" t="str">
            <v>@deacapital.com</v>
          </cell>
          <cell r="E488">
            <v>2022</v>
          </cell>
          <cell r="F488" t="str">
            <v>M04211</v>
          </cell>
        </row>
        <row r="489">
          <cell r="D489" t="str">
            <v>@patrizia.ag</v>
          </cell>
          <cell r="E489">
            <v>2022</v>
          </cell>
          <cell r="F489" t="str">
            <v>M180</v>
          </cell>
        </row>
        <row r="490">
          <cell r="D490" t="str">
            <v>@achmea.nl</v>
          </cell>
          <cell r="E490">
            <v>2022</v>
          </cell>
          <cell r="F490" t="str">
            <v>M03190</v>
          </cell>
        </row>
        <row r="491">
          <cell r="D491" t="str">
            <v>@drcsavillsim.com</v>
          </cell>
          <cell r="E491">
            <v>2022</v>
          </cell>
          <cell r="F491" t="str">
            <v>M666</v>
          </cell>
        </row>
        <row r="492">
          <cell r="D492" t="str">
            <v>@asr.nl</v>
          </cell>
          <cell r="E492">
            <v>2022</v>
          </cell>
          <cell r="F492" t="str">
            <v>M278</v>
          </cell>
        </row>
        <row r="493">
          <cell r="D493" t="str">
            <v>@altis.ch</v>
          </cell>
          <cell r="E493">
            <v>2022</v>
          </cell>
          <cell r="F493" t="str">
            <v>M03401</v>
          </cell>
        </row>
        <row r="494">
          <cell r="D494" t="str">
            <v>@aew.com</v>
          </cell>
          <cell r="E494">
            <v>2022</v>
          </cell>
          <cell r="F494" t="str">
            <v>M004</v>
          </cell>
        </row>
        <row r="495">
          <cell r="D495" t="str">
            <v>@apachecapital.co.uk</v>
          </cell>
          <cell r="E495">
            <v>2022</v>
          </cell>
          <cell r="F495" t="str">
            <v>M03289</v>
          </cell>
        </row>
        <row r="496">
          <cell r="D496" t="str">
            <v>@aresmgmt.com</v>
          </cell>
          <cell r="E496">
            <v>2022</v>
          </cell>
          <cell r="F496" t="str">
            <v>M091</v>
          </cell>
        </row>
        <row r="497">
          <cell r="D497" t="str">
            <v>@vesteda.com</v>
          </cell>
          <cell r="E497">
            <v>2022</v>
          </cell>
          <cell r="F497" t="str">
            <v>M040</v>
          </cell>
        </row>
        <row r="498">
          <cell r="D498" t="str">
            <v>@schroders.com</v>
          </cell>
          <cell r="E498">
            <v>2022</v>
          </cell>
          <cell r="F498" t="str">
            <v>M037</v>
          </cell>
        </row>
        <row r="499">
          <cell r="D499" t="str">
            <v>@commerzreal.com</v>
          </cell>
          <cell r="E499">
            <v>2022</v>
          </cell>
          <cell r="F499" t="str">
            <v>M257</v>
          </cell>
        </row>
        <row r="500">
          <cell r="D500" t="str">
            <v>@ubs.com</v>
          </cell>
          <cell r="E500">
            <v>2022</v>
          </cell>
          <cell r="F500" t="str">
            <v>M064</v>
          </cell>
        </row>
        <row r="501">
          <cell r="D501" t="str">
            <v>@catalystcapital.com</v>
          </cell>
          <cell r="E501">
            <v>2022</v>
          </cell>
          <cell r="F501" t="str">
            <v>M310</v>
          </cell>
        </row>
        <row r="502">
          <cell r="D502" t="str">
            <v>@reggeborghvastgoed.nl</v>
          </cell>
          <cell r="E502">
            <v>2022</v>
          </cell>
          <cell r="F502" t="str">
            <v>M647</v>
          </cell>
        </row>
        <row r="503">
          <cell r="D503" t="str">
            <v>@dtzinvestors.com</v>
          </cell>
          <cell r="E503">
            <v>2022</v>
          </cell>
          <cell r="F503" t="str">
            <v>M105</v>
          </cell>
        </row>
        <row r="504">
          <cell r="D504" t="str">
            <v>@quantum.ag</v>
          </cell>
          <cell r="E504">
            <v>2022</v>
          </cell>
          <cell r="F504" t="str">
            <v>M346</v>
          </cell>
        </row>
        <row r="505">
          <cell r="D505" t="str">
            <v>@nh-cap.com</v>
          </cell>
          <cell r="E505">
            <v>2022</v>
          </cell>
          <cell r="F505" t="str">
            <v>M174</v>
          </cell>
        </row>
        <row r="506">
          <cell r="D506" t="str">
            <v>@grosvenor.com</v>
          </cell>
          <cell r="E506">
            <v>2022</v>
          </cell>
          <cell r="F506" t="str">
            <v>M052</v>
          </cell>
        </row>
        <row r="507">
          <cell r="D507" t="str">
            <v>@primonialreim.com</v>
          </cell>
          <cell r="E507">
            <v>2022</v>
          </cell>
          <cell r="F507" t="str">
            <v>M03755</v>
          </cell>
        </row>
        <row r="508">
          <cell r="D508" t="str">
            <v>@genesta.lu</v>
          </cell>
          <cell r="E508">
            <v>2022</v>
          </cell>
          <cell r="F508" t="str">
            <v>M367</v>
          </cell>
        </row>
        <row r="509">
          <cell r="D509" t="str">
            <v>@jensen.ru</v>
          </cell>
          <cell r="E509">
            <v>2021</v>
          </cell>
          <cell r="F509" t="str">
            <v>M662</v>
          </cell>
        </row>
        <row r="510">
          <cell r="D510" t="str">
            <v>@kgal.de</v>
          </cell>
          <cell r="E510">
            <v>2021</v>
          </cell>
          <cell r="F510" t="str">
            <v>M637</v>
          </cell>
        </row>
        <row r="511">
          <cell r="D511" t="str">
            <v>@ainahospitality.com</v>
          </cell>
          <cell r="E511">
            <v>2021</v>
          </cell>
          <cell r="F511" t="str">
            <v>M2739</v>
          </cell>
        </row>
        <row r="512">
          <cell r="D512" t="str">
            <v>@apachecapital.co.uk</v>
          </cell>
          <cell r="E512">
            <v>2021</v>
          </cell>
          <cell r="F512" t="str">
            <v>M03289</v>
          </cell>
        </row>
        <row r="513">
          <cell r="D513" t="str">
            <v>@colliers.it</v>
          </cell>
          <cell r="E513">
            <v>2021</v>
          </cell>
          <cell r="F513" t="str">
            <v>M776</v>
          </cell>
        </row>
        <row r="514">
          <cell r="D514" t="str">
            <v>@pradera.com</v>
          </cell>
          <cell r="E514">
            <v>2021</v>
          </cell>
          <cell r="F514" t="str">
            <v>M093</v>
          </cell>
        </row>
        <row r="515">
          <cell r="D515" t="str">
            <v>@redevco.com</v>
          </cell>
          <cell r="E515">
            <v>2021</v>
          </cell>
          <cell r="F515" t="str">
            <v>M036</v>
          </cell>
        </row>
        <row r="516">
          <cell r="D516" t="str">
            <v>@hotmail.com</v>
          </cell>
          <cell r="E516">
            <v>2021</v>
          </cell>
          <cell r="F516" t="str">
            <v>M069</v>
          </cell>
        </row>
        <row r="517">
          <cell r="D517" t="str">
            <v>@grosvenor.com</v>
          </cell>
          <cell r="E517">
            <v>2021</v>
          </cell>
          <cell r="F517" t="str">
            <v>M052</v>
          </cell>
        </row>
        <row r="518">
          <cell r="D518" t="str">
            <v>@savillsim.com</v>
          </cell>
          <cell r="E518">
            <v>2021</v>
          </cell>
          <cell r="F518" t="str">
            <v>M079</v>
          </cell>
        </row>
        <row r="519">
          <cell r="D519" t="str">
            <v>@altis.ch</v>
          </cell>
          <cell r="E519">
            <v>2021</v>
          </cell>
          <cell r="F519" t="str">
            <v>M03401</v>
          </cell>
        </row>
        <row r="520">
          <cell r="D520" t="str">
            <v>@dnb.no</v>
          </cell>
          <cell r="E520">
            <v>2021</v>
          </cell>
          <cell r="F520" t="str">
            <v>M209</v>
          </cell>
        </row>
        <row r="521">
          <cell r="D521" t="str">
            <v>@eqtpartners.com</v>
          </cell>
          <cell r="E521">
            <v>2021</v>
          </cell>
          <cell r="F521" t="str">
            <v>M742</v>
          </cell>
        </row>
        <row r="522">
          <cell r="D522" t="str">
            <v>@project-investment.de</v>
          </cell>
          <cell r="E522">
            <v>2021</v>
          </cell>
          <cell r="F522" t="str">
            <v>M680</v>
          </cell>
        </row>
        <row r="523">
          <cell r="D523" t="str">
            <v>@deutsche-finance.de</v>
          </cell>
          <cell r="E523">
            <v>2021</v>
          </cell>
          <cell r="F523" t="str">
            <v>M2875</v>
          </cell>
        </row>
        <row r="524">
          <cell r="D524" t="str">
            <v>@amvest.nl</v>
          </cell>
          <cell r="E524">
            <v>2021</v>
          </cell>
          <cell r="F524" t="str">
            <v>M015</v>
          </cell>
        </row>
        <row r="525">
          <cell r="D525" t="str">
            <v>@helaba-invest.de</v>
          </cell>
          <cell r="E525">
            <v>2021</v>
          </cell>
          <cell r="F525" t="str">
            <v>M663</v>
          </cell>
        </row>
        <row r="526">
          <cell r="D526" t="str">
            <v>@arbip.com</v>
          </cell>
          <cell r="E526">
            <v>2021</v>
          </cell>
          <cell r="F526" t="str">
            <v>M2706</v>
          </cell>
        </row>
        <row r="527">
          <cell r="D527" t="str">
            <v>@heitman.com</v>
          </cell>
          <cell r="E527">
            <v>2021</v>
          </cell>
          <cell r="F527" t="str">
            <v>M107</v>
          </cell>
        </row>
        <row r="528">
          <cell r="D528" t="str">
            <v>@garbe.de</v>
          </cell>
          <cell r="E528">
            <v>2021</v>
          </cell>
          <cell r="F528" t="str">
            <v>M300</v>
          </cell>
        </row>
        <row r="529">
          <cell r="D529" t="str">
            <v>@la-francaise.com</v>
          </cell>
          <cell r="E529">
            <v>2021</v>
          </cell>
          <cell r="F529" t="str">
            <v>M379</v>
          </cell>
        </row>
        <row r="530">
          <cell r="D530" t="str">
            <v>@patrizia.ag</v>
          </cell>
          <cell r="E530">
            <v>2021</v>
          </cell>
          <cell r="F530" t="str">
            <v>M180</v>
          </cell>
        </row>
        <row r="531">
          <cell r="D531" t="str">
            <v>@geg.de</v>
          </cell>
          <cell r="E531">
            <v>2021</v>
          </cell>
          <cell r="F531" t="str">
            <v>M2590</v>
          </cell>
        </row>
        <row r="532">
          <cell r="D532" t="str">
            <v>@aquila-capital.com</v>
          </cell>
          <cell r="E532">
            <v>2021</v>
          </cell>
          <cell r="F532" t="str">
            <v>M2842</v>
          </cell>
        </row>
        <row r="533">
          <cell r="D533" t="str">
            <v>@aitchison.biz</v>
          </cell>
          <cell r="E533">
            <v>2021</v>
          </cell>
          <cell r="F533" t="str">
            <v>M04070</v>
          </cell>
        </row>
        <row r="534">
          <cell r="D534" t="str">
            <v>@hollandimmogroup.nl</v>
          </cell>
          <cell r="E534">
            <v>2021</v>
          </cell>
          <cell r="F534" t="str">
            <v>M108</v>
          </cell>
        </row>
        <row r="535">
          <cell r="D535" t="str">
            <v>@credit-suisse.com</v>
          </cell>
          <cell r="E535">
            <v>2021</v>
          </cell>
          <cell r="F535" t="str">
            <v>M04230</v>
          </cell>
        </row>
        <row r="536">
          <cell r="D536" t="str">
            <v>@vesteda.com</v>
          </cell>
          <cell r="E536">
            <v>2021</v>
          </cell>
          <cell r="F536" t="str">
            <v>M040</v>
          </cell>
        </row>
        <row r="537">
          <cell r="D537" t="str">
            <v>@evidence-capital.co.uk</v>
          </cell>
          <cell r="E537">
            <v>2021</v>
          </cell>
          <cell r="F537" t="str">
            <v>M03216</v>
          </cell>
        </row>
        <row r="538">
          <cell r="D538" t="str">
            <v>@kristensenproperties.com</v>
          </cell>
          <cell r="E538">
            <v>2021</v>
          </cell>
          <cell r="F538" t="str">
            <v>M160</v>
          </cell>
        </row>
        <row r="539">
          <cell r="D539" t="str">
            <v>@fil.com</v>
          </cell>
          <cell r="E539">
            <v>2021</v>
          </cell>
          <cell r="F539" t="str">
            <v>M250</v>
          </cell>
        </row>
        <row r="540">
          <cell r="D540" t="str">
            <v>@bcpartners.com</v>
          </cell>
          <cell r="E540">
            <v>2021</v>
          </cell>
          <cell r="F540" t="str">
            <v>M03207</v>
          </cell>
        </row>
        <row r="541">
          <cell r="D541" t="str">
            <v>@dws.com</v>
          </cell>
          <cell r="E541">
            <v>2021</v>
          </cell>
          <cell r="F541" t="str">
            <v>M085</v>
          </cell>
        </row>
        <row r="542">
          <cell r="D542" t="str">
            <v>@trevian.fi</v>
          </cell>
          <cell r="E542">
            <v>2021</v>
          </cell>
          <cell r="F542" t="str">
            <v>M777</v>
          </cell>
        </row>
        <row r="543">
          <cell r="D543" t="str">
            <v>@asr.nl</v>
          </cell>
          <cell r="E543">
            <v>2021</v>
          </cell>
          <cell r="F543" t="str">
            <v>M278</v>
          </cell>
        </row>
        <row r="544">
          <cell r="D544" t="str">
            <v>@lbofrance.com</v>
          </cell>
          <cell r="E544">
            <v>2021</v>
          </cell>
          <cell r="F544" t="str">
            <v>M2638</v>
          </cell>
        </row>
        <row r="545">
          <cell r="D545" t="str">
            <v>@landmarkpartners.com</v>
          </cell>
          <cell r="E545">
            <v>2021</v>
          </cell>
          <cell r="F545" t="str">
            <v>M373</v>
          </cell>
        </row>
        <row r="546">
          <cell r="D546" t="str">
            <v>@greystar.com</v>
          </cell>
          <cell r="E546">
            <v>2021</v>
          </cell>
          <cell r="F546" t="str">
            <v>M718</v>
          </cell>
        </row>
        <row r="547">
          <cell r="D547" t="str">
            <v>@warburg-hih.com</v>
          </cell>
          <cell r="E547">
            <v>2021</v>
          </cell>
          <cell r="F547" t="str">
            <v>M277</v>
          </cell>
        </row>
        <row r="548">
          <cell r="D548" t="str">
            <v>@almaproperty.se</v>
          </cell>
          <cell r="E548">
            <v>2021</v>
          </cell>
          <cell r="F548" t="str">
            <v>M736</v>
          </cell>
        </row>
        <row r="549">
          <cell r="D549" t="str">
            <v>@lonestarfunds.com</v>
          </cell>
          <cell r="E549">
            <v>2021</v>
          </cell>
          <cell r="F549" t="str">
            <v>M03119</v>
          </cell>
        </row>
        <row r="550">
          <cell r="D550" t="str">
            <v>@mandg.com</v>
          </cell>
          <cell r="E550">
            <v>2021</v>
          </cell>
          <cell r="F550" t="str">
            <v>M010</v>
          </cell>
        </row>
        <row r="551">
          <cell r="D551" t="str">
            <v>@unitestudents.com</v>
          </cell>
          <cell r="E551">
            <v>2021</v>
          </cell>
          <cell r="F551" t="str">
            <v>M333</v>
          </cell>
        </row>
        <row r="552">
          <cell r="D552" t="str">
            <v>@fonciere-atland.fr</v>
          </cell>
          <cell r="E552">
            <v>2021</v>
          </cell>
          <cell r="F552" t="str">
            <v>M2735</v>
          </cell>
        </row>
        <row r="553">
          <cell r="D553" t="str">
            <v>@lasalle.com</v>
          </cell>
          <cell r="E553">
            <v>2021</v>
          </cell>
          <cell r="F553" t="str">
            <v>M020</v>
          </cell>
        </row>
        <row r="554">
          <cell r="D554" t="str">
            <v>@drccap.com</v>
          </cell>
          <cell r="E554">
            <v>2021</v>
          </cell>
          <cell r="F554" t="str">
            <v>M666</v>
          </cell>
        </row>
        <row r="555">
          <cell r="D555" t="str">
            <v>@catalystcapital.com</v>
          </cell>
          <cell r="E555">
            <v>2021</v>
          </cell>
          <cell r="F555" t="str">
            <v>M310</v>
          </cell>
        </row>
        <row r="556">
          <cell r="D556" t="str">
            <v>@meridiacapital.com</v>
          </cell>
          <cell r="E556">
            <v>2021</v>
          </cell>
          <cell r="F556" t="str">
            <v>M03036</v>
          </cell>
        </row>
        <row r="557">
          <cell r="D557" t="str">
            <v>@lgt.com</v>
          </cell>
          <cell r="E557">
            <v>2021</v>
          </cell>
          <cell r="F557" t="str">
            <v>M411</v>
          </cell>
        </row>
        <row r="558">
          <cell r="D558" t="str">
            <v>@amundi.com</v>
          </cell>
          <cell r="E558">
            <v>2021</v>
          </cell>
          <cell r="F558" t="str">
            <v>M365</v>
          </cell>
        </row>
        <row r="559">
          <cell r="D559" t="str">
            <v>@cainint.com</v>
          </cell>
          <cell r="E559">
            <v>2021</v>
          </cell>
          <cell r="F559" t="str">
            <v>M03265</v>
          </cell>
        </row>
        <row r="560">
          <cell r="D560" t="e">
            <v>#VALUE!</v>
          </cell>
          <cell r="E560">
            <v>2021</v>
          </cell>
          <cell r="F560" t="str">
            <v>M181</v>
          </cell>
        </row>
        <row r="561">
          <cell r="D561" t="str">
            <v>@franklintempleton.com</v>
          </cell>
          <cell r="E561">
            <v>2021</v>
          </cell>
          <cell r="F561" t="str">
            <v>M106</v>
          </cell>
        </row>
        <row r="562">
          <cell r="D562" t="str">
            <v>@nh-cap.com</v>
          </cell>
          <cell r="E562">
            <v>2021</v>
          </cell>
          <cell r="F562" t="str">
            <v>M174</v>
          </cell>
        </row>
        <row r="563">
          <cell r="D563" t="str">
            <v>@ryndaproperty.com</v>
          </cell>
          <cell r="E563">
            <v>2021</v>
          </cell>
          <cell r="F563" t="str">
            <v>M616</v>
          </cell>
        </row>
        <row r="564">
          <cell r="D564" t="str">
            <v>@moorfield.com</v>
          </cell>
          <cell r="E564">
            <v>2021</v>
          </cell>
          <cell r="F564" t="str">
            <v>M655</v>
          </cell>
        </row>
        <row r="565">
          <cell r="D565" t="str">
            <v>@sonaesierra.com</v>
          </cell>
          <cell r="E565">
            <v>2021</v>
          </cell>
          <cell r="F565" t="str">
            <v>M028</v>
          </cell>
        </row>
        <row r="566">
          <cell r="D566" t="str">
            <v>@nrpam.no</v>
          </cell>
          <cell r="E566">
            <v>2021</v>
          </cell>
          <cell r="F566" t="str">
            <v>M03259</v>
          </cell>
        </row>
        <row r="567">
          <cell r="D567" t="str">
            <v>@cbreglobalinvestors.com</v>
          </cell>
          <cell r="E567">
            <v>2021</v>
          </cell>
          <cell r="F567" t="str">
            <v>M231</v>
          </cell>
        </row>
        <row r="568">
          <cell r="D568" t="str">
            <v>@sweco.nl</v>
          </cell>
          <cell r="E568">
            <v>2021</v>
          </cell>
          <cell r="F568" t="str">
            <v>M023</v>
          </cell>
        </row>
        <row r="569">
          <cell r="D569" t="str">
            <v>@tristancap.com</v>
          </cell>
          <cell r="E569">
            <v>2021</v>
          </cell>
          <cell r="F569" t="str">
            <v>M486</v>
          </cell>
        </row>
        <row r="570">
          <cell r="D570" t="str">
            <v>@realisag.de</v>
          </cell>
          <cell r="E570">
            <v>2021</v>
          </cell>
          <cell r="F570" t="str">
            <v>M627</v>
          </cell>
        </row>
        <row r="571">
          <cell r="D571" t="str">
            <v>@hahnag.de</v>
          </cell>
          <cell r="E571">
            <v>2021</v>
          </cell>
          <cell r="F571" t="str">
            <v>M369</v>
          </cell>
        </row>
        <row r="572">
          <cell r="D572" t="str">
            <v>@ardian.com</v>
          </cell>
          <cell r="E572">
            <v>2021</v>
          </cell>
          <cell r="F572" t="str">
            <v>M705</v>
          </cell>
        </row>
        <row r="573">
          <cell r="D573" t="str">
            <v>@lhinv.eu</v>
          </cell>
          <cell r="E573">
            <v>2021</v>
          </cell>
          <cell r="F573" t="str">
            <v>M03301</v>
          </cell>
        </row>
        <row r="574">
          <cell r="D574" t="str">
            <v>@achmeavastgoed.nl</v>
          </cell>
          <cell r="E574">
            <v>2021</v>
          </cell>
          <cell r="F574" t="str">
            <v>M710</v>
          </cell>
        </row>
        <row r="575">
          <cell r="D575" t="str">
            <v>@equityestate.nl</v>
          </cell>
          <cell r="E575">
            <v>2021</v>
          </cell>
          <cell r="F575" t="str">
            <v>M066</v>
          </cell>
        </row>
        <row r="576">
          <cell r="D576" t="str">
            <v>@Invesco.com</v>
          </cell>
          <cell r="E576">
            <v>2021</v>
          </cell>
          <cell r="F576" t="str">
            <v>M114</v>
          </cell>
        </row>
        <row r="577">
          <cell r="D577" t="str">
            <v>@bnpparibas.com</v>
          </cell>
          <cell r="E577">
            <v>2021</v>
          </cell>
          <cell r="F577" t="str">
            <v>M318</v>
          </cell>
        </row>
        <row r="578">
          <cell r="D578" t="str">
            <v>@sirius.fi</v>
          </cell>
          <cell r="E578">
            <v>2021</v>
          </cell>
          <cell r="F578" t="str">
            <v>M757</v>
          </cell>
        </row>
        <row r="579">
          <cell r="D579" t="str">
            <v>@azora.es</v>
          </cell>
          <cell r="E579">
            <v>2021</v>
          </cell>
          <cell r="F579" t="str">
            <v>M03115</v>
          </cell>
        </row>
        <row r="580">
          <cell r="D580" t="str">
            <v>@lothburyim.com</v>
          </cell>
          <cell r="E580">
            <v>2021</v>
          </cell>
          <cell r="F580" t="str">
            <v>M211</v>
          </cell>
        </row>
        <row r="581">
          <cell r="D581" t="str">
            <v>@threestonescapital.com</v>
          </cell>
          <cell r="E581">
            <v>2021</v>
          </cell>
          <cell r="F581" t="str">
            <v>M751</v>
          </cell>
        </row>
        <row r="582">
          <cell r="D582" t="str">
            <v>@icecapital.fi</v>
          </cell>
          <cell r="E582">
            <v>2021</v>
          </cell>
          <cell r="F582" t="str">
            <v>M2656</v>
          </cell>
        </row>
        <row r="583">
          <cell r="D583" t="str">
            <v>@Blackstone.com</v>
          </cell>
          <cell r="E583">
            <v>2021</v>
          </cell>
          <cell r="F583" t="str">
            <v>M178</v>
          </cell>
        </row>
        <row r="584">
          <cell r="D584" t="str">
            <v>@ardstone.com</v>
          </cell>
          <cell r="E584">
            <v>2021</v>
          </cell>
          <cell r="F584" t="str">
            <v>M2581</v>
          </cell>
        </row>
        <row r="585">
          <cell r="D585" t="str">
            <v>@web.de</v>
          </cell>
          <cell r="E585">
            <v>2021</v>
          </cell>
          <cell r="F585" t="str">
            <v>M346</v>
          </cell>
        </row>
        <row r="586">
          <cell r="D586" t="str">
            <v>@alpharealcapital.com</v>
          </cell>
          <cell r="E586">
            <v>2021</v>
          </cell>
          <cell r="F586" t="str">
            <v>M03348</v>
          </cell>
        </row>
        <row r="587">
          <cell r="D587" t="str">
            <v>@op.fi</v>
          </cell>
          <cell r="E587">
            <v>2021</v>
          </cell>
          <cell r="F587" t="str">
            <v>M122</v>
          </cell>
        </row>
        <row r="588">
          <cell r="D588" t="str">
            <v>@art-invest.de</v>
          </cell>
          <cell r="E588">
            <v>2021</v>
          </cell>
          <cell r="F588" t="str">
            <v>M600</v>
          </cell>
        </row>
        <row r="589">
          <cell r="D589" t="str">
            <v>@clearbell.com</v>
          </cell>
          <cell r="E589">
            <v>2021</v>
          </cell>
          <cell r="F589" t="str">
            <v>M768</v>
          </cell>
        </row>
        <row r="590">
          <cell r="D590" t="str">
            <v>@bouwinvest.nl</v>
          </cell>
          <cell r="E590">
            <v>2021</v>
          </cell>
          <cell r="F590" t="str">
            <v>M660</v>
          </cell>
        </row>
        <row r="591">
          <cell r="D591" t="str">
            <v>@hvr-advisory.com</v>
          </cell>
          <cell r="E591">
            <v>2021</v>
          </cell>
          <cell r="F591" t="str">
            <v>M2529</v>
          </cell>
        </row>
        <row r="592">
          <cell r="D592" t="str">
            <v>@axa-im.com</v>
          </cell>
          <cell r="E592">
            <v>2021</v>
          </cell>
          <cell r="F592" t="str">
            <v>M041</v>
          </cell>
        </row>
        <row r="593">
          <cell r="D593" t="str">
            <v>@aermont.com</v>
          </cell>
          <cell r="E593">
            <v>2021</v>
          </cell>
          <cell r="F593" t="str">
            <v>M377</v>
          </cell>
        </row>
        <row r="594">
          <cell r="D594" t="str">
            <v>@capragp.com</v>
          </cell>
          <cell r="E594">
            <v>2021</v>
          </cell>
          <cell r="F594" t="str">
            <v>M613</v>
          </cell>
        </row>
        <row r="595">
          <cell r="D595" t="str">
            <v>@eu.aew.com</v>
          </cell>
          <cell r="E595">
            <v>2021</v>
          </cell>
          <cell r="F595" t="str">
            <v>M004</v>
          </cell>
        </row>
        <row r="596">
          <cell r="D596" t="str">
            <v>@aresmgmt.com</v>
          </cell>
          <cell r="E596">
            <v>2021</v>
          </cell>
          <cell r="F596" t="str">
            <v>M091</v>
          </cell>
        </row>
        <row r="597">
          <cell r="D597" t="str">
            <v>@areim.se</v>
          </cell>
          <cell r="E597">
            <v>2021</v>
          </cell>
          <cell r="F597" t="str">
            <v>M086</v>
          </cell>
        </row>
        <row r="598">
          <cell r="D598" t="str">
            <v>@m7re.eu</v>
          </cell>
          <cell r="E598">
            <v>2021</v>
          </cell>
          <cell r="F598" t="str">
            <v>M2505</v>
          </cell>
        </row>
        <row r="599">
          <cell r="D599" t="str">
            <v>@lasalle.com</v>
          </cell>
          <cell r="E599">
            <v>2021</v>
          </cell>
          <cell r="F599" t="str">
            <v>M020</v>
          </cell>
        </row>
        <row r="600">
          <cell r="D600" t="str">
            <v>@roundhillcapital.com</v>
          </cell>
          <cell r="E600">
            <v>2021</v>
          </cell>
          <cell r="F600" t="str">
            <v>M2856</v>
          </cell>
        </row>
        <row r="601">
          <cell r="D601" t="str">
            <v>@reggeborghvastgoed.nl</v>
          </cell>
          <cell r="E601">
            <v>2021</v>
          </cell>
          <cell r="F601" t="str">
            <v>M647</v>
          </cell>
        </row>
        <row r="602">
          <cell r="D602" t="str">
            <v>@lgim.com</v>
          </cell>
          <cell r="E602">
            <v>2021</v>
          </cell>
          <cell r="F602" t="str">
            <v>M465</v>
          </cell>
        </row>
        <row r="603">
          <cell r="D603" t="str">
            <v>@brookfield.com</v>
          </cell>
          <cell r="E603">
            <v>2021</v>
          </cell>
          <cell r="F603" t="str">
            <v>M233</v>
          </cell>
        </row>
        <row r="604">
          <cell r="D604" t="str">
            <v>@icgam.com</v>
          </cell>
          <cell r="E604">
            <v>2021</v>
          </cell>
          <cell r="F604" t="str">
            <v>M674</v>
          </cell>
        </row>
        <row r="605">
          <cell r="D605" t="str">
            <v>@nrep.com</v>
          </cell>
          <cell r="E605">
            <v>2021</v>
          </cell>
          <cell r="F605" t="str">
            <v>M305</v>
          </cell>
        </row>
        <row r="606">
          <cell r="D606" t="str">
            <v>@frogmore.co.uk</v>
          </cell>
          <cell r="E606">
            <v>2021</v>
          </cell>
          <cell r="F606" t="str">
            <v>M490</v>
          </cell>
        </row>
        <row r="607">
          <cell r="D607" t="str">
            <v>@immofinre.com</v>
          </cell>
          <cell r="E607">
            <v>2021</v>
          </cell>
          <cell r="F607" t="str">
            <v>M05136</v>
          </cell>
        </row>
        <row r="608">
          <cell r="D608" t="str">
            <v>@fabricasgr.it</v>
          </cell>
          <cell r="E608">
            <v>2021</v>
          </cell>
          <cell r="F608" t="str">
            <v>M670</v>
          </cell>
        </row>
        <row r="609">
          <cell r="D609" t="str">
            <v>@cordinggroup.com</v>
          </cell>
          <cell r="E609">
            <v>2021</v>
          </cell>
          <cell r="F609" t="str">
            <v>M506</v>
          </cell>
        </row>
        <row r="610">
          <cell r="D610" t="str">
            <v>@storebrand.no</v>
          </cell>
          <cell r="E610">
            <v>2021</v>
          </cell>
          <cell r="F610" t="str">
            <v>M019</v>
          </cell>
        </row>
        <row r="611">
          <cell r="D611" t="str">
            <v>@dtzinvestors.com</v>
          </cell>
          <cell r="E611">
            <v>2021</v>
          </cell>
          <cell r="F611" t="str">
            <v>M105</v>
          </cell>
        </row>
        <row r="612">
          <cell r="D612" t="str">
            <v>@niam.se</v>
          </cell>
          <cell r="E612">
            <v>2021</v>
          </cell>
          <cell r="F612" t="str">
            <v>M013</v>
          </cell>
        </row>
        <row r="613">
          <cell r="D613" t="str">
            <v>@alteravastgoed.nl</v>
          </cell>
          <cell r="E613">
            <v>2021</v>
          </cell>
          <cell r="F613" t="str">
            <v>M021</v>
          </cell>
        </row>
        <row r="614">
          <cell r="D614" t="str">
            <v>@altamarcapital.com</v>
          </cell>
          <cell r="E614">
            <v>2021</v>
          </cell>
          <cell r="F614" t="str">
            <v>M226</v>
          </cell>
        </row>
        <row r="615">
          <cell r="D615" t="str">
            <v>@jensen.ru</v>
          </cell>
          <cell r="E615">
            <v>2020</v>
          </cell>
          <cell r="F615" t="str">
            <v>M662</v>
          </cell>
        </row>
        <row r="616">
          <cell r="D616" t="str">
            <v>@kgal.de</v>
          </cell>
          <cell r="E616">
            <v>2020</v>
          </cell>
          <cell r="F616" t="str">
            <v>M637</v>
          </cell>
        </row>
        <row r="617">
          <cell r="D617" t="str">
            <v>@ainahospitality.com</v>
          </cell>
          <cell r="E617">
            <v>2020</v>
          </cell>
          <cell r="F617" t="str">
            <v>M2739</v>
          </cell>
        </row>
        <row r="618">
          <cell r="D618" t="str">
            <v>@apachecapital.co.uk</v>
          </cell>
          <cell r="E618">
            <v>2020</v>
          </cell>
          <cell r="F618" t="str">
            <v>M03289</v>
          </cell>
        </row>
        <row r="619">
          <cell r="D619" t="str">
            <v>@colliers.it</v>
          </cell>
          <cell r="E619">
            <v>2020</v>
          </cell>
          <cell r="F619" t="str">
            <v>M776</v>
          </cell>
        </row>
        <row r="620">
          <cell r="D620" t="str">
            <v>@pradera.com</v>
          </cell>
          <cell r="E620">
            <v>2020</v>
          </cell>
          <cell r="F620" t="str">
            <v>M093</v>
          </cell>
        </row>
        <row r="621">
          <cell r="D621" t="str">
            <v>@redevco.com</v>
          </cell>
          <cell r="E621">
            <v>2020</v>
          </cell>
          <cell r="F621" t="str">
            <v>M036</v>
          </cell>
        </row>
        <row r="622">
          <cell r="D622" t="str">
            <v>@hotmail.com</v>
          </cell>
          <cell r="E622">
            <v>2020</v>
          </cell>
          <cell r="F622" t="str">
            <v>M069</v>
          </cell>
        </row>
        <row r="623">
          <cell r="D623" t="str">
            <v>@grosvenor.com</v>
          </cell>
          <cell r="E623">
            <v>2020</v>
          </cell>
          <cell r="F623" t="str">
            <v>M052</v>
          </cell>
        </row>
        <row r="624">
          <cell r="D624" t="str">
            <v>@savillsim.com</v>
          </cell>
          <cell r="E624">
            <v>2020</v>
          </cell>
          <cell r="F624" t="str">
            <v>M079</v>
          </cell>
        </row>
        <row r="625">
          <cell r="D625" t="str">
            <v>@altis.ch</v>
          </cell>
          <cell r="E625">
            <v>2020</v>
          </cell>
          <cell r="F625" t="str">
            <v>M03401</v>
          </cell>
        </row>
        <row r="626">
          <cell r="D626" t="str">
            <v>@dnb.no</v>
          </cell>
          <cell r="E626">
            <v>2020</v>
          </cell>
          <cell r="F626" t="str">
            <v>M209</v>
          </cell>
        </row>
        <row r="627">
          <cell r="D627" t="str">
            <v>@eqtpartners.com</v>
          </cell>
          <cell r="E627">
            <v>2020</v>
          </cell>
          <cell r="F627" t="str">
            <v>M742</v>
          </cell>
        </row>
        <row r="628">
          <cell r="D628" t="str">
            <v>@project-investment.de</v>
          </cell>
          <cell r="E628">
            <v>2020</v>
          </cell>
          <cell r="F628" t="str">
            <v>M680</v>
          </cell>
        </row>
        <row r="629">
          <cell r="D629" t="str">
            <v>@deutsche-finance.de</v>
          </cell>
          <cell r="E629">
            <v>2020</v>
          </cell>
          <cell r="F629" t="str">
            <v>M2875</v>
          </cell>
        </row>
        <row r="630">
          <cell r="D630" t="str">
            <v>@amvest.nl</v>
          </cell>
          <cell r="E630">
            <v>2020</v>
          </cell>
          <cell r="F630" t="str">
            <v>M015</v>
          </cell>
        </row>
        <row r="631">
          <cell r="D631" t="str">
            <v>@helaba-invest.de</v>
          </cell>
          <cell r="E631">
            <v>2020</v>
          </cell>
          <cell r="F631" t="str">
            <v>M663</v>
          </cell>
        </row>
        <row r="632">
          <cell r="D632" t="str">
            <v>@arbip.com</v>
          </cell>
          <cell r="E632">
            <v>2020</v>
          </cell>
          <cell r="F632" t="str">
            <v>M2706</v>
          </cell>
        </row>
        <row r="633">
          <cell r="D633" t="str">
            <v>@heitman.com</v>
          </cell>
          <cell r="E633">
            <v>2020</v>
          </cell>
          <cell r="F633" t="str">
            <v>M107</v>
          </cell>
        </row>
        <row r="634">
          <cell r="D634" t="str">
            <v>@garbe.de</v>
          </cell>
          <cell r="E634">
            <v>2020</v>
          </cell>
          <cell r="F634" t="str">
            <v>M300</v>
          </cell>
        </row>
        <row r="635">
          <cell r="D635" t="str">
            <v>@la-francaise.com</v>
          </cell>
          <cell r="E635">
            <v>2020</v>
          </cell>
          <cell r="F635" t="str">
            <v>M379</v>
          </cell>
        </row>
        <row r="636">
          <cell r="D636" t="str">
            <v>@patrizia.ag</v>
          </cell>
          <cell r="E636">
            <v>2020</v>
          </cell>
          <cell r="F636" t="str">
            <v>M180</v>
          </cell>
        </row>
        <row r="637">
          <cell r="D637" t="str">
            <v>@geg.de</v>
          </cell>
          <cell r="E637">
            <v>2020</v>
          </cell>
          <cell r="F637" t="str">
            <v>M2590</v>
          </cell>
        </row>
        <row r="638">
          <cell r="D638" t="str">
            <v>@aquila-capital.com</v>
          </cell>
          <cell r="E638">
            <v>2020</v>
          </cell>
          <cell r="F638" t="str">
            <v>M2842</v>
          </cell>
        </row>
        <row r="639">
          <cell r="D639" t="str">
            <v>@aitchison.biz</v>
          </cell>
          <cell r="E639">
            <v>2020</v>
          </cell>
          <cell r="F639" t="str">
            <v>M04070</v>
          </cell>
        </row>
        <row r="640">
          <cell r="D640" t="str">
            <v>@hollandimmogroup.nl</v>
          </cell>
          <cell r="E640">
            <v>2020</v>
          </cell>
          <cell r="F640" t="str">
            <v>M108</v>
          </cell>
        </row>
        <row r="641">
          <cell r="D641" t="str">
            <v>@credit-suisse.com</v>
          </cell>
          <cell r="E641">
            <v>2020</v>
          </cell>
          <cell r="F641" t="str">
            <v>M04230</v>
          </cell>
        </row>
        <row r="642">
          <cell r="D642" t="str">
            <v>@vesteda.com</v>
          </cell>
          <cell r="E642">
            <v>2020</v>
          </cell>
          <cell r="F642" t="str">
            <v>M040</v>
          </cell>
        </row>
        <row r="643">
          <cell r="D643" t="str">
            <v>@evidence-capital.co.uk</v>
          </cell>
          <cell r="E643">
            <v>2020</v>
          </cell>
          <cell r="F643" t="str">
            <v>M03216</v>
          </cell>
        </row>
        <row r="644">
          <cell r="D644" t="str">
            <v>@kristensenproperties.com</v>
          </cell>
          <cell r="E644">
            <v>2020</v>
          </cell>
          <cell r="F644" t="str">
            <v>M160</v>
          </cell>
        </row>
        <row r="645">
          <cell r="D645" t="str">
            <v>@fil.com</v>
          </cell>
          <cell r="E645">
            <v>2020</v>
          </cell>
          <cell r="F645" t="str">
            <v>M250</v>
          </cell>
        </row>
        <row r="646">
          <cell r="D646" t="str">
            <v>@bcpartners.com</v>
          </cell>
          <cell r="E646">
            <v>2020</v>
          </cell>
          <cell r="F646" t="str">
            <v>M03207</v>
          </cell>
        </row>
        <row r="647">
          <cell r="D647" t="str">
            <v>@dws.com</v>
          </cell>
          <cell r="E647">
            <v>2020</v>
          </cell>
          <cell r="F647" t="str">
            <v>M085</v>
          </cell>
        </row>
        <row r="648">
          <cell r="D648" t="str">
            <v>@trevian.fi</v>
          </cell>
          <cell r="E648">
            <v>2020</v>
          </cell>
          <cell r="F648" t="str">
            <v>M777</v>
          </cell>
        </row>
        <row r="649">
          <cell r="D649" t="str">
            <v>@asr.nl</v>
          </cell>
          <cell r="E649">
            <v>2020</v>
          </cell>
          <cell r="F649" t="str">
            <v>M278</v>
          </cell>
        </row>
        <row r="650">
          <cell r="D650" t="str">
            <v>@lbofrance.com</v>
          </cell>
          <cell r="E650">
            <v>2020</v>
          </cell>
          <cell r="F650" t="str">
            <v>M2638</v>
          </cell>
        </row>
        <row r="651">
          <cell r="D651" t="str">
            <v>@landmarkpartners.com</v>
          </cell>
          <cell r="E651">
            <v>2020</v>
          </cell>
          <cell r="F651" t="str">
            <v>M373</v>
          </cell>
        </row>
        <row r="652">
          <cell r="D652" t="str">
            <v>@greystar.com</v>
          </cell>
          <cell r="E652">
            <v>2020</v>
          </cell>
          <cell r="F652" t="str">
            <v>M718</v>
          </cell>
        </row>
        <row r="653">
          <cell r="D653" t="str">
            <v>@warburg-hih.com</v>
          </cell>
          <cell r="E653">
            <v>2020</v>
          </cell>
          <cell r="F653" t="str">
            <v>M277</v>
          </cell>
        </row>
        <row r="654">
          <cell r="D654" t="str">
            <v>@almaproperty.se</v>
          </cell>
          <cell r="E654">
            <v>2020</v>
          </cell>
          <cell r="F654" t="str">
            <v>M736</v>
          </cell>
        </row>
        <row r="655">
          <cell r="D655" t="str">
            <v>@lonestarfunds.com</v>
          </cell>
          <cell r="E655">
            <v>2020</v>
          </cell>
          <cell r="F655" t="str">
            <v>M03119</v>
          </cell>
        </row>
        <row r="656">
          <cell r="D656" t="str">
            <v>@mandg.com</v>
          </cell>
          <cell r="E656">
            <v>2020</v>
          </cell>
          <cell r="F656" t="str">
            <v>M010</v>
          </cell>
        </row>
        <row r="657">
          <cell r="D657" t="str">
            <v>@unitestudents.com</v>
          </cell>
          <cell r="E657">
            <v>2020</v>
          </cell>
          <cell r="F657" t="str">
            <v>M333</v>
          </cell>
        </row>
        <row r="658">
          <cell r="D658" t="str">
            <v>@fonciere-atland.fr</v>
          </cell>
          <cell r="E658">
            <v>2020</v>
          </cell>
          <cell r="F658" t="str">
            <v>M2735</v>
          </cell>
        </row>
        <row r="659">
          <cell r="D659" t="str">
            <v>@lasalle.com</v>
          </cell>
          <cell r="E659">
            <v>2020</v>
          </cell>
          <cell r="F659" t="str">
            <v>M020</v>
          </cell>
        </row>
        <row r="660">
          <cell r="D660" t="str">
            <v>@drccap.com</v>
          </cell>
          <cell r="E660">
            <v>2020</v>
          </cell>
          <cell r="F660" t="str">
            <v>M666</v>
          </cell>
        </row>
        <row r="661">
          <cell r="D661" t="str">
            <v>@catalystcapital.com</v>
          </cell>
          <cell r="E661">
            <v>2020</v>
          </cell>
          <cell r="F661" t="str">
            <v>M310</v>
          </cell>
        </row>
        <row r="662">
          <cell r="D662" t="str">
            <v>@meridiacapital.com</v>
          </cell>
          <cell r="E662">
            <v>2020</v>
          </cell>
          <cell r="F662" t="str">
            <v>M03036</v>
          </cell>
        </row>
        <row r="663">
          <cell r="D663" t="str">
            <v>@lgt.com</v>
          </cell>
          <cell r="E663">
            <v>2020</v>
          </cell>
          <cell r="F663" t="str">
            <v>M411</v>
          </cell>
        </row>
        <row r="664">
          <cell r="D664" t="str">
            <v>@amundi.com</v>
          </cell>
          <cell r="E664">
            <v>2020</v>
          </cell>
          <cell r="F664" t="str">
            <v>M365</v>
          </cell>
        </row>
        <row r="665">
          <cell r="D665" t="str">
            <v>@cainint.com</v>
          </cell>
          <cell r="E665">
            <v>2020</v>
          </cell>
          <cell r="F665" t="str">
            <v>M03265</v>
          </cell>
        </row>
        <row r="666">
          <cell r="D666" t="e">
            <v>#VALUE!</v>
          </cell>
          <cell r="E666">
            <v>2020</v>
          </cell>
          <cell r="F666" t="str">
            <v>M181</v>
          </cell>
        </row>
        <row r="667">
          <cell r="D667" t="str">
            <v>@franklintempleton.com</v>
          </cell>
          <cell r="E667">
            <v>2020</v>
          </cell>
          <cell r="F667" t="str">
            <v>M106</v>
          </cell>
        </row>
        <row r="668">
          <cell r="D668" t="str">
            <v>@nh-cap.com</v>
          </cell>
          <cell r="E668">
            <v>2020</v>
          </cell>
          <cell r="F668" t="str">
            <v>M174</v>
          </cell>
        </row>
        <row r="669">
          <cell r="D669" t="str">
            <v>@ryndaproperty.com</v>
          </cell>
          <cell r="E669">
            <v>2020</v>
          </cell>
          <cell r="F669" t="str">
            <v>M616</v>
          </cell>
        </row>
        <row r="670">
          <cell r="D670" t="str">
            <v>@moorfield.com</v>
          </cell>
          <cell r="E670">
            <v>2020</v>
          </cell>
          <cell r="F670" t="str">
            <v>M655</v>
          </cell>
        </row>
        <row r="671">
          <cell r="D671" t="str">
            <v>@sonaesierra.com</v>
          </cell>
          <cell r="E671">
            <v>2020</v>
          </cell>
          <cell r="F671" t="str">
            <v>M028</v>
          </cell>
        </row>
        <row r="672">
          <cell r="D672" t="str">
            <v>@nrpam.no</v>
          </cell>
          <cell r="E672">
            <v>2020</v>
          </cell>
          <cell r="F672" t="str">
            <v>M03259</v>
          </cell>
        </row>
        <row r="673">
          <cell r="D673" t="str">
            <v>@cbreglobalinvestors.com</v>
          </cell>
          <cell r="E673">
            <v>2020</v>
          </cell>
          <cell r="F673" t="str">
            <v>M231</v>
          </cell>
        </row>
        <row r="674">
          <cell r="D674" t="str">
            <v>@sweco.nl</v>
          </cell>
          <cell r="E674">
            <v>2020</v>
          </cell>
          <cell r="F674" t="str">
            <v>M023</v>
          </cell>
        </row>
        <row r="675">
          <cell r="D675" t="str">
            <v>@tristancap.com</v>
          </cell>
          <cell r="E675">
            <v>2020</v>
          </cell>
          <cell r="F675" t="str">
            <v>M486</v>
          </cell>
        </row>
        <row r="676">
          <cell r="D676" t="str">
            <v>@realisag.de</v>
          </cell>
          <cell r="E676">
            <v>2020</v>
          </cell>
          <cell r="F676" t="str">
            <v>M627</v>
          </cell>
        </row>
        <row r="677">
          <cell r="D677" t="str">
            <v>@hahnag.de</v>
          </cell>
          <cell r="E677">
            <v>2020</v>
          </cell>
          <cell r="F677" t="str">
            <v>M369</v>
          </cell>
        </row>
        <row r="678">
          <cell r="D678" t="str">
            <v>@ardian.com</v>
          </cell>
          <cell r="E678">
            <v>2020</v>
          </cell>
          <cell r="F678" t="str">
            <v>M705</v>
          </cell>
        </row>
        <row r="679">
          <cell r="D679" t="str">
            <v>@lhinv.eu</v>
          </cell>
          <cell r="E679">
            <v>2020</v>
          </cell>
          <cell r="F679" t="str">
            <v>M03301</v>
          </cell>
        </row>
        <row r="680">
          <cell r="D680" t="str">
            <v>@achmeavastgoed.nl</v>
          </cell>
          <cell r="E680">
            <v>2020</v>
          </cell>
          <cell r="F680" t="str">
            <v>M710</v>
          </cell>
        </row>
        <row r="681">
          <cell r="D681" t="str">
            <v>@equityestate.nl</v>
          </cell>
          <cell r="E681">
            <v>2020</v>
          </cell>
          <cell r="F681" t="str">
            <v>M066</v>
          </cell>
        </row>
        <row r="682">
          <cell r="D682" t="str">
            <v>@Invesco.com</v>
          </cell>
          <cell r="E682">
            <v>2020</v>
          </cell>
          <cell r="F682" t="str">
            <v>M114</v>
          </cell>
        </row>
        <row r="683">
          <cell r="D683" t="str">
            <v>@bnpparibas.com</v>
          </cell>
          <cell r="E683">
            <v>2020</v>
          </cell>
          <cell r="F683" t="str">
            <v>M318</v>
          </cell>
        </row>
        <row r="684">
          <cell r="D684" t="str">
            <v>@sirius.fi</v>
          </cell>
          <cell r="E684">
            <v>2020</v>
          </cell>
          <cell r="F684" t="str">
            <v>M757</v>
          </cell>
        </row>
        <row r="685">
          <cell r="D685" t="str">
            <v>@azora.es</v>
          </cell>
          <cell r="E685">
            <v>2020</v>
          </cell>
          <cell r="F685" t="str">
            <v>M03115</v>
          </cell>
        </row>
        <row r="686">
          <cell r="D686" t="str">
            <v>@lothburyim.com</v>
          </cell>
          <cell r="E686">
            <v>2020</v>
          </cell>
          <cell r="F686" t="str">
            <v>M211</v>
          </cell>
        </row>
        <row r="687">
          <cell r="D687" t="str">
            <v>@threestonescapital.com</v>
          </cell>
          <cell r="E687">
            <v>2020</v>
          </cell>
          <cell r="F687" t="str">
            <v>M751</v>
          </cell>
        </row>
        <row r="688">
          <cell r="D688" t="str">
            <v>@icecapital.fi</v>
          </cell>
          <cell r="E688">
            <v>2020</v>
          </cell>
          <cell r="F688" t="str">
            <v>M2656</v>
          </cell>
        </row>
        <row r="689">
          <cell r="D689" t="str">
            <v>@Blackstone.com</v>
          </cell>
          <cell r="E689">
            <v>2020</v>
          </cell>
          <cell r="F689" t="str">
            <v>M178</v>
          </cell>
        </row>
        <row r="690">
          <cell r="D690" t="str">
            <v>@ardstone.com</v>
          </cell>
          <cell r="E690">
            <v>2020</v>
          </cell>
          <cell r="F690" t="str">
            <v>M2581</v>
          </cell>
        </row>
        <row r="691">
          <cell r="D691" t="str">
            <v>@web.de</v>
          </cell>
          <cell r="E691">
            <v>2020</v>
          </cell>
          <cell r="F691" t="str">
            <v>M346</v>
          </cell>
        </row>
        <row r="692">
          <cell r="D692" t="str">
            <v>@alpharealcapital.com</v>
          </cell>
          <cell r="E692">
            <v>2020</v>
          </cell>
          <cell r="F692" t="str">
            <v>M03348</v>
          </cell>
        </row>
        <row r="693">
          <cell r="D693" t="str">
            <v>@op.fi</v>
          </cell>
          <cell r="E693">
            <v>2020</v>
          </cell>
          <cell r="F693" t="str">
            <v>M122</v>
          </cell>
        </row>
        <row r="694">
          <cell r="D694" t="str">
            <v>@art-invest.de</v>
          </cell>
          <cell r="E694">
            <v>2020</v>
          </cell>
          <cell r="F694" t="str">
            <v>M600</v>
          </cell>
        </row>
        <row r="695">
          <cell r="D695" t="str">
            <v>@clearbell.com</v>
          </cell>
          <cell r="E695">
            <v>2020</v>
          </cell>
          <cell r="F695" t="str">
            <v>M768</v>
          </cell>
        </row>
        <row r="696">
          <cell r="D696" t="str">
            <v>@bouwinvest.nl</v>
          </cell>
          <cell r="E696">
            <v>2020</v>
          </cell>
          <cell r="F696" t="str">
            <v>M660</v>
          </cell>
        </row>
        <row r="697">
          <cell r="D697" t="str">
            <v>@hvr-advisory.com</v>
          </cell>
          <cell r="E697">
            <v>2020</v>
          </cell>
          <cell r="F697" t="str">
            <v>M2529</v>
          </cell>
        </row>
        <row r="698">
          <cell r="D698" t="str">
            <v>@axa-im.com</v>
          </cell>
          <cell r="E698">
            <v>2020</v>
          </cell>
          <cell r="F698" t="str">
            <v>M041</v>
          </cell>
        </row>
        <row r="699">
          <cell r="D699" t="str">
            <v>@aermont.com</v>
          </cell>
          <cell r="E699">
            <v>2020</v>
          </cell>
          <cell r="F699" t="str">
            <v>M377</v>
          </cell>
        </row>
        <row r="700">
          <cell r="D700" t="str">
            <v>@capragp.com</v>
          </cell>
          <cell r="E700">
            <v>2020</v>
          </cell>
          <cell r="F700" t="str">
            <v>M613</v>
          </cell>
        </row>
        <row r="701">
          <cell r="D701" t="str">
            <v>@eu.aew.com</v>
          </cell>
          <cell r="E701">
            <v>2020</v>
          </cell>
          <cell r="F701" t="str">
            <v>M004</v>
          </cell>
        </row>
        <row r="702">
          <cell r="D702" t="str">
            <v>@aresmgmt.com</v>
          </cell>
          <cell r="E702">
            <v>2020</v>
          </cell>
          <cell r="F702" t="str">
            <v>M091</v>
          </cell>
        </row>
        <row r="703">
          <cell r="D703" t="str">
            <v>@areim.se</v>
          </cell>
          <cell r="E703">
            <v>2020</v>
          </cell>
          <cell r="F703" t="str">
            <v>M086</v>
          </cell>
        </row>
        <row r="704">
          <cell r="D704" t="str">
            <v>@m7re.eu</v>
          </cell>
          <cell r="E704">
            <v>2020</v>
          </cell>
          <cell r="F704" t="str">
            <v>M2505</v>
          </cell>
        </row>
        <row r="705">
          <cell r="D705" t="str">
            <v>@lasalle.com</v>
          </cell>
          <cell r="E705">
            <v>2020</v>
          </cell>
          <cell r="F705" t="str">
            <v>M020</v>
          </cell>
        </row>
        <row r="706">
          <cell r="D706" t="str">
            <v>@roundhillcapital.com</v>
          </cell>
          <cell r="E706">
            <v>2020</v>
          </cell>
          <cell r="F706" t="str">
            <v>M2856</v>
          </cell>
        </row>
        <row r="707">
          <cell r="D707" t="str">
            <v>@reggeborghvastgoed.nl</v>
          </cell>
          <cell r="E707">
            <v>2020</v>
          </cell>
          <cell r="F707" t="str">
            <v>M647</v>
          </cell>
        </row>
        <row r="708">
          <cell r="D708" t="str">
            <v>@lgim.com</v>
          </cell>
          <cell r="E708">
            <v>2020</v>
          </cell>
          <cell r="F708" t="str">
            <v>M465</v>
          </cell>
        </row>
        <row r="709">
          <cell r="D709" t="str">
            <v>@brookfield.com</v>
          </cell>
          <cell r="E709">
            <v>2020</v>
          </cell>
          <cell r="F709" t="str">
            <v>M233</v>
          </cell>
        </row>
        <row r="710">
          <cell r="D710" t="str">
            <v>@icgam.com</v>
          </cell>
          <cell r="E710">
            <v>2020</v>
          </cell>
          <cell r="F710" t="str">
            <v>M674</v>
          </cell>
        </row>
        <row r="711">
          <cell r="D711" t="str">
            <v>@nrep.com</v>
          </cell>
          <cell r="E711">
            <v>2020</v>
          </cell>
          <cell r="F711" t="str">
            <v>M305</v>
          </cell>
        </row>
        <row r="712">
          <cell r="D712" t="str">
            <v>@frogmore.co.uk</v>
          </cell>
          <cell r="E712">
            <v>2020</v>
          </cell>
          <cell r="F712" t="str">
            <v>M490</v>
          </cell>
        </row>
        <row r="713">
          <cell r="D713" t="str">
            <v>@immofinre.com</v>
          </cell>
          <cell r="E713">
            <v>2020</v>
          </cell>
          <cell r="F713" t="str">
            <v>M05136</v>
          </cell>
        </row>
        <row r="714">
          <cell r="D714" t="str">
            <v>@fabricasgr.it</v>
          </cell>
          <cell r="E714">
            <v>2020</v>
          </cell>
          <cell r="F714" t="str">
            <v>M670</v>
          </cell>
        </row>
        <row r="715">
          <cell r="D715" t="str">
            <v>@cordinggroup.com</v>
          </cell>
          <cell r="E715">
            <v>2020</v>
          </cell>
          <cell r="F715" t="str">
            <v>M506</v>
          </cell>
        </row>
        <row r="716">
          <cell r="D716" t="str">
            <v>@storebrand.no</v>
          </cell>
          <cell r="E716">
            <v>2020</v>
          </cell>
          <cell r="F716" t="str">
            <v>M019</v>
          </cell>
        </row>
        <row r="717">
          <cell r="D717" t="str">
            <v>@dtzinvestors.com</v>
          </cell>
          <cell r="E717">
            <v>2020</v>
          </cell>
          <cell r="F717" t="str">
            <v>M105</v>
          </cell>
        </row>
        <row r="718">
          <cell r="D718" t="str">
            <v>@niam.se</v>
          </cell>
          <cell r="E718">
            <v>2020</v>
          </cell>
          <cell r="F718" t="str">
            <v>M013</v>
          </cell>
        </row>
        <row r="719">
          <cell r="D719" t="str">
            <v>@alteravastgoed.nl</v>
          </cell>
          <cell r="E719">
            <v>2020</v>
          </cell>
          <cell r="F719" t="str">
            <v>M021</v>
          </cell>
        </row>
        <row r="720">
          <cell r="D720" t="str">
            <v>@altamarcapital.com</v>
          </cell>
          <cell r="E720">
            <v>2020</v>
          </cell>
          <cell r="F720" t="str">
            <v>M226</v>
          </cell>
        </row>
        <row r="721">
          <cell r="D721" t="str">
            <v>@steenstrom.com</v>
          </cell>
          <cell r="E721">
            <v>2019</v>
          </cell>
          <cell r="F721" t="str">
            <v>M676</v>
          </cell>
        </row>
        <row r="722">
          <cell r="D722" t="str">
            <v>@frogmore.co.uk</v>
          </cell>
          <cell r="E722">
            <v>2019</v>
          </cell>
          <cell r="F722" t="str">
            <v>M490</v>
          </cell>
        </row>
        <row r="723">
          <cell r="D723" t="str">
            <v>@project-investment.de</v>
          </cell>
          <cell r="E723">
            <v>2019</v>
          </cell>
          <cell r="F723" t="str">
            <v>M680</v>
          </cell>
        </row>
        <row r="724">
          <cell r="D724" t="str">
            <v>@kristensenproperties.com</v>
          </cell>
          <cell r="E724">
            <v>2019</v>
          </cell>
          <cell r="F724" t="str">
            <v>M160</v>
          </cell>
        </row>
        <row r="725">
          <cell r="D725" t="str">
            <v>@kamescapital.com</v>
          </cell>
          <cell r="E725">
            <v>2019</v>
          </cell>
          <cell r="F725" t="str">
            <v>M291</v>
          </cell>
        </row>
        <row r="726">
          <cell r="D726" t="str">
            <v>@elysianresidences.com</v>
          </cell>
          <cell r="E726">
            <v>2019</v>
          </cell>
          <cell r="F726" t="str">
            <v>M03091</v>
          </cell>
        </row>
        <row r="727">
          <cell r="D727" t="str">
            <v xml:space="preserve">@longharbour.co.uk </v>
          </cell>
          <cell r="E727">
            <v>2019</v>
          </cell>
          <cell r="F727" t="str">
            <v>M03137</v>
          </cell>
        </row>
        <row r="728">
          <cell r="D728" t="str">
            <v>@kgal.de</v>
          </cell>
          <cell r="E728">
            <v>2019</v>
          </cell>
          <cell r="F728" t="str">
            <v>M637</v>
          </cell>
        </row>
        <row r="729">
          <cell r="D729" t="str">
            <v>@icecapital.fi</v>
          </cell>
          <cell r="E729">
            <v>2019</v>
          </cell>
          <cell r="F729" t="str">
            <v>M2656</v>
          </cell>
        </row>
        <row r="730">
          <cell r="D730" t="str">
            <v>@lgt.com</v>
          </cell>
          <cell r="E730">
            <v>2019</v>
          </cell>
          <cell r="F730" t="str">
            <v>M411</v>
          </cell>
        </row>
        <row r="731">
          <cell r="D731" t="str">
            <v>@fokusasset.dk</v>
          </cell>
          <cell r="E731">
            <v>2019</v>
          </cell>
          <cell r="F731" t="str">
            <v>M2838</v>
          </cell>
        </row>
        <row r="732">
          <cell r="D732" t="str">
            <v>@immofinre.com</v>
          </cell>
          <cell r="E732">
            <v>2019</v>
          </cell>
          <cell r="F732" t="str">
            <v>M05136</v>
          </cell>
        </row>
        <row r="733">
          <cell r="D733" t="str">
            <v>@ryndaproperty.com</v>
          </cell>
          <cell r="E733">
            <v>2019</v>
          </cell>
          <cell r="F733" t="str">
            <v>M616</v>
          </cell>
        </row>
        <row r="734">
          <cell r="D734" t="str">
            <v>@bcpartners.com</v>
          </cell>
          <cell r="E734">
            <v>2019</v>
          </cell>
          <cell r="F734" t="str">
            <v>M03207</v>
          </cell>
        </row>
        <row r="735">
          <cell r="D735" t="str">
            <v>@activumsg.com</v>
          </cell>
          <cell r="E735">
            <v>2019</v>
          </cell>
          <cell r="F735" t="str">
            <v>M2529</v>
          </cell>
        </row>
        <row r="736">
          <cell r="D736" t="str">
            <v>@ece.com</v>
          </cell>
          <cell r="E736">
            <v>2019</v>
          </cell>
          <cell r="F736" t="str">
            <v>M657</v>
          </cell>
        </row>
        <row r="737">
          <cell r="D737" t="str">
            <v>@pradera.com</v>
          </cell>
          <cell r="E737">
            <v>2019</v>
          </cell>
          <cell r="F737" t="str">
            <v>M093</v>
          </cell>
        </row>
        <row r="738">
          <cell r="D738" t="str">
            <v>@lbofrance.com</v>
          </cell>
          <cell r="E738">
            <v>2019</v>
          </cell>
          <cell r="F738" t="str">
            <v>M2638</v>
          </cell>
        </row>
        <row r="739">
          <cell r="D739" t="str">
            <v>@inrev.org</v>
          </cell>
          <cell r="E739">
            <v>2019</v>
          </cell>
          <cell r="F739" t="str">
            <v>M636</v>
          </cell>
        </row>
        <row r="740">
          <cell r="D740" t="str">
            <v>@amvest.nl</v>
          </cell>
          <cell r="E740">
            <v>2019</v>
          </cell>
          <cell r="F740" t="str">
            <v>M015</v>
          </cell>
        </row>
        <row r="741">
          <cell r="D741" t="str">
            <v>@trilogyproperty.com</v>
          </cell>
          <cell r="E741">
            <v>2019</v>
          </cell>
          <cell r="F741" t="str">
            <v>M03032</v>
          </cell>
        </row>
        <row r="742">
          <cell r="D742" t="str">
            <v>@ainahospitality.com</v>
          </cell>
          <cell r="E742">
            <v>2019</v>
          </cell>
          <cell r="F742" t="str">
            <v>M2739</v>
          </cell>
        </row>
        <row r="743">
          <cell r="D743" t="str">
            <v>@reggeborghvastgoed.nl</v>
          </cell>
          <cell r="E743">
            <v>2019</v>
          </cell>
          <cell r="F743" t="str">
            <v>M647</v>
          </cell>
        </row>
        <row r="744">
          <cell r="D744" t="str">
            <v>@lasalle.com</v>
          </cell>
          <cell r="E744">
            <v>2019</v>
          </cell>
          <cell r="F744" t="str">
            <v>M020</v>
          </cell>
        </row>
        <row r="745">
          <cell r="D745" t="str">
            <v>@unitestudents.com</v>
          </cell>
          <cell r="E745">
            <v>2019</v>
          </cell>
          <cell r="F745" t="str">
            <v>M333</v>
          </cell>
        </row>
        <row r="746">
          <cell r="D746" t="str">
            <v>@breevast.nl</v>
          </cell>
          <cell r="E746">
            <v>2019</v>
          </cell>
          <cell r="F746" t="str">
            <v>M308</v>
          </cell>
        </row>
        <row r="747">
          <cell r="D747" t="str">
            <v>@inrev.org</v>
          </cell>
          <cell r="E747">
            <v>2019</v>
          </cell>
          <cell r="F747" t="str">
            <v>M319</v>
          </cell>
        </row>
        <row r="748">
          <cell r="D748" t="str">
            <v>@ubs.com</v>
          </cell>
          <cell r="E748">
            <v>2019</v>
          </cell>
          <cell r="F748" t="str">
            <v>M064</v>
          </cell>
        </row>
        <row r="749">
          <cell r="D749" t="str">
            <v>@axa-im.com</v>
          </cell>
          <cell r="E749">
            <v>2019</v>
          </cell>
          <cell r="F749" t="str">
            <v>M041</v>
          </cell>
        </row>
        <row r="750">
          <cell r="D750" t="str">
            <v>@eu.aew.com</v>
          </cell>
          <cell r="E750">
            <v>2019</v>
          </cell>
          <cell r="F750" t="str">
            <v>M004</v>
          </cell>
        </row>
        <row r="751">
          <cell r="D751" t="str">
            <v>@la-francaise.com</v>
          </cell>
          <cell r="E751">
            <v>2019</v>
          </cell>
          <cell r="F751" t="str">
            <v>M379</v>
          </cell>
        </row>
        <row r="752">
          <cell r="D752" t="str">
            <v>@savillsim.com</v>
          </cell>
          <cell r="E752">
            <v>2019</v>
          </cell>
          <cell r="F752" t="str">
            <v>M079</v>
          </cell>
        </row>
        <row r="753">
          <cell r="D753" t="str">
            <v>@helaba-invest.de</v>
          </cell>
          <cell r="E753">
            <v>2019</v>
          </cell>
          <cell r="F753" t="str">
            <v>M663</v>
          </cell>
        </row>
        <row r="754">
          <cell r="D754" t="str">
            <v>@bnpparibas.com</v>
          </cell>
          <cell r="E754">
            <v>2019</v>
          </cell>
          <cell r="F754" t="str">
            <v>M318</v>
          </cell>
        </row>
        <row r="755">
          <cell r="D755" t="str">
            <v>@aresmgmt.com</v>
          </cell>
          <cell r="E755">
            <v>2019</v>
          </cell>
          <cell r="F755" t="str">
            <v>M091</v>
          </cell>
        </row>
        <row r="756">
          <cell r="D756" t="str">
            <v>@tristancap.com</v>
          </cell>
          <cell r="E756">
            <v>2019</v>
          </cell>
          <cell r="F756" t="str">
            <v>M486</v>
          </cell>
        </row>
        <row r="757">
          <cell r="D757" t="str">
            <v>@dws.com</v>
          </cell>
          <cell r="E757">
            <v>2019</v>
          </cell>
          <cell r="F757" t="str">
            <v>M085</v>
          </cell>
        </row>
        <row r="758">
          <cell r="D758" t="str">
            <v>@patrizia.ag</v>
          </cell>
          <cell r="E758">
            <v>2019</v>
          </cell>
          <cell r="F758" t="str">
            <v>M180</v>
          </cell>
        </row>
        <row r="759">
          <cell r="D759" t="str">
            <v>@amundi.com</v>
          </cell>
          <cell r="E759">
            <v>2019</v>
          </cell>
          <cell r="F759" t="str">
            <v>M365</v>
          </cell>
        </row>
        <row r="760">
          <cell r="D760" t="str">
            <v>@aermont.com</v>
          </cell>
          <cell r="E760">
            <v>2019</v>
          </cell>
          <cell r="F760" t="str">
            <v>M377</v>
          </cell>
        </row>
        <row r="761">
          <cell r="D761" t="str">
            <v>@achmeavastgoed.nl</v>
          </cell>
          <cell r="E761">
            <v>2019</v>
          </cell>
          <cell r="F761" t="str">
            <v>M710</v>
          </cell>
        </row>
        <row r="762">
          <cell r="D762" t="str">
            <v>@inrev.org</v>
          </cell>
          <cell r="E762">
            <v>2019</v>
          </cell>
          <cell r="F762" t="str">
            <v>M054</v>
          </cell>
        </row>
        <row r="763">
          <cell r="D763" t="str">
            <v>@partnersgroup.com</v>
          </cell>
          <cell r="E763">
            <v>2019</v>
          </cell>
          <cell r="F763" t="str">
            <v>M672</v>
          </cell>
        </row>
        <row r="764">
          <cell r="D764" t="str">
            <v>@mandg.com</v>
          </cell>
          <cell r="E764">
            <v>2019</v>
          </cell>
          <cell r="F764" t="str">
            <v>M010</v>
          </cell>
        </row>
        <row r="765">
          <cell r="D765" t="str">
            <v>@rockpointgroup.com</v>
          </cell>
          <cell r="E765">
            <v>2019</v>
          </cell>
          <cell r="F765" t="str">
            <v>M527</v>
          </cell>
        </row>
        <row r="766">
          <cell r="D766" t="str">
            <v>@roundhillcapital.com</v>
          </cell>
          <cell r="E766">
            <v>2019</v>
          </cell>
          <cell r="F766" t="str">
            <v>M2856</v>
          </cell>
        </row>
        <row r="767">
          <cell r="D767" t="str">
            <v>@lgim.com</v>
          </cell>
          <cell r="E767">
            <v>2019</v>
          </cell>
          <cell r="F767" t="str">
            <v>M465</v>
          </cell>
        </row>
        <row r="768">
          <cell r="D768" t="str">
            <v>@vesteda.com</v>
          </cell>
          <cell r="E768">
            <v>2019</v>
          </cell>
          <cell r="F768" t="str">
            <v>M040</v>
          </cell>
        </row>
        <row r="769">
          <cell r="D769" t="str">
            <v>@aberdeen-asset.com</v>
          </cell>
          <cell r="E769">
            <v>2019</v>
          </cell>
          <cell r="F769" t="str">
            <v>M675</v>
          </cell>
        </row>
        <row r="770">
          <cell r="D770" t="str">
            <v>@deka.de</v>
          </cell>
          <cell r="E770">
            <v>2019</v>
          </cell>
          <cell r="F770" t="str">
            <v>M119</v>
          </cell>
        </row>
        <row r="771">
          <cell r="D771" t="str">
            <v>@niam.se</v>
          </cell>
          <cell r="E771">
            <v>2019</v>
          </cell>
          <cell r="F771" t="str">
            <v>M013</v>
          </cell>
        </row>
        <row r="772">
          <cell r="D772" t="str">
            <v>@sfp.ch</v>
          </cell>
          <cell r="E772">
            <v>2019</v>
          </cell>
          <cell r="F772" t="str">
            <v>M03114</v>
          </cell>
        </row>
        <row r="773">
          <cell r="D773" t="str">
            <v>@bensonelliot.com</v>
          </cell>
          <cell r="E773">
            <v>2019</v>
          </cell>
          <cell r="F773" t="str">
            <v>M2708</v>
          </cell>
        </row>
        <row r="774">
          <cell r="D774" t="str">
            <v>@icgam.com</v>
          </cell>
          <cell r="E774">
            <v>2019</v>
          </cell>
          <cell r="F774" t="str">
            <v>M674</v>
          </cell>
        </row>
        <row r="775">
          <cell r="D775" t="str">
            <v>@azora.es</v>
          </cell>
          <cell r="E775">
            <v>2019</v>
          </cell>
          <cell r="F775" t="str">
            <v>M03115</v>
          </cell>
        </row>
        <row r="776">
          <cell r="D776" t="str">
            <v>@bouwinvest.nl</v>
          </cell>
          <cell r="E776">
            <v>2019</v>
          </cell>
          <cell r="F776" t="str">
            <v>M660</v>
          </cell>
        </row>
        <row r="777">
          <cell r="D777" t="str">
            <v>@corestate-capital.com</v>
          </cell>
          <cell r="E777">
            <v>2019</v>
          </cell>
          <cell r="F777" t="str">
            <v>M252</v>
          </cell>
        </row>
        <row r="778">
          <cell r="D778" t="str">
            <v>@nrep.com</v>
          </cell>
          <cell r="E778">
            <v>2019</v>
          </cell>
          <cell r="F778" t="str">
            <v>M305</v>
          </cell>
        </row>
        <row r="779">
          <cell r="D779" t="str">
            <v>@crowholdings.com</v>
          </cell>
          <cell r="E779">
            <v>2019</v>
          </cell>
          <cell r="F779" t="str">
            <v>M2548</v>
          </cell>
        </row>
        <row r="780">
          <cell r="D780" t="str">
            <v>@asr.nl</v>
          </cell>
          <cell r="E780">
            <v>2019</v>
          </cell>
          <cell r="F780" t="str">
            <v>M278</v>
          </cell>
        </row>
        <row r="781">
          <cell r="D781" t="str">
            <v>@quantum.ag</v>
          </cell>
          <cell r="E781">
            <v>2019</v>
          </cell>
          <cell r="F781" t="str">
            <v>M346</v>
          </cell>
        </row>
        <row r="782">
          <cell r="D782" t="str">
            <v>@carlyle.com</v>
          </cell>
          <cell r="E782">
            <v>2019</v>
          </cell>
          <cell r="F782" t="str">
            <v>M769</v>
          </cell>
        </row>
        <row r="783">
          <cell r="D783" t="str">
            <v>@drccap.com</v>
          </cell>
          <cell r="E783">
            <v>2019</v>
          </cell>
          <cell r="F783" t="str">
            <v>M666</v>
          </cell>
        </row>
        <row r="784">
          <cell r="D784" t="str">
            <v>@schroders.com</v>
          </cell>
          <cell r="E784">
            <v>2019</v>
          </cell>
          <cell r="F784" t="str">
            <v>M037</v>
          </cell>
        </row>
        <row r="785">
          <cell r="D785" t="str">
            <v>@inrev.org</v>
          </cell>
          <cell r="E785">
            <v>2019</v>
          </cell>
          <cell r="F785" t="str">
            <v>M045</v>
          </cell>
        </row>
        <row r="786">
          <cell r="D786" t="str">
            <v>@madisonint.com</v>
          </cell>
          <cell r="E786">
            <v>2019</v>
          </cell>
          <cell r="F786" t="str">
            <v>M201</v>
          </cell>
        </row>
        <row r="787">
          <cell r="D787" t="str">
            <v>@geg.de</v>
          </cell>
          <cell r="E787">
            <v>2019</v>
          </cell>
          <cell r="F787" t="str">
            <v>M2590</v>
          </cell>
        </row>
        <row r="788">
          <cell r="D788" t="str">
            <v>@areim.se</v>
          </cell>
          <cell r="E788">
            <v>2019</v>
          </cell>
          <cell r="F788" t="str">
            <v>M086</v>
          </cell>
        </row>
        <row r="789">
          <cell r="D789" t="str">
            <v>@ircp.com</v>
          </cell>
          <cell r="E789">
            <v>2019</v>
          </cell>
          <cell r="F789">
            <v>0</v>
          </cell>
        </row>
        <row r="790">
          <cell r="D790" t="str">
            <v>@sonaesierra.com</v>
          </cell>
          <cell r="E790">
            <v>2019</v>
          </cell>
          <cell r="F790" t="str">
            <v>M028</v>
          </cell>
        </row>
        <row r="791">
          <cell r="D791" t="str">
            <v>@stam-europe.com</v>
          </cell>
          <cell r="E791">
            <v>2019</v>
          </cell>
          <cell r="F791" t="str">
            <v>M128</v>
          </cell>
        </row>
        <row r="792">
          <cell r="D792" t="str">
            <v>@colliers.it</v>
          </cell>
          <cell r="E792">
            <v>2019</v>
          </cell>
          <cell r="F792" t="str">
            <v>M776</v>
          </cell>
        </row>
        <row r="793">
          <cell r="D793" t="str">
            <v>@fabricasgr.it</v>
          </cell>
          <cell r="E793">
            <v>2019</v>
          </cell>
          <cell r="F793" t="str">
            <v>M670</v>
          </cell>
        </row>
        <row r="794">
          <cell r="D794" t="str">
            <v>@art-invest.de</v>
          </cell>
          <cell r="E794">
            <v>2019</v>
          </cell>
          <cell r="F794" t="str">
            <v>M600</v>
          </cell>
        </row>
        <row r="795">
          <cell r="D795" t="str">
            <v>@octopusinvestments.com</v>
          </cell>
          <cell r="E795">
            <v>2019</v>
          </cell>
          <cell r="F795" t="str">
            <v>M2762</v>
          </cell>
        </row>
        <row r="796">
          <cell r="D796" t="str">
            <v>@europacapital.com</v>
          </cell>
          <cell r="E796">
            <v>2019</v>
          </cell>
          <cell r="F796" t="str">
            <v>M111</v>
          </cell>
        </row>
        <row r="797">
          <cell r="D797" t="str">
            <v>@catalystcapital.com</v>
          </cell>
          <cell r="E797">
            <v>2019</v>
          </cell>
          <cell r="F797" t="str">
            <v>M310</v>
          </cell>
        </row>
        <row r="798">
          <cell r="D798" t="str">
            <v>@iput.com</v>
          </cell>
          <cell r="E798">
            <v>2019</v>
          </cell>
          <cell r="F798" t="str">
            <v>M628</v>
          </cell>
        </row>
        <row r="799">
          <cell r="D799" t="str">
            <v>@catella.de</v>
          </cell>
          <cell r="E799">
            <v>2019</v>
          </cell>
          <cell r="F799" t="str">
            <v>M063</v>
          </cell>
        </row>
        <row r="800">
          <cell r="D800" t="str">
            <v>@clearbell.com</v>
          </cell>
          <cell r="E800">
            <v>2019</v>
          </cell>
          <cell r="F800" t="str">
            <v>M768</v>
          </cell>
        </row>
        <row r="801">
          <cell r="D801" t="str">
            <v>@caerus.ag</v>
          </cell>
          <cell r="E801">
            <v>2019</v>
          </cell>
          <cell r="F801" t="str">
            <v>M697</v>
          </cell>
        </row>
        <row r="802">
          <cell r="D802" t="str">
            <v>@franklintempleton.com</v>
          </cell>
          <cell r="E802">
            <v>2019</v>
          </cell>
          <cell r="F802" t="str">
            <v>M106</v>
          </cell>
        </row>
        <row r="803">
          <cell r="D803" t="str">
            <v>@orchard-street.co.uk</v>
          </cell>
          <cell r="E803">
            <v>2019</v>
          </cell>
          <cell r="F803" t="str">
            <v>M582</v>
          </cell>
        </row>
        <row r="804">
          <cell r="D804" t="str">
            <v>@cordinggroup.com</v>
          </cell>
          <cell r="E804">
            <v>2019</v>
          </cell>
          <cell r="F804" t="str">
            <v>M506</v>
          </cell>
        </row>
        <row r="805">
          <cell r="D805" t="str">
            <v>@op.fi</v>
          </cell>
          <cell r="E805">
            <v>2019</v>
          </cell>
          <cell r="F805" t="str">
            <v>M122</v>
          </cell>
        </row>
        <row r="806">
          <cell r="D806" t="str">
            <v>@alteravastgoed.nl</v>
          </cell>
          <cell r="E806">
            <v>2019</v>
          </cell>
          <cell r="F806" t="str">
            <v>M021</v>
          </cell>
        </row>
        <row r="807">
          <cell r="D807" t="str">
            <v>@deutsche-finance.de</v>
          </cell>
          <cell r="E807">
            <v>2019</v>
          </cell>
          <cell r="F807" t="str">
            <v>M2875</v>
          </cell>
        </row>
        <row r="808">
          <cell r="D808" t="str">
            <v>@Seaforthland.com</v>
          </cell>
          <cell r="E808">
            <v>2019</v>
          </cell>
          <cell r="F808" t="str">
            <v>M03109</v>
          </cell>
        </row>
        <row r="809">
          <cell r="D809" t="str">
            <v>@wealthcap.com</v>
          </cell>
          <cell r="E809">
            <v>2019</v>
          </cell>
          <cell r="F809" t="str">
            <v>M700</v>
          </cell>
        </row>
        <row r="810">
          <cell r="D810" t="str">
            <v>@capman.com</v>
          </cell>
          <cell r="E810">
            <v>2019</v>
          </cell>
          <cell r="F810" t="str">
            <v>M168</v>
          </cell>
        </row>
        <row r="811">
          <cell r="D811" t="str">
            <v>@altamarcapital.com</v>
          </cell>
          <cell r="E811">
            <v>2019</v>
          </cell>
          <cell r="F811" t="str">
            <v>M226</v>
          </cell>
        </row>
        <row r="812">
          <cell r="D812" t="str">
            <v>@fil.com</v>
          </cell>
          <cell r="E812">
            <v>2019</v>
          </cell>
          <cell r="F812" t="str">
            <v>M250</v>
          </cell>
        </row>
        <row r="813">
          <cell r="D813" t="str">
            <v>@moorfield.com</v>
          </cell>
          <cell r="E813">
            <v>2019</v>
          </cell>
          <cell r="F813" t="str">
            <v>M655</v>
          </cell>
        </row>
        <row r="814">
          <cell r="D814" t="str">
            <v>@aquila-capital.com</v>
          </cell>
          <cell r="E814">
            <v>2019</v>
          </cell>
          <cell r="F814" t="str">
            <v>M2842</v>
          </cell>
        </row>
        <row r="815">
          <cell r="D815" t="str">
            <v>@arminiuskapital.de</v>
          </cell>
          <cell r="E815">
            <v>2019</v>
          </cell>
          <cell r="F815" t="str">
            <v>M451</v>
          </cell>
        </row>
        <row r="816">
          <cell r="D816" t="str">
            <v>@threestonescapital.com</v>
          </cell>
          <cell r="E816">
            <v>2019</v>
          </cell>
          <cell r="F816" t="str">
            <v>M751</v>
          </cell>
        </row>
        <row r="817">
          <cell r="D817" t="str">
            <v>@jamestown.de</v>
          </cell>
          <cell r="E817">
            <v>2019</v>
          </cell>
          <cell r="F817" t="str">
            <v>M551</v>
          </cell>
        </row>
        <row r="818">
          <cell r="D818" t="str">
            <v>@m7re.eu</v>
          </cell>
          <cell r="E818">
            <v>2019</v>
          </cell>
          <cell r="F818" t="str">
            <v>M2505</v>
          </cell>
        </row>
        <row r="819">
          <cell r="D819" t="str">
            <v>@patrizia.ag</v>
          </cell>
          <cell r="E819">
            <v>2019</v>
          </cell>
          <cell r="F819" t="str">
            <v>M180</v>
          </cell>
        </row>
        <row r="820">
          <cell r="D820" t="str">
            <v>@beos.net</v>
          </cell>
          <cell r="E820">
            <v>2019</v>
          </cell>
          <cell r="F820" t="str">
            <v>M617</v>
          </cell>
        </row>
        <row r="821">
          <cell r="D821" t="str">
            <v>@grosvenor.com</v>
          </cell>
          <cell r="E821">
            <v>2019</v>
          </cell>
          <cell r="F821" t="str">
            <v>M052</v>
          </cell>
        </row>
        <row r="822">
          <cell r="D822" t="e">
            <v>#VALUE!</v>
          </cell>
          <cell r="E822">
            <v>2019</v>
          </cell>
          <cell r="F822" t="str">
            <v>M710</v>
          </cell>
        </row>
        <row r="823">
          <cell r="D823" t="str">
            <v>@dcvalues.de</v>
          </cell>
          <cell r="E823">
            <v>2019</v>
          </cell>
          <cell r="F823" t="str">
            <v>M2654</v>
          </cell>
        </row>
        <row r="824">
          <cell r="D824" t="str">
            <v>@delancey.com</v>
          </cell>
          <cell r="E824">
            <v>2019</v>
          </cell>
          <cell r="F824" t="str">
            <v>M2715</v>
          </cell>
        </row>
        <row r="825">
          <cell r="D825" t="str">
            <v>@almaproperty.se</v>
          </cell>
          <cell r="E825">
            <v>2019</v>
          </cell>
          <cell r="F825" t="str">
            <v>M736</v>
          </cell>
        </row>
        <row r="826">
          <cell r="D826" t="str">
            <v>@garbe.de</v>
          </cell>
          <cell r="E826">
            <v>2019</v>
          </cell>
          <cell r="F826" t="str">
            <v>M300</v>
          </cell>
        </row>
        <row r="827">
          <cell r="D827" t="str">
            <v>@trevianrahastot.fi</v>
          </cell>
          <cell r="E827">
            <v>2019</v>
          </cell>
          <cell r="F827" t="str">
            <v>M03023</v>
          </cell>
        </row>
        <row r="828">
          <cell r="D828" t="str">
            <v>@dic-asset.de</v>
          </cell>
          <cell r="E828">
            <v>2019</v>
          </cell>
          <cell r="F828" t="str">
            <v>M734</v>
          </cell>
        </row>
        <row r="829">
          <cell r="D829" t="str">
            <v>@dnb.no</v>
          </cell>
          <cell r="E829">
            <v>2019</v>
          </cell>
          <cell r="F829" t="str">
            <v>M209</v>
          </cell>
        </row>
        <row r="830">
          <cell r="D830" t="str">
            <v>@dtzinvestors.com</v>
          </cell>
          <cell r="E830">
            <v>2019</v>
          </cell>
          <cell r="F830" t="str">
            <v>M105</v>
          </cell>
        </row>
        <row r="831">
          <cell r="D831" t="str">
            <v>@lothburyim.com</v>
          </cell>
          <cell r="E831">
            <v>2019</v>
          </cell>
          <cell r="F831" t="str">
            <v>M211</v>
          </cell>
        </row>
        <row r="832">
          <cell r="D832" t="str">
            <v>@nordika.se</v>
          </cell>
          <cell r="E832">
            <v>2019</v>
          </cell>
          <cell r="F832" t="str">
            <v>M03188</v>
          </cell>
        </row>
        <row r="833">
          <cell r="D833" t="str">
            <v>@union-investment.de</v>
          </cell>
          <cell r="E833">
            <v>2019</v>
          </cell>
          <cell r="F833" t="str">
            <v>M218</v>
          </cell>
        </row>
        <row r="834">
          <cell r="D834" t="str">
            <v>@nh-cap.com</v>
          </cell>
          <cell r="E834">
            <v>2019</v>
          </cell>
          <cell r="F834" t="str">
            <v>M174</v>
          </cell>
        </row>
        <row r="835">
          <cell r="D835" t="str">
            <v>@orange-cp.com</v>
          </cell>
          <cell r="E835">
            <v>2019</v>
          </cell>
          <cell r="F835" t="str">
            <v>M03208</v>
          </cell>
        </row>
        <row r="836">
          <cell r="D836" t="str">
            <v>@gtispartners.com</v>
          </cell>
          <cell r="E836">
            <v>2019</v>
          </cell>
          <cell r="F836" t="str">
            <v>M401</v>
          </cell>
        </row>
        <row r="837">
          <cell r="D837" t="str">
            <v xml:space="preserve">@conrenland.com </v>
          </cell>
          <cell r="E837">
            <v>2019</v>
          </cell>
          <cell r="F837" t="str">
            <v>M690</v>
          </cell>
        </row>
        <row r="838">
          <cell r="D838" t="str">
            <v>@optimumam.com</v>
          </cell>
          <cell r="E838">
            <v>2019</v>
          </cell>
          <cell r="F838" t="str">
            <v>M2678</v>
          </cell>
        </row>
        <row r="839">
          <cell r="D839" t="str">
            <v>@storebrand.no</v>
          </cell>
          <cell r="E839">
            <v>2019</v>
          </cell>
          <cell r="F839" t="str">
            <v>M019</v>
          </cell>
        </row>
        <row r="840">
          <cell r="D840" t="str">
            <v>@hahnag.de</v>
          </cell>
          <cell r="E840">
            <v>2019</v>
          </cell>
          <cell r="F840" t="str">
            <v>M369</v>
          </cell>
        </row>
        <row r="841">
          <cell r="D841" t="str">
            <v>@sirius.fi</v>
          </cell>
          <cell r="E841">
            <v>2019</v>
          </cell>
          <cell r="F841" t="str">
            <v>M757</v>
          </cell>
        </row>
        <row r="842">
          <cell r="D842" t="str">
            <v>@jensen.ru</v>
          </cell>
          <cell r="E842">
            <v>2019</v>
          </cell>
          <cell r="F842" t="str">
            <v>M662</v>
          </cell>
        </row>
        <row r="843">
          <cell r="D843" t="str">
            <v>@msn.com</v>
          </cell>
          <cell r="E843">
            <v>2019</v>
          </cell>
          <cell r="F843" t="str">
            <v>M2757</v>
          </cell>
        </row>
        <row r="844">
          <cell r="D844" t="str">
            <v>@hermes-investment.com</v>
          </cell>
          <cell r="E844">
            <v>2019</v>
          </cell>
          <cell r="F844" t="str">
            <v>M136</v>
          </cell>
        </row>
        <row r="845">
          <cell r="D845" t="str">
            <v>@ece.com</v>
          </cell>
          <cell r="E845">
            <v>2018</v>
          </cell>
          <cell r="F845" t="str">
            <v>M657</v>
          </cell>
        </row>
        <row r="846">
          <cell r="D846" t="str">
            <v>@de-wert.de</v>
          </cell>
          <cell r="E846">
            <v>2018</v>
          </cell>
          <cell r="F846" t="str">
            <v>M369</v>
          </cell>
        </row>
        <row r="847">
          <cell r="D847" t="str">
            <v>@tristancap.com</v>
          </cell>
          <cell r="E847">
            <v>2018</v>
          </cell>
          <cell r="F847" t="str">
            <v>M486</v>
          </cell>
        </row>
        <row r="848">
          <cell r="D848" t="str">
            <v>@almaproperty.se</v>
          </cell>
          <cell r="E848">
            <v>2018</v>
          </cell>
          <cell r="F848" t="str">
            <v>M736</v>
          </cell>
        </row>
        <row r="849">
          <cell r="D849" t="str">
            <v>@pohjola.fi</v>
          </cell>
          <cell r="E849">
            <v>2018</v>
          </cell>
          <cell r="F849" t="str">
            <v>M122</v>
          </cell>
        </row>
        <row r="850">
          <cell r="D850" t="str">
            <v>@jpmorgan.com</v>
          </cell>
          <cell r="E850">
            <v>2018</v>
          </cell>
          <cell r="F850" t="str">
            <v>M082</v>
          </cell>
        </row>
        <row r="851">
          <cell r="D851" t="str">
            <v>@cbreglobalinvestors.com</v>
          </cell>
          <cell r="E851">
            <v>2018</v>
          </cell>
          <cell r="F851" t="str">
            <v>M231</v>
          </cell>
        </row>
        <row r="852">
          <cell r="D852" t="str">
            <v>@lafrancaise-group.com</v>
          </cell>
          <cell r="E852">
            <v>2018</v>
          </cell>
          <cell r="F852" t="str">
            <v>M379</v>
          </cell>
        </row>
        <row r="853">
          <cell r="D853" t="str">
            <v>@meyerbergman.com</v>
          </cell>
          <cell r="E853">
            <v>2018</v>
          </cell>
          <cell r="F853" t="str">
            <v>M405</v>
          </cell>
        </row>
        <row r="854">
          <cell r="D854" t="str">
            <v>@frogmore.co.uk</v>
          </cell>
          <cell r="E854">
            <v>2018</v>
          </cell>
          <cell r="F854" t="str">
            <v>M490</v>
          </cell>
        </row>
        <row r="855">
          <cell r="D855" t="str">
            <v>@fabricasgr.it</v>
          </cell>
          <cell r="E855">
            <v>2018</v>
          </cell>
          <cell r="F855" t="str">
            <v>M670</v>
          </cell>
        </row>
        <row r="856">
          <cell r="D856" t="str">
            <v>@caerus.ag</v>
          </cell>
          <cell r="E856">
            <v>2018</v>
          </cell>
          <cell r="F856" t="str">
            <v>M697</v>
          </cell>
        </row>
        <row r="857">
          <cell r="D857" t="str">
            <v>@corpussireo.com</v>
          </cell>
          <cell r="E857">
            <v>2018</v>
          </cell>
          <cell r="F857" t="str">
            <v>M364</v>
          </cell>
        </row>
        <row r="858">
          <cell r="D858" t="str">
            <v>@rockspringpim.com</v>
          </cell>
          <cell r="E858">
            <v>2018</v>
          </cell>
          <cell r="F858" t="str">
            <v>M180</v>
          </cell>
        </row>
        <row r="859">
          <cell r="D859" t="str">
            <v>@kamescapital.com</v>
          </cell>
          <cell r="E859">
            <v>2018</v>
          </cell>
          <cell r="F859" t="str">
            <v>M291</v>
          </cell>
        </row>
        <row r="860">
          <cell r="D860" t="str">
            <v>@steenstrom.com</v>
          </cell>
          <cell r="E860">
            <v>2018</v>
          </cell>
          <cell r="F860" t="str">
            <v>M676</v>
          </cell>
        </row>
        <row r="861">
          <cell r="D861" t="str">
            <v>@hunterreim.com</v>
          </cell>
          <cell r="E861">
            <v>2018</v>
          </cell>
          <cell r="F861" t="str">
            <v>M588</v>
          </cell>
        </row>
        <row r="862">
          <cell r="D862" t="str">
            <v>@credit-suisse.com</v>
          </cell>
          <cell r="E862">
            <v>2018</v>
          </cell>
          <cell r="F862" t="str">
            <v>M04230</v>
          </cell>
        </row>
        <row r="863">
          <cell r="D863" t="str">
            <v>@cbre.com</v>
          </cell>
          <cell r="E863">
            <v>2018</v>
          </cell>
          <cell r="F863" t="str">
            <v>M03210</v>
          </cell>
        </row>
        <row r="864">
          <cell r="D864" t="str">
            <v>@garbe.de</v>
          </cell>
          <cell r="E864">
            <v>2018</v>
          </cell>
          <cell r="F864" t="str">
            <v>M300</v>
          </cell>
        </row>
        <row r="865">
          <cell r="D865" t="str">
            <v>@mandg.com</v>
          </cell>
          <cell r="E865">
            <v>2018</v>
          </cell>
          <cell r="F865" t="str">
            <v>M010</v>
          </cell>
        </row>
        <row r="866">
          <cell r="D866" t="str">
            <v>@caisson-im.com</v>
          </cell>
          <cell r="E866">
            <v>2018</v>
          </cell>
          <cell r="F866" t="str">
            <v>M2757</v>
          </cell>
        </row>
        <row r="867">
          <cell r="D867" t="str">
            <v>@vesteda.com</v>
          </cell>
          <cell r="E867">
            <v>2018</v>
          </cell>
          <cell r="F867" t="str">
            <v>M040</v>
          </cell>
        </row>
        <row r="868">
          <cell r="D868" t="str">
            <v>@asr.nl</v>
          </cell>
          <cell r="E868">
            <v>2018</v>
          </cell>
          <cell r="F868" t="str">
            <v>M278</v>
          </cell>
        </row>
        <row r="869">
          <cell r="D869" t="str">
            <v>@ubs.com</v>
          </cell>
          <cell r="E869">
            <v>2018</v>
          </cell>
          <cell r="F869" t="str">
            <v>M064</v>
          </cell>
        </row>
        <row r="870">
          <cell r="D870" t="str">
            <v>@dnb.no</v>
          </cell>
          <cell r="E870">
            <v>2018</v>
          </cell>
          <cell r="F870" t="str">
            <v>M209</v>
          </cell>
        </row>
        <row r="871">
          <cell r="D871" t="str">
            <v>@patrizia.ag</v>
          </cell>
          <cell r="E871">
            <v>2018</v>
          </cell>
          <cell r="F871" t="str">
            <v>M180</v>
          </cell>
        </row>
        <row r="872">
          <cell r="D872" t="str">
            <v>@asr.nl</v>
          </cell>
          <cell r="E872">
            <v>2018</v>
          </cell>
          <cell r="F872" t="str">
            <v>M278</v>
          </cell>
        </row>
        <row r="873">
          <cell r="D873" t="str">
            <v>@grosvenor.com</v>
          </cell>
          <cell r="E873">
            <v>2018</v>
          </cell>
          <cell r="F873" t="str">
            <v>M052</v>
          </cell>
        </row>
        <row r="874">
          <cell r="D874" t="str">
            <v>@fil.com</v>
          </cell>
          <cell r="E874">
            <v>2018</v>
          </cell>
          <cell r="F874" t="str">
            <v>M250</v>
          </cell>
        </row>
        <row r="875">
          <cell r="D875" t="str">
            <v>@niam.se</v>
          </cell>
          <cell r="E875">
            <v>2018</v>
          </cell>
          <cell r="F875" t="str">
            <v>M013</v>
          </cell>
        </row>
        <row r="876">
          <cell r="D876" t="str">
            <v>@geg.de</v>
          </cell>
          <cell r="E876">
            <v>2018</v>
          </cell>
          <cell r="F876" t="str">
            <v>M2590</v>
          </cell>
        </row>
        <row r="877">
          <cell r="D877" t="str">
            <v>@bnpparibas.com</v>
          </cell>
          <cell r="E877">
            <v>2018</v>
          </cell>
          <cell r="F877" t="str">
            <v>M318</v>
          </cell>
        </row>
        <row r="878">
          <cell r="D878" t="str">
            <v>@lbofrance.com</v>
          </cell>
          <cell r="E878">
            <v>2018</v>
          </cell>
          <cell r="F878" t="str">
            <v>M2638</v>
          </cell>
        </row>
        <row r="879">
          <cell r="D879" t="str">
            <v>@hearthstone.co.uk</v>
          </cell>
          <cell r="E879">
            <v>2018</v>
          </cell>
          <cell r="F879" t="str">
            <v>M05002</v>
          </cell>
        </row>
        <row r="880">
          <cell r="D880" t="str">
            <v>@cimgroup.com</v>
          </cell>
          <cell r="E880">
            <v>2018</v>
          </cell>
          <cell r="F880" t="str">
            <v>M04010</v>
          </cell>
        </row>
        <row r="881">
          <cell r="D881" t="str">
            <v>@CrowHoldings.com</v>
          </cell>
          <cell r="E881">
            <v>2018</v>
          </cell>
          <cell r="F881" t="str">
            <v>M2548</v>
          </cell>
        </row>
        <row r="882">
          <cell r="D882" t="str">
            <v>@orchard-street.co.uk</v>
          </cell>
          <cell r="E882">
            <v>2018</v>
          </cell>
          <cell r="F882" t="str">
            <v>M582</v>
          </cell>
        </row>
        <row r="883">
          <cell r="D883" t="str">
            <v>@icecapital.fi</v>
          </cell>
          <cell r="E883">
            <v>2018</v>
          </cell>
          <cell r="F883" t="str">
            <v>M2656</v>
          </cell>
        </row>
        <row r="884">
          <cell r="D884" t="str">
            <v>@CanadaLife.co.uk</v>
          </cell>
          <cell r="E884">
            <v>2018</v>
          </cell>
          <cell r="F884" t="str">
            <v>M157</v>
          </cell>
        </row>
        <row r="885">
          <cell r="D885" t="str">
            <v>@ardian.com</v>
          </cell>
          <cell r="E885">
            <v>2018</v>
          </cell>
          <cell r="F885" t="str">
            <v>M705</v>
          </cell>
        </row>
        <row r="886">
          <cell r="D886" t="str">
            <v>@m7re.co.uk</v>
          </cell>
          <cell r="E886">
            <v>2018</v>
          </cell>
          <cell r="F886" t="str">
            <v>M2505</v>
          </cell>
        </row>
        <row r="887">
          <cell r="D887" t="str">
            <v>@altancapital.com</v>
          </cell>
          <cell r="E887">
            <v>2018</v>
          </cell>
          <cell r="F887" t="str">
            <v>M226</v>
          </cell>
        </row>
        <row r="888">
          <cell r="D888" t="str">
            <v>@helaba-invest.de</v>
          </cell>
          <cell r="E888">
            <v>2018</v>
          </cell>
          <cell r="F888" t="str">
            <v>M663</v>
          </cell>
        </row>
        <row r="889">
          <cell r="D889" t="str">
            <v>@lgim.com</v>
          </cell>
          <cell r="E889">
            <v>2018</v>
          </cell>
          <cell r="F889" t="str">
            <v>M465</v>
          </cell>
        </row>
        <row r="890">
          <cell r="D890" t="str">
            <v>@icgam.com</v>
          </cell>
          <cell r="E890">
            <v>2018</v>
          </cell>
          <cell r="F890" t="str">
            <v>M674</v>
          </cell>
        </row>
        <row r="891">
          <cell r="D891" t="str">
            <v>@EQTPARTNERS.COM</v>
          </cell>
          <cell r="E891">
            <v>2018</v>
          </cell>
          <cell r="F891" t="str">
            <v>M742</v>
          </cell>
        </row>
        <row r="892">
          <cell r="D892" t="str">
            <v>@clearbell.com</v>
          </cell>
          <cell r="E892">
            <v>2018</v>
          </cell>
          <cell r="F892" t="str">
            <v>M768</v>
          </cell>
        </row>
        <row r="893">
          <cell r="D893" t="str">
            <v>@drccap.com</v>
          </cell>
          <cell r="E893">
            <v>2018</v>
          </cell>
          <cell r="F893" t="str">
            <v>M666</v>
          </cell>
        </row>
        <row r="894">
          <cell r="D894" t="str">
            <v>@dcvalues.de</v>
          </cell>
          <cell r="E894">
            <v>2018</v>
          </cell>
          <cell r="F894" t="str">
            <v>M2654</v>
          </cell>
        </row>
        <row r="895">
          <cell r="D895" t="str">
            <v>@equityestate.nl</v>
          </cell>
          <cell r="E895">
            <v>2018</v>
          </cell>
          <cell r="F895" t="str">
            <v>M066</v>
          </cell>
        </row>
        <row r="896">
          <cell r="D896" t="str">
            <v>@aeweurope.com</v>
          </cell>
          <cell r="E896">
            <v>2018</v>
          </cell>
          <cell r="F896" t="str">
            <v>M004</v>
          </cell>
        </row>
        <row r="897">
          <cell r="D897" t="str">
            <v>@coimasgr.com</v>
          </cell>
          <cell r="E897">
            <v>2018</v>
          </cell>
          <cell r="F897" t="str">
            <v>M2519</v>
          </cell>
        </row>
        <row r="898">
          <cell r="D898" t="str">
            <v>@union-investment.de</v>
          </cell>
          <cell r="E898">
            <v>2018</v>
          </cell>
          <cell r="F898" t="str">
            <v>M218</v>
          </cell>
        </row>
        <row r="899">
          <cell r="D899" t="str">
            <v>@gtispartners.com</v>
          </cell>
          <cell r="E899">
            <v>2018</v>
          </cell>
          <cell r="F899" t="str">
            <v>M401</v>
          </cell>
        </row>
        <row r="900">
          <cell r="D900" t="str">
            <v>@ardstone.com</v>
          </cell>
          <cell r="E900">
            <v>2018</v>
          </cell>
          <cell r="F900" t="str">
            <v>M2581</v>
          </cell>
        </row>
        <row r="901">
          <cell r="D901" t="str">
            <v>@bouwinvest.nl</v>
          </cell>
          <cell r="E901">
            <v>2018</v>
          </cell>
          <cell r="F901" t="str">
            <v>M660</v>
          </cell>
        </row>
        <row r="902">
          <cell r="D902" t="str">
            <v>@momeni-immobilien.com</v>
          </cell>
          <cell r="E902">
            <v>2018</v>
          </cell>
          <cell r="F902" t="str">
            <v>M781</v>
          </cell>
        </row>
        <row r="903">
          <cell r="D903" t="str">
            <v>@gll-partners.com</v>
          </cell>
          <cell r="E903">
            <v>2018</v>
          </cell>
          <cell r="F903" t="str">
            <v>M341</v>
          </cell>
        </row>
        <row r="904">
          <cell r="D904" t="str">
            <v>@sirius.fi</v>
          </cell>
          <cell r="E904">
            <v>2018</v>
          </cell>
          <cell r="F904" t="str">
            <v>M757</v>
          </cell>
        </row>
        <row r="905">
          <cell r="D905" t="str">
            <v>@avivainvestors.com</v>
          </cell>
          <cell r="E905">
            <v>2018</v>
          </cell>
          <cell r="F905" t="str">
            <v>M090</v>
          </cell>
        </row>
        <row r="906">
          <cell r="D906" t="str">
            <v>@sonaesierra.com</v>
          </cell>
          <cell r="E906">
            <v>2018</v>
          </cell>
          <cell r="F906" t="str">
            <v>M028</v>
          </cell>
        </row>
        <row r="907">
          <cell r="D907" t="str">
            <v>@alteravastgoed.nl</v>
          </cell>
          <cell r="E907">
            <v>2018</v>
          </cell>
          <cell r="F907" t="str">
            <v>M021</v>
          </cell>
        </row>
        <row r="908">
          <cell r="D908" t="str">
            <v>@capman.com</v>
          </cell>
          <cell r="E908">
            <v>2018</v>
          </cell>
          <cell r="F908" t="str">
            <v>M168</v>
          </cell>
        </row>
        <row r="909">
          <cell r="D909" t="str">
            <v>@hahnag.de</v>
          </cell>
          <cell r="E909">
            <v>2018</v>
          </cell>
          <cell r="F909" t="str">
            <v>M369</v>
          </cell>
        </row>
        <row r="910">
          <cell r="D910" t="str">
            <v>@IntReal.de</v>
          </cell>
          <cell r="E910">
            <v>2018</v>
          </cell>
          <cell r="F910" t="str">
            <v>M277</v>
          </cell>
        </row>
        <row r="911">
          <cell r="D911" t="str">
            <v>@axa-im.com</v>
          </cell>
          <cell r="E911">
            <v>2018</v>
          </cell>
          <cell r="F911" t="str">
            <v>M041</v>
          </cell>
        </row>
        <row r="912">
          <cell r="D912" t="str">
            <v>@areim.se</v>
          </cell>
          <cell r="E912">
            <v>2018</v>
          </cell>
          <cell r="F912" t="str">
            <v>M086</v>
          </cell>
        </row>
        <row r="913">
          <cell r="D913" t="str">
            <v>@patrizia.ag</v>
          </cell>
          <cell r="E913">
            <v>2018</v>
          </cell>
          <cell r="F913" t="str">
            <v>M180</v>
          </cell>
        </row>
        <row r="914">
          <cell r="D914" t="str">
            <v>@fonciere-atland.fr</v>
          </cell>
          <cell r="E914">
            <v>2018</v>
          </cell>
          <cell r="F914" t="str">
            <v>M2735</v>
          </cell>
        </row>
        <row r="915">
          <cell r="D915" t="str">
            <v>@gsa-gp.com</v>
          </cell>
          <cell r="E915">
            <v>2018</v>
          </cell>
          <cell r="F915" t="str">
            <v>M755</v>
          </cell>
        </row>
        <row r="916">
          <cell r="D916" t="str">
            <v>@achmeavastgoed.nl</v>
          </cell>
          <cell r="E916">
            <v>2018</v>
          </cell>
          <cell r="F916" t="str">
            <v>M710</v>
          </cell>
        </row>
        <row r="917">
          <cell r="D917" t="str">
            <v>@nh-cap.com</v>
          </cell>
          <cell r="E917">
            <v>2018</v>
          </cell>
          <cell r="F917" t="str">
            <v>M174</v>
          </cell>
        </row>
        <row r="918">
          <cell r="D918" t="str">
            <v>@pradera.com</v>
          </cell>
          <cell r="E918">
            <v>2018</v>
          </cell>
          <cell r="F918" t="str">
            <v>M093</v>
          </cell>
        </row>
        <row r="919">
          <cell r="D919" t="str">
            <v>@iput.com</v>
          </cell>
          <cell r="E919">
            <v>2018</v>
          </cell>
          <cell r="F919" t="str">
            <v>M628</v>
          </cell>
        </row>
        <row r="920">
          <cell r="D920" t="str">
            <v>@deka.de</v>
          </cell>
          <cell r="E920">
            <v>2018</v>
          </cell>
          <cell r="F920" t="str">
            <v>M119</v>
          </cell>
        </row>
        <row r="921">
          <cell r="D921" t="str">
            <v>@activumsg.com</v>
          </cell>
          <cell r="E921">
            <v>2018</v>
          </cell>
          <cell r="F921" t="str">
            <v>M2529</v>
          </cell>
        </row>
        <row r="922">
          <cell r="D922" t="str">
            <v>@nrep.com</v>
          </cell>
          <cell r="E922">
            <v>2018</v>
          </cell>
          <cell r="F922" t="str">
            <v>M305</v>
          </cell>
        </row>
        <row r="923">
          <cell r="D923" t="str">
            <v>@mcarthurglen.com</v>
          </cell>
          <cell r="E923">
            <v>2018</v>
          </cell>
          <cell r="F923" t="str">
            <v>M664</v>
          </cell>
        </row>
        <row r="924">
          <cell r="D924" t="str">
            <v>@amundi.com</v>
          </cell>
          <cell r="E924">
            <v>2018</v>
          </cell>
          <cell r="F924" t="str">
            <v>M365</v>
          </cell>
        </row>
        <row r="925">
          <cell r="D925" t="str">
            <v>@ainahospitality.com</v>
          </cell>
          <cell r="E925">
            <v>2018</v>
          </cell>
          <cell r="F925" t="str">
            <v>M2739</v>
          </cell>
        </row>
        <row r="926">
          <cell r="D926" t="str">
            <v>@westportcp.com</v>
          </cell>
          <cell r="E926">
            <v>2018</v>
          </cell>
          <cell r="F926" t="str">
            <v>M2717</v>
          </cell>
        </row>
        <row r="927">
          <cell r="D927" t="str">
            <v>@aresmgmt.com</v>
          </cell>
          <cell r="E927">
            <v>2018</v>
          </cell>
          <cell r="F927" t="str">
            <v>M091</v>
          </cell>
        </row>
        <row r="928">
          <cell r="D928" t="str">
            <v>@castellosgr.com</v>
          </cell>
          <cell r="E928">
            <v>2018</v>
          </cell>
          <cell r="F928" t="str">
            <v>M707</v>
          </cell>
        </row>
        <row r="929">
          <cell r="D929" t="str">
            <v>@stam-europe.com</v>
          </cell>
          <cell r="E929">
            <v>2018</v>
          </cell>
          <cell r="F929" t="str">
            <v>M128</v>
          </cell>
        </row>
        <row r="930">
          <cell r="D930" t="str">
            <v>@amvest.nl</v>
          </cell>
          <cell r="E930">
            <v>2018</v>
          </cell>
          <cell r="F930" t="str">
            <v>M015</v>
          </cell>
        </row>
        <row r="931">
          <cell r="D931" t="str">
            <v>@jamestown.de</v>
          </cell>
          <cell r="E931">
            <v>2018</v>
          </cell>
          <cell r="F931" t="str">
            <v>M551</v>
          </cell>
        </row>
        <row r="932">
          <cell r="D932" t="str">
            <v>@lothburyim.com</v>
          </cell>
          <cell r="E932">
            <v>2018</v>
          </cell>
          <cell r="F932" t="str">
            <v>M211</v>
          </cell>
        </row>
        <row r="933">
          <cell r="D933" t="str">
            <v>@db.com</v>
          </cell>
          <cell r="E933">
            <v>2018</v>
          </cell>
          <cell r="F933" t="str">
            <v>M085</v>
          </cell>
        </row>
        <row r="934">
          <cell r="D934" t="str">
            <v>@frk.com</v>
          </cell>
          <cell r="E934">
            <v>2018</v>
          </cell>
          <cell r="F934" t="str">
            <v>M106</v>
          </cell>
        </row>
        <row r="935">
          <cell r="D935" t="str">
            <v>@recapinvestments.com</v>
          </cell>
          <cell r="E935">
            <v>2018</v>
          </cell>
          <cell r="F935" t="str">
            <v>M2536</v>
          </cell>
        </row>
        <row r="936">
          <cell r="D936" t="str">
            <v>@bensonelliot.com</v>
          </cell>
          <cell r="E936">
            <v>2018</v>
          </cell>
          <cell r="F936" t="str">
            <v>M2708</v>
          </cell>
        </row>
        <row r="937">
          <cell r="D937" t="str">
            <v>@europacapital.com</v>
          </cell>
          <cell r="E937">
            <v>2018</v>
          </cell>
          <cell r="F937" t="str">
            <v>M111</v>
          </cell>
        </row>
        <row r="938">
          <cell r="D938" t="str">
            <v>@catalystcapital.com</v>
          </cell>
          <cell r="E938">
            <v>2018</v>
          </cell>
          <cell r="F938" t="str">
            <v>M310</v>
          </cell>
        </row>
        <row r="939">
          <cell r="D939" t="str">
            <v>@jensen.ru</v>
          </cell>
          <cell r="E939">
            <v>2018</v>
          </cell>
          <cell r="F939" t="str">
            <v>M662</v>
          </cell>
        </row>
        <row r="940">
          <cell r="D940" t="str">
            <v>@aquila-capital.com</v>
          </cell>
          <cell r="E940">
            <v>2018</v>
          </cell>
          <cell r="F940" t="str">
            <v>M2842</v>
          </cell>
        </row>
        <row r="941">
          <cell r="D941" t="str">
            <v>@schroders.com</v>
          </cell>
          <cell r="E941">
            <v>2018</v>
          </cell>
          <cell r="F941" t="str">
            <v>M037</v>
          </cell>
        </row>
        <row r="942">
          <cell r="D942" t="str">
            <v>@hines.com</v>
          </cell>
          <cell r="E942">
            <v>2018</v>
          </cell>
          <cell r="F942" t="str">
            <v>M073</v>
          </cell>
        </row>
        <row r="943">
          <cell r="D943" t="str">
            <v>@beos.net</v>
          </cell>
          <cell r="E943">
            <v>2018</v>
          </cell>
          <cell r="F943" t="str">
            <v>M617</v>
          </cell>
        </row>
        <row r="944">
          <cell r="D944" t="str">
            <v>@catella.de</v>
          </cell>
          <cell r="E944">
            <v>2018</v>
          </cell>
          <cell r="F944" t="str">
            <v>M063</v>
          </cell>
        </row>
        <row r="945">
          <cell r="D945" t="str">
            <v>@hartelt-fm.com</v>
          </cell>
          <cell r="E945">
            <v>2018</v>
          </cell>
          <cell r="F945" t="str">
            <v>M2508</v>
          </cell>
        </row>
        <row r="946">
          <cell r="D946" t="str">
            <v>@hslu.ch</v>
          </cell>
          <cell r="E946">
            <v>2018</v>
          </cell>
          <cell r="F946" t="str">
            <v>M2875</v>
          </cell>
        </row>
        <row r="947">
          <cell r="D947" t="str">
            <v>@rockpointgroup.com</v>
          </cell>
          <cell r="E947">
            <v>2018</v>
          </cell>
          <cell r="F947" t="str">
            <v>M527</v>
          </cell>
        </row>
        <row r="948">
          <cell r="D948" t="str">
            <v>@pia-pontis.com</v>
          </cell>
          <cell r="E948">
            <v>2017</v>
          </cell>
          <cell r="F948" t="str">
            <v>M2556</v>
          </cell>
        </row>
        <row r="949">
          <cell r="D949" t="str">
            <v>@nrep.com</v>
          </cell>
          <cell r="E949">
            <v>2017</v>
          </cell>
          <cell r="F949" t="str">
            <v>M305</v>
          </cell>
        </row>
        <row r="950">
          <cell r="D950" t="str">
            <v>@deka.de</v>
          </cell>
          <cell r="E950">
            <v>2017</v>
          </cell>
          <cell r="F950" t="str">
            <v>M119</v>
          </cell>
        </row>
        <row r="951">
          <cell r="D951" t="str">
            <v>@hahnag.de</v>
          </cell>
          <cell r="E951">
            <v>2017</v>
          </cell>
          <cell r="F951" t="str">
            <v>M369</v>
          </cell>
        </row>
        <row r="952">
          <cell r="D952" t="str">
            <v>@corpussireo.com</v>
          </cell>
          <cell r="E952">
            <v>2017</v>
          </cell>
          <cell r="F952" t="str">
            <v>M364</v>
          </cell>
        </row>
        <row r="953">
          <cell r="D953" t="str">
            <v>@pradera.com</v>
          </cell>
          <cell r="E953">
            <v>2017</v>
          </cell>
          <cell r="F953" t="str">
            <v>M093</v>
          </cell>
        </row>
        <row r="954">
          <cell r="D954" t="str">
            <v>@sparinvest.dk</v>
          </cell>
          <cell r="E954">
            <v>2017</v>
          </cell>
          <cell r="F954" t="str">
            <v>M180</v>
          </cell>
        </row>
        <row r="955">
          <cell r="D955" t="str">
            <v>@fil.com</v>
          </cell>
          <cell r="E955">
            <v>2017</v>
          </cell>
          <cell r="F955" t="str">
            <v>M250</v>
          </cell>
        </row>
        <row r="956">
          <cell r="D956" t="str">
            <v>@gtispartners.com</v>
          </cell>
          <cell r="E956">
            <v>2017</v>
          </cell>
          <cell r="F956" t="str">
            <v>M401</v>
          </cell>
        </row>
        <row r="957">
          <cell r="D957" t="str">
            <v>@altafund.lu</v>
          </cell>
          <cell r="E957">
            <v>2017</v>
          </cell>
          <cell r="F957" t="str">
            <v>M636</v>
          </cell>
        </row>
        <row r="958">
          <cell r="D958" t="str">
            <v>@frogmore.co.uk</v>
          </cell>
          <cell r="E958">
            <v>2017</v>
          </cell>
          <cell r="F958" t="str">
            <v>M490</v>
          </cell>
        </row>
        <row r="959">
          <cell r="D959" t="str">
            <v>@areim.se</v>
          </cell>
          <cell r="E959">
            <v>2017</v>
          </cell>
          <cell r="F959" t="str">
            <v>M086</v>
          </cell>
        </row>
        <row r="960">
          <cell r="D960" t="str">
            <v>@prelios.com</v>
          </cell>
          <cell r="E960">
            <v>2017</v>
          </cell>
          <cell r="F960" t="str">
            <v>M087</v>
          </cell>
        </row>
        <row r="961">
          <cell r="D961" t="str">
            <v>@ece.com</v>
          </cell>
          <cell r="E961">
            <v>2017</v>
          </cell>
          <cell r="F961" t="str">
            <v>M657</v>
          </cell>
        </row>
        <row r="962">
          <cell r="D962" t="str">
            <v>@aeweurope.com</v>
          </cell>
          <cell r="E962">
            <v>2017</v>
          </cell>
          <cell r="F962" t="str">
            <v>M004</v>
          </cell>
        </row>
        <row r="963">
          <cell r="D963" t="str">
            <v>@leimdorfer.se</v>
          </cell>
          <cell r="E963">
            <v>2017</v>
          </cell>
          <cell r="F963" t="str">
            <v>M319</v>
          </cell>
        </row>
        <row r="964">
          <cell r="D964" t="str">
            <v>@bouwinvest.nl</v>
          </cell>
          <cell r="E964">
            <v>2017</v>
          </cell>
          <cell r="F964" t="str">
            <v>M660</v>
          </cell>
        </row>
        <row r="965">
          <cell r="D965" t="str">
            <v>@prologis.com</v>
          </cell>
          <cell r="E965">
            <v>2017</v>
          </cell>
          <cell r="F965" t="str">
            <v>M024</v>
          </cell>
        </row>
        <row r="966">
          <cell r="D966" t="str">
            <v>@icgam.com</v>
          </cell>
          <cell r="E966">
            <v>2017</v>
          </cell>
          <cell r="F966" t="str">
            <v>M674</v>
          </cell>
        </row>
        <row r="967">
          <cell r="D967" t="str">
            <v>@quantum.ag</v>
          </cell>
          <cell r="E967">
            <v>2017</v>
          </cell>
          <cell r="F967" t="str">
            <v>M346</v>
          </cell>
        </row>
        <row r="968">
          <cell r="D968" t="str">
            <v>@achmeavastgoed.nl</v>
          </cell>
          <cell r="E968">
            <v>2017</v>
          </cell>
          <cell r="F968" t="str">
            <v>M710</v>
          </cell>
        </row>
        <row r="969">
          <cell r="D969" t="str">
            <v>@grosvenor.com</v>
          </cell>
          <cell r="E969">
            <v>2017</v>
          </cell>
          <cell r="F969" t="str">
            <v>M052</v>
          </cell>
        </row>
        <row r="970">
          <cell r="D970" t="str">
            <v>@altancapital.com</v>
          </cell>
          <cell r="E970">
            <v>2017</v>
          </cell>
          <cell r="F970" t="str">
            <v>M226</v>
          </cell>
        </row>
        <row r="971">
          <cell r="D971" t="str">
            <v>@vistra.com</v>
          </cell>
          <cell r="E971">
            <v>2017</v>
          </cell>
          <cell r="F971" t="str">
            <v>M661</v>
          </cell>
        </row>
        <row r="972">
          <cell r="D972" t="str">
            <v>@hartelt-fm.com</v>
          </cell>
          <cell r="E972">
            <v>2017</v>
          </cell>
          <cell r="F972" t="str">
            <v>M2508</v>
          </cell>
        </row>
        <row r="973">
          <cell r="D973" t="str">
            <v>@threestonescapital.com</v>
          </cell>
          <cell r="E973">
            <v>2017</v>
          </cell>
          <cell r="F973" t="str">
            <v>M751</v>
          </cell>
        </row>
        <row r="974">
          <cell r="D974" t="str">
            <v>@moorfield.com</v>
          </cell>
          <cell r="E974">
            <v>2017</v>
          </cell>
          <cell r="F974" t="str">
            <v>M655</v>
          </cell>
        </row>
        <row r="975">
          <cell r="D975" t="str">
            <v>@altusgroup.com</v>
          </cell>
          <cell r="E975">
            <v>2017</v>
          </cell>
          <cell r="F975" t="str">
            <v>M692</v>
          </cell>
        </row>
        <row r="976">
          <cell r="D976" t="str">
            <v>@project-investment.de</v>
          </cell>
          <cell r="E976">
            <v>2017</v>
          </cell>
          <cell r="F976" t="str">
            <v>M680</v>
          </cell>
        </row>
        <row r="977">
          <cell r="D977" t="str">
            <v>@credit-suisse.com</v>
          </cell>
          <cell r="E977">
            <v>2017</v>
          </cell>
          <cell r="F977" t="str">
            <v>M04230</v>
          </cell>
        </row>
        <row r="978">
          <cell r="D978" t="str">
            <v>@asr.nl</v>
          </cell>
          <cell r="E978">
            <v>2017</v>
          </cell>
          <cell r="F978" t="str">
            <v>M278</v>
          </cell>
        </row>
        <row r="979">
          <cell r="D979" t="str">
            <v>@almaproperty.se</v>
          </cell>
          <cell r="E979">
            <v>2017</v>
          </cell>
          <cell r="F979" t="str">
            <v>M736</v>
          </cell>
        </row>
        <row r="980">
          <cell r="D980" t="str">
            <v>@beos.net</v>
          </cell>
          <cell r="E980">
            <v>2017</v>
          </cell>
          <cell r="F980" t="str">
            <v>M617</v>
          </cell>
        </row>
        <row r="981">
          <cell r="D981" t="str">
            <v>@bmorep.com</v>
          </cell>
          <cell r="E981">
            <v>2017</v>
          </cell>
          <cell r="F981" t="str">
            <v>M213</v>
          </cell>
        </row>
        <row r="982">
          <cell r="D982" t="str">
            <v>@lasalle.com</v>
          </cell>
          <cell r="E982">
            <v>2017</v>
          </cell>
          <cell r="F982" t="str">
            <v>M020</v>
          </cell>
        </row>
        <row r="983">
          <cell r="D983" t="str">
            <v>@avivainvestors.com</v>
          </cell>
          <cell r="E983">
            <v>2017</v>
          </cell>
          <cell r="F983" t="str">
            <v>M090</v>
          </cell>
        </row>
        <row r="984">
          <cell r="D984" t="str">
            <v>@stam-europe.com</v>
          </cell>
          <cell r="E984">
            <v>2017</v>
          </cell>
          <cell r="F984" t="str">
            <v>M128</v>
          </cell>
        </row>
        <row r="985">
          <cell r="D985" t="str">
            <v>@madisonint.com</v>
          </cell>
          <cell r="E985">
            <v>2017</v>
          </cell>
          <cell r="F985" t="str">
            <v>M201</v>
          </cell>
        </row>
        <row r="986">
          <cell r="D986" t="str">
            <v>@geg.de</v>
          </cell>
          <cell r="E986">
            <v>2017</v>
          </cell>
          <cell r="F986" t="str">
            <v>M2590</v>
          </cell>
        </row>
        <row r="987">
          <cell r="D987" t="str">
            <v>@aberdeen-asset.com</v>
          </cell>
          <cell r="E987">
            <v>2017</v>
          </cell>
          <cell r="F987" t="str">
            <v>M675</v>
          </cell>
        </row>
        <row r="988">
          <cell r="D988" t="str">
            <v>@kristensenproperties.com</v>
          </cell>
          <cell r="E988">
            <v>2017</v>
          </cell>
          <cell r="F988" t="str">
            <v>M160</v>
          </cell>
        </row>
        <row r="989">
          <cell r="D989" t="str">
            <v>@usrealco.com</v>
          </cell>
          <cell r="E989">
            <v>2017</v>
          </cell>
          <cell r="F989" t="str">
            <v>M720</v>
          </cell>
        </row>
        <row r="990">
          <cell r="D990" t="str">
            <v>@db.com</v>
          </cell>
          <cell r="E990">
            <v>2017</v>
          </cell>
          <cell r="F990" t="str">
            <v>M085</v>
          </cell>
        </row>
        <row r="991">
          <cell r="D991" t="str">
            <v>@starwood.com</v>
          </cell>
          <cell r="E991">
            <v>2017</v>
          </cell>
          <cell r="F991" t="str">
            <v>M05105</v>
          </cell>
        </row>
        <row r="992">
          <cell r="D992" t="str">
            <v>@franklintempleton.com</v>
          </cell>
          <cell r="E992">
            <v>2017</v>
          </cell>
          <cell r="F992" t="str">
            <v>M106</v>
          </cell>
        </row>
        <row r="993">
          <cell r="D993" t="str">
            <v>@tristancap.com</v>
          </cell>
          <cell r="E993">
            <v>2017</v>
          </cell>
          <cell r="F993" t="str">
            <v>M486</v>
          </cell>
        </row>
        <row r="994">
          <cell r="D994" t="str">
            <v>@europacapital.com</v>
          </cell>
          <cell r="E994">
            <v>2017</v>
          </cell>
          <cell r="F994" t="str">
            <v>M111</v>
          </cell>
        </row>
        <row r="995">
          <cell r="D995" t="str">
            <v>@landmarkpartners.com</v>
          </cell>
          <cell r="E995">
            <v>2017</v>
          </cell>
          <cell r="F995" t="str">
            <v>M373</v>
          </cell>
        </row>
        <row r="996">
          <cell r="D996" t="str">
            <v>@partnersgroup.com</v>
          </cell>
          <cell r="E996">
            <v>2017</v>
          </cell>
          <cell r="F996" t="str">
            <v>M672</v>
          </cell>
        </row>
        <row r="997">
          <cell r="D997" t="str">
            <v>@threalestate.com</v>
          </cell>
          <cell r="E997">
            <v>2017</v>
          </cell>
          <cell r="F997" t="str">
            <v>M038</v>
          </cell>
        </row>
        <row r="998">
          <cell r="D998" t="str">
            <v>@art-invest.de</v>
          </cell>
          <cell r="E998">
            <v>2017</v>
          </cell>
          <cell r="F998" t="str">
            <v>M600</v>
          </cell>
        </row>
        <row r="999">
          <cell r="D999" t="str">
            <v>@clearbell.com</v>
          </cell>
          <cell r="E999">
            <v>2017</v>
          </cell>
          <cell r="F999" t="str">
            <v>M768</v>
          </cell>
        </row>
        <row r="1000">
          <cell r="D1000" t="str">
            <v>@steenstrom.com</v>
          </cell>
          <cell r="E1000">
            <v>2017</v>
          </cell>
          <cell r="F1000" t="str">
            <v>M676</v>
          </cell>
        </row>
        <row r="1001">
          <cell r="D1001" t="str">
            <v>@union-investment.de</v>
          </cell>
          <cell r="E1001">
            <v>2017</v>
          </cell>
          <cell r="F1001" t="str">
            <v>M218</v>
          </cell>
        </row>
        <row r="1002">
          <cell r="D1002" t="str">
            <v>@reggeborgh.nl</v>
          </cell>
          <cell r="E1002">
            <v>2017</v>
          </cell>
          <cell r="F1002" t="str">
            <v>M647</v>
          </cell>
        </row>
        <row r="1003">
          <cell r="D1003" t="str">
            <v>@hslu.ch</v>
          </cell>
          <cell r="E1003">
            <v>2017</v>
          </cell>
          <cell r="F1003" t="str">
            <v>M2875</v>
          </cell>
        </row>
        <row r="1004">
          <cell r="D1004" t="str">
            <v>@hines.com</v>
          </cell>
          <cell r="E1004">
            <v>2017</v>
          </cell>
          <cell r="F1004" t="str">
            <v>M073</v>
          </cell>
        </row>
        <row r="1005">
          <cell r="D1005" t="str">
            <v>@nh-cap.com</v>
          </cell>
          <cell r="E1005">
            <v>2017</v>
          </cell>
          <cell r="F1005" t="str">
            <v>M174</v>
          </cell>
        </row>
        <row r="1006">
          <cell r="D1006" t="str">
            <v>@lri-invest.lu</v>
          </cell>
          <cell r="E1006">
            <v>2017</v>
          </cell>
          <cell r="F1006" t="str">
            <v>M678</v>
          </cell>
        </row>
        <row r="1007">
          <cell r="D1007" t="str">
            <v>@fabricasgr.it</v>
          </cell>
          <cell r="E1007">
            <v>2017</v>
          </cell>
          <cell r="F1007" t="str">
            <v>M670</v>
          </cell>
        </row>
        <row r="1008">
          <cell r="D1008" t="str">
            <v>@drccap.com</v>
          </cell>
          <cell r="E1008">
            <v>2017</v>
          </cell>
          <cell r="F1008" t="str">
            <v>M666</v>
          </cell>
        </row>
        <row r="1009">
          <cell r="D1009" t="str">
            <v>@ardstone.com</v>
          </cell>
          <cell r="E1009">
            <v>2017</v>
          </cell>
          <cell r="F1009" t="str">
            <v>M2581</v>
          </cell>
        </row>
        <row r="1010">
          <cell r="D1010" t="str">
            <v>@fprop.com</v>
          </cell>
          <cell r="E1010">
            <v>2017</v>
          </cell>
          <cell r="F1010" t="str">
            <v>M572</v>
          </cell>
        </row>
        <row r="1011">
          <cell r="D1011" t="str">
            <v>@realisag.de</v>
          </cell>
          <cell r="E1011">
            <v>2017</v>
          </cell>
          <cell r="F1011" t="str">
            <v>M627</v>
          </cell>
        </row>
        <row r="1012">
          <cell r="D1012" t="str">
            <v>@amundi.com</v>
          </cell>
          <cell r="E1012">
            <v>2017</v>
          </cell>
          <cell r="F1012" t="str">
            <v>M365</v>
          </cell>
        </row>
        <row r="1013">
          <cell r="D1013" t="str">
            <v>@mandg.com</v>
          </cell>
          <cell r="E1013">
            <v>2017</v>
          </cell>
          <cell r="F1013" t="str">
            <v>M010</v>
          </cell>
        </row>
        <row r="1014">
          <cell r="D1014" t="str">
            <v>@catalystcapital.com</v>
          </cell>
          <cell r="E1014">
            <v>2017</v>
          </cell>
          <cell r="F1014" t="str">
            <v>M310</v>
          </cell>
        </row>
        <row r="1015">
          <cell r="D1015" t="str">
            <v>@axa-im.com</v>
          </cell>
          <cell r="E1015">
            <v>2017</v>
          </cell>
          <cell r="F1015" t="str">
            <v>M041</v>
          </cell>
        </row>
        <row r="1016">
          <cell r="D1016" t="str">
            <v>@m7re.eu</v>
          </cell>
          <cell r="E1016">
            <v>2017</v>
          </cell>
          <cell r="F1016" t="str">
            <v>M2505</v>
          </cell>
        </row>
        <row r="1017">
          <cell r="D1017" t="str">
            <v>@clarionpartners.com</v>
          </cell>
          <cell r="E1017">
            <v>2017</v>
          </cell>
          <cell r="F1017" t="str">
            <v>M677</v>
          </cell>
        </row>
        <row r="1018">
          <cell r="D1018" t="str">
            <v>@rockpointgroup.com</v>
          </cell>
          <cell r="E1018">
            <v>2017</v>
          </cell>
          <cell r="F1018" t="str">
            <v>M527</v>
          </cell>
        </row>
        <row r="1019">
          <cell r="D1019" t="str">
            <v>@sonaesierra.com</v>
          </cell>
          <cell r="E1019">
            <v>2017</v>
          </cell>
          <cell r="F1019" t="str">
            <v>M028</v>
          </cell>
        </row>
        <row r="1020">
          <cell r="D1020" t="str">
            <v>@aberdeen-asset.com</v>
          </cell>
          <cell r="E1020">
            <v>2017</v>
          </cell>
          <cell r="F1020" t="str">
            <v>M675</v>
          </cell>
        </row>
        <row r="1021">
          <cell r="D1021" t="str">
            <v>@oreima.fr</v>
          </cell>
          <cell r="E1021">
            <v>2017</v>
          </cell>
          <cell r="F1021" t="str">
            <v>M271</v>
          </cell>
        </row>
        <row r="1022">
          <cell r="D1022" t="str">
            <v>@sweco.nl</v>
          </cell>
          <cell r="E1022">
            <v>2017</v>
          </cell>
          <cell r="F1022" t="str">
            <v>M023</v>
          </cell>
        </row>
        <row r="1023">
          <cell r="D1023" t="str">
            <v>@corestate-capital.com</v>
          </cell>
          <cell r="E1023">
            <v>2017</v>
          </cell>
          <cell r="F1023" t="str">
            <v>M252</v>
          </cell>
        </row>
        <row r="1024">
          <cell r="D1024" t="str">
            <v>@standardlife.com</v>
          </cell>
          <cell r="E1024">
            <v>2017</v>
          </cell>
          <cell r="F1024" t="str">
            <v>M675</v>
          </cell>
        </row>
        <row r="1025">
          <cell r="D1025" t="str">
            <v>@iput.com</v>
          </cell>
          <cell r="E1025">
            <v>2017</v>
          </cell>
          <cell r="F1025" t="str">
            <v>M628</v>
          </cell>
        </row>
        <row r="1026">
          <cell r="D1026" t="str">
            <v>@cbreglobalinvestors.com</v>
          </cell>
          <cell r="E1026">
            <v>2017</v>
          </cell>
          <cell r="F1026" t="str">
            <v>M231</v>
          </cell>
        </row>
        <row r="1027">
          <cell r="D1027" t="str">
            <v>@momeni-immobilien.com</v>
          </cell>
          <cell r="E1027">
            <v>2017</v>
          </cell>
          <cell r="F1027" t="str">
            <v>M781</v>
          </cell>
        </row>
        <row r="1028">
          <cell r="D1028" t="str">
            <v>@redevco.com</v>
          </cell>
          <cell r="E1028">
            <v>2017</v>
          </cell>
          <cell r="F1028" t="str">
            <v>M036</v>
          </cell>
        </row>
        <row r="1029">
          <cell r="D1029" t="str">
            <v>@achmeavastgoed.nl</v>
          </cell>
          <cell r="E1029">
            <v>2017</v>
          </cell>
          <cell r="F1029" t="str">
            <v>M710</v>
          </cell>
        </row>
        <row r="1030">
          <cell r="D1030" t="str">
            <v>@patrizia.ag</v>
          </cell>
          <cell r="E1030">
            <v>2017</v>
          </cell>
          <cell r="F1030" t="str">
            <v>M180</v>
          </cell>
        </row>
        <row r="1031">
          <cell r="D1031" t="str">
            <v>@niam.se</v>
          </cell>
          <cell r="E1031">
            <v>2017</v>
          </cell>
          <cell r="F1031" t="str">
            <v>M013</v>
          </cell>
        </row>
        <row r="1032">
          <cell r="D1032" t="str">
            <v>@vesteda.com</v>
          </cell>
          <cell r="E1032">
            <v>2017</v>
          </cell>
          <cell r="F1032" t="str">
            <v>M040</v>
          </cell>
        </row>
        <row r="1033">
          <cell r="D1033" t="str">
            <v>@ilim.com</v>
          </cell>
          <cell r="E1033">
            <v>2017</v>
          </cell>
          <cell r="F1033" t="str">
            <v>M177</v>
          </cell>
        </row>
        <row r="1034">
          <cell r="D1034" t="str">
            <v>@triuva.com</v>
          </cell>
          <cell r="E1034">
            <v>2017</v>
          </cell>
          <cell r="F1034" t="str">
            <v>M180</v>
          </cell>
        </row>
        <row r="1035">
          <cell r="D1035" t="str">
            <v>@garbe.de</v>
          </cell>
          <cell r="E1035">
            <v>2017</v>
          </cell>
          <cell r="F1035" t="str">
            <v>M300</v>
          </cell>
        </row>
        <row r="1036">
          <cell r="D1036" t="str">
            <v>@helaba-invest.de</v>
          </cell>
          <cell r="E1036">
            <v>2017</v>
          </cell>
          <cell r="F1036" t="str">
            <v>M663</v>
          </cell>
        </row>
        <row r="1037">
          <cell r="D1037" t="str">
            <v>@bnpparibas.com</v>
          </cell>
          <cell r="E1037">
            <v>2017</v>
          </cell>
          <cell r="F1037" t="str">
            <v>M318</v>
          </cell>
        </row>
        <row r="1038">
          <cell r="D1038" t="str">
            <v>@bouwfondsim.com</v>
          </cell>
          <cell r="E1038">
            <v>2017</v>
          </cell>
          <cell r="F1038" t="str">
            <v>M068</v>
          </cell>
        </row>
        <row r="1039">
          <cell r="D1039" t="str">
            <v>@aresmgmt.com</v>
          </cell>
          <cell r="E1039">
            <v>2017</v>
          </cell>
          <cell r="F1039" t="str">
            <v>M091</v>
          </cell>
        </row>
        <row r="1040">
          <cell r="D1040" t="str">
            <v>@almazara.nl</v>
          </cell>
          <cell r="E1040">
            <v>2017</v>
          </cell>
          <cell r="F1040" t="str">
            <v>M498</v>
          </cell>
        </row>
        <row r="1041">
          <cell r="D1041" t="str">
            <v>@freogroup.com</v>
          </cell>
          <cell r="E1041">
            <v>2017</v>
          </cell>
          <cell r="F1041" t="str">
            <v>M359</v>
          </cell>
        </row>
        <row r="1042">
          <cell r="D1042" t="str">
            <v>@ardian.com</v>
          </cell>
          <cell r="E1042">
            <v>2017</v>
          </cell>
          <cell r="F1042" t="str">
            <v>M705</v>
          </cell>
        </row>
        <row r="1043">
          <cell r="D1043" t="str">
            <v>@la-francaise.com</v>
          </cell>
          <cell r="E1043">
            <v>2017</v>
          </cell>
          <cell r="F1043" t="str">
            <v>M379</v>
          </cell>
        </row>
        <row r="1044">
          <cell r="D1044" t="str">
            <v>@jensen.ru</v>
          </cell>
          <cell r="E1044">
            <v>2017</v>
          </cell>
          <cell r="F1044" t="str">
            <v>M662</v>
          </cell>
        </row>
        <row r="1045">
          <cell r="D1045" t="str">
            <v>@alteravastgoed.nl</v>
          </cell>
          <cell r="E1045">
            <v>2017</v>
          </cell>
          <cell r="F1045" t="str">
            <v>M021</v>
          </cell>
        </row>
        <row r="1046">
          <cell r="D1046" t="str">
            <v>@dnb.no</v>
          </cell>
          <cell r="E1046">
            <v>2017</v>
          </cell>
          <cell r="F1046" t="str">
            <v>M209</v>
          </cell>
        </row>
        <row r="1047">
          <cell r="D1047" t="str">
            <v>@ryndaproperty.com</v>
          </cell>
          <cell r="E1047">
            <v>2017</v>
          </cell>
          <cell r="F1047" t="str">
            <v>M616</v>
          </cell>
        </row>
        <row r="1048">
          <cell r="D1048" t="str">
            <v>@savillsim.com</v>
          </cell>
          <cell r="E1048">
            <v>2017</v>
          </cell>
          <cell r="F1048" t="str">
            <v>M079</v>
          </cell>
        </row>
        <row r="1049">
          <cell r="D1049" t="str">
            <v>@catella.de</v>
          </cell>
          <cell r="E1049">
            <v>2017</v>
          </cell>
          <cell r="F1049" t="str">
            <v>M063</v>
          </cell>
        </row>
        <row r="1050">
          <cell r="D1050" t="str">
            <v>@amvest.nl</v>
          </cell>
          <cell r="E1050">
            <v>2017</v>
          </cell>
          <cell r="F1050" t="str">
            <v>M015</v>
          </cell>
        </row>
        <row r="1051">
          <cell r="D1051" t="str">
            <v>@sirius.fi</v>
          </cell>
          <cell r="E1051">
            <v>2017</v>
          </cell>
          <cell r="F1051" t="str">
            <v>M757</v>
          </cell>
        </row>
        <row r="1052">
          <cell r="D1052" t="str">
            <v>@castellosgr.com</v>
          </cell>
          <cell r="E1052">
            <v>2017</v>
          </cell>
          <cell r="F1052" t="str">
            <v>M707</v>
          </cell>
        </row>
        <row r="1053">
          <cell r="D1053" t="str">
            <v>@orchard-street.co.uk</v>
          </cell>
          <cell r="E1053">
            <v>2017</v>
          </cell>
          <cell r="F1053" t="str">
            <v>M582</v>
          </cell>
        </row>
        <row r="1054">
          <cell r="D1054" t="str">
            <v>@hunterreim.com</v>
          </cell>
          <cell r="E1054">
            <v>2016</v>
          </cell>
          <cell r="F1054" t="str">
            <v>M588</v>
          </cell>
        </row>
        <row r="1055">
          <cell r="D1055" t="str">
            <v>@ircp.com</v>
          </cell>
          <cell r="E1055">
            <v>2016</v>
          </cell>
          <cell r="F1055">
            <v>0</v>
          </cell>
        </row>
        <row r="1056">
          <cell r="D1056" t="str">
            <v>@aberdeen-asset.com</v>
          </cell>
          <cell r="E1056">
            <v>2016</v>
          </cell>
          <cell r="F1056" t="str">
            <v>M675</v>
          </cell>
        </row>
        <row r="1057">
          <cell r="D1057" t="str">
            <v>@tishmanspeyer.com</v>
          </cell>
          <cell r="E1057">
            <v>2016</v>
          </cell>
          <cell r="F1057" t="str">
            <v>M054</v>
          </cell>
        </row>
        <row r="1058">
          <cell r="D1058" t="str">
            <v>@bluehousecapital.com</v>
          </cell>
          <cell r="E1058">
            <v>2016</v>
          </cell>
          <cell r="F1058" t="str">
            <v>M158</v>
          </cell>
        </row>
        <row r="1059">
          <cell r="D1059" t="str">
            <v>@patrizia.ag</v>
          </cell>
          <cell r="E1059">
            <v>2016</v>
          </cell>
          <cell r="F1059" t="str">
            <v>M180</v>
          </cell>
        </row>
        <row r="1060">
          <cell r="D1060" t="str">
            <v>@nh-cap.com</v>
          </cell>
          <cell r="E1060">
            <v>2016</v>
          </cell>
          <cell r="F1060" t="str">
            <v>M174</v>
          </cell>
        </row>
        <row r="1061">
          <cell r="D1061" t="str">
            <v>@starwood.com</v>
          </cell>
          <cell r="E1061">
            <v>2016</v>
          </cell>
          <cell r="F1061" t="str">
            <v>M05105</v>
          </cell>
        </row>
        <row r="1062">
          <cell r="D1062" t="str">
            <v>@triuva.com</v>
          </cell>
          <cell r="E1062">
            <v>2016</v>
          </cell>
          <cell r="F1062" t="str">
            <v>M180</v>
          </cell>
        </row>
        <row r="1063">
          <cell r="D1063" t="str">
            <v>@warburg-hih.com</v>
          </cell>
          <cell r="E1063">
            <v>2016</v>
          </cell>
          <cell r="F1063" t="str">
            <v>M277</v>
          </cell>
        </row>
        <row r="1064">
          <cell r="D1064" t="str">
            <v>@savillsim.com</v>
          </cell>
          <cell r="E1064">
            <v>2016</v>
          </cell>
          <cell r="F1064" t="str">
            <v>M079</v>
          </cell>
        </row>
        <row r="1065">
          <cell r="D1065" t="str">
            <v>@prologis.com</v>
          </cell>
          <cell r="E1065">
            <v>2016</v>
          </cell>
          <cell r="F1065" t="str">
            <v>M024</v>
          </cell>
        </row>
        <row r="1066">
          <cell r="D1066" t="str">
            <v>@sonaesierra.com</v>
          </cell>
          <cell r="E1066">
            <v>2016</v>
          </cell>
          <cell r="F1066" t="str">
            <v>M028</v>
          </cell>
        </row>
        <row r="1067">
          <cell r="D1067" t="str">
            <v>@jensen.ru</v>
          </cell>
          <cell r="E1067">
            <v>2016</v>
          </cell>
          <cell r="F1067" t="str">
            <v>M662</v>
          </cell>
        </row>
        <row r="1068">
          <cell r="D1068" t="str">
            <v>@standardlife.com</v>
          </cell>
          <cell r="E1068">
            <v>2016</v>
          </cell>
          <cell r="F1068" t="str">
            <v>M675</v>
          </cell>
        </row>
        <row r="1069">
          <cell r="D1069" t="str">
            <v>@icgplc.com</v>
          </cell>
          <cell r="E1069">
            <v>2016</v>
          </cell>
          <cell r="F1069" t="str">
            <v>M674</v>
          </cell>
        </row>
        <row r="1070">
          <cell r="D1070" t="str">
            <v>@bouwinvest.nl</v>
          </cell>
          <cell r="E1070">
            <v>2016</v>
          </cell>
          <cell r="F1070" t="str">
            <v>M660</v>
          </cell>
        </row>
        <row r="1071">
          <cell r="D1071" t="str">
            <v>@kempen.nl</v>
          </cell>
          <cell r="E1071">
            <v>2016</v>
          </cell>
          <cell r="F1071" t="str">
            <v>M03085</v>
          </cell>
        </row>
        <row r="1072">
          <cell r="D1072" t="str">
            <v>@threalestate.com</v>
          </cell>
          <cell r="E1072">
            <v>2016</v>
          </cell>
          <cell r="F1072" t="str">
            <v>M038</v>
          </cell>
        </row>
        <row r="1073">
          <cell r="D1073" t="str">
            <v>@franklintempleton.com</v>
          </cell>
          <cell r="E1073">
            <v>2016</v>
          </cell>
          <cell r="F1073" t="str">
            <v>M106</v>
          </cell>
        </row>
        <row r="1074">
          <cell r="D1074" t="str">
            <v>@hahnag.de</v>
          </cell>
          <cell r="E1074">
            <v>2016</v>
          </cell>
          <cell r="F1074" t="str">
            <v>M369</v>
          </cell>
        </row>
        <row r="1075">
          <cell r="D1075" t="str">
            <v>@alteravastgoed.nl</v>
          </cell>
          <cell r="E1075">
            <v>2016</v>
          </cell>
          <cell r="F1075" t="str">
            <v>M021</v>
          </cell>
        </row>
        <row r="1076">
          <cell r="D1076" t="str">
            <v>@kgal.de</v>
          </cell>
          <cell r="E1076">
            <v>2016</v>
          </cell>
          <cell r="F1076" t="str">
            <v>M637</v>
          </cell>
        </row>
        <row r="1077">
          <cell r="D1077" t="str">
            <v>@sparinvest.dk</v>
          </cell>
          <cell r="E1077">
            <v>2016</v>
          </cell>
          <cell r="F1077" t="str">
            <v>M180</v>
          </cell>
        </row>
        <row r="1078">
          <cell r="D1078" t="str">
            <v>@altancapital.com</v>
          </cell>
          <cell r="E1078">
            <v>2016</v>
          </cell>
          <cell r="F1078" t="str">
            <v>M226</v>
          </cell>
        </row>
        <row r="1079">
          <cell r="D1079" t="str">
            <v>@bnpparibas.com</v>
          </cell>
          <cell r="E1079">
            <v>2016</v>
          </cell>
          <cell r="F1079" t="str">
            <v>M318</v>
          </cell>
        </row>
        <row r="1080">
          <cell r="D1080" t="str">
            <v>@ubs.com</v>
          </cell>
          <cell r="E1080">
            <v>2016</v>
          </cell>
          <cell r="F1080" t="str">
            <v>M064</v>
          </cell>
        </row>
        <row r="1081">
          <cell r="D1081" t="str">
            <v>@kristensenproperties.com</v>
          </cell>
          <cell r="E1081">
            <v>2016</v>
          </cell>
          <cell r="F1081" t="str">
            <v>M160</v>
          </cell>
        </row>
        <row r="1082">
          <cell r="D1082" t="str">
            <v>@ibus.nl</v>
          </cell>
          <cell r="E1082">
            <v>2016</v>
          </cell>
          <cell r="F1082" t="str">
            <v>M030</v>
          </cell>
        </row>
        <row r="1083">
          <cell r="D1083" t="str">
            <v>@kf-im.com</v>
          </cell>
          <cell r="E1083">
            <v>2016</v>
          </cell>
          <cell r="F1083" t="str">
            <v>M04070</v>
          </cell>
        </row>
        <row r="1084">
          <cell r="D1084" t="str">
            <v>@grosvenor.com</v>
          </cell>
          <cell r="E1084">
            <v>2016</v>
          </cell>
          <cell r="F1084" t="str">
            <v>M052</v>
          </cell>
        </row>
        <row r="1085">
          <cell r="D1085" t="str">
            <v>@immofinre.com</v>
          </cell>
          <cell r="E1085">
            <v>2016</v>
          </cell>
          <cell r="F1085" t="str">
            <v>M05136</v>
          </cell>
        </row>
        <row r="1086">
          <cell r="D1086" t="str">
            <v>@aeweurope.com</v>
          </cell>
          <cell r="E1086">
            <v>2016</v>
          </cell>
          <cell r="F1086" t="str">
            <v>M004</v>
          </cell>
        </row>
        <row r="1087">
          <cell r="D1087" t="str">
            <v>@asr.nl</v>
          </cell>
          <cell r="E1087">
            <v>2016</v>
          </cell>
          <cell r="F1087" t="str">
            <v>M278</v>
          </cell>
        </row>
        <row r="1088">
          <cell r="D1088" t="str">
            <v>@bouwfondsim.com</v>
          </cell>
          <cell r="E1088">
            <v>2016</v>
          </cell>
          <cell r="F1088" t="str">
            <v>M068</v>
          </cell>
        </row>
        <row r="1089">
          <cell r="D1089" t="str">
            <v>@tristancap.com</v>
          </cell>
          <cell r="E1089">
            <v>2016</v>
          </cell>
          <cell r="F1089" t="str">
            <v>M486</v>
          </cell>
        </row>
        <row r="1090">
          <cell r="D1090" t="str">
            <v>@cordinggroup.com</v>
          </cell>
          <cell r="E1090">
            <v>2016</v>
          </cell>
          <cell r="F1090" t="str">
            <v>M506</v>
          </cell>
        </row>
        <row r="1091">
          <cell r="D1091" t="str">
            <v>@project-investment.de</v>
          </cell>
          <cell r="E1091">
            <v>2016</v>
          </cell>
          <cell r="F1091" t="str">
            <v>M680</v>
          </cell>
        </row>
        <row r="1092">
          <cell r="D1092" t="str">
            <v>@hannover-leasing.de</v>
          </cell>
          <cell r="E1092">
            <v>2016</v>
          </cell>
          <cell r="F1092">
            <v>0</v>
          </cell>
        </row>
        <row r="1093">
          <cell r="D1093" t="str">
            <v>@gtispartners.com</v>
          </cell>
          <cell r="E1093">
            <v>2016</v>
          </cell>
          <cell r="F1093" t="str">
            <v>M401</v>
          </cell>
        </row>
        <row r="1094">
          <cell r="D1094" t="str">
            <v>@steenstrom.com</v>
          </cell>
          <cell r="E1094">
            <v>2016</v>
          </cell>
          <cell r="F1094" t="str">
            <v>M676</v>
          </cell>
        </row>
        <row r="1095">
          <cell r="D1095" t="str">
            <v>@ryndaproperty.com</v>
          </cell>
          <cell r="E1095">
            <v>2016</v>
          </cell>
          <cell r="F1095" t="str">
            <v>M616</v>
          </cell>
        </row>
        <row r="1096">
          <cell r="D1096" t="str">
            <v>@axa-im.com</v>
          </cell>
          <cell r="E1096">
            <v>2016</v>
          </cell>
          <cell r="F1096" t="str">
            <v>M041</v>
          </cell>
        </row>
        <row r="1097">
          <cell r="D1097" t="str">
            <v>@vesteda.com</v>
          </cell>
          <cell r="E1097">
            <v>2016</v>
          </cell>
          <cell r="F1097" t="str">
            <v>M040</v>
          </cell>
        </row>
        <row r="1098">
          <cell r="D1098" t="str">
            <v>@amvest.nl</v>
          </cell>
          <cell r="E1098">
            <v>2016</v>
          </cell>
          <cell r="F1098" t="str">
            <v>M015</v>
          </cell>
        </row>
        <row r="1099">
          <cell r="D1099" t="str">
            <v>@credit-suisse.com</v>
          </cell>
          <cell r="E1099">
            <v>2016</v>
          </cell>
          <cell r="F1099" t="str">
            <v>M04230</v>
          </cell>
        </row>
        <row r="1100">
          <cell r="D1100" t="str">
            <v>@fprop.com</v>
          </cell>
          <cell r="E1100">
            <v>2016</v>
          </cell>
          <cell r="F1100" t="str">
            <v>M572</v>
          </cell>
        </row>
        <row r="1101">
          <cell r="D1101" t="str">
            <v>@pramerica.com</v>
          </cell>
          <cell r="E1101">
            <v>2016</v>
          </cell>
          <cell r="F1101" t="str">
            <v>M042</v>
          </cell>
        </row>
        <row r="1102">
          <cell r="D1102" t="str">
            <v>@gsa-gp.com</v>
          </cell>
          <cell r="E1102">
            <v>2016</v>
          </cell>
          <cell r="F1102" t="str">
            <v>M755</v>
          </cell>
        </row>
        <row r="1103">
          <cell r="D1103" t="str">
            <v>@gre.generali.com</v>
          </cell>
          <cell r="E1103">
            <v>2016</v>
          </cell>
          <cell r="F1103" t="str">
            <v>M069</v>
          </cell>
        </row>
        <row r="1104">
          <cell r="D1104" t="str">
            <v>@capman.com</v>
          </cell>
          <cell r="E1104">
            <v>2016</v>
          </cell>
          <cell r="F1104" t="str">
            <v>M168</v>
          </cell>
        </row>
        <row r="1105">
          <cell r="D1105" t="str">
            <v>@db.com</v>
          </cell>
          <cell r="E1105">
            <v>2016</v>
          </cell>
          <cell r="F1105" t="str">
            <v>M085</v>
          </cell>
        </row>
        <row r="1106">
          <cell r="D1106" t="str">
            <v>@niam.se</v>
          </cell>
          <cell r="E1106">
            <v>2016</v>
          </cell>
          <cell r="F1106" t="str">
            <v>M013</v>
          </cell>
        </row>
        <row r="1107">
          <cell r="D1107" t="str">
            <v>@achmeavastgoed.nl</v>
          </cell>
          <cell r="E1107">
            <v>2016</v>
          </cell>
          <cell r="F1107" t="str">
            <v>M710</v>
          </cell>
        </row>
        <row r="1108">
          <cell r="D1108" t="str">
            <v>@palatium.com</v>
          </cell>
          <cell r="E1108">
            <v>2016</v>
          </cell>
          <cell r="F1108" t="str">
            <v>M05130</v>
          </cell>
        </row>
        <row r="1109">
          <cell r="D1109" t="str">
            <v>@jamestown.de</v>
          </cell>
          <cell r="E1109">
            <v>2016</v>
          </cell>
          <cell r="F1109" t="str">
            <v>M551</v>
          </cell>
        </row>
        <row r="1110">
          <cell r="D1110" t="str">
            <v>@rockspringpim.com</v>
          </cell>
          <cell r="E1110">
            <v>2016</v>
          </cell>
          <cell r="F1110" t="str">
            <v>M180</v>
          </cell>
        </row>
        <row r="1111">
          <cell r="D1111" t="str">
            <v>@helaba-invest.de</v>
          </cell>
          <cell r="E1111">
            <v>2016</v>
          </cell>
          <cell r="F1111" t="str">
            <v>M663</v>
          </cell>
        </row>
        <row r="1112">
          <cell r="D1112" t="str">
            <v>@momeni-immobilien.com</v>
          </cell>
          <cell r="E1112">
            <v>2016</v>
          </cell>
          <cell r="F1112" t="str">
            <v>M781</v>
          </cell>
        </row>
        <row r="1113">
          <cell r="D1113" t="str">
            <v>@trevian.fi</v>
          </cell>
          <cell r="E1113">
            <v>2016</v>
          </cell>
          <cell r="F1113" t="str">
            <v>M777</v>
          </cell>
        </row>
        <row r="1114">
          <cell r="D1114" t="str">
            <v>@caerus.ag</v>
          </cell>
          <cell r="E1114">
            <v>2016</v>
          </cell>
          <cell r="F1114" t="str">
            <v>M697</v>
          </cell>
        </row>
        <row r="1115">
          <cell r="D1115" t="str">
            <v>@frogmore.co.uk</v>
          </cell>
          <cell r="E1115">
            <v>2016</v>
          </cell>
          <cell r="F1115" t="str">
            <v>M490</v>
          </cell>
        </row>
        <row r="1116">
          <cell r="D1116" t="str">
            <v>@eurindustrial.nl</v>
          </cell>
          <cell r="E1116">
            <v>2016</v>
          </cell>
          <cell r="F1116" t="str">
            <v>M03498</v>
          </cell>
        </row>
        <row r="1117">
          <cell r="D1117" t="str">
            <v>@madisonint.com</v>
          </cell>
          <cell r="E1117">
            <v>2016</v>
          </cell>
          <cell r="F1117" t="str">
            <v>M201</v>
          </cell>
        </row>
        <row r="1118">
          <cell r="D1118" t="e">
            <v>#VALUE!</v>
          </cell>
          <cell r="E1118">
            <v>2016</v>
          </cell>
          <cell r="F1118" t="e">
            <v>#VALUE!</v>
          </cell>
        </row>
        <row r="1119">
          <cell r="D1119" t="str">
            <v>@freogroup.com</v>
          </cell>
          <cell r="E1119">
            <v>2016</v>
          </cell>
          <cell r="F1119" t="str">
            <v>M359</v>
          </cell>
        </row>
        <row r="1120">
          <cell r="D1120" t="str">
            <v>@valad.co.uk</v>
          </cell>
          <cell r="E1120">
            <v>2016</v>
          </cell>
          <cell r="F1120" t="str">
            <v>M126</v>
          </cell>
        </row>
        <row r="1121">
          <cell r="D1121" t="str">
            <v>@areim.se</v>
          </cell>
          <cell r="E1121">
            <v>2016</v>
          </cell>
          <cell r="F1121" t="str">
            <v>M086</v>
          </cell>
        </row>
        <row r="1122">
          <cell r="D1122" t="str">
            <v>@4ip.ch</v>
          </cell>
          <cell r="E1122">
            <v>2016</v>
          </cell>
          <cell r="F1122" t="str">
            <v>M626</v>
          </cell>
        </row>
        <row r="1123">
          <cell r="D1123" t="str">
            <v>@quantum.ag</v>
          </cell>
          <cell r="E1123">
            <v>2016</v>
          </cell>
          <cell r="F1123" t="str">
            <v>M346</v>
          </cell>
        </row>
        <row r="1124">
          <cell r="D1124" t="str">
            <v>@europacapital.com</v>
          </cell>
          <cell r="E1124">
            <v>2016</v>
          </cell>
          <cell r="F1124" t="str">
            <v>M111</v>
          </cell>
        </row>
        <row r="1125">
          <cell r="D1125" t="str">
            <v>@iput.com</v>
          </cell>
          <cell r="E1125">
            <v>2016</v>
          </cell>
          <cell r="F1125" t="str">
            <v>M628</v>
          </cell>
        </row>
        <row r="1126">
          <cell r="D1126" t="str">
            <v>@dtzinvestors.com</v>
          </cell>
          <cell r="E1126">
            <v>2016</v>
          </cell>
          <cell r="F1126" t="str">
            <v>M105</v>
          </cell>
        </row>
        <row r="1127">
          <cell r="D1127" t="str">
            <v>@realisag.de</v>
          </cell>
          <cell r="E1127">
            <v>2016</v>
          </cell>
          <cell r="F1127" t="str">
            <v>M627</v>
          </cell>
        </row>
        <row r="1128">
          <cell r="D1128" t="str">
            <v>@nordika.se</v>
          </cell>
          <cell r="E1128">
            <v>2016</v>
          </cell>
          <cell r="F1128" t="str">
            <v>M03188</v>
          </cell>
        </row>
        <row r="1129">
          <cell r="D1129" t="str">
            <v>@lgt.com</v>
          </cell>
          <cell r="E1129">
            <v>2016</v>
          </cell>
          <cell r="F1129" t="str">
            <v>M411</v>
          </cell>
        </row>
        <row r="1130">
          <cell r="D1130" t="str">
            <v>@palmercapital.co.uk</v>
          </cell>
          <cell r="E1130">
            <v>2016</v>
          </cell>
          <cell r="F1130" t="str">
            <v>M775</v>
          </cell>
        </row>
        <row r="1131">
          <cell r="D1131" t="str">
            <v>@dnb.no</v>
          </cell>
          <cell r="E1131">
            <v>2016</v>
          </cell>
          <cell r="F1131" t="str">
            <v>M209</v>
          </cell>
        </row>
        <row r="1132">
          <cell r="D1132" t="str">
            <v>@avivainvestors.com</v>
          </cell>
          <cell r="E1132">
            <v>2016</v>
          </cell>
          <cell r="F1132" t="str">
            <v>M090</v>
          </cell>
        </row>
        <row r="1133">
          <cell r="D1133" t="str">
            <v>@fil.com</v>
          </cell>
          <cell r="E1133">
            <v>2016</v>
          </cell>
          <cell r="F1133" t="str">
            <v>M250</v>
          </cell>
        </row>
        <row r="1134">
          <cell r="D1134" t="str">
            <v>@amundi.com</v>
          </cell>
          <cell r="E1134">
            <v>2016</v>
          </cell>
          <cell r="F1134" t="str">
            <v>M365</v>
          </cell>
        </row>
        <row r="1135">
          <cell r="D1135" t="str">
            <v>@blackstone.com</v>
          </cell>
          <cell r="E1135">
            <v>2016</v>
          </cell>
          <cell r="F1135" t="str">
            <v>M178</v>
          </cell>
        </row>
        <row r="1136">
          <cell r="D1136" t="str">
            <v>@eqtpartners.com</v>
          </cell>
          <cell r="E1136">
            <v>2016</v>
          </cell>
          <cell r="F1136" t="str">
            <v>M742</v>
          </cell>
        </row>
        <row r="1137">
          <cell r="D1137" t="str">
            <v>@usrealco.com</v>
          </cell>
          <cell r="E1137">
            <v>2016</v>
          </cell>
          <cell r="F1137" t="str">
            <v>M720</v>
          </cell>
        </row>
        <row r="1138">
          <cell r="D1138" t="str">
            <v>@equityestate.nl</v>
          </cell>
          <cell r="E1138">
            <v>2016</v>
          </cell>
          <cell r="F1138" t="str">
            <v>M066</v>
          </cell>
        </row>
        <row r="1139">
          <cell r="D1139" t="str">
            <v>@lgim.com</v>
          </cell>
          <cell r="E1139">
            <v>2016</v>
          </cell>
          <cell r="F1139" t="str">
            <v>M465</v>
          </cell>
        </row>
        <row r="1140">
          <cell r="D1140" t="str">
            <v>@partnersgroup.com</v>
          </cell>
          <cell r="E1140">
            <v>2016</v>
          </cell>
          <cell r="F1140" t="str">
            <v>M672</v>
          </cell>
        </row>
        <row r="1141">
          <cell r="D1141" t="str">
            <v>@clearbell.com</v>
          </cell>
          <cell r="E1141">
            <v>2016</v>
          </cell>
          <cell r="F1141" t="str">
            <v>M768</v>
          </cell>
        </row>
        <row r="1142">
          <cell r="D1142" t="str">
            <v>@forumpartners.com</v>
          </cell>
          <cell r="E1142">
            <v>2016</v>
          </cell>
          <cell r="F1142" t="str">
            <v>M263</v>
          </cell>
        </row>
        <row r="1143">
          <cell r="D1143" t="str">
            <v>@corestate-capital.ch</v>
          </cell>
          <cell r="E1143">
            <v>2016</v>
          </cell>
          <cell r="F1143" t="str">
            <v>M252</v>
          </cell>
        </row>
        <row r="1144">
          <cell r="D1144" t="str">
            <v>@catella.de</v>
          </cell>
          <cell r="E1144">
            <v>2016</v>
          </cell>
          <cell r="F1144" t="str">
            <v>M063</v>
          </cell>
        </row>
        <row r="1145">
          <cell r="D1145" t="str">
            <v>@ece.com</v>
          </cell>
          <cell r="E1145">
            <v>2016</v>
          </cell>
          <cell r="F1145" t="str">
            <v>M657</v>
          </cell>
        </row>
        <row r="1146">
          <cell r="D1146" t="str">
            <v>@sirius.fi</v>
          </cell>
          <cell r="E1146">
            <v>2016</v>
          </cell>
          <cell r="F1146" t="str">
            <v>M757</v>
          </cell>
        </row>
        <row r="1147">
          <cell r="D1147" t="str">
            <v>@almaproperty.se</v>
          </cell>
          <cell r="E1147">
            <v>2016</v>
          </cell>
          <cell r="F1147" t="str">
            <v>M736</v>
          </cell>
        </row>
        <row r="1148">
          <cell r="D1148" t="str">
            <v>@indospace.in</v>
          </cell>
          <cell r="F1148" t="str">
            <v>N305</v>
          </cell>
        </row>
        <row r="1149">
          <cell r="D1149" t="str">
            <v>@cipam.com.au</v>
          </cell>
          <cell r="F1149" t="str">
            <v>M0224</v>
          </cell>
        </row>
        <row r="1150">
          <cell r="D1150" t="str">
            <v>@dbj-am.jp</v>
          </cell>
          <cell r="F1150" t="str">
            <v>N306</v>
          </cell>
        </row>
        <row r="1151">
          <cell r="D1151" t="str">
            <v>@paradvisors.com</v>
          </cell>
          <cell r="F1151" t="str">
            <v>N307</v>
          </cell>
        </row>
        <row r="1152">
          <cell r="D1152" t="str">
            <v>@tjbc.com</v>
          </cell>
          <cell r="F1152" t="str">
            <v>NC034</v>
          </cell>
        </row>
        <row r="1153">
          <cell r="D1153" t="str">
            <v>@broadshore.com</v>
          </cell>
          <cell r="F1153" t="str">
            <v>NC035</v>
          </cell>
        </row>
        <row r="1154">
          <cell r="D1154" t="str">
            <v>@acretrader.com</v>
          </cell>
          <cell r="F1154" t="str">
            <v>NC036</v>
          </cell>
        </row>
        <row r="1155">
          <cell r="D1155" t="str">
            <v>@pinebridge.com</v>
          </cell>
          <cell r="F1155" t="str">
            <v>M2708</v>
          </cell>
        </row>
        <row r="1156">
          <cell r="D1156" t="str">
            <v>@swisslife.ch</v>
          </cell>
          <cell r="F1156" t="str">
            <v>M2623</v>
          </cell>
        </row>
        <row r="1157">
          <cell r="D1157" t="str">
            <v>@apleona.com</v>
          </cell>
          <cell r="F1157" t="str">
            <v>M03279</v>
          </cell>
        </row>
        <row r="1158">
          <cell r="D1158" t="str">
            <v>@longharbour.co.uk</v>
          </cell>
          <cell r="F1158" t="str">
            <v>M03137</v>
          </cell>
        </row>
        <row r="1159">
          <cell r="D1159" t="str">
            <v>@primonial.fr</v>
          </cell>
          <cell r="F1159" t="str">
            <v>M03755</v>
          </cell>
        </row>
        <row r="1160">
          <cell r="D1160" t="str">
            <v>@wmp.nl</v>
          </cell>
          <cell r="F1160" t="str">
            <v>M04420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ull Data-Map"/>
    </sheetNames>
    <sheetDataSet>
      <sheetData sheetId="0" refreshError="1">
        <row r="1">
          <cell r="C1" t="str">
            <v>QuestionText</v>
          </cell>
          <cell r="D1" t="str">
            <v>dtcode</v>
          </cell>
        </row>
        <row r="2">
          <cell r="C2" t="str">
            <v>Surveycode</v>
          </cell>
        </row>
        <row r="3">
          <cell r="C3" t="str">
            <v>Association (from Sample)</v>
          </cell>
        </row>
        <row r="4">
          <cell r="C4" t="str">
            <v>Company (from Sample)</v>
          </cell>
        </row>
        <row r="5">
          <cell r="C5" t="str">
            <v>Eligible Region</v>
          </cell>
        </row>
        <row r="6">
          <cell r="C6" t="str">
            <v>DateCompleted (Asia)</v>
          </cell>
        </row>
        <row r="7">
          <cell r="C7" t="str">
            <v>Eligible Region</v>
          </cell>
        </row>
        <row r="8">
          <cell r="C8" t="str">
            <v>DateCompleted (Europe)</v>
          </cell>
        </row>
        <row r="9">
          <cell r="C9" t="str">
            <v>Eligible Region</v>
          </cell>
        </row>
        <row r="10">
          <cell r="C10" t="str">
            <v>DateCompleted (NorthAmerica)</v>
          </cell>
        </row>
        <row r="11">
          <cell r="C11" t="str">
            <v>Eligible Region</v>
          </cell>
        </row>
        <row r="12">
          <cell r="C12" t="str">
            <v>DateCompleted (Global)</v>
          </cell>
        </row>
        <row r="13">
          <cell r="C13" t="str">
            <v>Eligible Region</v>
          </cell>
        </row>
        <row r="14">
          <cell r="C14" t="str">
            <v>DateCompleted (SouthAmerica)</v>
          </cell>
        </row>
        <row r="15">
          <cell r="C15" t="str">
            <v>Eligible Region</v>
          </cell>
        </row>
        <row r="16">
          <cell r="C16" t="str">
            <v>DateCompleted (Africa)</v>
          </cell>
        </row>
        <row r="17">
          <cell r="C17" t="str">
            <v>ShowEurope</v>
          </cell>
        </row>
        <row r="18">
          <cell r="C18" t="str">
            <v>ShowAsia</v>
          </cell>
        </row>
        <row r="19">
          <cell r="C19" t="str">
            <v>ShowNA</v>
          </cell>
        </row>
        <row r="20">
          <cell r="C20" t="str">
            <v>ShowGlobal</v>
          </cell>
        </row>
        <row r="21">
          <cell r="C21" t="str">
            <v>ShowSA</v>
          </cell>
        </row>
        <row r="22">
          <cell r="C22" t="str">
            <v>ShowAfrica</v>
          </cell>
        </row>
        <row r="23">
          <cell r="C23" t="str">
            <v>RecordNo</v>
          </cell>
        </row>
        <row r="24">
          <cell r="C24" t="str">
            <v>Surveycode</v>
          </cell>
        </row>
        <row r="25">
          <cell r="C25" t="str">
            <v>URIstring</v>
          </cell>
        </row>
        <row r="26">
          <cell r="C26" t="str">
            <v>DateUpdated</v>
          </cell>
        </row>
        <row r="27">
          <cell r="C27" t="str">
            <v>DateCompleted</v>
          </cell>
        </row>
        <row r="28">
          <cell r="C28" t="str">
            <v>PageNo</v>
          </cell>
        </row>
        <row r="29">
          <cell r="C29" t="str">
            <v>PathInfo</v>
          </cell>
        </row>
        <row r="30">
          <cell r="C30" t="str">
            <v>Referrer</v>
          </cell>
        </row>
        <row r="31">
          <cell r="C31" t="str">
            <v>IPaddress</v>
          </cell>
        </row>
        <row r="32">
          <cell r="C32" t="str">
            <v>SurveyYear</v>
          </cell>
        </row>
        <row r="33">
          <cell r="C33" t="str">
            <v>Respondent Name</v>
          </cell>
        </row>
        <row r="34">
          <cell r="C34" t="str">
            <v>Company</v>
          </cell>
        </row>
        <row r="35">
          <cell r="C35" t="str">
            <v>Job title</v>
          </cell>
        </row>
        <row r="36">
          <cell r="C36" t="str">
            <v>Email address</v>
          </cell>
        </row>
        <row r="37">
          <cell r="C37" t="str">
            <v>Contact Number</v>
          </cell>
        </row>
        <row r="38">
          <cell r="C38" t="str">
            <v>Country of Origin Global Head Office</v>
          </cell>
        </row>
        <row r="39">
          <cell r="C39" t="str">
            <v>Currency</v>
          </cell>
        </row>
        <row r="40">
          <cell r="C40" t="str">
            <v>Currency (OTHER)</v>
          </cell>
        </row>
        <row r="41">
          <cell r="C41" t="str">
            <v>Did your company raise institutional capital for non-listed real estate vehicles in 2018?</v>
          </cell>
          <cell r="D41">
            <v>1</v>
          </cell>
        </row>
        <row r="42">
          <cell r="C42" t="str">
            <v>If no, please state select one of the following reasons:</v>
          </cell>
          <cell r="D42">
            <v>2</v>
          </cell>
        </row>
        <row r="43">
          <cell r="C43" t="str">
            <v>If no, please state select one of the following reasons: (Other)</v>
          </cell>
          <cell r="D43">
            <v>3</v>
          </cell>
        </row>
        <row r="44">
          <cell r="C44" t="str">
            <v>How much institutional capital did your company raise in 2018 (millions)?</v>
          </cell>
          <cell r="D44">
            <v>4</v>
          </cell>
        </row>
        <row r="45">
          <cell r="C45" t="str">
            <v>Total real estate (million)</v>
          </cell>
          <cell r="D45" t="str">
            <v>4_1</v>
          </cell>
        </row>
        <row r="46">
          <cell r="C46" t="str">
            <v>Non-listed real estate (million</v>
          </cell>
          <cell r="D46" t="str">
            <v>4_2</v>
          </cell>
        </row>
        <row r="47">
          <cell r="C47" t="str">
            <v>How much of the institutional capital raised in 2018 (millions) is already invested?</v>
          </cell>
          <cell r="D47">
            <v>5</v>
          </cell>
        </row>
        <row r="48">
          <cell r="C48" t="str">
            <v>Total real estate (million)</v>
          </cell>
          <cell r="D48" t="str">
            <v>5_1</v>
          </cell>
        </row>
        <row r="49">
          <cell r="C49" t="str">
            <v>Non-listed real estate (million)</v>
          </cell>
          <cell r="D49" t="str">
            <v>5_2</v>
          </cell>
        </row>
        <row r="50">
          <cell r="C50" t="str">
            <v>How much institutional capital did your company raise for non-listed vehicles in 2018 by regional strategy (million)?</v>
          </cell>
          <cell r="D50">
            <v>6</v>
          </cell>
        </row>
        <row r="51">
          <cell r="C51" t="str">
            <v>Asia Pacific strategy - Non-listed/ commingled real estate funds/private REITs</v>
          </cell>
          <cell r="D51" t="str">
            <v>6_1</v>
          </cell>
        </row>
        <row r="52">
          <cell r="C52" t="str">
            <v>Asia Pacific strategy - Separate accounts investing directly into real estate</v>
          </cell>
          <cell r="D52" t="str">
            <v>6_2</v>
          </cell>
        </row>
        <row r="53">
          <cell r="C53" t="str">
            <v>Asia Pacific strategy - Separate accounts investing into indirect vehicles</v>
          </cell>
          <cell r="D53" t="str">
            <v>6_3</v>
          </cell>
        </row>
        <row r="54">
          <cell r="C54" t="str">
            <v>Asia Pacific strategy - Joint ventures and club deals</v>
          </cell>
          <cell r="D54" t="str">
            <v>6_4</v>
          </cell>
        </row>
        <row r="55">
          <cell r="C55" t="str">
            <v>Asia Pacific strategy - Funds of funds</v>
          </cell>
          <cell r="D55" t="str">
            <v>6_5</v>
          </cell>
        </row>
        <row r="56">
          <cell r="C56" t="str">
            <v>Asia Pacific strategy - Non-listed debt products</v>
          </cell>
          <cell r="D56" t="str">
            <v>6_6</v>
          </cell>
        </row>
        <row r="57">
          <cell r="C57" t="str">
            <v>Asia Pacific strategy TOTAL</v>
          </cell>
          <cell r="D57" t="str">
            <v>6_7</v>
          </cell>
        </row>
        <row r="58">
          <cell r="C58" t="str">
            <v>European strategy - Non-listed/ commingled real estate funds/private REITs</v>
          </cell>
          <cell r="D58" t="str">
            <v>6_8</v>
          </cell>
        </row>
        <row r="59">
          <cell r="C59" t="str">
            <v>European strategy - Separate accounts investing directly into real estate</v>
          </cell>
          <cell r="D59" t="str">
            <v>6_9</v>
          </cell>
        </row>
        <row r="60">
          <cell r="C60" t="str">
            <v>European strategy - Separate accounts investing into indirect vehicles</v>
          </cell>
          <cell r="D60" t="str">
            <v>6_10</v>
          </cell>
        </row>
        <row r="61">
          <cell r="C61" t="str">
            <v>European strategy - Joint ventures and club deals</v>
          </cell>
          <cell r="D61" t="str">
            <v>6_11</v>
          </cell>
        </row>
        <row r="62">
          <cell r="C62" t="str">
            <v>European strategy - Funds of funds</v>
          </cell>
          <cell r="D62" t="str">
            <v>6_12</v>
          </cell>
        </row>
        <row r="63">
          <cell r="C63" t="str">
            <v>European strategy - Non-listed debt products</v>
          </cell>
          <cell r="D63" t="str">
            <v>6_13</v>
          </cell>
        </row>
        <row r="64">
          <cell r="C64" t="str">
            <v>European strategy TOTAL</v>
          </cell>
          <cell r="D64" t="str">
            <v>6_14</v>
          </cell>
        </row>
        <row r="65">
          <cell r="C65" t="str">
            <v>North American strategy - Non-listed/ commingled real estate funds/private REITs</v>
          </cell>
          <cell r="D65" t="str">
            <v>6_15</v>
          </cell>
        </row>
        <row r="66">
          <cell r="C66" t="str">
            <v>North American strategy - Separate accounts investing directly into real estate</v>
          </cell>
          <cell r="D66" t="str">
            <v>6_16</v>
          </cell>
        </row>
        <row r="67">
          <cell r="C67" t="str">
            <v>North American strategy - Separate accounts investing into indirect vehicles</v>
          </cell>
          <cell r="D67" t="str">
            <v>6_17</v>
          </cell>
        </row>
        <row r="68">
          <cell r="C68" t="str">
            <v>North American strategy - Joint ventures and club deals</v>
          </cell>
          <cell r="D68" t="str">
            <v>6_18</v>
          </cell>
        </row>
        <row r="69">
          <cell r="C69" t="str">
            <v>North American strategy - Funds of funds</v>
          </cell>
          <cell r="D69" t="str">
            <v>6_19</v>
          </cell>
        </row>
        <row r="70">
          <cell r="C70" t="str">
            <v>North American strategy - Non-listed debt products</v>
          </cell>
          <cell r="D70" t="str">
            <v>6_20</v>
          </cell>
        </row>
        <row r="71">
          <cell r="C71" t="str">
            <v>North American strategy TOTAL</v>
          </cell>
          <cell r="D71" t="str">
            <v>6_21</v>
          </cell>
        </row>
        <row r="72">
          <cell r="C72" t="str">
            <v>Global strategy - Non-listed/ commingled real estate funds/private REITs</v>
          </cell>
          <cell r="D72" t="str">
            <v>6_22</v>
          </cell>
        </row>
        <row r="73">
          <cell r="C73" t="str">
            <v>Global strategy - Separate accounts investing directly into real estate</v>
          </cell>
          <cell r="D73" t="str">
            <v>6_23</v>
          </cell>
        </row>
        <row r="74">
          <cell r="C74" t="str">
            <v>Global strategy - Separate accounts investing into indirect vehicles</v>
          </cell>
          <cell r="D74" t="str">
            <v>6_24</v>
          </cell>
        </row>
        <row r="75">
          <cell r="C75" t="str">
            <v>Global strategy - Joint ventures and club deals</v>
          </cell>
          <cell r="D75" t="str">
            <v>6_25</v>
          </cell>
        </row>
        <row r="76">
          <cell r="C76" t="str">
            <v>Global strategy - Funds of funds</v>
          </cell>
          <cell r="D76" t="str">
            <v>6_26</v>
          </cell>
        </row>
        <row r="77">
          <cell r="C77" t="str">
            <v>Global strategy - Non-listed debt products</v>
          </cell>
          <cell r="D77" t="str">
            <v>6_27</v>
          </cell>
        </row>
        <row r="78">
          <cell r="C78" t="str">
            <v>Global strategy TOTAL</v>
          </cell>
          <cell r="D78" t="str">
            <v>6_28</v>
          </cell>
        </row>
        <row r="79">
          <cell r="C79" t="str">
            <v>South American strategy - Non-listed/ commingled real estate funds/private REITs</v>
          </cell>
          <cell r="D79" t="str">
            <v>6_29</v>
          </cell>
        </row>
        <row r="80">
          <cell r="C80" t="str">
            <v>South American strategy - Separate accounts investing directly into real estate</v>
          </cell>
          <cell r="D80" t="str">
            <v>6_30</v>
          </cell>
        </row>
        <row r="81">
          <cell r="C81" t="str">
            <v>South American strategy - Separate accounts investing into indirect vehicles</v>
          </cell>
          <cell r="D81" t="str">
            <v>6_31</v>
          </cell>
        </row>
        <row r="82">
          <cell r="C82" t="str">
            <v>South American strategy - Joint ventures and club deals</v>
          </cell>
          <cell r="D82" t="str">
            <v>6_32</v>
          </cell>
        </row>
        <row r="83">
          <cell r="C83" t="str">
            <v>South American strategy - Funds of funds</v>
          </cell>
          <cell r="D83" t="str">
            <v>6_33</v>
          </cell>
        </row>
        <row r="84">
          <cell r="C84" t="str">
            <v>South American strategy - Non-listed debt products</v>
          </cell>
          <cell r="D84" t="str">
            <v>6_34</v>
          </cell>
        </row>
        <row r="85">
          <cell r="C85" t="str">
            <v>South American strategy TOTAL</v>
          </cell>
          <cell r="D85" t="str">
            <v>6_35</v>
          </cell>
        </row>
        <row r="86">
          <cell r="C86" t="str">
            <v>African strategy - Non-listed/ commingled real estate funds/private REITs</v>
          </cell>
          <cell r="D86" t="str">
            <v>6_36</v>
          </cell>
        </row>
        <row r="87">
          <cell r="C87" t="str">
            <v>African strategy - Separate accounts investing directly into real estate</v>
          </cell>
          <cell r="D87" t="str">
            <v>6_37</v>
          </cell>
        </row>
        <row r="88">
          <cell r="C88" t="str">
            <v>African strategy - Separate accounts investing into indirect vehicles</v>
          </cell>
          <cell r="D88" t="str">
            <v>6_38</v>
          </cell>
        </row>
        <row r="89">
          <cell r="C89" t="str">
            <v>African strategy - Joint ventures and club deals</v>
          </cell>
          <cell r="D89" t="str">
            <v>6_39</v>
          </cell>
        </row>
        <row r="90">
          <cell r="C90" t="str">
            <v>African strategy - Funds of funds</v>
          </cell>
          <cell r="D90" t="str">
            <v>6_40</v>
          </cell>
        </row>
        <row r="91">
          <cell r="C91" t="str">
            <v>African strategy - Non-listed debt products</v>
          </cell>
          <cell r="D91" t="str">
            <v>6_41</v>
          </cell>
        </row>
        <row r="92">
          <cell r="C92" t="str">
            <v>African strategy TOTAL</v>
          </cell>
          <cell r="D92" t="str">
            <v>6_42</v>
          </cell>
        </row>
        <row r="93">
          <cell r="C93" t="str">
            <v>Non-listed/ commingled real estate funds/private REITs TOTAL</v>
          </cell>
          <cell r="D93" t="str">
            <v>6_43</v>
          </cell>
        </row>
        <row r="94">
          <cell r="C94" t="str">
            <v>Separate accounts investing directly into real estate TOTAL</v>
          </cell>
          <cell r="D94" t="str">
            <v>6_44</v>
          </cell>
        </row>
        <row r="95">
          <cell r="C95" t="str">
            <v>Separate accounts investing into indirect vehicles TOTAL</v>
          </cell>
          <cell r="D95" t="str">
            <v>6_45</v>
          </cell>
        </row>
        <row r="96">
          <cell r="C96" t="str">
            <v>Joint ventures and club deals TOTAL</v>
          </cell>
          <cell r="D96" t="str">
            <v>6_46</v>
          </cell>
        </row>
        <row r="97">
          <cell r="C97" t="str">
            <v>Funds of funds TOTAL</v>
          </cell>
          <cell r="D97" t="str">
            <v>6_47</v>
          </cell>
        </row>
        <row r="98">
          <cell r="C98" t="str">
            <v>Non-listed debt products TOTAL</v>
          </cell>
          <cell r="D98" t="str">
            <v>6_48</v>
          </cell>
        </row>
        <row r="99">
          <cell r="C99" t="str">
            <v>TOTAL capital raised in 2018 by regional strategy (million)</v>
          </cell>
          <cell r="D99" t="str">
            <v>6_49</v>
          </cell>
        </row>
        <row r="100">
          <cell r="C100" t="str">
            <v>For how many vehicles did your company raise institutional capital for in 2018?</v>
          </cell>
          <cell r="D100">
            <v>7</v>
          </cell>
        </row>
        <row r="101">
          <cell r="C101" t="str">
            <v>Asia Pacific strategy - Non-listed/ commingled real estate funds/private REITs</v>
          </cell>
          <cell r="D101" t="str">
            <v>7_1</v>
          </cell>
        </row>
        <row r="102">
          <cell r="C102" t="str">
            <v>Asia Pacific strategy - Separate accounts investing directly into real estate</v>
          </cell>
          <cell r="D102" t="str">
            <v>7_2</v>
          </cell>
        </row>
        <row r="103">
          <cell r="C103" t="str">
            <v>Asia Pacific strategy - Separate accounts investing into indirect vehicles</v>
          </cell>
          <cell r="D103" t="str">
            <v>7_3</v>
          </cell>
        </row>
        <row r="104">
          <cell r="C104" t="str">
            <v>Asia Pacific strategy - Joint ventures and club deals</v>
          </cell>
          <cell r="D104" t="str">
            <v>7_4</v>
          </cell>
        </row>
        <row r="105">
          <cell r="C105" t="str">
            <v>Asia Pacific strategy - Funds of funds</v>
          </cell>
          <cell r="D105" t="str">
            <v>7_5</v>
          </cell>
        </row>
        <row r="106">
          <cell r="C106" t="str">
            <v>Asia Pacific strategy - Non-listed debt products</v>
          </cell>
          <cell r="D106" t="str">
            <v>7_6</v>
          </cell>
        </row>
        <row r="107">
          <cell r="C107" t="str">
            <v>Asia Pacific strategy TOTAL</v>
          </cell>
          <cell r="D107" t="str">
            <v>7_7</v>
          </cell>
        </row>
        <row r="108">
          <cell r="C108" t="str">
            <v>European strategy - Non-listed/ commingled real estate funds/private REITs</v>
          </cell>
          <cell r="D108" t="str">
            <v>7_8</v>
          </cell>
        </row>
        <row r="109">
          <cell r="C109" t="str">
            <v>European strategy - Separate accounts investing directly into real estate</v>
          </cell>
          <cell r="D109" t="str">
            <v>7_9</v>
          </cell>
        </row>
        <row r="110">
          <cell r="C110" t="str">
            <v>European strategy - Separate accounts investing into indirect vehicles</v>
          </cell>
          <cell r="D110" t="str">
            <v>7_10</v>
          </cell>
        </row>
        <row r="111">
          <cell r="C111" t="str">
            <v>European strategy - Joint ventures and club deals</v>
          </cell>
          <cell r="D111" t="str">
            <v>7_11</v>
          </cell>
        </row>
        <row r="112">
          <cell r="C112" t="str">
            <v>European strategy - Funds of funds</v>
          </cell>
          <cell r="D112" t="str">
            <v>7_12</v>
          </cell>
        </row>
        <row r="113">
          <cell r="C113" t="str">
            <v>European strategy - Non-listed debt products</v>
          </cell>
          <cell r="D113" t="str">
            <v>7_13</v>
          </cell>
        </row>
        <row r="114">
          <cell r="C114" t="str">
            <v>European strategy TOTAL</v>
          </cell>
          <cell r="D114" t="str">
            <v>7_14</v>
          </cell>
        </row>
        <row r="115">
          <cell r="C115" t="str">
            <v>North American strategy - Non-listed/ commingled real estate funds/private REITs</v>
          </cell>
          <cell r="D115" t="str">
            <v>7_15</v>
          </cell>
        </row>
        <row r="116">
          <cell r="C116" t="str">
            <v>North American strategy - Separate accounts investing directly into real estate</v>
          </cell>
          <cell r="D116" t="str">
            <v>7_16</v>
          </cell>
        </row>
        <row r="117">
          <cell r="C117" t="str">
            <v>North American strategy - Separate accounts investing into indirect vehicles</v>
          </cell>
          <cell r="D117" t="str">
            <v>7_17</v>
          </cell>
        </row>
        <row r="118">
          <cell r="C118" t="str">
            <v>North American strategy - Joint ventures and club deals</v>
          </cell>
          <cell r="D118" t="str">
            <v>7_18</v>
          </cell>
        </row>
        <row r="119">
          <cell r="C119" t="str">
            <v>North American strategy - Funds of funds</v>
          </cell>
          <cell r="D119" t="str">
            <v>7_19</v>
          </cell>
        </row>
        <row r="120">
          <cell r="C120" t="str">
            <v>North American strategy - Non-listed debt products</v>
          </cell>
          <cell r="D120" t="str">
            <v>7_20</v>
          </cell>
        </row>
        <row r="121">
          <cell r="C121" t="str">
            <v>North American strategy TOTAL</v>
          </cell>
          <cell r="D121" t="str">
            <v>7_21</v>
          </cell>
        </row>
        <row r="122">
          <cell r="C122" t="str">
            <v>Global strategy - Non-listed/ commingled real estate funds/private REITs</v>
          </cell>
          <cell r="D122" t="str">
            <v>7_22</v>
          </cell>
        </row>
        <row r="123">
          <cell r="C123" t="str">
            <v>Global strategy - Separate accounts investing directly into real estate</v>
          </cell>
          <cell r="D123" t="str">
            <v>7_23</v>
          </cell>
        </row>
        <row r="124">
          <cell r="C124" t="str">
            <v>Global strategy - Separate accounts investing into indirect vehicles</v>
          </cell>
          <cell r="D124" t="str">
            <v>7_24</v>
          </cell>
        </row>
        <row r="125">
          <cell r="C125" t="str">
            <v>Global strategy - Joint ventures and club deals</v>
          </cell>
          <cell r="D125" t="str">
            <v>7_25</v>
          </cell>
        </row>
        <row r="126">
          <cell r="C126" t="str">
            <v>Global strategy - Funds of funds</v>
          </cell>
          <cell r="D126" t="str">
            <v>7_26</v>
          </cell>
        </row>
        <row r="127">
          <cell r="C127" t="str">
            <v>Global strategy - Non-listed debt products</v>
          </cell>
          <cell r="D127" t="str">
            <v>7_27</v>
          </cell>
        </row>
        <row r="128">
          <cell r="C128" t="str">
            <v>Global strategy TOTAL</v>
          </cell>
          <cell r="D128" t="str">
            <v>7_28</v>
          </cell>
        </row>
        <row r="129">
          <cell r="C129" t="str">
            <v>South American strategy - Non-listed/ commingled real estate funds/private REITs</v>
          </cell>
          <cell r="D129" t="str">
            <v>7_29</v>
          </cell>
        </row>
        <row r="130">
          <cell r="C130" t="str">
            <v>South American strategy - Separate accounts investing directly into real estate</v>
          </cell>
          <cell r="D130" t="str">
            <v>7_30</v>
          </cell>
        </row>
        <row r="131">
          <cell r="C131" t="str">
            <v>South American strategy - Separate accounts investing into indirect vehicles</v>
          </cell>
          <cell r="D131" t="str">
            <v>7_31</v>
          </cell>
        </row>
        <row r="132">
          <cell r="C132" t="str">
            <v>South American strategy - Joint ventures and club deals</v>
          </cell>
          <cell r="D132" t="str">
            <v>7_32</v>
          </cell>
        </row>
        <row r="133">
          <cell r="C133" t="str">
            <v>South American strategy - Funds of funds</v>
          </cell>
          <cell r="D133" t="str">
            <v>7_33</v>
          </cell>
        </row>
        <row r="134">
          <cell r="C134" t="str">
            <v>South American strategy - Non-listed debt products</v>
          </cell>
          <cell r="D134" t="str">
            <v>7_34</v>
          </cell>
        </row>
        <row r="135">
          <cell r="C135" t="str">
            <v>South American strategy TOTAL</v>
          </cell>
          <cell r="D135" t="str">
            <v>7_35</v>
          </cell>
        </row>
        <row r="136">
          <cell r="C136" t="str">
            <v>African strategy - Non-listed/ commingled real estate funds/private REITs</v>
          </cell>
          <cell r="D136" t="str">
            <v>7_36</v>
          </cell>
        </row>
        <row r="137">
          <cell r="C137" t="str">
            <v>African strategy - Separate accounts investing directly into real estate</v>
          </cell>
          <cell r="D137" t="str">
            <v>7_37</v>
          </cell>
        </row>
        <row r="138">
          <cell r="C138" t="str">
            <v>African strategy - Separate accounts investing into indirect vehicles</v>
          </cell>
          <cell r="D138" t="str">
            <v>7_38</v>
          </cell>
        </row>
        <row r="139">
          <cell r="C139" t="str">
            <v>African strategy - Joint ventures and club deals</v>
          </cell>
          <cell r="D139" t="str">
            <v>7_39</v>
          </cell>
        </row>
        <row r="140">
          <cell r="C140" t="str">
            <v>African strategy - Funds of funds</v>
          </cell>
          <cell r="D140" t="str">
            <v>7_40</v>
          </cell>
        </row>
        <row r="141">
          <cell r="C141" t="str">
            <v>African strategy - Non-listed debt products</v>
          </cell>
          <cell r="D141" t="str">
            <v>7_41</v>
          </cell>
        </row>
        <row r="142">
          <cell r="C142" t="str">
            <v>African strategy TOTAL</v>
          </cell>
          <cell r="D142" t="str">
            <v>7_42</v>
          </cell>
        </row>
        <row r="143">
          <cell r="C143" t="str">
            <v>Non-listed/ commingled real estate funds/private REITs TOTAL</v>
          </cell>
          <cell r="D143" t="str">
            <v>7_43</v>
          </cell>
        </row>
        <row r="144">
          <cell r="C144" t="str">
            <v>Separate accounts investing directly into real estate TOTAL</v>
          </cell>
          <cell r="D144" t="str">
            <v>7_44</v>
          </cell>
        </row>
        <row r="145">
          <cell r="C145" t="str">
            <v>Separate accounts investing into indirect vehicles TOTAL</v>
          </cell>
          <cell r="D145" t="str">
            <v>7_45</v>
          </cell>
        </row>
        <row r="146">
          <cell r="C146" t="str">
            <v>Joint ventures and club deals TOTAL</v>
          </cell>
          <cell r="D146" t="str">
            <v>7_46</v>
          </cell>
        </row>
        <row r="147">
          <cell r="C147" t="str">
            <v>Funds of funds TOTAL</v>
          </cell>
          <cell r="D147" t="str">
            <v>7_47</v>
          </cell>
        </row>
        <row r="148">
          <cell r="C148" t="str">
            <v>Non-listed debt products TOTAL</v>
          </cell>
          <cell r="D148" t="str">
            <v>7_48</v>
          </cell>
        </row>
        <row r="149">
          <cell r="C149" t="str">
            <v>Total number of vehicles company raised capital for in 2018 by regional strategy</v>
          </cell>
          <cell r="D149" t="str">
            <v>7_49</v>
          </cell>
        </row>
        <row r="150">
          <cell r="C150" t="str">
            <v>IGNORE</v>
          </cell>
          <cell r="D150" t="str">
            <v>7_50</v>
          </cell>
        </row>
        <row r="151">
          <cell r="C151" t="str">
            <v>IGNORE</v>
          </cell>
          <cell r="D151" t="str">
            <v>7_51</v>
          </cell>
        </row>
        <row r="152">
          <cell r="C152" t="str">
            <v>IGNORE</v>
          </cell>
          <cell r="D152" t="str">
            <v>7_52</v>
          </cell>
        </row>
        <row r="153">
          <cell r="C153" t="str">
            <v>IGNORE</v>
          </cell>
          <cell r="D153" t="str">
            <v>7_53</v>
          </cell>
        </row>
        <row r="154">
          <cell r="C154" t="str">
            <v>IGNORE</v>
          </cell>
          <cell r="D154" t="str">
            <v>7_54</v>
          </cell>
        </row>
        <row r="155">
          <cell r="C155" t="str">
            <v>IGNORE</v>
          </cell>
          <cell r="D155" t="str">
            <v>7_55</v>
          </cell>
        </row>
        <row r="156">
          <cell r="C156" t="str">
            <v>IGNORE</v>
          </cell>
          <cell r="D156" t="str">
            <v>7_56</v>
          </cell>
        </row>
        <row r="157">
          <cell r="C157" t="str">
            <v>IGNORE</v>
          </cell>
          <cell r="D157" t="str">
            <v>7_57</v>
          </cell>
        </row>
        <row r="158">
          <cell r="C158" t="str">
            <v>IGNORE</v>
          </cell>
          <cell r="D158" t="str">
            <v>7_58</v>
          </cell>
        </row>
        <row r="159">
          <cell r="C159" t="str">
            <v>IGNORE</v>
          </cell>
          <cell r="D159" t="str">
            <v>7_59</v>
          </cell>
        </row>
        <row r="160">
          <cell r="C160" t="str">
            <v>IGNORE</v>
          </cell>
          <cell r="D160" t="str">
            <v>7_60</v>
          </cell>
        </row>
        <row r="161">
          <cell r="C161" t="str">
            <v>IGNORE</v>
          </cell>
          <cell r="D161" t="str">
            <v>7_61</v>
          </cell>
        </row>
        <row r="162">
          <cell r="C162" t="str">
            <v>IGNORE</v>
          </cell>
          <cell r="D162" t="str">
            <v>7_62</v>
          </cell>
        </row>
        <row r="163">
          <cell r="C163" t="str">
            <v>IGNORE</v>
          </cell>
          <cell r="D163" t="str">
            <v>7_63</v>
          </cell>
        </row>
        <row r="164">
          <cell r="C164" t="str">
            <v>IGNORE</v>
          </cell>
          <cell r="D164" t="str">
            <v>7_64</v>
          </cell>
        </row>
        <row r="165">
          <cell r="C165" t="str">
            <v>IGNORE</v>
          </cell>
          <cell r="D165" t="str">
            <v>7_65</v>
          </cell>
        </row>
        <row r="166">
          <cell r="C166" t="str">
            <v>IGNORE</v>
          </cell>
          <cell r="D166" t="str">
            <v>7_66</v>
          </cell>
        </row>
        <row r="167">
          <cell r="C167" t="str">
            <v>IGNORE</v>
          </cell>
          <cell r="D167" t="str">
            <v>7_67</v>
          </cell>
        </row>
        <row r="168">
          <cell r="C168" t="str">
            <v>IGNORE</v>
          </cell>
          <cell r="D168" t="str">
            <v>7_68</v>
          </cell>
        </row>
        <row r="169">
          <cell r="C169" t="str">
            <v>IGNORE</v>
          </cell>
          <cell r="D169" t="str">
            <v>7_69</v>
          </cell>
        </row>
        <row r="170">
          <cell r="C170" t="str">
            <v>IGNORE</v>
          </cell>
          <cell r="D170" t="str">
            <v>7_70</v>
          </cell>
        </row>
        <row r="171">
          <cell r="C171" t="str">
            <v>IGNORE</v>
          </cell>
          <cell r="D171" t="str">
            <v>7_71</v>
          </cell>
        </row>
        <row r="172">
          <cell r="C172" t="str">
            <v>IGNORE</v>
          </cell>
          <cell r="D172" t="str">
            <v>7_72</v>
          </cell>
        </row>
        <row r="173">
          <cell r="C173" t="str">
            <v>IGNORE</v>
          </cell>
          <cell r="D173" t="str">
            <v>7_73</v>
          </cell>
        </row>
        <row r="174">
          <cell r="C174" t="str">
            <v>IGNORE</v>
          </cell>
          <cell r="D174" t="str">
            <v>7_74</v>
          </cell>
        </row>
        <row r="175">
          <cell r="C175" t="str">
            <v>IGNORE</v>
          </cell>
          <cell r="D175" t="str">
            <v>7_75</v>
          </cell>
        </row>
        <row r="176">
          <cell r="C176" t="str">
            <v>IGNORE</v>
          </cell>
          <cell r="D176" t="str">
            <v>7_76</v>
          </cell>
        </row>
        <row r="177">
          <cell r="C177" t="str">
            <v>IGNORE</v>
          </cell>
          <cell r="D177" t="str">
            <v>7_77</v>
          </cell>
        </row>
        <row r="178">
          <cell r="C178" t="str">
            <v>IGNORE</v>
          </cell>
          <cell r="D178" t="str">
            <v>7_78</v>
          </cell>
        </row>
        <row r="179">
          <cell r="C179" t="str">
            <v>IGNORE</v>
          </cell>
          <cell r="D179" t="str">
            <v>7_79</v>
          </cell>
        </row>
        <row r="180">
          <cell r="C180" t="str">
            <v>IGNORE</v>
          </cell>
          <cell r="D180" t="str">
            <v>7_80</v>
          </cell>
        </row>
        <row r="181">
          <cell r="C181" t="str">
            <v>IGNORE</v>
          </cell>
          <cell r="D181" t="str">
            <v>7_81</v>
          </cell>
        </row>
        <row r="182">
          <cell r="C182" t="str">
            <v>IGNORE</v>
          </cell>
          <cell r="D182" t="str">
            <v>7_82</v>
          </cell>
        </row>
        <row r="183">
          <cell r="C183" t="str">
            <v>IGNORE</v>
          </cell>
          <cell r="D183" t="str">
            <v>7_83</v>
          </cell>
        </row>
        <row r="184">
          <cell r="C184" t="str">
            <v>IGNORE</v>
          </cell>
          <cell r="D184" t="str">
            <v>7_84</v>
          </cell>
        </row>
        <row r="185">
          <cell r="C185" t="str">
            <v>IGNORE</v>
          </cell>
          <cell r="D185" t="str">
            <v>7_85</v>
          </cell>
        </row>
        <row r="186">
          <cell r="C186" t="str">
            <v>How much institutional capital did your company raise for non-listed vehicles in 2018 by investor type (million)?</v>
          </cell>
          <cell r="D186">
            <v>8</v>
          </cell>
        </row>
        <row r="187">
          <cell r="C187" t="str">
            <v>Pension funds - Non-listed/ commingled real estate funds/private REITs</v>
          </cell>
          <cell r="D187" t="str">
            <v>8_1</v>
          </cell>
        </row>
        <row r="188">
          <cell r="C188" t="str">
            <v>Pension funds - Separate accounts investing directly into real estate</v>
          </cell>
          <cell r="D188" t="str">
            <v>8_2</v>
          </cell>
        </row>
        <row r="189">
          <cell r="C189" t="str">
            <v>Pension funds - Separate accounts investing into indirect vehicles</v>
          </cell>
          <cell r="D189" t="str">
            <v>8_3</v>
          </cell>
        </row>
        <row r="190">
          <cell r="C190" t="str">
            <v>Pension funds - Joint ventures and club deals</v>
          </cell>
          <cell r="D190" t="str">
            <v>8_4</v>
          </cell>
        </row>
        <row r="191">
          <cell r="C191" t="str">
            <v>Pension funds - Funds of funds</v>
          </cell>
          <cell r="D191" t="str">
            <v>8_5</v>
          </cell>
        </row>
        <row r="192">
          <cell r="C192" t="str">
            <v>Pension funds - Non-listed debt products</v>
          </cell>
          <cell r="D192" t="str">
            <v>8_6</v>
          </cell>
        </row>
        <row r="193">
          <cell r="C193" t="str">
            <v>Pension funds TOTAL</v>
          </cell>
          <cell r="D193" t="str">
            <v>8_7</v>
          </cell>
        </row>
        <row r="194">
          <cell r="C194" t="str">
            <v>Insurance companies - Non-listed/ commingled real estate funds/private REITs</v>
          </cell>
          <cell r="D194" t="str">
            <v>8_8</v>
          </cell>
        </row>
        <row r="195">
          <cell r="C195" t="str">
            <v>Insurance companies - Separate accounts investing directly into real estate</v>
          </cell>
          <cell r="D195" t="str">
            <v>8_9</v>
          </cell>
        </row>
        <row r="196">
          <cell r="C196" t="str">
            <v>Insurance companies - Separate accounts investing into indirect vehicles</v>
          </cell>
          <cell r="D196" t="str">
            <v>8_10</v>
          </cell>
        </row>
        <row r="197">
          <cell r="C197" t="str">
            <v>Insurance companies - Joint ventures and club deals</v>
          </cell>
          <cell r="D197" t="str">
            <v>8_11</v>
          </cell>
        </row>
        <row r="198">
          <cell r="C198" t="str">
            <v>Insurance companies - Funds of funds</v>
          </cell>
          <cell r="D198" t="str">
            <v>8_12</v>
          </cell>
        </row>
        <row r="199">
          <cell r="C199" t="str">
            <v>Insurance companies - Non-listed debt products</v>
          </cell>
          <cell r="D199" t="str">
            <v>8_13</v>
          </cell>
        </row>
        <row r="200">
          <cell r="C200" t="str">
            <v>Insurance companies TOTAL</v>
          </cell>
          <cell r="D200" t="str">
            <v>8_14</v>
          </cell>
        </row>
        <row r="201">
          <cell r="C201" t="str">
            <v>Sovereign wealth funds - Non-listed/ commingled real estate funds/private REITs</v>
          </cell>
          <cell r="D201" t="str">
            <v>8_15</v>
          </cell>
        </row>
        <row r="202">
          <cell r="C202" t="str">
            <v>Sovereign wealth funds - Separate accounts investing directly into real estate</v>
          </cell>
          <cell r="D202" t="str">
            <v>8_16</v>
          </cell>
        </row>
        <row r="203">
          <cell r="C203" t="str">
            <v>Sovereign wealth funds - Separate accounts investing into indirect vehicles</v>
          </cell>
          <cell r="D203" t="str">
            <v>8_17</v>
          </cell>
        </row>
        <row r="204">
          <cell r="C204" t="str">
            <v>Sovereign wealth funds - Joint ventures and club deals</v>
          </cell>
          <cell r="D204" t="str">
            <v>8_18</v>
          </cell>
        </row>
        <row r="205">
          <cell r="C205" t="str">
            <v>Sovereign wealth funds - Funds of funds</v>
          </cell>
          <cell r="D205" t="str">
            <v>8_19</v>
          </cell>
        </row>
        <row r="206">
          <cell r="C206" t="str">
            <v>Sovereign wealth funds - Non-listed debt products</v>
          </cell>
          <cell r="D206" t="str">
            <v>8_20</v>
          </cell>
        </row>
        <row r="207">
          <cell r="C207" t="str">
            <v>Sovereign wealth funds TOTAL</v>
          </cell>
          <cell r="D207" t="str">
            <v>8_21</v>
          </cell>
        </row>
        <row r="208">
          <cell r="C208" t="str">
            <v>Government institutions - Non-listed/ commingled real estate funds/private REITs</v>
          </cell>
          <cell r="D208" t="str">
            <v>8_22</v>
          </cell>
        </row>
        <row r="209">
          <cell r="C209" t="str">
            <v>Government institutions - Separate accounts investing directly into real estate</v>
          </cell>
          <cell r="D209" t="str">
            <v>8_23</v>
          </cell>
        </row>
        <row r="210">
          <cell r="C210" t="str">
            <v>Government institutions - Separate accounts investing into indirect vehicles</v>
          </cell>
          <cell r="D210" t="str">
            <v>8_24</v>
          </cell>
        </row>
        <row r="211">
          <cell r="C211" t="str">
            <v>Government institutions - Joint ventures and club deals</v>
          </cell>
          <cell r="D211" t="str">
            <v>8_25</v>
          </cell>
        </row>
        <row r="212">
          <cell r="C212" t="str">
            <v>Government institutions - Funds of funds</v>
          </cell>
          <cell r="D212" t="str">
            <v>8_26</v>
          </cell>
        </row>
        <row r="213">
          <cell r="C213" t="str">
            <v>Government institutions - Non-listed debt products</v>
          </cell>
          <cell r="D213" t="str">
            <v>8_27</v>
          </cell>
        </row>
        <row r="214">
          <cell r="C214" t="str">
            <v>Government institutions TOTAL</v>
          </cell>
          <cell r="D214" t="str">
            <v>8_28</v>
          </cell>
        </row>
        <row r="215">
          <cell r="C215" t="str">
            <v>Charities, foundations, non-profit organisations - Non-listed/ commingled real estate funds/private REITs</v>
          </cell>
          <cell r="D215" t="str">
            <v>8_29</v>
          </cell>
        </row>
        <row r="216">
          <cell r="C216" t="str">
            <v>Charities, foundations, non-profit organisations - Separate accounts investing directly into real estate</v>
          </cell>
          <cell r="D216" t="str">
            <v>8_30</v>
          </cell>
        </row>
        <row r="217">
          <cell r="C217" t="str">
            <v>Charities, foundations, non-profit organisations - Separate accounts investing into indirect vehicles</v>
          </cell>
          <cell r="D217" t="str">
            <v>8_31</v>
          </cell>
        </row>
        <row r="218">
          <cell r="C218" t="str">
            <v>Charities, foundations, non-profit organisations - Joint ventures and club deals</v>
          </cell>
          <cell r="D218" t="str">
            <v>8_32</v>
          </cell>
        </row>
        <row r="219">
          <cell r="C219" t="str">
            <v>Charities, foundations, non-profit organisations - Funds of funds</v>
          </cell>
          <cell r="D219" t="str">
            <v>8_33</v>
          </cell>
        </row>
        <row r="220">
          <cell r="C220" t="str">
            <v>Charities, foundations, non-profit organisations - Non-listed debt products</v>
          </cell>
          <cell r="D220" t="str">
            <v>8_34</v>
          </cell>
        </row>
        <row r="221">
          <cell r="C221" t="str">
            <v>Charities, foundations, non-profit organisations  TOTAL</v>
          </cell>
          <cell r="D221" t="str">
            <v>8_35</v>
          </cell>
        </row>
        <row r="222">
          <cell r="C222" t="str">
            <v>Funds of funds - Non-listed/ commingled real estate funds/private REITs</v>
          </cell>
          <cell r="D222" t="str">
            <v>8_36</v>
          </cell>
        </row>
        <row r="223">
          <cell r="C223" t="str">
            <v>Funds of funds - Separate accounts investing directly into real estate</v>
          </cell>
          <cell r="D223" t="str">
            <v>8_37</v>
          </cell>
        </row>
        <row r="224">
          <cell r="C224" t="str">
            <v>Funds of funds - Separate accounts investing into indirect vehicles</v>
          </cell>
          <cell r="D224" t="str">
            <v>8_38</v>
          </cell>
        </row>
        <row r="225">
          <cell r="C225" t="str">
            <v>Funds of funds - Joint ventures and club deals</v>
          </cell>
          <cell r="D225" t="str">
            <v>8_39</v>
          </cell>
        </row>
        <row r="226">
          <cell r="C226" t="str">
            <v>Funds of funds - Funds of funds</v>
          </cell>
          <cell r="D226" t="str">
            <v>8_40</v>
          </cell>
        </row>
        <row r="227">
          <cell r="C227" t="str">
            <v>Funds of funds - Non-listed debt products</v>
          </cell>
          <cell r="D227" t="str">
            <v>8_41</v>
          </cell>
        </row>
        <row r="228">
          <cell r="C228" t="str">
            <v>Funds of funds TOTAL</v>
          </cell>
          <cell r="D228" t="str">
            <v>8_42</v>
          </cell>
        </row>
        <row r="229">
          <cell r="C229" t="str">
            <v>High net worth individuals /Family offices - Non-listed/ commingled real estate funds/private REITs</v>
          </cell>
          <cell r="D229" t="str">
            <v>8_43</v>
          </cell>
        </row>
        <row r="230">
          <cell r="C230" t="str">
            <v>High net worth individuals /Family offices - Separate accounts investing directly into real estate</v>
          </cell>
          <cell r="D230" t="str">
            <v>8_44</v>
          </cell>
        </row>
        <row r="231">
          <cell r="C231" t="str">
            <v>High net worth individuals /Family offices - Separate accounts investing into indirect vehicles</v>
          </cell>
          <cell r="D231" t="str">
            <v>8_45</v>
          </cell>
        </row>
        <row r="232">
          <cell r="C232" t="str">
            <v>High net worth individuals /Family offices - Joint ventures and club deals</v>
          </cell>
          <cell r="D232" t="str">
            <v>8_46</v>
          </cell>
        </row>
        <row r="233">
          <cell r="C233" t="str">
            <v>High net worth individuals /Family offices - Funds of funds</v>
          </cell>
          <cell r="D233" t="str">
            <v>8_47</v>
          </cell>
        </row>
        <row r="234">
          <cell r="C234" t="str">
            <v>High net worth individuals /Family offices - Non-listed debt products</v>
          </cell>
          <cell r="D234" t="str">
            <v>8_48</v>
          </cell>
        </row>
        <row r="235">
          <cell r="C235" t="str">
            <v>High net worth individuals /Family offices TOTAL</v>
          </cell>
          <cell r="D235" t="str">
            <v>8_49</v>
          </cell>
        </row>
        <row r="236">
          <cell r="C236" t="str">
            <v>Other (please specify)</v>
          </cell>
          <cell r="D236" t="str">
            <v>8_50</v>
          </cell>
        </row>
        <row r="237">
          <cell r="C237" t="str">
            <v>Other - Non-listed/ commingled real estate funds/private REITs</v>
          </cell>
          <cell r="D237" t="str">
            <v>8_51</v>
          </cell>
        </row>
        <row r="238">
          <cell r="C238" t="str">
            <v>Other - Separate accounts investing directly into real estate</v>
          </cell>
          <cell r="D238" t="str">
            <v>8_52</v>
          </cell>
        </row>
        <row r="239">
          <cell r="C239" t="str">
            <v>Other - Separate accounts investing into indirect vehicles</v>
          </cell>
          <cell r="D239" t="str">
            <v>8_53</v>
          </cell>
        </row>
        <row r="240">
          <cell r="C240" t="str">
            <v>Other - Joint ventures and club deals</v>
          </cell>
          <cell r="D240" t="str">
            <v>8_54</v>
          </cell>
        </row>
        <row r="241">
          <cell r="C241" t="str">
            <v>Other - Funds of funds</v>
          </cell>
          <cell r="D241" t="str">
            <v>8_55</v>
          </cell>
        </row>
        <row r="242">
          <cell r="C242" t="str">
            <v>Other - Non-listed debt products</v>
          </cell>
          <cell r="D242" t="str">
            <v>8_56</v>
          </cell>
        </row>
        <row r="243">
          <cell r="C243" t="str">
            <v>Other TOTAL</v>
          </cell>
          <cell r="D243" t="str">
            <v>8_57</v>
          </cell>
        </row>
        <row r="244">
          <cell r="C244" t="str">
            <v>Non-listed/ commingled real estate funds/private REITs TOTAL</v>
          </cell>
          <cell r="D244" t="str">
            <v>8_58</v>
          </cell>
        </row>
        <row r="245">
          <cell r="C245" t="str">
            <v>Separate accounts investing directly into real estate TOTAL</v>
          </cell>
          <cell r="D245" t="str">
            <v>8_59</v>
          </cell>
        </row>
        <row r="246">
          <cell r="C246" t="str">
            <v>Separate accounts investing into indirect vehicles TOTAL</v>
          </cell>
          <cell r="D246" t="str">
            <v>8_60</v>
          </cell>
        </row>
        <row r="247">
          <cell r="C247" t="str">
            <v>Joint ventures and club deals TOTAL</v>
          </cell>
          <cell r="D247" t="str">
            <v>8_61</v>
          </cell>
        </row>
        <row r="248">
          <cell r="C248" t="str">
            <v>Funds of funds TOTAL</v>
          </cell>
          <cell r="D248" t="str">
            <v>8_62</v>
          </cell>
        </row>
        <row r="249">
          <cell r="C249" t="str">
            <v>Non-listed debt products TOTAL</v>
          </cell>
          <cell r="D249" t="str">
            <v>8_63</v>
          </cell>
        </row>
        <row r="250">
          <cell r="C250" t="str">
            <v>Total capital company raised in 2018 from institutional investors by investor type (million)</v>
          </cell>
          <cell r="D250" t="str">
            <v>8_64</v>
          </cell>
        </row>
        <row r="251">
          <cell r="C251" t="str">
            <v>How much institutional capital did your company raise for non-listed vehicles in 2018 by investor domicile (million)?</v>
          </cell>
          <cell r="D251">
            <v>9</v>
          </cell>
        </row>
        <row r="252">
          <cell r="C252" t="str">
            <v>Asia Pacific - Non-listed/ commingled real estate funds/private REITs</v>
          </cell>
          <cell r="D252" t="str">
            <v>9_1</v>
          </cell>
        </row>
        <row r="253">
          <cell r="C253" t="str">
            <v>Asia Pacific - Separate accounts investing directly into real estate</v>
          </cell>
          <cell r="D253" t="str">
            <v>9_2</v>
          </cell>
        </row>
        <row r="254">
          <cell r="C254" t="str">
            <v>Asia Pacific - Separate accounts investing into indirect vehicles</v>
          </cell>
          <cell r="D254" t="str">
            <v>9_3</v>
          </cell>
        </row>
        <row r="255">
          <cell r="C255" t="str">
            <v>Asia Pacific - Joint ventures and club deals</v>
          </cell>
          <cell r="D255" t="str">
            <v>9_4</v>
          </cell>
        </row>
        <row r="256">
          <cell r="C256" t="str">
            <v>Asia Pacific - Funds of funds</v>
          </cell>
          <cell r="D256" t="str">
            <v>9_5</v>
          </cell>
        </row>
        <row r="257">
          <cell r="C257" t="str">
            <v>Asia Pacific - Non-listed debt products</v>
          </cell>
          <cell r="D257" t="str">
            <v>9_6</v>
          </cell>
        </row>
        <row r="258">
          <cell r="C258" t="str">
            <v>Asia Pacific  TOTAL</v>
          </cell>
          <cell r="D258" t="str">
            <v>9_7</v>
          </cell>
        </row>
        <row r="259">
          <cell r="C259" t="str">
            <v>Europe - Non-listed/ commingled real estate funds/private REITs</v>
          </cell>
          <cell r="D259" t="str">
            <v>9_8</v>
          </cell>
        </row>
        <row r="260">
          <cell r="C260" t="str">
            <v>Europe - Separate accounts investing directly into real estate</v>
          </cell>
          <cell r="D260" t="str">
            <v>9_9</v>
          </cell>
        </row>
        <row r="261">
          <cell r="C261" t="str">
            <v>Europe - Separate accounts investing into indirect vehicles</v>
          </cell>
          <cell r="D261" t="str">
            <v>9_10</v>
          </cell>
        </row>
        <row r="262">
          <cell r="C262" t="str">
            <v>Europe - Joint ventures and club deals</v>
          </cell>
          <cell r="D262" t="str">
            <v>9_11</v>
          </cell>
        </row>
        <row r="263">
          <cell r="C263" t="str">
            <v>Europe - Funds of funds</v>
          </cell>
          <cell r="D263" t="str">
            <v>9_12</v>
          </cell>
        </row>
        <row r="264">
          <cell r="C264" t="str">
            <v>Europe - Non-listed debt products</v>
          </cell>
          <cell r="D264" t="str">
            <v>9_13</v>
          </cell>
        </row>
        <row r="265">
          <cell r="C265" t="str">
            <v>Europe  TOTAL</v>
          </cell>
          <cell r="D265" t="str">
            <v>9_14</v>
          </cell>
        </row>
        <row r="266">
          <cell r="C266" t="str">
            <v>North America - Non-listed/ commingled real estate funds/private REITs</v>
          </cell>
          <cell r="D266" t="str">
            <v>9_15</v>
          </cell>
        </row>
        <row r="267">
          <cell r="C267" t="str">
            <v>North America - Separate accounts investing directly into real estate</v>
          </cell>
          <cell r="D267" t="str">
            <v>9_16</v>
          </cell>
        </row>
        <row r="268">
          <cell r="C268" t="str">
            <v>North America - Separate accounts investing into indirect vehicles</v>
          </cell>
          <cell r="D268" t="str">
            <v>9_17</v>
          </cell>
        </row>
        <row r="269">
          <cell r="C269" t="str">
            <v>North America - Joint ventures and club deals</v>
          </cell>
          <cell r="D269" t="str">
            <v>9_18</v>
          </cell>
        </row>
        <row r="270">
          <cell r="C270" t="str">
            <v>North America - Funds of funds</v>
          </cell>
          <cell r="D270" t="str">
            <v>9_19</v>
          </cell>
        </row>
        <row r="271">
          <cell r="C271" t="str">
            <v>North America - Non-listed debt products</v>
          </cell>
          <cell r="D271" t="str">
            <v>9_20</v>
          </cell>
        </row>
        <row r="272">
          <cell r="C272" t="str">
            <v>North America  TOTAL</v>
          </cell>
          <cell r="D272" t="str">
            <v>9_21</v>
          </cell>
        </row>
        <row r="273">
          <cell r="C273" t="str">
            <v>South America - Non-listed/ commingled real estate funds/private REITs</v>
          </cell>
          <cell r="D273" t="str">
            <v>9_22</v>
          </cell>
        </row>
        <row r="274">
          <cell r="C274" t="str">
            <v>South America - Separate accounts investing directly into real estate</v>
          </cell>
          <cell r="D274" t="str">
            <v>9_23</v>
          </cell>
        </row>
        <row r="275">
          <cell r="C275" t="str">
            <v>South America - Separate accounts investing into indirect vehicles</v>
          </cell>
          <cell r="D275" t="str">
            <v>9_24</v>
          </cell>
        </row>
        <row r="276">
          <cell r="C276" t="str">
            <v>South America - Joint ventures and club deals</v>
          </cell>
          <cell r="D276" t="str">
            <v>9_25</v>
          </cell>
        </row>
        <row r="277">
          <cell r="C277" t="str">
            <v>South America - Funds of funds</v>
          </cell>
          <cell r="D277" t="str">
            <v>9_26</v>
          </cell>
        </row>
        <row r="278">
          <cell r="C278" t="str">
            <v>South America - Non-listed debt products</v>
          </cell>
          <cell r="D278" t="str">
            <v>9_27</v>
          </cell>
        </row>
        <row r="279">
          <cell r="C279" t="str">
            <v>South America  TOTAL</v>
          </cell>
          <cell r="D279" t="str">
            <v>9_28</v>
          </cell>
        </row>
        <row r="280">
          <cell r="C280" t="str">
            <v>Africa - Non-listed/ commingled real estate funds/private REITs</v>
          </cell>
          <cell r="D280" t="str">
            <v>9_29</v>
          </cell>
        </row>
        <row r="281">
          <cell r="C281" t="str">
            <v>Africa - Separate accounts investing directly into real estate</v>
          </cell>
          <cell r="D281" t="str">
            <v>9_30</v>
          </cell>
        </row>
        <row r="282">
          <cell r="C282" t="str">
            <v>Africa - Separate accounts investing into indirect vehicles</v>
          </cell>
          <cell r="D282" t="str">
            <v>9_31</v>
          </cell>
        </row>
        <row r="283">
          <cell r="C283" t="str">
            <v>Africa - Joint ventures and club deals</v>
          </cell>
          <cell r="D283" t="str">
            <v>9_32</v>
          </cell>
        </row>
        <row r="284">
          <cell r="C284" t="str">
            <v>Africa - Funds of funds</v>
          </cell>
          <cell r="D284" t="str">
            <v>9_33</v>
          </cell>
        </row>
        <row r="285">
          <cell r="C285" t="str">
            <v>Africa - Non-listed debt products</v>
          </cell>
          <cell r="D285" t="str">
            <v>9_34</v>
          </cell>
        </row>
        <row r="286">
          <cell r="C286" t="str">
            <v>Africa  TOTAL</v>
          </cell>
          <cell r="D286" t="str">
            <v>9_35</v>
          </cell>
        </row>
        <row r="287">
          <cell r="C287" t="str">
            <v>Non-listed/ commingled real estate funds/private REITs TOTAL</v>
          </cell>
          <cell r="D287" t="str">
            <v>9_36</v>
          </cell>
        </row>
        <row r="288">
          <cell r="C288" t="str">
            <v>Separate accounts investing directly into real estate TOTAL</v>
          </cell>
          <cell r="D288" t="str">
            <v>9_37</v>
          </cell>
        </row>
        <row r="289">
          <cell r="C289" t="str">
            <v>Separate accounts investing into indirect vehicles TOTAL</v>
          </cell>
          <cell r="D289" t="str">
            <v>9_38</v>
          </cell>
        </row>
        <row r="290">
          <cell r="C290" t="str">
            <v>Joint ventures and club deals TOTAL</v>
          </cell>
          <cell r="D290" t="str">
            <v>9_39</v>
          </cell>
        </row>
        <row r="291">
          <cell r="C291" t="str">
            <v>Funds of funds TOTAL</v>
          </cell>
          <cell r="D291" t="str">
            <v>9_40</v>
          </cell>
        </row>
        <row r="292">
          <cell r="C292" t="str">
            <v>Non-listed debt products TOTAL</v>
          </cell>
          <cell r="D292" t="str">
            <v>9_41</v>
          </cell>
        </row>
        <row r="293">
          <cell r="C293" t="str">
            <v>Total capital company raised in 2015 from Institutional Investors by investor domicile (million)</v>
          </cell>
          <cell r="D293" t="str">
            <v>9_42</v>
          </cell>
        </row>
        <row r="294">
          <cell r="C294" t="str">
            <v>What percentage of the total capital was raised via...?</v>
          </cell>
          <cell r="D294">
            <v>10</v>
          </cell>
        </row>
        <row r="295">
          <cell r="C295" t="str">
            <v>Placement agent</v>
          </cell>
          <cell r="D295" t="str">
            <v>10_1</v>
          </cell>
        </row>
        <row r="296">
          <cell r="C296" t="str">
            <v>Investors contacting you directly</v>
          </cell>
          <cell r="D296" t="str">
            <v>10_2</v>
          </cell>
        </row>
        <row r="297">
          <cell r="C297" t="str">
            <v>Your own direct relationship with investors</v>
          </cell>
          <cell r="D297" t="str">
            <v>10_3</v>
          </cell>
        </row>
        <row r="298">
          <cell r="C298" t="str">
            <v>Other (please specify)</v>
          </cell>
          <cell r="D298" t="str">
            <v>10_4</v>
          </cell>
        </row>
        <row r="299">
          <cell r="C299" t="str">
            <v>Other</v>
          </cell>
          <cell r="D299" t="str">
            <v>10_5</v>
          </cell>
        </row>
        <row r="300">
          <cell r="C300" t="str">
            <v>How do you expect capital raising activities to develop over the next two years?</v>
          </cell>
          <cell r="D300">
            <v>11</v>
          </cell>
        </row>
        <row r="301">
          <cell r="C301" t="str">
            <v>What impact do you expect regulation to have on capital raising activities over the next two years?</v>
          </cell>
          <cell r="D301">
            <v>12</v>
          </cell>
        </row>
        <row r="302">
          <cell r="C302" t="str">
            <v>Would you like the name of your company to be included in the list of participants?</v>
          </cell>
          <cell r="D302">
            <v>13</v>
          </cell>
        </row>
        <row r="303">
          <cell r="C303" t="str">
            <v>For your Asia Pacific strategy, how much institutional capital did your company raise for non-listed vehicles in 2018 by investor type (million)?</v>
          </cell>
          <cell r="D303">
            <v>14</v>
          </cell>
        </row>
        <row r="304">
          <cell r="C304" t="str">
            <v>Pension funds - Non-listed/ commingled real estate funds/private REITs</v>
          </cell>
          <cell r="D304" t="str">
            <v>14_1</v>
          </cell>
        </row>
        <row r="305">
          <cell r="C305" t="str">
            <v>Pension funds - Separate accounts investing directly into real estate</v>
          </cell>
          <cell r="D305" t="str">
            <v>14_2</v>
          </cell>
        </row>
        <row r="306">
          <cell r="C306" t="str">
            <v>Pension funds - Separate accounts investing into indirect vehicles</v>
          </cell>
          <cell r="D306" t="str">
            <v>14_3</v>
          </cell>
        </row>
        <row r="307">
          <cell r="C307" t="str">
            <v>Pension funds - Joint ventures and club deals</v>
          </cell>
          <cell r="D307" t="str">
            <v>14_4</v>
          </cell>
        </row>
        <row r="308">
          <cell r="C308" t="str">
            <v>Pension funds - Funds of funds</v>
          </cell>
          <cell r="D308" t="str">
            <v>14_5</v>
          </cell>
        </row>
        <row r="309">
          <cell r="C309" t="str">
            <v>Pension funds - Non-listed debt products</v>
          </cell>
          <cell r="D309" t="str">
            <v>14_6</v>
          </cell>
        </row>
        <row r="310">
          <cell r="C310" t="str">
            <v>Pension funds TOTAL</v>
          </cell>
          <cell r="D310" t="str">
            <v>14_7</v>
          </cell>
        </row>
        <row r="311">
          <cell r="C311" t="str">
            <v>Insurance companies - Non-listed/ commingled real estate funds/private REITs</v>
          </cell>
          <cell r="D311" t="str">
            <v>14_8</v>
          </cell>
        </row>
        <row r="312">
          <cell r="C312" t="str">
            <v>Insurance companies - Separate accounts investing directly into real estate</v>
          </cell>
          <cell r="D312" t="str">
            <v>14_9</v>
          </cell>
        </row>
        <row r="313">
          <cell r="C313" t="str">
            <v>Insurance companies - Separate accounts investing into indirect vehicles</v>
          </cell>
          <cell r="D313" t="str">
            <v>14_10</v>
          </cell>
        </row>
        <row r="314">
          <cell r="C314" t="str">
            <v>Insurance companies - Joint ventures and club deals</v>
          </cell>
          <cell r="D314" t="str">
            <v>14_11</v>
          </cell>
        </row>
        <row r="315">
          <cell r="C315" t="str">
            <v>Insurance companies - Funds of funds</v>
          </cell>
          <cell r="D315" t="str">
            <v>14_12</v>
          </cell>
        </row>
        <row r="316">
          <cell r="C316" t="str">
            <v>Insurance companies - Non-listed debt products</v>
          </cell>
          <cell r="D316" t="str">
            <v>14_13</v>
          </cell>
        </row>
        <row r="317">
          <cell r="C317" t="str">
            <v>Insurance companies TOTAL</v>
          </cell>
          <cell r="D317" t="str">
            <v>14_14</v>
          </cell>
        </row>
        <row r="318">
          <cell r="C318" t="str">
            <v>Sovereign wealth funds - Non-listed/ commingled real estate funds/private REITs</v>
          </cell>
          <cell r="D318" t="str">
            <v>14_15</v>
          </cell>
        </row>
        <row r="319">
          <cell r="C319" t="str">
            <v>Sovereign wealth funds - Separate accounts investing directly into real estate</v>
          </cell>
          <cell r="D319" t="str">
            <v>14_16</v>
          </cell>
        </row>
        <row r="320">
          <cell r="C320" t="str">
            <v>Sovereign wealth funds - Separate accounts investing into indirect vehicles</v>
          </cell>
          <cell r="D320" t="str">
            <v>14_17</v>
          </cell>
        </row>
        <row r="321">
          <cell r="C321" t="str">
            <v>Sovereign wealth funds - Joint ventures and club deals</v>
          </cell>
          <cell r="D321" t="str">
            <v>14_18</v>
          </cell>
        </row>
        <row r="322">
          <cell r="C322" t="str">
            <v>Sovereign wealth funds - Funds of funds</v>
          </cell>
          <cell r="D322" t="str">
            <v>14_19</v>
          </cell>
        </row>
        <row r="323">
          <cell r="C323" t="str">
            <v>Sovereign wealth funds - Non-listed debt products</v>
          </cell>
          <cell r="D323" t="str">
            <v>14_20</v>
          </cell>
        </row>
        <row r="324">
          <cell r="C324" t="str">
            <v>Sovereign wealth funds TOTAL</v>
          </cell>
          <cell r="D324" t="str">
            <v>14_21</v>
          </cell>
        </row>
        <row r="325">
          <cell r="C325" t="str">
            <v>Government institutions - Non-listed/ commingled real estate funds/private REITs</v>
          </cell>
          <cell r="D325" t="str">
            <v>14_22</v>
          </cell>
        </row>
        <row r="326">
          <cell r="C326" t="str">
            <v>Government institutions - Separate accounts investing directly into real estate</v>
          </cell>
          <cell r="D326" t="str">
            <v>14_23</v>
          </cell>
        </row>
        <row r="327">
          <cell r="C327" t="str">
            <v>Government institutions - Separate accounts investing into indirect vehicles</v>
          </cell>
          <cell r="D327" t="str">
            <v>14_24</v>
          </cell>
        </row>
        <row r="328">
          <cell r="C328" t="str">
            <v>Government institutions - Joint ventures and club deals</v>
          </cell>
          <cell r="D328" t="str">
            <v>14_25</v>
          </cell>
        </row>
        <row r="329">
          <cell r="C329" t="str">
            <v>Government institutions - Funds of funds</v>
          </cell>
          <cell r="D329" t="str">
            <v>14_26</v>
          </cell>
        </row>
        <row r="330">
          <cell r="C330" t="str">
            <v>Government institutions - Non-listed debt products</v>
          </cell>
          <cell r="D330" t="str">
            <v>14_27</v>
          </cell>
        </row>
        <row r="331">
          <cell r="C331" t="str">
            <v>Government institutions TOTAL</v>
          </cell>
          <cell r="D331" t="str">
            <v>14_28</v>
          </cell>
        </row>
        <row r="332">
          <cell r="C332" t="str">
            <v>Charities, foundations, non-profit organisations - Non-listed/ commingled real estate funds/private REITs</v>
          </cell>
          <cell r="D332" t="str">
            <v>14_29</v>
          </cell>
        </row>
        <row r="333">
          <cell r="C333" t="str">
            <v>Charities, foundations, non-profit organisations - Separate accounts investing directly into real estate</v>
          </cell>
          <cell r="D333" t="str">
            <v>14_30</v>
          </cell>
        </row>
        <row r="334">
          <cell r="C334" t="str">
            <v>Charities, foundations, non-profit organisations - Separate accounts investing into indirect vehicles</v>
          </cell>
          <cell r="D334" t="str">
            <v>14_31</v>
          </cell>
        </row>
        <row r="335">
          <cell r="C335" t="str">
            <v>Charities, foundations, non-profit organisations - Joint ventures and club deals</v>
          </cell>
          <cell r="D335" t="str">
            <v>14_32</v>
          </cell>
        </row>
        <row r="336">
          <cell r="C336" t="str">
            <v>Charities, foundations, non-profit organisations - Funds of funds</v>
          </cell>
          <cell r="D336" t="str">
            <v>14_33</v>
          </cell>
        </row>
        <row r="337">
          <cell r="C337" t="str">
            <v>Charities, foundations, non-profit organisations - Non-listed debt products</v>
          </cell>
          <cell r="D337" t="str">
            <v>14_34</v>
          </cell>
        </row>
        <row r="338">
          <cell r="C338" t="str">
            <v>Charities, foundations, non-profit organisations  TOTAL</v>
          </cell>
          <cell r="D338" t="str">
            <v>14_35</v>
          </cell>
        </row>
        <row r="339">
          <cell r="C339" t="str">
            <v>Funds of funds - Non-listed/ commingled real estate funds/private REITs</v>
          </cell>
          <cell r="D339" t="str">
            <v>14_36</v>
          </cell>
        </row>
        <row r="340">
          <cell r="C340" t="str">
            <v>Funds of funds - Separate accounts investing directly into real estate</v>
          </cell>
          <cell r="D340" t="str">
            <v>14_37</v>
          </cell>
        </row>
        <row r="341">
          <cell r="C341" t="str">
            <v>Funds of funds - Separate accounts investing into indirect vehicles</v>
          </cell>
          <cell r="D341" t="str">
            <v>14_38</v>
          </cell>
        </row>
        <row r="342">
          <cell r="C342" t="str">
            <v>Funds of funds - Joint ventures and club deals</v>
          </cell>
          <cell r="D342" t="str">
            <v>14_39</v>
          </cell>
        </row>
        <row r="343">
          <cell r="C343" t="str">
            <v>Funds of funds - Funds of funds</v>
          </cell>
          <cell r="D343" t="str">
            <v>14_40</v>
          </cell>
        </row>
        <row r="344">
          <cell r="C344" t="str">
            <v>Funds of funds - Non-listed debt products</v>
          </cell>
          <cell r="D344" t="str">
            <v>14_41</v>
          </cell>
        </row>
        <row r="345">
          <cell r="C345" t="str">
            <v>Funds of funds TOTAL</v>
          </cell>
          <cell r="D345" t="str">
            <v>14_42</v>
          </cell>
        </row>
        <row r="346">
          <cell r="C346" t="str">
            <v>High net worth individuals /Family offices - Non-listed/ commingled real estate funds/private REITs</v>
          </cell>
          <cell r="D346" t="str">
            <v>14_43</v>
          </cell>
        </row>
        <row r="347">
          <cell r="C347" t="str">
            <v>High net worth individuals /Family offices - Separate accounts investing directly into real estate</v>
          </cell>
          <cell r="D347" t="str">
            <v>14_44</v>
          </cell>
        </row>
        <row r="348">
          <cell r="C348" t="str">
            <v>High net worth individuals /Family offices - Separate accounts investing into indirect vehicles</v>
          </cell>
          <cell r="D348" t="str">
            <v>14_45</v>
          </cell>
        </row>
        <row r="349">
          <cell r="C349" t="str">
            <v>High net worth individuals /Family offices - Joint ventures and club deals</v>
          </cell>
          <cell r="D349" t="str">
            <v>14_46</v>
          </cell>
        </row>
        <row r="350">
          <cell r="C350" t="str">
            <v>High net worth individuals /Family offices - Funds of funds</v>
          </cell>
          <cell r="D350" t="str">
            <v>14_47</v>
          </cell>
        </row>
        <row r="351">
          <cell r="C351" t="str">
            <v>High net worth individuals /Family offices - Non-listed debt products</v>
          </cell>
          <cell r="D351" t="str">
            <v>14_48</v>
          </cell>
        </row>
        <row r="352">
          <cell r="C352" t="str">
            <v>High net worth individuals /Family offices TOTAL</v>
          </cell>
          <cell r="D352" t="str">
            <v>14_49</v>
          </cell>
        </row>
        <row r="353">
          <cell r="C353" t="str">
            <v>Other (please specify)</v>
          </cell>
          <cell r="D353" t="str">
            <v>14_50</v>
          </cell>
        </row>
        <row r="354">
          <cell r="C354" t="str">
            <v>Other - Non-listed/ commingled real estate funds/private REITs</v>
          </cell>
          <cell r="D354" t="str">
            <v>14_51</v>
          </cell>
        </row>
        <row r="355">
          <cell r="C355" t="str">
            <v>Other - Separate accounts investing directly into real estate</v>
          </cell>
          <cell r="D355" t="str">
            <v>14_52</v>
          </cell>
        </row>
        <row r="356">
          <cell r="C356" t="str">
            <v>Other - Separate accounts investing into indirect vehicles</v>
          </cell>
          <cell r="D356" t="str">
            <v>14_53</v>
          </cell>
        </row>
        <row r="357">
          <cell r="C357" t="str">
            <v>Other - Joint ventures and club deals</v>
          </cell>
          <cell r="D357" t="str">
            <v>14_54</v>
          </cell>
        </row>
        <row r="358">
          <cell r="C358" t="str">
            <v>Other - Funds of funds</v>
          </cell>
          <cell r="D358" t="str">
            <v>14_55</v>
          </cell>
        </row>
        <row r="359">
          <cell r="C359" t="str">
            <v>Other - Non-listed debt products</v>
          </cell>
          <cell r="D359" t="str">
            <v>14_56</v>
          </cell>
        </row>
        <row r="360">
          <cell r="C360" t="str">
            <v>Other TOTAL</v>
          </cell>
          <cell r="D360" t="str">
            <v>14_57</v>
          </cell>
        </row>
        <row r="361">
          <cell r="C361" t="str">
            <v>Non-listed/ commingled real estate funds/private REITs TOTAL</v>
          </cell>
          <cell r="D361" t="str">
            <v>14_58</v>
          </cell>
        </row>
        <row r="362">
          <cell r="C362" t="str">
            <v>Separate accounts investing directly into real estate TOTAL</v>
          </cell>
          <cell r="D362" t="str">
            <v>14_59</v>
          </cell>
        </row>
        <row r="363">
          <cell r="C363" t="str">
            <v>Separate accounts investing into indirect vehicles TOTAL</v>
          </cell>
          <cell r="D363" t="str">
            <v>14_60</v>
          </cell>
        </row>
        <row r="364">
          <cell r="C364" t="str">
            <v>Joint ventures and club deals TOTAL</v>
          </cell>
          <cell r="D364" t="str">
            <v>14_61</v>
          </cell>
        </row>
        <row r="365">
          <cell r="C365" t="str">
            <v>Funds of funds TOTAL</v>
          </cell>
          <cell r="D365" t="str">
            <v>14_62</v>
          </cell>
        </row>
        <row r="366">
          <cell r="C366" t="str">
            <v>Non-listed debt products TOTAL</v>
          </cell>
          <cell r="D366" t="str">
            <v>14_63</v>
          </cell>
        </row>
        <row r="367">
          <cell r="C367" t="str">
            <v>TOTAL institutional capital by investor type</v>
          </cell>
          <cell r="D367" t="str">
            <v>14_64</v>
          </cell>
        </row>
        <row r="368">
          <cell r="C368" t="str">
            <v>[Asia Pacific strategy] How much institutional capital did your company raise in 2018 by investor domicile (million)?</v>
          </cell>
          <cell r="D368">
            <v>15</v>
          </cell>
        </row>
        <row r="369">
          <cell r="C369" t="str">
            <v>Europe - Non-listed/ commingled real estate funds/private REITs</v>
          </cell>
          <cell r="D369" t="str">
            <v>15_1</v>
          </cell>
        </row>
        <row r="370">
          <cell r="C370" t="str">
            <v>Europe - Separate accounts investing directly into real estate</v>
          </cell>
          <cell r="D370" t="str">
            <v>15_2</v>
          </cell>
        </row>
        <row r="371">
          <cell r="C371" t="str">
            <v>Europe - Separate accounts investing into indirect vehicles</v>
          </cell>
          <cell r="D371" t="str">
            <v>15_3</v>
          </cell>
        </row>
        <row r="372">
          <cell r="C372" t="str">
            <v>Europe - Joint ventures and club deals</v>
          </cell>
          <cell r="D372" t="str">
            <v>15_4</v>
          </cell>
        </row>
        <row r="373">
          <cell r="C373" t="str">
            <v>Europe - Funds of funds</v>
          </cell>
          <cell r="D373" t="str">
            <v>15_5</v>
          </cell>
        </row>
        <row r="374">
          <cell r="C374" t="str">
            <v>Europe - Non-listed debt products</v>
          </cell>
          <cell r="D374" t="str">
            <v>15_6</v>
          </cell>
        </row>
        <row r="375">
          <cell r="C375" t="str">
            <v>Europe TOTAL</v>
          </cell>
          <cell r="D375" t="str">
            <v>15_7</v>
          </cell>
        </row>
        <row r="376">
          <cell r="C376" t="str">
            <v>Asia Pacific - Non-listed/ commingled real estate funds/private REITs</v>
          </cell>
          <cell r="D376" t="str">
            <v>15_8</v>
          </cell>
        </row>
        <row r="377">
          <cell r="C377" t="str">
            <v>Asia Pacific - Separate accounts investing directly into real estate</v>
          </cell>
          <cell r="D377" t="str">
            <v>15_9</v>
          </cell>
        </row>
        <row r="378">
          <cell r="C378" t="str">
            <v>Asia Pacific - Separate accounts investing into indirect vehicles</v>
          </cell>
          <cell r="D378" t="str">
            <v>15_10</v>
          </cell>
        </row>
        <row r="379">
          <cell r="C379" t="str">
            <v>Asia Pacific - Joint ventures and club deals</v>
          </cell>
          <cell r="D379" t="str">
            <v>15_11</v>
          </cell>
        </row>
        <row r="380">
          <cell r="C380" t="str">
            <v>Asia Pacific - Funds of funds</v>
          </cell>
          <cell r="D380" t="str">
            <v>15_12</v>
          </cell>
        </row>
        <row r="381">
          <cell r="C381" t="str">
            <v>Asia Pacific - Non-listed debt products</v>
          </cell>
          <cell r="D381" t="str">
            <v>15_13</v>
          </cell>
        </row>
        <row r="382">
          <cell r="C382" t="str">
            <v>Asia Pacific TOTAL</v>
          </cell>
          <cell r="D382" t="str">
            <v>15_14</v>
          </cell>
        </row>
        <row r="383">
          <cell r="C383" t="str">
            <v>North America - Non-listed/ commingled real estate funds/private REITs</v>
          </cell>
          <cell r="D383" t="str">
            <v>15_15</v>
          </cell>
        </row>
        <row r="384">
          <cell r="C384" t="str">
            <v>North America - Separate accounts investing directly into real estate</v>
          </cell>
          <cell r="D384" t="str">
            <v>15_16</v>
          </cell>
        </row>
        <row r="385">
          <cell r="C385" t="str">
            <v>North America - Separate accounts investing into indirect vehicles</v>
          </cell>
          <cell r="D385" t="str">
            <v>15_17</v>
          </cell>
        </row>
        <row r="386">
          <cell r="C386" t="str">
            <v>North America - Joint ventures and club deals</v>
          </cell>
          <cell r="D386" t="str">
            <v>15_18</v>
          </cell>
        </row>
        <row r="387">
          <cell r="C387" t="str">
            <v>North America - Funds of funds</v>
          </cell>
          <cell r="D387" t="str">
            <v>15_19</v>
          </cell>
        </row>
        <row r="388">
          <cell r="C388" t="str">
            <v>North America - Non-listed debt products</v>
          </cell>
          <cell r="D388" t="str">
            <v>15_20</v>
          </cell>
        </row>
        <row r="389">
          <cell r="C389" t="str">
            <v>North America TOTAL</v>
          </cell>
          <cell r="D389" t="str">
            <v>15_21</v>
          </cell>
        </row>
        <row r="390">
          <cell r="C390" t="str">
            <v>South America - Non-listed/ commingled real estate funds/private REITs</v>
          </cell>
          <cell r="D390" t="str">
            <v>15_22</v>
          </cell>
        </row>
        <row r="391">
          <cell r="C391" t="str">
            <v>South America - Separate accounts investing directly into real estate</v>
          </cell>
          <cell r="D391" t="str">
            <v>15_23</v>
          </cell>
        </row>
        <row r="392">
          <cell r="C392" t="str">
            <v>South America - Separate accounts investing into indirect vehicles</v>
          </cell>
          <cell r="D392" t="str">
            <v>15_24</v>
          </cell>
        </row>
        <row r="393">
          <cell r="C393" t="str">
            <v>South America - Joint ventures and club deals</v>
          </cell>
          <cell r="D393" t="str">
            <v>15_25</v>
          </cell>
        </row>
        <row r="394">
          <cell r="C394" t="str">
            <v>South America - Funds of funds</v>
          </cell>
          <cell r="D394" t="str">
            <v>15_26</v>
          </cell>
        </row>
        <row r="395">
          <cell r="C395" t="str">
            <v>South America - Non-listed debt products</v>
          </cell>
          <cell r="D395" t="str">
            <v>15_27</v>
          </cell>
        </row>
        <row r="396">
          <cell r="C396" t="str">
            <v>South America TOTAL</v>
          </cell>
          <cell r="D396" t="str">
            <v>15_28</v>
          </cell>
        </row>
        <row r="397">
          <cell r="C397" t="str">
            <v>Africa - Non-listed/ commingled real estate funds/private REITs</v>
          </cell>
          <cell r="D397" t="str">
            <v>15_29</v>
          </cell>
        </row>
        <row r="398">
          <cell r="C398" t="str">
            <v>Africa - Separate accounts investing directly into real estate</v>
          </cell>
          <cell r="D398" t="str">
            <v>15_30</v>
          </cell>
        </row>
        <row r="399">
          <cell r="C399" t="str">
            <v>Africa - Separate accounts investing into indirect vehicles</v>
          </cell>
          <cell r="D399" t="str">
            <v>15_31</v>
          </cell>
        </row>
        <row r="400">
          <cell r="C400" t="str">
            <v>Africa - Joint ventures and club deals</v>
          </cell>
          <cell r="D400" t="str">
            <v>15_32</v>
          </cell>
        </row>
        <row r="401">
          <cell r="C401" t="str">
            <v>Africa - Funds of funds</v>
          </cell>
          <cell r="D401" t="str">
            <v>15_33</v>
          </cell>
        </row>
        <row r="402">
          <cell r="C402" t="str">
            <v>Africa - Non-listed debt products</v>
          </cell>
          <cell r="D402" t="str">
            <v>15_34</v>
          </cell>
        </row>
        <row r="403">
          <cell r="C403" t="str">
            <v>Africa  TOTAL</v>
          </cell>
          <cell r="D403" t="str">
            <v>15_35</v>
          </cell>
        </row>
        <row r="404">
          <cell r="C404" t="str">
            <v>Non-listed/ commingled real estate funds/private REITs TOTAL</v>
          </cell>
          <cell r="D404" t="str">
            <v>15_36</v>
          </cell>
        </row>
        <row r="405">
          <cell r="C405" t="str">
            <v>Separate accounts investing directly into real estate TOTAL</v>
          </cell>
          <cell r="D405" t="str">
            <v>15_37</v>
          </cell>
        </row>
        <row r="406">
          <cell r="C406" t="str">
            <v>Separate accounts investing into indirect vehicles TOTAL</v>
          </cell>
          <cell r="D406" t="str">
            <v>15_38</v>
          </cell>
        </row>
        <row r="407">
          <cell r="C407" t="str">
            <v>Joint ventures and club deals TOTAL</v>
          </cell>
          <cell r="D407" t="str">
            <v>15_39</v>
          </cell>
        </row>
        <row r="408">
          <cell r="C408" t="str">
            <v>Funds of funds TOTAL</v>
          </cell>
          <cell r="D408" t="str">
            <v>15_40</v>
          </cell>
        </row>
        <row r="409">
          <cell r="C409" t="str">
            <v>Non-listed debt products TOTAL</v>
          </cell>
          <cell r="D409" t="str">
            <v>15_41</v>
          </cell>
        </row>
        <row r="410">
          <cell r="C410" t="str">
            <v>TOTAL institutional capital by investor domicle</v>
          </cell>
          <cell r="D410" t="str">
            <v>15_42</v>
          </cell>
        </row>
        <row r="411">
          <cell r="C411" t="str">
            <v>For your European strategy, how much institutional capital did your company raise for non-listed vehicles in 2018 by investor type (million)?</v>
          </cell>
          <cell r="D411">
            <v>16</v>
          </cell>
        </row>
        <row r="412">
          <cell r="C412" t="str">
            <v>Pension funds - Non-listed/ commingled real estate funds/private REITs</v>
          </cell>
          <cell r="D412" t="str">
            <v>16_1</v>
          </cell>
        </row>
        <row r="413">
          <cell r="C413" t="str">
            <v>Pension funds - Separate accounts investing directly into real estate</v>
          </cell>
          <cell r="D413" t="str">
            <v>16_2</v>
          </cell>
        </row>
        <row r="414">
          <cell r="C414" t="str">
            <v>Pension funds - Separate accounts investing into indirect vehicles</v>
          </cell>
          <cell r="D414" t="str">
            <v>16_3</v>
          </cell>
        </row>
        <row r="415">
          <cell r="C415" t="str">
            <v>Pension funds - Joint ventures and club deals</v>
          </cell>
          <cell r="D415" t="str">
            <v>16_4</v>
          </cell>
        </row>
        <row r="416">
          <cell r="C416" t="str">
            <v>Pension funds - Funds of funds</v>
          </cell>
          <cell r="D416" t="str">
            <v>16_5</v>
          </cell>
        </row>
        <row r="417">
          <cell r="C417" t="str">
            <v>Pension funds - Non-listed debt products</v>
          </cell>
          <cell r="D417" t="str">
            <v>16_6</v>
          </cell>
        </row>
        <row r="418">
          <cell r="C418" t="str">
            <v>Pension funds TOTAL</v>
          </cell>
          <cell r="D418" t="str">
            <v>16_7</v>
          </cell>
        </row>
        <row r="419">
          <cell r="C419" t="str">
            <v>Insurance companies - Non-listed/ commingled real estate funds/private REITs</v>
          </cell>
          <cell r="D419" t="str">
            <v>16_8</v>
          </cell>
        </row>
        <row r="420">
          <cell r="C420" t="str">
            <v>Insurance companies - Separate accounts investing directly into real estate</v>
          </cell>
          <cell r="D420" t="str">
            <v>16_9</v>
          </cell>
        </row>
        <row r="421">
          <cell r="C421" t="str">
            <v>Insurance companies - Separate accounts investing into indirect vehicles</v>
          </cell>
          <cell r="D421" t="str">
            <v>16_10</v>
          </cell>
        </row>
        <row r="422">
          <cell r="C422" t="str">
            <v>Insurance companies - Joint ventures and club deals</v>
          </cell>
          <cell r="D422" t="str">
            <v>16_11</v>
          </cell>
        </row>
        <row r="423">
          <cell r="C423" t="str">
            <v>Insurance companies - Funds of funds</v>
          </cell>
          <cell r="D423" t="str">
            <v>16_12</v>
          </cell>
        </row>
        <row r="424">
          <cell r="C424" t="str">
            <v>Insurance companies - Non-listed debt products</v>
          </cell>
          <cell r="D424" t="str">
            <v>16_13</v>
          </cell>
        </row>
        <row r="425">
          <cell r="C425" t="str">
            <v>Insurance companies TOTAL</v>
          </cell>
          <cell r="D425" t="str">
            <v>16_14</v>
          </cell>
        </row>
        <row r="426">
          <cell r="C426" t="str">
            <v>Sovereign wealth funds - Non-listed/ commingled real estate funds/private REITs</v>
          </cell>
          <cell r="D426" t="str">
            <v>16_15</v>
          </cell>
        </row>
        <row r="427">
          <cell r="C427" t="str">
            <v>Sovereign wealth funds - Separate accounts investing directly into real estate</v>
          </cell>
          <cell r="D427" t="str">
            <v>16_16</v>
          </cell>
        </row>
        <row r="428">
          <cell r="C428" t="str">
            <v>Sovereign wealth funds - Separate accounts investing into indirect vehicles</v>
          </cell>
          <cell r="D428" t="str">
            <v>16_17</v>
          </cell>
        </row>
        <row r="429">
          <cell r="C429" t="str">
            <v>Sovereign wealth funds - Joint ventures and club deals</v>
          </cell>
          <cell r="D429" t="str">
            <v>16_18</v>
          </cell>
        </row>
        <row r="430">
          <cell r="C430" t="str">
            <v>Sovereign wealth funds - Funds of funds</v>
          </cell>
          <cell r="D430" t="str">
            <v>16_19</v>
          </cell>
        </row>
        <row r="431">
          <cell r="C431" t="str">
            <v>Sovereign wealth funds - Non-listed debt products</v>
          </cell>
          <cell r="D431" t="str">
            <v>16_20</v>
          </cell>
        </row>
        <row r="432">
          <cell r="C432" t="str">
            <v>Sovereign wealth funds TOTAL</v>
          </cell>
          <cell r="D432" t="str">
            <v>16_21</v>
          </cell>
        </row>
        <row r="433">
          <cell r="C433" t="str">
            <v>Government institutions - Non-listed/ commingled real estate funds/private REITs</v>
          </cell>
          <cell r="D433" t="str">
            <v>16_22</v>
          </cell>
        </row>
        <row r="434">
          <cell r="C434" t="str">
            <v>Government institutions - Separate accounts investing directly into real estate</v>
          </cell>
          <cell r="D434" t="str">
            <v>16_23</v>
          </cell>
        </row>
        <row r="435">
          <cell r="C435" t="str">
            <v>Government institutions - Separate accounts investing into indirect vehicles</v>
          </cell>
          <cell r="D435" t="str">
            <v>16_24</v>
          </cell>
        </row>
        <row r="436">
          <cell r="C436" t="str">
            <v>Government institutions - Joint ventures and club deals</v>
          </cell>
          <cell r="D436" t="str">
            <v>16_25</v>
          </cell>
        </row>
        <row r="437">
          <cell r="C437" t="str">
            <v>Government institutions - Funds of funds</v>
          </cell>
          <cell r="D437" t="str">
            <v>16_26</v>
          </cell>
        </row>
        <row r="438">
          <cell r="C438" t="str">
            <v>Government institutions - Non-listed debt products</v>
          </cell>
          <cell r="D438" t="str">
            <v>16_27</v>
          </cell>
        </row>
        <row r="439">
          <cell r="C439" t="str">
            <v>Government institutions TOTAL</v>
          </cell>
          <cell r="D439" t="str">
            <v>16_28</v>
          </cell>
        </row>
        <row r="440">
          <cell r="C440" t="str">
            <v>Charities, foundations, non-profit organisations - Non-listed/ commingled real estate funds/private REITs</v>
          </cell>
          <cell r="D440" t="str">
            <v>16_29</v>
          </cell>
        </row>
        <row r="441">
          <cell r="C441" t="str">
            <v>Charities, foundations, non-profit organisations - Separate accounts investing directly into real estate</v>
          </cell>
          <cell r="D441" t="str">
            <v>16_30</v>
          </cell>
        </row>
        <row r="442">
          <cell r="C442" t="str">
            <v>Charities, foundations, non-profit organisations - Separate accounts investing into indirect vehicles</v>
          </cell>
          <cell r="D442" t="str">
            <v>16_31</v>
          </cell>
        </row>
        <row r="443">
          <cell r="C443" t="str">
            <v>Charities, foundations, non-profit organisations - Joint ventures and club deals</v>
          </cell>
          <cell r="D443" t="str">
            <v>16_32</v>
          </cell>
        </row>
        <row r="444">
          <cell r="C444" t="str">
            <v>Charities, foundations, non-profit organisations - Funds of funds</v>
          </cell>
          <cell r="D444" t="str">
            <v>16_33</v>
          </cell>
        </row>
        <row r="445">
          <cell r="C445" t="str">
            <v>Charities, foundations, non-profit organisations - Non-listed debt products</v>
          </cell>
          <cell r="D445" t="str">
            <v>16_34</v>
          </cell>
        </row>
        <row r="446">
          <cell r="C446" t="str">
            <v>Charities, foundations, non-profit organisations  TOTAL</v>
          </cell>
          <cell r="D446" t="str">
            <v>16_35</v>
          </cell>
        </row>
        <row r="447">
          <cell r="C447" t="str">
            <v>Funds of funds - Non-listed/ commingled real estate funds/private REITs</v>
          </cell>
          <cell r="D447" t="str">
            <v>16_36</v>
          </cell>
        </row>
        <row r="448">
          <cell r="C448" t="str">
            <v>Funds of funds - Separate accounts investing directly into real estate</v>
          </cell>
          <cell r="D448" t="str">
            <v>16_37</v>
          </cell>
        </row>
        <row r="449">
          <cell r="C449" t="str">
            <v>Funds of funds - Separate accounts investing into indirect vehicles</v>
          </cell>
          <cell r="D449" t="str">
            <v>16_38</v>
          </cell>
        </row>
        <row r="450">
          <cell r="C450" t="str">
            <v>Funds of funds - Joint ventures and club deals</v>
          </cell>
          <cell r="D450" t="str">
            <v>16_39</v>
          </cell>
        </row>
        <row r="451">
          <cell r="C451" t="str">
            <v>Funds of funds - Funds of funds</v>
          </cell>
          <cell r="D451" t="str">
            <v>16_40</v>
          </cell>
        </row>
        <row r="452">
          <cell r="C452" t="str">
            <v>Funds of funds - Non-listed debt products</v>
          </cell>
          <cell r="D452" t="str">
            <v>16_41</v>
          </cell>
        </row>
        <row r="453">
          <cell r="C453" t="str">
            <v>Funds of funds TOTAL</v>
          </cell>
          <cell r="D453" t="str">
            <v>16_42</v>
          </cell>
        </row>
        <row r="454">
          <cell r="C454" t="str">
            <v>High net worth individuals /Family offices - Non-listed/ commingled real estate funds/private REITs</v>
          </cell>
          <cell r="D454" t="str">
            <v>16_43</v>
          </cell>
        </row>
        <row r="455">
          <cell r="C455" t="str">
            <v>High net worth individuals /Family offices - Separate accounts investing directly into real estate</v>
          </cell>
          <cell r="D455" t="str">
            <v>16_44</v>
          </cell>
        </row>
        <row r="456">
          <cell r="C456" t="str">
            <v>High net worth individuals /Family offices - Separate accounts investing into indirect vehicles</v>
          </cell>
          <cell r="D456" t="str">
            <v>16_45</v>
          </cell>
        </row>
        <row r="457">
          <cell r="C457" t="str">
            <v>High net worth individuals /Family offices - Joint ventures and club deals</v>
          </cell>
          <cell r="D457" t="str">
            <v>16_46</v>
          </cell>
        </row>
        <row r="458">
          <cell r="C458" t="str">
            <v>High net worth individuals /Family offices - Funds of funds</v>
          </cell>
          <cell r="D458" t="str">
            <v>16_47</v>
          </cell>
        </row>
        <row r="459">
          <cell r="C459" t="str">
            <v>High net worth individuals /Family offices - Non-listed debt products</v>
          </cell>
          <cell r="D459" t="str">
            <v>16_48</v>
          </cell>
        </row>
        <row r="460">
          <cell r="C460" t="str">
            <v>High net worth individuals /Family offices TOTAL</v>
          </cell>
          <cell r="D460" t="str">
            <v>16_49</v>
          </cell>
        </row>
        <row r="461">
          <cell r="C461" t="str">
            <v>Other (please specify)</v>
          </cell>
          <cell r="D461" t="str">
            <v>16_50</v>
          </cell>
        </row>
        <row r="462">
          <cell r="C462" t="str">
            <v>Other - Non-listed/ commingled real estate funds/private REITs</v>
          </cell>
          <cell r="D462" t="str">
            <v>16_51</v>
          </cell>
        </row>
        <row r="463">
          <cell r="C463" t="str">
            <v>Other - Separate accounts investing directly into real estate</v>
          </cell>
          <cell r="D463" t="str">
            <v>16_52</v>
          </cell>
        </row>
        <row r="464">
          <cell r="C464" t="str">
            <v>Other - Separate accounts investing into indirect vehicles</v>
          </cell>
          <cell r="D464" t="str">
            <v>16_53</v>
          </cell>
        </row>
        <row r="465">
          <cell r="C465" t="str">
            <v>Other - Joint ventures and club deals</v>
          </cell>
          <cell r="D465" t="str">
            <v>16_54</v>
          </cell>
        </row>
        <row r="466">
          <cell r="C466" t="str">
            <v>Other - Funds of funds</v>
          </cell>
          <cell r="D466" t="str">
            <v>16_55</v>
          </cell>
        </row>
        <row r="467">
          <cell r="C467" t="str">
            <v>Other - Non-listed debt products</v>
          </cell>
          <cell r="D467" t="str">
            <v>16_56</v>
          </cell>
        </row>
        <row r="468">
          <cell r="C468" t="str">
            <v>Other TOTAL</v>
          </cell>
          <cell r="D468" t="str">
            <v>16_57</v>
          </cell>
        </row>
        <row r="469">
          <cell r="C469" t="str">
            <v>Non-listed/ commingled real estate funds/private REITs TOTAL</v>
          </cell>
          <cell r="D469" t="str">
            <v>16_58</v>
          </cell>
        </row>
        <row r="470">
          <cell r="C470" t="str">
            <v>Separate accounts investing directly into real estate TOTAL</v>
          </cell>
          <cell r="D470" t="str">
            <v>16_59</v>
          </cell>
        </row>
        <row r="471">
          <cell r="C471" t="str">
            <v>Separate accounts investing into indirect vehicles TOTAL</v>
          </cell>
          <cell r="D471" t="str">
            <v>16_60</v>
          </cell>
        </row>
        <row r="472">
          <cell r="C472" t="str">
            <v>Joint ventures and club deals TOTAL</v>
          </cell>
          <cell r="D472" t="str">
            <v>16_61</v>
          </cell>
        </row>
        <row r="473">
          <cell r="C473" t="str">
            <v>Funds of funds TOTAL</v>
          </cell>
          <cell r="D473" t="str">
            <v>16_62</v>
          </cell>
        </row>
        <row r="474">
          <cell r="C474" t="str">
            <v>Non-listed debt products TOTAL</v>
          </cell>
          <cell r="D474" t="str">
            <v>16_63</v>
          </cell>
        </row>
        <row r="475">
          <cell r="C475" t="str">
            <v>TOTAL institutional capital by investor type</v>
          </cell>
          <cell r="D475" t="str">
            <v>16_64</v>
          </cell>
        </row>
        <row r="476">
          <cell r="C476" t="str">
            <v>[European strategy] How much institutional capital did your company raise in 2018 by investor domicile (million)?</v>
          </cell>
          <cell r="D476">
            <v>17</v>
          </cell>
        </row>
        <row r="477">
          <cell r="C477" t="str">
            <v>Europe - Non-listed/ commingled real estate funds/private REITs</v>
          </cell>
          <cell r="D477" t="str">
            <v>17_1</v>
          </cell>
        </row>
        <row r="478">
          <cell r="C478" t="str">
            <v>Europe - Separate accounts investing directly into real estate</v>
          </cell>
          <cell r="D478" t="str">
            <v>17_2</v>
          </cell>
        </row>
        <row r="479">
          <cell r="C479" t="str">
            <v>Europe - Separate accounts investing into indirect vehicles</v>
          </cell>
          <cell r="D479" t="str">
            <v>17_3</v>
          </cell>
        </row>
        <row r="480">
          <cell r="C480" t="str">
            <v>Europe - Joint ventures and club deals</v>
          </cell>
          <cell r="D480" t="str">
            <v>17_4</v>
          </cell>
        </row>
        <row r="481">
          <cell r="C481" t="str">
            <v>Europe - Funds of funds</v>
          </cell>
          <cell r="D481" t="str">
            <v>17_5</v>
          </cell>
        </row>
        <row r="482">
          <cell r="C482" t="str">
            <v>Europe - Non-listed debt products</v>
          </cell>
          <cell r="D482" t="str">
            <v>17_6</v>
          </cell>
        </row>
        <row r="483">
          <cell r="C483" t="str">
            <v>Europe TOTAL</v>
          </cell>
          <cell r="D483" t="str">
            <v>17_7</v>
          </cell>
        </row>
        <row r="484">
          <cell r="C484" t="str">
            <v>Asia Pacific - Non-listed/ commingled real estate funds/private REITs</v>
          </cell>
          <cell r="D484" t="str">
            <v>17_8</v>
          </cell>
        </row>
        <row r="485">
          <cell r="C485" t="str">
            <v>Asia Pacific - Separate accounts investing directly into real estate</v>
          </cell>
          <cell r="D485" t="str">
            <v>17_9</v>
          </cell>
        </row>
        <row r="486">
          <cell r="C486" t="str">
            <v>Asia Pacific - Separate accounts investing into indirect vehicles</v>
          </cell>
          <cell r="D486" t="str">
            <v>17_10</v>
          </cell>
        </row>
        <row r="487">
          <cell r="C487" t="str">
            <v>Asia Pacific - Joint ventures and club deals</v>
          </cell>
          <cell r="D487" t="str">
            <v>17_11</v>
          </cell>
        </row>
        <row r="488">
          <cell r="C488" t="str">
            <v>Asia Pacific - Funds of funds</v>
          </cell>
          <cell r="D488" t="str">
            <v>17_12</v>
          </cell>
        </row>
        <row r="489">
          <cell r="C489" t="str">
            <v>Asia Pacific - Non-listed debt products</v>
          </cell>
          <cell r="D489" t="str">
            <v>17_13</v>
          </cell>
        </row>
        <row r="490">
          <cell r="C490" t="str">
            <v>Asia Pacific TOTAL</v>
          </cell>
          <cell r="D490" t="str">
            <v>17_14</v>
          </cell>
        </row>
        <row r="491">
          <cell r="C491" t="str">
            <v>North America - Non-listed/ commingled real estate funds/private REITs</v>
          </cell>
          <cell r="D491" t="str">
            <v>17_15</v>
          </cell>
        </row>
        <row r="492">
          <cell r="C492" t="str">
            <v>North America - Separate accounts investing directly into real estate</v>
          </cell>
          <cell r="D492" t="str">
            <v>17_16</v>
          </cell>
        </row>
        <row r="493">
          <cell r="C493" t="str">
            <v>North America - Separate accounts investing into indirect vehicles</v>
          </cell>
          <cell r="D493" t="str">
            <v>17_17</v>
          </cell>
        </row>
        <row r="494">
          <cell r="C494" t="str">
            <v>North America - Joint ventures and club deals</v>
          </cell>
          <cell r="D494" t="str">
            <v>17_18</v>
          </cell>
        </row>
        <row r="495">
          <cell r="C495" t="str">
            <v>North America - Funds of funds</v>
          </cell>
          <cell r="D495" t="str">
            <v>17_19</v>
          </cell>
        </row>
        <row r="496">
          <cell r="C496" t="str">
            <v>North America - Non-listed debt products</v>
          </cell>
          <cell r="D496" t="str">
            <v>17_20</v>
          </cell>
        </row>
        <row r="497">
          <cell r="C497" t="str">
            <v>North America TOTAL</v>
          </cell>
          <cell r="D497" t="str">
            <v>17_21</v>
          </cell>
        </row>
        <row r="498">
          <cell r="C498" t="str">
            <v>South America - Non-listed/ commingled real estate funds/private REITs</v>
          </cell>
          <cell r="D498" t="str">
            <v>17_22</v>
          </cell>
        </row>
        <row r="499">
          <cell r="C499" t="str">
            <v>South America - Separate accounts investing directly into real estate</v>
          </cell>
          <cell r="D499" t="str">
            <v>17_23</v>
          </cell>
        </row>
        <row r="500">
          <cell r="C500" t="str">
            <v>South America - Separate accounts investing into indirect vehicles</v>
          </cell>
          <cell r="D500" t="str">
            <v>17_24</v>
          </cell>
        </row>
        <row r="501">
          <cell r="C501" t="str">
            <v>South America - Joint ventures and club deals</v>
          </cell>
          <cell r="D501" t="str">
            <v>17_25</v>
          </cell>
        </row>
        <row r="502">
          <cell r="C502" t="str">
            <v>South America - Funds of funds</v>
          </cell>
          <cell r="D502" t="str">
            <v>17_26</v>
          </cell>
        </row>
        <row r="503">
          <cell r="C503" t="str">
            <v>South America - Non-listed debt products</v>
          </cell>
          <cell r="D503" t="str">
            <v>17_27</v>
          </cell>
        </row>
        <row r="504">
          <cell r="C504" t="str">
            <v>South America TOTAL</v>
          </cell>
          <cell r="D504" t="str">
            <v>17_28</v>
          </cell>
        </row>
        <row r="505">
          <cell r="C505" t="str">
            <v>Africa - Non-listed/ commingled real estate funds/private REITs</v>
          </cell>
          <cell r="D505" t="str">
            <v>17_29</v>
          </cell>
        </row>
        <row r="506">
          <cell r="C506" t="str">
            <v>Africa - Separate accounts investing directly into real estate</v>
          </cell>
          <cell r="D506" t="str">
            <v>17_30</v>
          </cell>
        </row>
        <row r="507">
          <cell r="C507" t="str">
            <v>Africa - Separate accounts investing into indirect vehicles</v>
          </cell>
          <cell r="D507" t="str">
            <v>17_31</v>
          </cell>
        </row>
        <row r="508">
          <cell r="C508" t="str">
            <v>Africa - Joint ventures and club deals</v>
          </cell>
          <cell r="D508" t="str">
            <v>17_32</v>
          </cell>
        </row>
        <row r="509">
          <cell r="C509" t="str">
            <v>Africa - Funds of funds</v>
          </cell>
          <cell r="D509" t="str">
            <v>17_33</v>
          </cell>
        </row>
        <row r="510">
          <cell r="C510" t="str">
            <v>Africa - Non-listed debt products</v>
          </cell>
          <cell r="D510" t="str">
            <v>17_34</v>
          </cell>
        </row>
        <row r="511">
          <cell r="C511" t="str">
            <v>Africa  TOTAL</v>
          </cell>
          <cell r="D511" t="str">
            <v>17_35</v>
          </cell>
        </row>
        <row r="512">
          <cell r="C512" t="str">
            <v>Non-listed/ commingled real estate funds/private REITs TOTAL</v>
          </cell>
          <cell r="D512" t="str">
            <v>17_36</v>
          </cell>
        </row>
        <row r="513">
          <cell r="C513" t="str">
            <v>Separate accounts investing directly into real estate TOTAL</v>
          </cell>
          <cell r="D513" t="str">
            <v>17_37</v>
          </cell>
        </row>
        <row r="514">
          <cell r="C514" t="str">
            <v>Separate accounts investing into indirect vehicles TOTAL</v>
          </cell>
          <cell r="D514" t="str">
            <v>17_38</v>
          </cell>
        </row>
        <row r="515">
          <cell r="C515" t="str">
            <v>Joint ventures and club deals TOTAL</v>
          </cell>
          <cell r="D515" t="str">
            <v>17_39</v>
          </cell>
        </row>
        <row r="516">
          <cell r="C516" t="str">
            <v>Funds of funds TOTAL</v>
          </cell>
          <cell r="D516" t="str">
            <v>17_40</v>
          </cell>
        </row>
        <row r="517">
          <cell r="C517" t="str">
            <v>Non-listed debt products TOTAL</v>
          </cell>
          <cell r="D517" t="str">
            <v>17_41</v>
          </cell>
        </row>
        <row r="518">
          <cell r="C518" t="str">
            <v>TOTAL institutional capital by investor domicle</v>
          </cell>
          <cell r="D518" t="str">
            <v>17_42</v>
          </cell>
        </row>
        <row r="519">
          <cell r="C519" t="str">
            <v>For your North American strategy, how much institutional capital did your company raise for non-listed vehicles in 2018 by investor type (million)?</v>
          </cell>
          <cell r="D519">
            <v>18</v>
          </cell>
        </row>
        <row r="520">
          <cell r="C520" t="str">
            <v>Pension funds - Non-listed/ commingled real estate funds/private REITs</v>
          </cell>
          <cell r="D520" t="str">
            <v>18_1</v>
          </cell>
        </row>
        <row r="521">
          <cell r="C521" t="str">
            <v>Pension funds - Separate accounts investing directly into real estate</v>
          </cell>
          <cell r="D521" t="str">
            <v>18_2</v>
          </cell>
        </row>
        <row r="522">
          <cell r="C522" t="str">
            <v>Pension funds - Separate accounts investing into indirect vehicles</v>
          </cell>
          <cell r="D522" t="str">
            <v>18_3</v>
          </cell>
        </row>
        <row r="523">
          <cell r="C523" t="str">
            <v>Pension funds - Joint ventures and club deals</v>
          </cell>
          <cell r="D523" t="str">
            <v>18_4</v>
          </cell>
        </row>
        <row r="524">
          <cell r="C524" t="str">
            <v>Pension funds - Funds of funds</v>
          </cell>
          <cell r="D524" t="str">
            <v>18_5</v>
          </cell>
        </row>
        <row r="525">
          <cell r="C525" t="str">
            <v>Pension funds - Non-listed debt products</v>
          </cell>
          <cell r="D525" t="str">
            <v>18_6</v>
          </cell>
        </row>
        <row r="526">
          <cell r="C526" t="str">
            <v>Pension funds TOTAL</v>
          </cell>
          <cell r="D526" t="str">
            <v>18_7</v>
          </cell>
        </row>
        <row r="527">
          <cell r="C527" t="str">
            <v>Insurance companies - Non-listed/ commingled real estate funds/private REITs</v>
          </cell>
          <cell r="D527" t="str">
            <v>18_8</v>
          </cell>
        </row>
        <row r="528">
          <cell r="C528" t="str">
            <v>Insurance companies - Separate accounts investing directly into real estate</v>
          </cell>
          <cell r="D528" t="str">
            <v>18_9</v>
          </cell>
        </row>
        <row r="529">
          <cell r="C529" t="str">
            <v>Insurance companies - Separate accounts investing into indirect vehicles</v>
          </cell>
          <cell r="D529" t="str">
            <v>18_10</v>
          </cell>
        </row>
        <row r="530">
          <cell r="C530" t="str">
            <v>Insurance companies - Joint ventures and club deals</v>
          </cell>
          <cell r="D530" t="str">
            <v>18_11</v>
          </cell>
        </row>
        <row r="531">
          <cell r="C531" t="str">
            <v>Insurance companies - Funds of funds</v>
          </cell>
          <cell r="D531" t="str">
            <v>18_12</v>
          </cell>
        </row>
        <row r="532">
          <cell r="C532" t="str">
            <v>Insurance companies - Non-listed debt products</v>
          </cell>
          <cell r="D532" t="str">
            <v>18_13</v>
          </cell>
        </row>
        <row r="533">
          <cell r="C533" t="str">
            <v>Insurance companies TOTAL</v>
          </cell>
          <cell r="D533" t="str">
            <v>18_14</v>
          </cell>
        </row>
        <row r="534">
          <cell r="C534" t="str">
            <v>Sovereign wealth funds - Non-listed/ commingled real estate funds/private REITs</v>
          </cell>
          <cell r="D534" t="str">
            <v>18_15</v>
          </cell>
        </row>
        <row r="535">
          <cell r="C535" t="str">
            <v>Sovereign wealth funds - Separate accounts investing directly into real estate</v>
          </cell>
          <cell r="D535" t="str">
            <v>18_16</v>
          </cell>
        </row>
        <row r="536">
          <cell r="C536" t="str">
            <v>Sovereign wealth funds - Separate accounts investing into indirect vehicles</v>
          </cell>
          <cell r="D536" t="str">
            <v>18_17</v>
          </cell>
        </row>
        <row r="537">
          <cell r="C537" t="str">
            <v>Sovereign wealth funds - Joint ventures and club deals</v>
          </cell>
          <cell r="D537" t="str">
            <v>18_18</v>
          </cell>
        </row>
        <row r="538">
          <cell r="C538" t="str">
            <v>Sovereign wealth funds - Funds of funds</v>
          </cell>
          <cell r="D538" t="str">
            <v>18_19</v>
          </cell>
        </row>
        <row r="539">
          <cell r="C539" t="str">
            <v>Sovereign wealth funds - Non-listed debt products</v>
          </cell>
          <cell r="D539" t="str">
            <v>18_20</v>
          </cell>
        </row>
        <row r="540">
          <cell r="C540" t="str">
            <v>Sovereign wealth funds TOTAL</v>
          </cell>
          <cell r="D540" t="str">
            <v>18_21</v>
          </cell>
        </row>
        <row r="541">
          <cell r="C541" t="str">
            <v>Government institutions - Non-listed/ commingled real estate funds/private REITs</v>
          </cell>
          <cell r="D541" t="str">
            <v>18_22</v>
          </cell>
        </row>
        <row r="542">
          <cell r="C542" t="str">
            <v>Government institutions - Separate accounts investing directly into real estate</v>
          </cell>
          <cell r="D542" t="str">
            <v>18_23</v>
          </cell>
        </row>
        <row r="543">
          <cell r="C543" t="str">
            <v>Government institutions - Separate accounts investing into indirect vehicles</v>
          </cell>
          <cell r="D543" t="str">
            <v>18_24</v>
          </cell>
        </row>
        <row r="544">
          <cell r="C544" t="str">
            <v>Government institutions - Joint ventures and club deals</v>
          </cell>
          <cell r="D544" t="str">
            <v>18_25</v>
          </cell>
        </row>
        <row r="545">
          <cell r="C545" t="str">
            <v>Government institutions - Funds of funds</v>
          </cell>
          <cell r="D545" t="str">
            <v>18_26</v>
          </cell>
        </row>
        <row r="546">
          <cell r="C546" t="str">
            <v>Government institutions - Non-listed debt products</v>
          </cell>
          <cell r="D546" t="str">
            <v>18_27</v>
          </cell>
        </row>
        <row r="547">
          <cell r="C547" t="str">
            <v>Government institutions TOTAL</v>
          </cell>
          <cell r="D547" t="str">
            <v>18_28</v>
          </cell>
        </row>
        <row r="548">
          <cell r="C548" t="str">
            <v>Charities, foundations, non-profit organisations - Non-listed/ commingled real estate funds/private REITs</v>
          </cell>
          <cell r="D548" t="str">
            <v>18_29</v>
          </cell>
        </row>
        <row r="549">
          <cell r="C549" t="str">
            <v>Charities, foundations, non-profit organisations - Separate accounts investing directly into real estate</v>
          </cell>
          <cell r="D549" t="str">
            <v>18_30</v>
          </cell>
        </row>
        <row r="550">
          <cell r="C550" t="str">
            <v>Charities, foundations, non-profit organisations - Separate accounts investing into indirect vehicles</v>
          </cell>
          <cell r="D550" t="str">
            <v>18_31</v>
          </cell>
        </row>
        <row r="551">
          <cell r="C551" t="str">
            <v>Charities, foundations, non-profit organisations - Joint ventures and club deals</v>
          </cell>
          <cell r="D551" t="str">
            <v>18_32</v>
          </cell>
        </row>
        <row r="552">
          <cell r="C552" t="str">
            <v>Charities, foundations, non-profit organisations - Funds of funds</v>
          </cell>
          <cell r="D552" t="str">
            <v>18_33</v>
          </cell>
        </row>
        <row r="553">
          <cell r="C553" t="str">
            <v>Charities, foundations, non-profit organisations - Non-listed debt products</v>
          </cell>
          <cell r="D553" t="str">
            <v>18_34</v>
          </cell>
        </row>
        <row r="554">
          <cell r="C554" t="str">
            <v>Charities, foundations, non-profit organisations  TOTAL</v>
          </cell>
          <cell r="D554" t="str">
            <v>18_35</v>
          </cell>
        </row>
        <row r="555">
          <cell r="C555" t="str">
            <v>Funds of funds - Non-listed/ commingled real estate funds/private REITs</v>
          </cell>
          <cell r="D555" t="str">
            <v>18_36</v>
          </cell>
        </row>
        <row r="556">
          <cell r="C556" t="str">
            <v>Funds of funds - Separate accounts investing directly into real estate</v>
          </cell>
          <cell r="D556" t="str">
            <v>18_37</v>
          </cell>
        </row>
        <row r="557">
          <cell r="C557" t="str">
            <v>Funds of funds - Separate accounts investing into indirect vehicles</v>
          </cell>
          <cell r="D557" t="str">
            <v>18_38</v>
          </cell>
        </row>
        <row r="558">
          <cell r="C558" t="str">
            <v>Funds of funds - Joint ventures and club deals</v>
          </cell>
          <cell r="D558" t="str">
            <v>18_39</v>
          </cell>
        </row>
        <row r="559">
          <cell r="C559" t="str">
            <v>Funds of funds - Funds of funds</v>
          </cell>
          <cell r="D559" t="str">
            <v>18_40</v>
          </cell>
        </row>
        <row r="560">
          <cell r="C560" t="str">
            <v>Funds of funds - Non-listed debt products</v>
          </cell>
          <cell r="D560" t="str">
            <v>18_41</v>
          </cell>
        </row>
        <row r="561">
          <cell r="C561" t="str">
            <v>Funds of funds TOTAL</v>
          </cell>
          <cell r="D561" t="str">
            <v>18_42</v>
          </cell>
        </row>
        <row r="562">
          <cell r="C562" t="str">
            <v>High net worth individuals /Family offices - Non-listed/ commingled real estate funds/private REITs</v>
          </cell>
          <cell r="D562" t="str">
            <v>18_43</v>
          </cell>
        </row>
        <row r="563">
          <cell r="C563" t="str">
            <v>High net worth individuals /Family offices - Separate accounts investing directly into real estate</v>
          </cell>
          <cell r="D563" t="str">
            <v>18_44</v>
          </cell>
        </row>
        <row r="564">
          <cell r="C564" t="str">
            <v>High net worth individuals /Family offices - Separate accounts investing into indirect vehicles</v>
          </cell>
          <cell r="D564" t="str">
            <v>18_45</v>
          </cell>
        </row>
        <row r="565">
          <cell r="C565" t="str">
            <v>High net worth individuals /Family offices - Joint ventures and club deals</v>
          </cell>
          <cell r="D565" t="str">
            <v>18_46</v>
          </cell>
        </row>
        <row r="566">
          <cell r="C566" t="str">
            <v>High net worth individuals /Family offices - Funds of funds</v>
          </cell>
          <cell r="D566" t="str">
            <v>18_47</v>
          </cell>
        </row>
        <row r="567">
          <cell r="C567" t="str">
            <v>High net worth individuals /Family offices - Non-listed debt products</v>
          </cell>
          <cell r="D567" t="str">
            <v>18_48</v>
          </cell>
        </row>
        <row r="568">
          <cell r="C568" t="str">
            <v>High net worth individuals /Family offices TOTAL</v>
          </cell>
          <cell r="D568" t="str">
            <v>18_49</v>
          </cell>
        </row>
        <row r="569">
          <cell r="C569" t="str">
            <v>Other (please specify)</v>
          </cell>
          <cell r="D569" t="str">
            <v>18_50</v>
          </cell>
        </row>
        <row r="570">
          <cell r="C570" t="str">
            <v>Other - Non-listed/ commingled real estate funds/private REITs</v>
          </cell>
          <cell r="D570" t="str">
            <v>18_51</v>
          </cell>
        </row>
        <row r="571">
          <cell r="C571" t="str">
            <v>Other - Separate accounts investing directly into real estate</v>
          </cell>
          <cell r="D571" t="str">
            <v>18_52</v>
          </cell>
        </row>
        <row r="572">
          <cell r="C572" t="str">
            <v>Other - Separate accounts investing into indirect vehicles</v>
          </cell>
          <cell r="D572" t="str">
            <v>18_53</v>
          </cell>
        </row>
        <row r="573">
          <cell r="C573" t="str">
            <v>Other - Joint ventures and club deals</v>
          </cell>
          <cell r="D573" t="str">
            <v>18_54</v>
          </cell>
        </row>
        <row r="574">
          <cell r="C574" t="str">
            <v>Other - Funds of funds</v>
          </cell>
          <cell r="D574" t="str">
            <v>18_55</v>
          </cell>
        </row>
        <row r="575">
          <cell r="C575" t="str">
            <v>Other - Non-listed debt products</v>
          </cell>
          <cell r="D575" t="str">
            <v>18_56</v>
          </cell>
        </row>
        <row r="576">
          <cell r="C576" t="str">
            <v>Other TOTAL</v>
          </cell>
          <cell r="D576" t="str">
            <v>18_57</v>
          </cell>
        </row>
        <row r="577">
          <cell r="C577" t="str">
            <v>Non-listed/ commingled real estate funds/private REITs TOTAL</v>
          </cell>
          <cell r="D577" t="str">
            <v>18_58</v>
          </cell>
        </row>
        <row r="578">
          <cell r="C578" t="str">
            <v>Separate accounts investing directly into real estate TOTAL</v>
          </cell>
          <cell r="D578" t="str">
            <v>18_59</v>
          </cell>
        </row>
        <row r="579">
          <cell r="C579" t="str">
            <v>Separate accounts investing into indirect vehicles TOTAL</v>
          </cell>
          <cell r="D579" t="str">
            <v>18_60</v>
          </cell>
        </row>
        <row r="580">
          <cell r="C580" t="str">
            <v>Joint ventures and club deals TOTAL</v>
          </cell>
          <cell r="D580" t="str">
            <v>18_61</v>
          </cell>
        </row>
        <row r="581">
          <cell r="C581" t="str">
            <v>Funds of funds TOTAL</v>
          </cell>
          <cell r="D581" t="str">
            <v>18_62</v>
          </cell>
        </row>
        <row r="582">
          <cell r="C582" t="str">
            <v>Non-listed debt products TOTAL</v>
          </cell>
          <cell r="D582" t="str">
            <v>18_63</v>
          </cell>
        </row>
        <row r="583">
          <cell r="C583" t="str">
            <v>TOTAL institutional capital by investor type</v>
          </cell>
          <cell r="D583" t="str">
            <v>18_64</v>
          </cell>
        </row>
        <row r="584">
          <cell r="C584" t="str">
            <v>[North American strategy] How much institutional capital did your company raise in 2018 by investor domicile (million)?</v>
          </cell>
          <cell r="D584">
            <v>19</v>
          </cell>
        </row>
        <row r="585">
          <cell r="C585" t="str">
            <v>Europe - Non-listed/ commingled real estate funds/private REITs</v>
          </cell>
          <cell r="D585" t="str">
            <v>19_1</v>
          </cell>
        </row>
        <row r="586">
          <cell r="C586" t="str">
            <v>Europe - Separate accounts investing directly into real estate</v>
          </cell>
          <cell r="D586" t="str">
            <v>19_2</v>
          </cell>
        </row>
        <row r="587">
          <cell r="C587" t="str">
            <v>Europe - Separate accounts investing into indirect vehicles</v>
          </cell>
          <cell r="D587" t="str">
            <v>19_3</v>
          </cell>
        </row>
        <row r="588">
          <cell r="C588" t="str">
            <v>Europe - Joint ventures and club deals</v>
          </cell>
          <cell r="D588" t="str">
            <v>19_4</v>
          </cell>
        </row>
        <row r="589">
          <cell r="C589" t="str">
            <v>Europe - Funds of funds</v>
          </cell>
          <cell r="D589" t="str">
            <v>19_5</v>
          </cell>
        </row>
        <row r="590">
          <cell r="C590" t="str">
            <v>Europe - Non-listed debt products</v>
          </cell>
          <cell r="D590" t="str">
            <v>19_6</v>
          </cell>
        </row>
        <row r="591">
          <cell r="C591" t="str">
            <v>Europe TOTAL</v>
          </cell>
          <cell r="D591" t="str">
            <v>19_7</v>
          </cell>
        </row>
        <row r="592">
          <cell r="C592" t="str">
            <v>Asia Pacific - Non-listed/ commingled real estate funds/private REITs</v>
          </cell>
          <cell r="D592" t="str">
            <v>19_8</v>
          </cell>
        </row>
        <row r="593">
          <cell r="C593" t="str">
            <v>Asia Pacific - Separate accounts investing directly into real estate</v>
          </cell>
          <cell r="D593" t="str">
            <v>19_9</v>
          </cell>
        </row>
        <row r="594">
          <cell r="C594" t="str">
            <v>Asia Pacific - Separate accounts investing into indirect vehicles</v>
          </cell>
          <cell r="D594" t="str">
            <v>19_10</v>
          </cell>
        </row>
        <row r="595">
          <cell r="C595" t="str">
            <v>Asia Pacific - Joint ventures and club deals</v>
          </cell>
          <cell r="D595" t="str">
            <v>19_11</v>
          </cell>
        </row>
        <row r="596">
          <cell r="C596" t="str">
            <v>Asia Pacific - Funds of funds</v>
          </cell>
          <cell r="D596" t="str">
            <v>19_12</v>
          </cell>
        </row>
        <row r="597">
          <cell r="C597" t="str">
            <v>Asia Pacific - Non-listed debt products</v>
          </cell>
          <cell r="D597" t="str">
            <v>19_13</v>
          </cell>
        </row>
        <row r="598">
          <cell r="C598" t="str">
            <v>Asia Pacific TOTAL</v>
          </cell>
          <cell r="D598" t="str">
            <v>19_14</v>
          </cell>
        </row>
        <row r="599">
          <cell r="C599" t="str">
            <v>North America - Non-listed/ commingled real estate funds/private REITs</v>
          </cell>
          <cell r="D599" t="str">
            <v>19_15</v>
          </cell>
        </row>
        <row r="600">
          <cell r="C600" t="str">
            <v>North America - Separate accounts investing directly into real estate</v>
          </cell>
          <cell r="D600" t="str">
            <v>19_16</v>
          </cell>
        </row>
        <row r="601">
          <cell r="C601" t="str">
            <v>North America - Separate accounts investing into indirect vehicles</v>
          </cell>
          <cell r="D601" t="str">
            <v>19_17</v>
          </cell>
        </row>
        <row r="602">
          <cell r="C602" t="str">
            <v>North America - Joint ventures and club deals</v>
          </cell>
          <cell r="D602" t="str">
            <v>19_18</v>
          </cell>
        </row>
        <row r="603">
          <cell r="C603" t="str">
            <v>North America - Funds of funds</v>
          </cell>
          <cell r="D603" t="str">
            <v>19_19</v>
          </cell>
        </row>
        <row r="604">
          <cell r="C604" t="str">
            <v>North America - Non-listed debt products</v>
          </cell>
          <cell r="D604" t="str">
            <v>19_20</v>
          </cell>
        </row>
        <row r="605">
          <cell r="C605" t="str">
            <v>North America TOTAL</v>
          </cell>
          <cell r="D605" t="str">
            <v>19_21</v>
          </cell>
        </row>
        <row r="606">
          <cell r="C606" t="str">
            <v>South America - Non-listed/ commingled real estate funds/private REITs</v>
          </cell>
          <cell r="D606" t="str">
            <v>19_22</v>
          </cell>
        </row>
        <row r="607">
          <cell r="C607" t="str">
            <v>South America - Separate accounts investing directly into real estate</v>
          </cell>
          <cell r="D607" t="str">
            <v>19_23</v>
          </cell>
        </row>
        <row r="608">
          <cell r="C608" t="str">
            <v>South America - Separate accounts investing into indirect vehicles</v>
          </cell>
          <cell r="D608" t="str">
            <v>19_24</v>
          </cell>
        </row>
        <row r="609">
          <cell r="C609" t="str">
            <v>South America - Joint ventures and club deals</v>
          </cell>
          <cell r="D609" t="str">
            <v>19_25</v>
          </cell>
        </row>
        <row r="610">
          <cell r="C610" t="str">
            <v>South America - Funds of funds</v>
          </cell>
          <cell r="D610" t="str">
            <v>19_26</v>
          </cell>
        </row>
        <row r="611">
          <cell r="C611" t="str">
            <v>South America - Non-listed debt products</v>
          </cell>
          <cell r="D611" t="str">
            <v>19_27</v>
          </cell>
        </row>
        <row r="612">
          <cell r="C612" t="str">
            <v>South America TOTAL</v>
          </cell>
          <cell r="D612" t="str">
            <v>19_28</v>
          </cell>
        </row>
        <row r="613">
          <cell r="C613" t="str">
            <v>Africa - Non-listed/ commingled real estate funds/private REITs</v>
          </cell>
          <cell r="D613" t="str">
            <v>19_29</v>
          </cell>
        </row>
        <row r="614">
          <cell r="C614" t="str">
            <v>Africa - Separate accounts investing directly into real estate</v>
          </cell>
          <cell r="D614" t="str">
            <v>19_30</v>
          </cell>
        </row>
        <row r="615">
          <cell r="C615" t="str">
            <v>Africa - Separate accounts investing into indirect vehicles</v>
          </cell>
          <cell r="D615" t="str">
            <v>19_31</v>
          </cell>
        </row>
        <row r="616">
          <cell r="C616" t="str">
            <v>Africa - Joint ventures and club deals</v>
          </cell>
          <cell r="D616" t="str">
            <v>19_32</v>
          </cell>
        </row>
        <row r="617">
          <cell r="C617" t="str">
            <v>Africa - Funds of funds</v>
          </cell>
          <cell r="D617" t="str">
            <v>19_33</v>
          </cell>
        </row>
        <row r="618">
          <cell r="C618" t="str">
            <v>Africa - Non-listed debt products</v>
          </cell>
          <cell r="D618" t="str">
            <v>19_34</v>
          </cell>
        </row>
        <row r="619">
          <cell r="C619" t="str">
            <v>Africa  TOTAL</v>
          </cell>
          <cell r="D619" t="str">
            <v>19_35</v>
          </cell>
        </row>
        <row r="620">
          <cell r="C620" t="str">
            <v>Non-listed/ commingled real estate funds/private REITs TOTAL</v>
          </cell>
          <cell r="D620" t="str">
            <v>19_36</v>
          </cell>
        </row>
        <row r="621">
          <cell r="C621" t="str">
            <v>Separate accounts investing directly into real estate TOTAL</v>
          </cell>
          <cell r="D621" t="str">
            <v>19_37</v>
          </cell>
        </row>
        <row r="622">
          <cell r="C622" t="str">
            <v>Separate accounts investing into indirect vehicles TOTAL</v>
          </cell>
          <cell r="D622" t="str">
            <v>19_38</v>
          </cell>
        </row>
        <row r="623">
          <cell r="C623" t="str">
            <v>Joint ventures and club deals TOTAL</v>
          </cell>
          <cell r="D623" t="str">
            <v>19_39</v>
          </cell>
        </row>
        <row r="624">
          <cell r="C624" t="str">
            <v>Funds of funds TOTAL</v>
          </cell>
          <cell r="D624" t="str">
            <v>19_40</v>
          </cell>
        </row>
        <row r="625">
          <cell r="C625" t="str">
            <v>Non-listed debt products TOTAL</v>
          </cell>
          <cell r="D625" t="str">
            <v>19_41</v>
          </cell>
        </row>
        <row r="626">
          <cell r="C626" t="str">
            <v>TOTAL institutional capital by investor domicle</v>
          </cell>
          <cell r="D626" t="str">
            <v>19_42</v>
          </cell>
        </row>
        <row r="627">
          <cell r="C627" t="str">
            <v>For your Global strategy, how much institutional capital did your company raise for non-listed vehicles in 2018 by investor type (million)?</v>
          </cell>
          <cell r="D627">
            <v>20</v>
          </cell>
        </row>
        <row r="628">
          <cell r="C628" t="str">
            <v>Pension funds - Non-listed/ commingled real estate funds/private REITs</v>
          </cell>
          <cell r="D628" t="str">
            <v>20_1</v>
          </cell>
        </row>
        <row r="629">
          <cell r="C629" t="str">
            <v>Pension funds - Separate accounts investing directly into real estate</v>
          </cell>
          <cell r="D629" t="str">
            <v>20_2</v>
          </cell>
        </row>
        <row r="630">
          <cell r="C630" t="str">
            <v>Pension funds - Separate accounts investing into indirect vehicles</v>
          </cell>
          <cell r="D630" t="str">
            <v>20_3</v>
          </cell>
        </row>
        <row r="631">
          <cell r="C631" t="str">
            <v>Pension funds - Joint ventures and club deals</v>
          </cell>
          <cell r="D631" t="str">
            <v>20_4</v>
          </cell>
        </row>
        <row r="632">
          <cell r="C632" t="str">
            <v>Pension funds - Funds of funds</v>
          </cell>
          <cell r="D632" t="str">
            <v>20_5</v>
          </cell>
        </row>
        <row r="633">
          <cell r="C633" t="str">
            <v>Pension funds - Non-listed debt products</v>
          </cell>
          <cell r="D633" t="str">
            <v>20_6</v>
          </cell>
        </row>
        <row r="634">
          <cell r="C634" t="str">
            <v>Pension funds TOTAL</v>
          </cell>
          <cell r="D634" t="str">
            <v>20_7</v>
          </cell>
        </row>
        <row r="635">
          <cell r="C635" t="str">
            <v>Insurance companies - Non-listed/ commingled real estate funds/private REITs</v>
          </cell>
          <cell r="D635" t="str">
            <v>20_8</v>
          </cell>
        </row>
        <row r="636">
          <cell r="C636" t="str">
            <v>Insurance companies - Separate accounts investing directly into real estate</v>
          </cell>
          <cell r="D636" t="str">
            <v>20_9</v>
          </cell>
        </row>
        <row r="637">
          <cell r="C637" t="str">
            <v>Insurance companies - Separate accounts investing into indirect vehicles</v>
          </cell>
          <cell r="D637" t="str">
            <v>20_10</v>
          </cell>
        </row>
        <row r="638">
          <cell r="C638" t="str">
            <v>Insurance companies - Joint ventures and club deals</v>
          </cell>
          <cell r="D638" t="str">
            <v>20_11</v>
          </cell>
        </row>
        <row r="639">
          <cell r="C639" t="str">
            <v>Insurance companies - Funds of funds</v>
          </cell>
          <cell r="D639" t="str">
            <v>20_12</v>
          </cell>
        </row>
        <row r="640">
          <cell r="C640" t="str">
            <v>Insurance companies - Non-listed debt products</v>
          </cell>
          <cell r="D640" t="str">
            <v>20_13</v>
          </cell>
        </row>
        <row r="641">
          <cell r="C641" t="str">
            <v>Insurance companies TOTAL</v>
          </cell>
          <cell r="D641" t="str">
            <v>20_14</v>
          </cell>
        </row>
        <row r="642">
          <cell r="C642" t="str">
            <v>Sovereign wealth funds - Non-listed/ commingled real estate funds/private REITs</v>
          </cell>
          <cell r="D642" t="str">
            <v>20_15</v>
          </cell>
        </row>
        <row r="643">
          <cell r="C643" t="str">
            <v>Sovereign wealth funds - Separate accounts investing directly into real estate</v>
          </cell>
          <cell r="D643" t="str">
            <v>20_16</v>
          </cell>
        </row>
        <row r="644">
          <cell r="C644" t="str">
            <v>Sovereign wealth funds - Separate accounts investing into indirect vehicles</v>
          </cell>
          <cell r="D644" t="str">
            <v>20_17</v>
          </cell>
        </row>
        <row r="645">
          <cell r="C645" t="str">
            <v>Sovereign wealth funds - Joint ventures and club deals</v>
          </cell>
          <cell r="D645" t="str">
            <v>20_18</v>
          </cell>
        </row>
        <row r="646">
          <cell r="C646" t="str">
            <v>Sovereign wealth funds - Funds of funds</v>
          </cell>
          <cell r="D646" t="str">
            <v>20_19</v>
          </cell>
        </row>
        <row r="647">
          <cell r="C647" t="str">
            <v>Sovereign wealth funds - Non-listed debt products</v>
          </cell>
          <cell r="D647" t="str">
            <v>20_20</v>
          </cell>
        </row>
        <row r="648">
          <cell r="C648" t="str">
            <v>Sovereign wealth funds TOTAL</v>
          </cell>
          <cell r="D648" t="str">
            <v>20_21</v>
          </cell>
        </row>
        <row r="649">
          <cell r="C649" t="str">
            <v>Government institutions - Non-listed/ commingled real estate funds/private REITs</v>
          </cell>
          <cell r="D649" t="str">
            <v>20_22</v>
          </cell>
        </row>
        <row r="650">
          <cell r="C650" t="str">
            <v>Government institutions - Separate accounts investing directly into real estate</v>
          </cell>
          <cell r="D650" t="str">
            <v>20_23</v>
          </cell>
        </row>
        <row r="651">
          <cell r="C651" t="str">
            <v>Government institutions - Separate accounts investing into indirect vehicles</v>
          </cell>
          <cell r="D651" t="str">
            <v>20_24</v>
          </cell>
        </row>
        <row r="652">
          <cell r="C652" t="str">
            <v>Government institutions - Joint ventures and club deals</v>
          </cell>
          <cell r="D652" t="str">
            <v>20_25</v>
          </cell>
        </row>
        <row r="653">
          <cell r="C653" t="str">
            <v>Government institutions - Funds of funds</v>
          </cell>
          <cell r="D653" t="str">
            <v>20_26</v>
          </cell>
        </row>
        <row r="654">
          <cell r="C654" t="str">
            <v>Government institutions - Non-listed debt products</v>
          </cell>
          <cell r="D654" t="str">
            <v>20_27</v>
          </cell>
        </row>
        <row r="655">
          <cell r="C655" t="str">
            <v>Government institutions TOTAL</v>
          </cell>
          <cell r="D655" t="str">
            <v>20_28</v>
          </cell>
        </row>
        <row r="656">
          <cell r="C656" t="str">
            <v>Charities, foundations, non-profit organisations - Non-listed/ commingled real estate funds/private REITs</v>
          </cell>
          <cell r="D656" t="str">
            <v>20_29</v>
          </cell>
        </row>
        <row r="657">
          <cell r="C657" t="str">
            <v>Charities, foundations, non-profit organisations - Separate accounts investing directly into real estate</v>
          </cell>
          <cell r="D657" t="str">
            <v>20_30</v>
          </cell>
        </row>
        <row r="658">
          <cell r="C658" t="str">
            <v>Charities, foundations, non-profit organisations - Separate accounts investing into indirect vehicles</v>
          </cell>
          <cell r="D658" t="str">
            <v>20_31</v>
          </cell>
        </row>
        <row r="659">
          <cell r="C659" t="str">
            <v>Charities, foundations, non-profit organisations - Joint ventures and club deals</v>
          </cell>
          <cell r="D659" t="str">
            <v>20_32</v>
          </cell>
        </row>
        <row r="660">
          <cell r="C660" t="str">
            <v>Charities, foundations, non-profit organisations - Funds of funds</v>
          </cell>
          <cell r="D660" t="str">
            <v>20_33</v>
          </cell>
        </row>
        <row r="661">
          <cell r="C661" t="str">
            <v>Charities, foundations, non-profit organisations - Non-listed debt products</v>
          </cell>
          <cell r="D661" t="str">
            <v>20_34</v>
          </cell>
        </row>
        <row r="662">
          <cell r="C662" t="str">
            <v>Charities, foundations, non-profit organisations  TOTAL</v>
          </cell>
          <cell r="D662" t="str">
            <v>20_35</v>
          </cell>
        </row>
        <row r="663">
          <cell r="C663" t="str">
            <v>Funds of funds - Non-listed/ commingled real estate funds/private REITs</v>
          </cell>
          <cell r="D663" t="str">
            <v>20_36</v>
          </cell>
        </row>
        <row r="664">
          <cell r="C664" t="str">
            <v>Funds of funds - Separate accounts investing directly into real estate</v>
          </cell>
          <cell r="D664" t="str">
            <v>20_37</v>
          </cell>
        </row>
        <row r="665">
          <cell r="C665" t="str">
            <v>Funds of funds - Separate accounts investing into indirect vehicles</v>
          </cell>
          <cell r="D665" t="str">
            <v>20_38</v>
          </cell>
        </row>
        <row r="666">
          <cell r="C666" t="str">
            <v>Funds of funds - Joint ventures and club deals</v>
          </cell>
          <cell r="D666" t="str">
            <v>20_39</v>
          </cell>
        </row>
        <row r="667">
          <cell r="C667" t="str">
            <v>Funds of funds - Funds of funds</v>
          </cell>
          <cell r="D667" t="str">
            <v>20_40</v>
          </cell>
        </row>
        <row r="668">
          <cell r="C668" t="str">
            <v>Funds of funds - Non-listed debt products</v>
          </cell>
          <cell r="D668" t="str">
            <v>20_41</v>
          </cell>
        </row>
        <row r="669">
          <cell r="C669" t="str">
            <v>Funds of funds TOTAL</v>
          </cell>
          <cell r="D669" t="str">
            <v>20_42</v>
          </cell>
        </row>
        <row r="670">
          <cell r="C670" t="str">
            <v>High net worth individuals /Family offices - Non-listed/ commingled real estate funds/private REITs</v>
          </cell>
          <cell r="D670" t="str">
            <v>20_43</v>
          </cell>
        </row>
        <row r="671">
          <cell r="C671" t="str">
            <v>High net worth individuals /Family offices - Separate accounts investing directly into real estate</v>
          </cell>
          <cell r="D671" t="str">
            <v>20_44</v>
          </cell>
        </row>
        <row r="672">
          <cell r="C672" t="str">
            <v>High net worth individuals /Family offices - Separate accounts investing into indirect vehicles</v>
          </cell>
          <cell r="D672" t="str">
            <v>20_45</v>
          </cell>
        </row>
        <row r="673">
          <cell r="C673" t="str">
            <v>High net worth individuals /Family offices - Joint ventures and club deals</v>
          </cell>
          <cell r="D673" t="str">
            <v>20_46</v>
          </cell>
        </row>
        <row r="674">
          <cell r="C674" t="str">
            <v>High net worth individuals /Family offices - Funds of funds</v>
          </cell>
          <cell r="D674" t="str">
            <v>20_47</v>
          </cell>
        </row>
        <row r="675">
          <cell r="C675" t="str">
            <v>High net worth individuals /Family offices - Non-listed debt products</v>
          </cell>
          <cell r="D675" t="str">
            <v>20_48</v>
          </cell>
        </row>
        <row r="676">
          <cell r="C676" t="str">
            <v>High net worth individuals /Family offices TOTAL</v>
          </cell>
          <cell r="D676" t="str">
            <v>20_49</v>
          </cell>
        </row>
        <row r="677">
          <cell r="C677" t="str">
            <v>Other (please specify)</v>
          </cell>
          <cell r="D677" t="str">
            <v>20_50</v>
          </cell>
        </row>
        <row r="678">
          <cell r="C678" t="str">
            <v>Other - Non-listed/ commingled real estate funds/private REITs</v>
          </cell>
          <cell r="D678" t="str">
            <v>20_51</v>
          </cell>
        </row>
        <row r="679">
          <cell r="C679" t="str">
            <v>Other - Separate accounts investing directly into real estate</v>
          </cell>
          <cell r="D679" t="str">
            <v>20_52</v>
          </cell>
        </row>
        <row r="680">
          <cell r="C680" t="str">
            <v>Other - Separate accounts investing into indirect vehicles</v>
          </cell>
          <cell r="D680" t="str">
            <v>20_53</v>
          </cell>
        </row>
        <row r="681">
          <cell r="C681" t="str">
            <v>Other - Joint ventures and club deals</v>
          </cell>
          <cell r="D681" t="str">
            <v>20_54</v>
          </cell>
        </row>
        <row r="682">
          <cell r="C682" t="str">
            <v>Other - Funds of funds</v>
          </cell>
          <cell r="D682" t="str">
            <v>20_55</v>
          </cell>
        </row>
        <row r="683">
          <cell r="C683" t="str">
            <v>Other - Non-listed debt products</v>
          </cell>
          <cell r="D683" t="str">
            <v>20_56</v>
          </cell>
        </row>
        <row r="684">
          <cell r="C684" t="str">
            <v>Other TOTAL</v>
          </cell>
          <cell r="D684" t="str">
            <v>20_57</v>
          </cell>
        </row>
        <row r="685">
          <cell r="C685" t="str">
            <v>Non-listed/ commingled real estate funds/private REITs TOTAL</v>
          </cell>
          <cell r="D685" t="str">
            <v>20_58</v>
          </cell>
        </row>
        <row r="686">
          <cell r="C686" t="str">
            <v>Separate accounts investing directly into real estate TOTAL</v>
          </cell>
          <cell r="D686" t="str">
            <v>20_59</v>
          </cell>
        </row>
        <row r="687">
          <cell r="C687" t="str">
            <v>Separate accounts investing into indirect vehicles TOTAL</v>
          </cell>
          <cell r="D687" t="str">
            <v>20_60</v>
          </cell>
        </row>
        <row r="688">
          <cell r="C688" t="str">
            <v>Joint ventures and club deals TOTAL</v>
          </cell>
          <cell r="D688" t="str">
            <v>20_61</v>
          </cell>
        </row>
        <row r="689">
          <cell r="C689" t="str">
            <v>Funds of funds TOTAL</v>
          </cell>
          <cell r="D689" t="str">
            <v>20_62</v>
          </cell>
        </row>
        <row r="690">
          <cell r="C690" t="str">
            <v>Non-listed debt products TOTAL</v>
          </cell>
          <cell r="D690" t="str">
            <v>20_63</v>
          </cell>
        </row>
        <row r="691">
          <cell r="C691" t="str">
            <v>TOTAL institutional capital by investor type</v>
          </cell>
          <cell r="D691" t="str">
            <v>20_64</v>
          </cell>
        </row>
        <row r="692">
          <cell r="C692" t="str">
            <v>[Global strategy] How much institutional capital did your company raise in 2018 by investor domicile (million)?</v>
          </cell>
          <cell r="D692">
            <v>21</v>
          </cell>
        </row>
        <row r="693">
          <cell r="C693" t="str">
            <v>Europe - Non-listed/ commingled real estate funds/private REITs</v>
          </cell>
          <cell r="D693" t="str">
            <v>21_1</v>
          </cell>
        </row>
        <row r="694">
          <cell r="C694" t="str">
            <v>Europe - Separate accounts investing directly into real estate</v>
          </cell>
          <cell r="D694" t="str">
            <v>21_2</v>
          </cell>
        </row>
        <row r="695">
          <cell r="C695" t="str">
            <v>Europe - Separate accounts investing into indirect vehicles</v>
          </cell>
          <cell r="D695" t="str">
            <v>21_3</v>
          </cell>
        </row>
        <row r="696">
          <cell r="C696" t="str">
            <v>Europe - Joint ventures and club deals</v>
          </cell>
          <cell r="D696" t="str">
            <v>21_4</v>
          </cell>
        </row>
        <row r="697">
          <cell r="C697" t="str">
            <v>Europe - Funds of funds</v>
          </cell>
          <cell r="D697" t="str">
            <v>21_5</v>
          </cell>
        </row>
        <row r="698">
          <cell r="C698" t="str">
            <v>Europe - Non-listed debt products</v>
          </cell>
          <cell r="D698" t="str">
            <v>21_6</v>
          </cell>
        </row>
        <row r="699">
          <cell r="C699" t="str">
            <v>Europe TOTAL</v>
          </cell>
          <cell r="D699" t="str">
            <v>21_7</v>
          </cell>
        </row>
        <row r="700">
          <cell r="C700" t="str">
            <v>Asia Pacific - Non-listed/ commingled real estate funds/private REITs</v>
          </cell>
          <cell r="D700" t="str">
            <v>21_8</v>
          </cell>
        </row>
        <row r="701">
          <cell r="C701" t="str">
            <v>Asia Pacific - Separate accounts investing directly into real estate</v>
          </cell>
          <cell r="D701" t="str">
            <v>21_9</v>
          </cell>
        </row>
        <row r="702">
          <cell r="C702" t="str">
            <v>Asia Pacific - Separate accounts investing into indirect vehicles</v>
          </cell>
          <cell r="D702" t="str">
            <v>21_10</v>
          </cell>
        </row>
        <row r="703">
          <cell r="C703" t="str">
            <v>Asia Pacific - Joint ventures and club deals</v>
          </cell>
          <cell r="D703" t="str">
            <v>21_11</v>
          </cell>
        </row>
        <row r="704">
          <cell r="C704" t="str">
            <v>Asia Pacific - Funds of funds</v>
          </cell>
          <cell r="D704" t="str">
            <v>21_12</v>
          </cell>
        </row>
        <row r="705">
          <cell r="C705" t="str">
            <v>Asia Pacific - Non-listed debt products</v>
          </cell>
          <cell r="D705" t="str">
            <v>21_13</v>
          </cell>
        </row>
        <row r="706">
          <cell r="C706" t="str">
            <v>Asia Pacific TOTAL</v>
          </cell>
          <cell r="D706" t="str">
            <v>21_14</v>
          </cell>
        </row>
        <row r="707">
          <cell r="C707" t="str">
            <v>North America - Non-listed/ commingled real estate funds/private REITs</v>
          </cell>
          <cell r="D707" t="str">
            <v>21_15</v>
          </cell>
        </row>
        <row r="708">
          <cell r="C708" t="str">
            <v>North America - Separate accounts investing directly into real estate</v>
          </cell>
          <cell r="D708" t="str">
            <v>21_16</v>
          </cell>
        </row>
        <row r="709">
          <cell r="C709" t="str">
            <v>North America - Separate accounts investing into indirect vehicles</v>
          </cell>
          <cell r="D709" t="str">
            <v>21_17</v>
          </cell>
        </row>
        <row r="710">
          <cell r="C710" t="str">
            <v>North America - Joint ventures and club deals</v>
          </cell>
          <cell r="D710" t="str">
            <v>21_18</v>
          </cell>
        </row>
        <row r="711">
          <cell r="C711" t="str">
            <v>North America - Funds of funds</v>
          </cell>
          <cell r="D711" t="str">
            <v>21_19</v>
          </cell>
        </row>
        <row r="712">
          <cell r="C712" t="str">
            <v>North America - Non-listed debt products</v>
          </cell>
          <cell r="D712" t="str">
            <v>21_20</v>
          </cell>
        </row>
        <row r="713">
          <cell r="C713" t="str">
            <v>North America TOTAL</v>
          </cell>
          <cell r="D713" t="str">
            <v>21_21</v>
          </cell>
        </row>
        <row r="714">
          <cell r="C714" t="str">
            <v>South America - Non-listed/ commingled real estate funds/private REITs</v>
          </cell>
          <cell r="D714" t="str">
            <v>21_22</v>
          </cell>
        </row>
        <row r="715">
          <cell r="C715" t="str">
            <v>South America - Separate accounts investing directly into real estate</v>
          </cell>
          <cell r="D715" t="str">
            <v>21_23</v>
          </cell>
        </row>
        <row r="716">
          <cell r="C716" t="str">
            <v>South America - Separate accounts investing into indirect vehicles</v>
          </cell>
          <cell r="D716" t="str">
            <v>21_24</v>
          </cell>
        </row>
        <row r="717">
          <cell r="C717" t="str">
            <v>South America - Joint ventures and club deals</v>
          </cell>
          <cell r="D717" t="str">
            <v>21_25</v>
          </cell>
        </row>
        <row r="718">
          <cell r="C718" t="str">
            <v>South America - Funds of funds</v>
          </cell>
          <cell r="D718" t="str">
            <v>21_26</v>
          </cell>
        </row>
        <row r="719">
          <cell r="C719" t="str">
            <v>South America - Non-listed debt products</v>
          </cell>
          <cell r="D719" t="str">
            <v>21_27</v>
          </cell>
        </row>
        <row r="720">
          <cell r="C720" t="str">
            <v>South America TOTAL</v>
          </cell>
          <cell r="D720" t="str">
            <v>21_28</v>
          </cell>
        </row>
        <row r="721">
          <cell r="C721" t="str">
            <v>Africa - Non-listed/ commingled real estate funds/private REITs</v>
          </cell>
          <cell r="D721" t="str">
            <v>21_29</v>
          </cell>
        </row>
        <row r="722">
          <cell r="C722" t="str">
            <v>Africa - Separate accounts investing directly into real estate</v>
          </cell>
          <cell r="D722" t="str">
            <v>21_30</v>
          </cell>
        </row>
        <row r="723">
          <cell r="C723" t="str">
            <v>Africa - Separate accounts investing into indirect vehicles</v>
          </cell>
          <cell r="D723" t="str">
            <v>21_31</v>
          </cell>
        </row>
        <row r="724">
          <cell r="C724" t="str">
            <v>Africa - Joint ventures and club deals</v>
          </cell>
          <cell r="D724" t="str">
            <v>21_32</v>
          </cell>
        </row>
        <row r="725">
          <cell r="C725" t="str">
            <v>Africa - Funds of funds</v>
          </cell>
          <cell r="D725" t="str">
            <v>21_33</v>
          </cell>
        </row>
        <row r="726">
          <cell r="C726" t="str">
            <v>Africa - Non-listed debt products</v>
          </cell>
          <cell r="D726" t="str">
            <v>21_34</v>
          </cell>
        </row>
        <row r="727">
          <cell r="C727" t="str">
            <v>Africa  TOTAL</v>
          </cell>
          <cell r="D727" t="str">
            <v>21_35</v>
          </cell>
        </row>
        <row r="728">
          <cell r="C728" t="str">
            <v>Non-listed/ commingled real estate funds/private REITs TOTAL</v>
          </cell>
          <cell r="D728" t="str">
            <v>21_36</v>
          </cell>
        </row>
        <row r="729">
          <cell r="C729" t="str">
            <v>Separate accounts investing directly into real estate TOTAL</v>
          </cell>
          <cell r="D729" t="str">
            <v>21_37</v>
          </cell>
        </row>
        <row r="730">
          <cell r="C730" t="str">
            <v>Separate accounts investing into indirect vehicles TOTAL</v>
          </cell>
          <cell r="D730" t="str">
            <v>21_38</v>
          </cell>
        </row>
        <row r="731">
          <cell r="C731" t="str">
            <v>Joint ventures and club deals TOTAL</v>
          </cell>
          <cell r="D731" t="str">
            <v>21_39</v>
          </cell>
        </row>
        <row r="732">
          <cell r="C732" t="str">
            <v>Funds of funds TOTAL</v>
          </cell>
          <cell r="D732" t="str">
            <v>21_40</v>
          </cell>
        </row>
        <row r="733">
          <cell r="C733" t="str">
            <v>Non-listed debt products TOTAL</v>
          </cell>
          <cell r="D733" t="str">
            <v>21_41</v>
          </cell>
        </row>
        <row r="734">
          <cell r="C734" t="str">
            <v>TOTAL institutional capital by investor domicle</v>
          </cell>
          <cell r="D734" t="str">
            <v>21_42</v>
          </cell>
        </row>
        <row r="735">
          <cell r="C735" t="str">
            <v>For your South American strategy, how much institutional capital did your company raise for non-listed vehicles in 2018 by investor type (million)?</v>
          </cell>
          <cell r="D735">
            <v>22</v>
          </cell>
        </row>
        <row r="736">
          <cell r="C736" t="str">
            <v>Pension funds - Non-listed/ commingled real estate funds/private REITs</v>
          </cell>
          <cell r="D736" t="str">
            <v>22_1</v>
          </cell>
        </row>
        <row r="737">
          <cell r="C737" t="str">
            <v>Pension funds - Separate accounts investing directly into real estate</v>
          </cell>
          <cell r="D737" t="str">
            <v>22_2</v>
          </cell>
        </row>
        <row r="738">
          <cell r="C738" t="str">
            <v>Pension funds - Separate accounts investing into indirect vehicles</v>
          </cell>
          <cell r="D738" t="str">
            <v>22_3</v>
          </cell>
        </row>
        <row r="739">
          <cell r="C739" t="str">
            <v>Pension funds - Joint ventures and club deals</v>
          </cell>
          <cell r="D739" t="str">
            <v>22_4</v>
          </cell>
        </row>
        <row r="740">
          <cell r="C740" t="str">
            <v>Pension funds - Funds of funds</v>
          </cell>
          <cell r="D740" t="str">
            <v>22_5</v>
          </cell>
        </row>
        <row r="741">
          <cell r="C741" t="str">
            <v>Pension funds - Non-listed debt products</v>
          </cell>
          <cell r="D741" t="str">
            <v>22_6</v>
          </cell>
        </row>
        <row r="742">
          <cell r="C742" t="str">
            <v>Pension funds TOTAL</v>
          </cell>
          <cell r="D742" t="str">
            <v>22_7</v>
          </cell>
        </row>
        <row r="743">
          <cell r="C743" t="str">
            <v>Insurance companies - Non-listed/ commingled real estate funds/private REITs</v>
          </cell>
          <cell r="D743" t="str">
            <v>22_8</v>
          </cell>
        </row>
        <row r="744">
          <cell r="C744" t="str">
            <v>Insurance companies - Separate accounts investing directly into real estate</v>
          </cell>
          <cell r="D744" t="str">
            <v>22_9</v>
          </cell>
        </row>
        <row r="745">
          <cell r="C745" t="str">
            <v>Insurance companies - Separate accounts investing into indirect vehicles</v>
          </cell>
          <cell r="D745" t="str">
            <v>22_10</v>
          </cell>
        </row>
        <row r="746">
          <cell r="C746" t="str">
            <v>Insurance companies - Joint ventures and club deals</v>
          </cell>
          <cell r="D746" t="str">
            <v>22_11</v>
          </cell>
        </row>
        <row r="747">
          <cell r="C747" t="str">
            <v>Insurance companies - Funds of funds</v>
          </cell>
          <cell r="D747" t="str">
            <v>22_12</v>
          </cell>
        </row>
        <row r="748">
          <cell r="C748" t="str">
            <v>Insurance companies - Non-listed debt products</v>
          </cell>
          <cell r="D748" t="str">
            <v>22_13</v>
          </cell>
        </row>
        <row r="749">
          <cell r="C749" t="str">
            <v>Insurance companies TOTAL</v>
          </cell>
          <cell r="D749" t="str">
            <v>22_14</v>
          </cell>
        </row>
        <row r="750">
          <cell r="C750" t="str">
            <v>Sovereign wealth funds - Non-listed/ commingled real estate funds/private REITs</v>
          </cell>
          <cell r="D750" t="str">
            <v>22_15</v>
          </cell>
        </row>
        <row r="751">
          <cell r="C751" t="str">
            <v>Sovereign wealth funds - Separate accounts investing directly into real estate</v>
          </cell>
          <cell r="D751" t="str">
            <v>22_16</v>
          </cell>
        </row>
        <row r="752">
          <cell r="C752" t="str">
            <v>Sovereign wealth funds - Separate accounts investing into indirect vehicles</v>
          </cell>
          <cell r="D752" t="str">
            <v>22_17</v>
          </cell>
        </row>
        <row r="753">
          <cell r="C753" t="str">
            <v>Sovereign wealth funds - Joint ventures and club deals</v>
          </cell>
          <cell r="D753" t="str">
            <v>22_18</v>
          </cell>
        </row>
        <row r="754">
          <cell r="C754" t="str">
            <v>Sovereign wealth funds - Funds of funds</v>
          </cell>
          <cell r="D754" t="str">
            <v>22_19</v>
          </cell>
        </row>
        <row r="755">
          <cell r="C755" t="str">
            <v>Sovereign wealth funds - Non-listed debt products</v>
          </cell>
          <cell r="D755" t="str">
            <v>22_20</v>
          </cell>
        </row>
        <row r="756">
          <cell r="C756" t="str">
            <v>Sovereign wealth funds TOTAL</v>
          </cell>
          <cell r="D756" t="str">
            <v>22_21</v>
          </cell>
        </row>
        <row r="757">
          <cell r="C757" t="str">
            <v>Government institutions - Non-listed/ commingled real estate funds/private REITs</v>
          </cell>
          <cell r="D757" t="str">
            <v>22_22</v>
          </cell>
        </row>
        <row r="758">
          <cell r="C758" t="str">
            <v>Government institutions - Separate accounts investing directly into real estate</v>
          </cell>
          <cell r="D758" t="str">
            <v>22_23</v>
          </cell>
        </row>
        <row r="759">
          <cell r="C759" t="str">
            <v>Government institutions - Separate accounts investing into indirect vehicles</v>
          </cell>
          <cell r="D759" t="str">
            <v>22_24</v>
          </cell>
        </row>
        <row r="760">
          <cell r="C760" t="str">
            <v>Government institutions - Joint ventures and club deals</v>
          </cell>
          <cell r="D760" t="str">
            <v>22_25</v>
          </cell>
        </row>
        <row r="761">
          <cell r="C761" t="str">
            <v>Government institutions - Funds of funds</v>
          </cell>
          <cell r="D761" t="str">
            <v>22_26</v>
          </cell>
        </row>
        <row r="762">
          <cell r="C762" t="str">
            <v>Government institutions - Non-listed debt products</v>
          </cell>
          <cell r="D762" t="str">
            <v>22_27</v>
          </cell>
        </row>
        <row r="763">
          <cell r="C763" t="str">
            <v>Government institutions TOTAL</v>
          </cell>
          <cell r="D763" t="str">
            <v>22_28</v>
          </cell>
        </row>
        <row r="764">
          <cell r="C764" t="str">
            <v>Charities, foundations, non-profit organisations - Non-listed/ commingled real estate funds/private REITs</v>
          </cell>
          <cell r="D764" t="str">
            <v>22_29</v>
          </cell>
        </row>
        <row r="765">
          <cell r="C765" t="str">
            <v>Charities, foundations, non-profit organisations - Separate accounts investing directly into real estate</v>
          </cell>
          <cell r="D765" t="str">
            <v>22_30</v>
          </cell>
        </row>
        <row r="766">
          <cell r="C766" t="str">
            <v>Charities, foundations, non-profit organisations - Separate accounts investing into indirect vehicles</v>
          </cell>
          <cell r="D766" t="str">
            <v>22_31</v>
          </cell>
        </row>
        <row r="767">
          <cell r="C767" t="str">
            <v>Charities, foundations, non-profit organisations - Joint ventures and club deals</v>
          </cell>
          <cell r="D767" t="str">
            <v>22_32</v>
          </cell>
        </row>
        <row r="768">
          <cell r="C768" t="str">
            <v>Charities, foundations, non-profit organisations - Funds of funds</v>
          </cell>
          <cell r="D768" t="str">
            <v>22_33</v>
          </cell>
        </row>
        <row r="769">
          <cell r="C769" t="str">
            <v>Charities, foundations, non-profit organisations - Non-listed debt products</v>
          </cell>
          <cell r="D769" t="str">
            <v>22_34</v>
          </cell>
        </row>
        <row r="770">
          <cell r="C770" t="str">
            <v>Charities, foundations, non-profit organisations  TOTAL</v>
          </cell>
          <cell r="D770" t="str">
            <v>22_35</v>
          </cell>
        </row>
        <row r="771">
          <cell r="C771" t="str">
            <v>Funds of funds - Non-listed/ commingled real estate funds/private REITs</v>
          </cell>
          <cell r="D771" t="str">
            <v>22_36</v>
          </cell>
        </row>
        <row r="772">
          <cell r="C772" t="str">
            <v>Funds of funds - Separate accounts investing directly into real estate</v>
          </cell>
          <cell r="D772" t="str">
            <v>22_37</v>
          </cell>
        </row>
        <row r="773">
          <cell r="C773" t="str">
            <v>Funds of funds - Separate accounts investing into indirect vehicles</v>
          </cell>
          <cell r="D773" t="str">
            <v>22_38</v>
          </cell>
        </row>
        <row r="774">
          <cell r="C774" t="str">
            <v>Funds of funds - Joint ventures and club deals</v>
          </cell>
          <cell r="D774" t="str">
            <v>22_39</v>
          </cell>
        </row>
        <row r="775">
          <cell r="C775" t="str">
            <v>Funds of funds - Funds of funds</v>
          </cell>
          <cell r="D775" t="str">
            <v>22_40</v>
          </cell>
        </row>
        <row r="776">
          <cell r="C776" t="str">
            <v>Funds of funds - Non-listed debt products</v>
          </cell>
          <cell r="D776" t="str">
            <v>22_41</v>
          </cell>
        </row>
        <row r="777">
          <cell r="C777" t="str">
            <v>Funds of funds TOTAL</v>
          </cell>
          <cell r="D777" t="str">
            <v>22_42</v>
          </cell>
        </row>
        <row r="778">
          <cell r="C778" t="str">
            <v>High net worth individuals /Family offices - Non-listed/ commingled real estate funds/private REITs</v>
          </cell>
          <cell r="D778" t="str">
            <v>22_43</v>
          </cell>
        </row>
        <row r="779">
          <cell r="C779" t="str">
            <v>High net worth individuals /Family offices - Separate accounts investing directly into real estate</v>
          </cell>
          <cell r="D779" t="str">
            <v>22_44</v>
          </cell>
        </row>
        <row r="780">
          <cell r="C780" t="str">
            <v>High net worth individuals /Family offices - Separate accounts investing into indirect vehicles</v>
          </cell>
          <cell r="D780" t="str">
            <v>22_45</v>
          </cell>
        </row>
        <row r="781">
          <cell r="C781" t="str">
            <v>High net worth individuals /Family offices - Joint ventures and club deals</v>
          </cell>
          <cell r="D781" t="str">
            <v>22_46</v>
          </cell>
        </row>
        <row r="782">
          <cell r="C782" t="str">
            <v>High net worth individuals /Family offices - Funds of funds</v>
          </cell>
          <cell r="D782" t="str">
            <v>22_47</v>
          </cell>
        </row>
        <row r="783">
          <cell r="C783" t="str">
            <v>High net worth individuals /Family offices - Non-listed debt products</v>
          </cell>
          <cell r="D783" t="str">
            <v>22_48</v>
          </cell>
        </row>
        <row r="784">
          <cell r="C784" t="str">
            <v>High net worth individuals /Family offices TOTAL</v>
          </cell>
          <cell r="D784" t="str">
            <v>22_49</v>
          </cell>
        </row>
        <row r="785">
          <cell r="C785" t="str">
            <v>Other (please specify)</v>
          </cell>
          <cell r="D785" t="str">
            <v>22_50</v>
          </cell>
        </row>
        <row r="786">
          <cell r="C786" t="str">
            <v>Other - Non-listed/ commingled real estate funds/private REITs</v>
          </cell>
          <cell r="D786" t="str">
            <v>22_51</v>
          </cell>
        </row>
        <row r="787">
          <cell r="C787" t="str">
            <v>Other - Separate accounts investing directly into real estate</v>
          </cell>
          <cell r="D787" t="str">
            <v>22_52</v>
          </cell>
        </row>
        <row r="788">
          <cell r="C788" t="str">
            <v>Other - Separate accounts investing into indirect vehicles</v>
          </cell>
          <cell r="D788" t="str">
            <v>22_53</v>
          </cell>
        </row>
        <row r="789">
          <cell r="C789" t="str">
            <v>Other - Joint ventures and club deals</v>
          </cell>
          <cell r="D789" t="str">
            <v>22_54</v>
          </cell>
        </row>
        <row r="790">
          <cell r="C790" t="str">
            <v>Other - Funds of funds</v>
          </cell>
          <cell r="D790" t="str">
            <v>22_55</v>
          </cell>
        </row>
        <row r="791">
          <cell r="C791" t="str">
            <v>Other - Non-listed debt products</v>
          </cell>
          <cell r="D791" t="str">
            <v>22_56</v>
          </cell>
        </row>
        <row r="792">
          <cell r="C792" t="str">
            <v>Other TOTAL</v>
          </cell>
          <cell r="D792" t="str">
            <v>22_57</v>
          </cell>
        </row>
        <row r="793">
          <cell r="C793" t="str">
            <v>Non-listed/ commingled real estate funds/private REITs TOTAL</v>
          </cell>
          <cell r="D793" t="str">
            <v>22_58</v>
          </cell>
        </row>
        <row r="794">
          <cell r="C794" t="str">
            <v>Separate accounts investing directly into real estate TOTAL</v>
          </cell>
          <cell r="D794" t="str">
            <v>22_59</v>
          </cell>
        </row>
        <row r="795">
          <cell r="C795" t="str">
            <v>Separate accounts investing into indirect vehicles TOTAL</v>
          </cell>
          <cell r="D795" t="str">
            <v>22_60</v>
          </cell>
        </row>
        <row r="796">
          <cell r="C796" t="str">
            <v>Joint ventures and club deals TOTAL</v>
          </cell>
          <cell r="D796" t="str">
            <v>22_61</v>
          </cell>
        </row>
        <row r="797">
          <cell r="C797" t="str">
            <v>Funds of funds TOTAL</v>
          </cell>
          <cell r="D797" t="str">
            <v>22_62</v>
          </cell>
        </row>
        <row r="798">
          <cell r="C798" t="str">
            <v>Non-listed debt products TOTAL</v>
          </cell>
          <cell r="D798" t="str">
            <v>22_63</v>
          </cell>
        </row>
        <row r="799">
          <cell r="C799" t="str">
            <v>TOTAL institutional capital by investor type</v>
          </cell>
          <cell r="D799" t="str">
            <v>22_64</v>
          </cell>
        </row>
        <row r="800">
          <cell r="C800" t="str">
            <v>[South American strategy] How much institutional capital did your company raise in 2018 by investor domicile (million)?</v>
          </cell>
          <cell r="D800">
            <v>23</v>
          </cell>
        </row>
        <row r="801">
          <cell r="C801" t="str">
            <v>Europe - Non-listed/ commingled real estate funds/private REITs</v>
          </cell>
          <cell r="D801" t="str">
            <v>23_1</v>
          </cell>
        </row>
        <row r="802">
          <cell r="C802" t="str">
            <v>Europe - Separate accounts investing directly into real estate</v>
          </cell>
          <cell r="D802" t="str">
            <v>23_2</v>
          </cell>
        </row>
        <row r="803">
          <cell r="C803" t="str">
            <v>Europe - Separate accounts investing into indirect vehicles</v>
          </cell>
          <cell r="D803" t="str">
            <v>23_3</v>
          </cell>
        </row>
        <row r="804">
          <cell r="C804" t="str">
            <v>Europe - Joint ventures and club deals</v>
          </cell>
          <cell r="D804" t="str">
            <v>23_4</v>
          </cell>
        </row>
        <row r="805">
          <cell r="C805" t="str">
            <v>Europe - Funds of funds</v>
          </cell>
          <cell r="D805" t="str">
            <v>23_5</v>
          </cell>
        </row>
        <row r="806">
          <cell r="C806" t="str">
            <v>Europe - Non-listed debt products</v>
          </cell>
          <cell r="D806" t="str">
            <v>23_6</v>
          </cell>
        </row>
        <row r="807">
          <cell r="C807" t="str">
            <v>Europe TOTAL</v>
          </cell>
          <cell r="D807" t="str">
            <v>23_7</v>
          </cell>
        </row>
        <row r="808">
          <cell r="C808" t="str">
            <v>Asia Pacific - Non-listed/ commingled real estate funds/private REITs</v>
          </cell>
          <cell r="D808" t="str">
            <v>23_8</v>
          </cell>
        </row>
        <row r="809">
          <cell r="C809" t="str">
            <v>Asia Pacific - Separate accounts investing directly into real estate</v>
          </cell>
          <cell r="D809" t="str">
            <v>23_9</v>
          </cell>
        </row>
        <row r="810">
          <cell r="C810" t="str">
            <v>Asia Pacific - Separate accounts investing into indirect vehicles</v>
          </cell>
          <cell r="D810" t="str">
            <v>23_10</v>
          </cell>
        </row>
        <row r="811">
          <cell r="C811" t="str">
            <v>Asia Pacific - Joint ventures and club deals</v>
          </cell>
          <cell r="D811" t="str">
            <v>23_11</v>
          </cell>
        </row>
        <row r="812">
          <cell r="C812" t="str">
            <v>Asia Pacific - Funds of funds</v>
          </cell>
          <cell r="D812" t="str">
            <v>23_12</v>
          </cell>
        </row>
        <row r="813">
          <cell r="C813" t="str">
            <v>Asia Pacific - Non-listed debt products</v>
          </cell>
          <cell r="D813" t="str">
            <v>23_13</v>
          </cell>
        </row>
        <row r="814">
          <cell r="C814" t="str">
            <v>Asia Pacific TOTAL</v>
          </cell>
          <cell r="D814" t="str">
            <v>23_14</v>
          </cell>
        </row>
        <row r="815">
          <cell r="C815" t="str">
            <v>North America - Non-listed/ commingled real estate funds/private REITs</v>
          </cell>
          <cell r="D815" t="str">
            <v>23_15</v>
          </cell>
        </row>
        <row r="816">
          <cell r="C816" t="str">
            <v>North America - Separate accounts investing directly into real estate</v>
          </cell>
          <cell r="D816" t="str">
            <v>23_16</v>
          </cell>
        </row>
        <row r="817">
          <cell r="C817" t="str">
            <v>North America - Separate accounts investing into indirect vehicles</v>
          </cell>
          <cell r="D817" t="str">
            <v>23_17</v>
          </cell>
        </row>
        <row r="818">
          <cell r="C818" t="str">
            <v>North America - Joint ventures and club deals</v>
          </cell>
          <cell r="D818" t="str">
            <v>23_18</v>
          </cell>
        </row>
        <row r="819">
          <cell r="C819" t="str">
            <v>North America - Funds of funds</v>
          </cell>
          <cell r="D819" t="str">
            <v>23_19</v>
          </cell>
        </row>
        <row r="820">
          <cell r="C820" t="str">
            <v>North America - Non-listed debt products</v>
          </cell>
          <cell r="D820" t="str">
            <v>23_20</v>
          </cell>
        </row>
        <row r="821">
          <cell r="C821" t="str">
            <v>North America TOTAL</v>
          </cell>
          <cell r="D821" t="str">
            <v>23_21</v>
          </cell>
        </row>
        <row r="822">
          <cell r="C822" t="str">
            <v>South America - Non-listed/ commingled real estate funds/private REITs</v>
          </cell>
          <cell r="D822" t="str">
            <v>23_22</v>
          </cell>
        </row>
        <row r="823">
          <cell r="C823" t="str">
            <v>South America - Separate accounts investing directly into real estate</v>
          </cell>
          <cell r="D823" t="str">
            <v>23_23</v>
          </cell>
        </row>
        <row r="824">
          <cell r="C824" t="str">
            <v>South America - Separate accounts investing into indirect vehicles</v>
          </cell>
          <cell r="D824" t="str">
            <v>23_24</v>
          </cell>
        </row>
        <row r="825">
          <cell r="C825" t="str">
            <v>South America - Joint ventures and club deals</v>
          </cell>
          <cell r="D825" t="str">
            <v>23_25</v>
          </cell>
        </row>
        <row r="826">
          <cell r="C826" t="str">
            <v>South America - Funds of funds</v>
          </cell>
          <cell r="D826" t="str">
            <v>23_26</v>
          </cell>
        </row>
        <row r="827">
          <cell r="C827" t="str">
            <v>South America - Non-listed debt products</v>
          </cell>
          <cell r="D827" t="str">
            <v>23_27</v>
          </cell>
        </row>
        <row r="828">
          <cell r="C828" t="str">
            <v>South America TOTAL</v>
          </cell>
          <cell r="D828" t="str">
            <v>23_28</v>
          </cell>
        </row>
        <row r="829">
          <cell r="C829" t="str">
            <v>Africa - Non-listed/ commingled real estate funds/private REITs</v>
          </cell>
          <cell r="D829" t="str">
            <v>23_29</v>
          </cell>
        </row>
        <row r="830">
          <cell r="C830" t="str">
            <v>Africa - Separate accounts investing directly into real estate</v>
          </cell>
          <cell r="D830" t="str">
            <v>23_30</v>
          </cell>
        </row>
        <row r="831">
          <cell r="C831" t="str">
            <v>Africa - Separate accounts investing into indirect vehicles</v>
          </cell>
          <cell r="D831" t="str">
            <v>23_31</v>
          </cell>
        </row>
        <row r="832">
          <cell r="C832" t="str">
            <v>Africa - Joint ventures and club deals</v>
          </cell>
          <cell r="D832" t="str">
            <v>23_32</v>
          </cell>
        </row>
        <row r="833">
          <cell r="C833" t="str">
            <v>Africa - Funds of funds</v>
          </cell>
          <cell r="D833" t="str">
            <v>23_33</v>
          </cell>
        </row>
        <row r="834">
          <cell r="C834" t="str">
            <v>Africa - Non-listed debt products</v>
          </cell>
          <cell r="D834" t="str">
            <v>23_34</v>
          </cell>
        </row>
        <row r="835">
          <cell r="C835" t="str">
            <v>Africa  TOTAL</v>
          </cell>
          <cell r="D835" t="str">
            <v>23_35</v>
          </cell>
        </row>
        <row r="836">
          <cell r="C836" t="str">
            <v>Non-listed/ commingled real estate funds/private REITs TOTAL</v>
          </cell>
          <cell r="D836" t="str">
            <v>23_36</v>
          </cell>
        </row>
        <row r="837">
          <cell r="C837" t="str">
            <v>Separate accounts investing directly into real estate TOTAL</v>
          </cell>
          <cell r="D837" t="str">
            <v>23_37</v>
          </cell>
        </row>
        <row r="838">
          <cell r="C838" t="str">
            <v>Separate accounts investing into indirect vehicles TOTAL</v>
          </cell>
          <cell r="D838" t="str">
            <v>23_38</v>
          </cell>
        </row>
        <row r="839">
          <cell r="C839" t="str">
            <v>Joint ventures and club deals TOTAL</v>
          </cell>
          <cell r="D839" t="str">
            <v>23_39</v>
          </cell>
        </row>
        <row r="840">
          <cell r="C840" t="str">
            <v>Funds of funds TOTAL</v>
          </cell>
          <cell r="D840" t="str">
            <v>23_40</v>
          </cell>
        </row>
        <row r="841">
          <cell r="C841" t="str">
            <v>Non-listed debt products TOTAL</v>
          </cell>
          <cell r="D841" t="str">
            <v>23_41</v>
          </cell>
        </row>
        <row r="842">
          <cell r="C842" t="str">
            <v>TOTAL institutional capital by investor domicle</v>
          </cell>
          <cell r="D842" t="str">
            <v>23_42</v>
          </cell>
        </row>
        <row r="843">
          <cell r="C843" t="str">
            <v>For your African strategy, how much institutional capital did your company raise for non-listed vehicles in 2018 by investor type (million)?</v>
          </cell>
          <cell r="D843">
            <v>24</v>
          </cell>
        </row>
        <row r="844">
          <cell r="C844" t="str">
            <v>Pension funds - Non-listed/ commingled real estate funds/private REITs</v>
          </cell>
          <cell r="D844" t="str">
            <v>24_1</v>
          </cell>
        </row>
        <row r="845">
          <cell r="C845" t="str">
            <v>Pension funds - Separate accounts investing directly into real estate</v>
          </cell>
          <cell r="D845" t="str">
            <v>24_2</v>
          </cell>
        </row>
        <row r="846">
          <cell r="C846" t="str">
            <v>Pension funds - Separate accounts investing into indirect vehicles</v>
          </cell>
          <cell r="D846" t="str">
            <v>24_3</v>
          </cell>
        </row>
        <row r="847">
          <cell r="C847" t="str">
            <v>Pension funds - Joint ventures and club deals</v>
          </cell>
          <cell r="D847" t="str">
            <v>24_4</v>
          </cell>
        </row>
        <row r="848">
          <cell r="C848" t="str">
            <v>Pension funds - Funds of funds</v>
          </cell>
          <cell r="D848" t="str">
            <v>24_5</v>
          </cell>
        </row>
        <row r="849">
          <cell r="C849" t="str">
            <v>Pension funds - Non-listed debt products</v>
          </cell>
          <cell r="D849" t="str">
            <v>24_6</v>
          </cell>
        </row>
        <row r="850">
          <cell r="C850" t="str">
            <v>Pension funds TOTAL</v>
          </cell>
          <cell r="D850" t="str">
            <v>24_7</v>
          </cell>
        </row>
        <row r="851">
          <cell r="C851" t="str">
            <v>Insurance companies - Non-listed/ commingled real estate funds/private REITs</v>
          </cell>
          <cell r="D851" t="str">
            <v>24_8</v>
          </cell>
        </row>
        <row r="852">
          <cell r="C852" t="str">
            <v>Insurance companies - Separate accounts investing directly into real estate</v>
          </cell>
          <cell r="D852" t="str">
            <v>24_9</v>
          </cell>
        </row>
        <row r="853">
          <cell r="C853" t="str">
            <v>Insurance companies - Separate accounts investing into indirect vehicles</v>
          </cell>
          <cell r="D853" t="str">
            <v>24_10</v>
          </cell>
        </row>
        <row r="854">
          <cell r="C854" t="str">
            <v>Insurance companies - Joint ventures and club deals</v>
          </cell>
          <cell r="D854" t="str">
            <v>24_11</v>
          </cell>
        </row>
        <row r="855">
          <cell r="C855" t="str">
            <v>Insurance companies - Funds of funds</v>
          </cell>
          <cell r="D855" t="str">
            <v>24_12</v>
          </cell>
        </row>
        <row r="856">
          <cell r="C856" t="str">
            <v>Insurance companies - Non-listed debt products</v>
          </cell>
          <cell r="D856" t="str">
            <v>24_13</v>
          </cell>
        </row>
        <row r="857">
          <cell r="C857" t="str">
            <v>Insurance companies TOTAL</v>
          </cell>
          <cell r="D857" t="str">
            <v>24_14</v>
          </cell>
        </row>
        <row r="858">
          <cell r="C858" t="str">
            <v>Sovereign wealth funds - Non-listed/ commingled real estate funds/private REITs</v>
          </cell>
          <cell r="D858" t="str">
            <v>24_15</v>
          </cell>
        </row>
        <row r="859">
          <cell r="C859" t="str">
            <v>Sovereign wealth funds - Separate accounts investing directly into real estate</v>
          </cell>
          <cell r="D859" t="str">
            <v>24_16</v>
          </cell>
        </row>
        <row r="860">
          <cell r="C860" t="str">
            <v>Sovereign wealth funds - Separate accounts investing into indirect vehicles</v>
          </cell>
          <cell r="D860" t="str">
            <v>24_17</v>
          </cell>
        </row>
        <row r="861">
          <cell r="C861" t="str">
            <v>Sovereign wealth funds - Joint ventures and club deals</v>
          </cell>
          <cell r="D861" t="str">
            <v>24_18</v>
          </cell>
        </row>
        <row r="862">
          <cell r="C862" t="str">
            <v>Sovereign wealth funds - Funds of funds</v>
          </cell>
          <cell r="D862" t="str">
            <v>24_19</v>
          </cell>
        </row>
        <row r="863">
          <cell r="C863" t="str">
            <v>Sovereign wealth funds - Non-listed debt products</v>
          </cell>
          <cell r="D863" t="str">
            <v>24_20</v>
          </cell>
        </row>
        <row r="864">
          <cell r="C864" t="str">
            <v>Sovereign wealth funds TOTAL</v>
          </cell>
          <cell r="D864" t="str">
            <v>24_21</v>
          </cell>
        </row>
        <row r="865">
          <cell r="C865" t="str">
            <v>Government institutions - Non-listed/ commingled real estate funds/private REITs</v>
          </cell>
          <cell r="D865" t="str">
            <v>24_22</v>
          </cell>
        </row>
        <row r="866">
          <cell r="C866" t="str">
            <v>Government institutions - Separate accounts investing directly into real estate</v>
          </cell>
          <cell r="D866" t="str">
            <v>24_23</v>
          </cell>
        </row>
        <row r="867">
          <cell r="C867" t="str">
            <v>Government institutions - Separate accounts investing into indirect vehicles</v>
          </cell>
          <cell r="D867" t="str">
            <v>24_24</v>
          </cell>
        </row>
        <row r="868">
          <cell r="C868" t="str">
            <v>Government institutions - Joint ventures and club deals</v>
          </cell>
          <cell r="D868" t="str">
            <v>24_25</v>
          </cell>
        </row>
        <row r="869">
          <cell r="C869" t="str">
            <v>Government institutions - Funds of funds</v>
          </cell>
          <cell r="D869" t="str">
            <v>24_26</v>
          </cell>
        </row>
        <row r="870">
          <cell r="C870" t="str">
            <v>Government institutions - Non-listed debt products</v>
          </cell>
          <cell r="D870" t="str">
            <v>24_27</v>
          </cell>
        </row>
        <row r="871">
          <cell r="C871" t="str">
            <v>Government institutions TOTAL</v>
          </cell>
          <cell r="D871" t="str">
            <v>24_28</v>
          </cell>
        </row>
        <row r="872">
          <cell r="C872" t="str">
            <v>Charities, foundations, non-profit organisations - Non-listed/ commingled real estate funds/private REITs</v>
          </cell>
          <cell r="D872" t="str">
            <v>24_29</v>
          </cell>
        </row>
        <row r="873">
          <cell r="C873" t="str">
            <v>Charities, foundations, non-profit organisations - Separate accounts investing directly into real estate</v>
          </cell>
          <cell r="D873" t="str">
            <v>24_30</v>
          </cell>
        </row>
        <row r="874">
          <cell r="C874" t="str">
            <v>Charities, foundations, non-profit organisations - Separate accounts investing into indirect vehicles</v>
          </cell>
          <cell r="D874" t="str">
            <v>24_31</v>
          </cell>
        </row>
        <row r="875">
          <cell r="C875" t="str">
            <v>Charities, foundations, non-profit organisations - Joint ventures and club deals</v>
          </cell>
          <cell r="D875" t="str">
            <v>24_32</v>
          </cell>
        </row>
        <row r="876">
          <cell r="C876" t="str">
            <v>Charities, foundations, non-profit organisations - Funds of funds</v>
          </cell>
          <cell r="D876" t="str">
            <v>24_33</v>
          </cell>
        </row>
        <row r="877">
          <cell r="C877" t="str">
            <v>Charities, foundations, non-profit organisations - Non-listed debt products</v>
          </cell>
          <cell r="D877" t="str">
            <v>24_34</v>
          </cell>
        </row>
        <row r="878">
          <cell r="C878" t="str">
            <v>Charities, foundations, non-profit organisations  TOTAL</v>
          </cell>
          <cell r="D878" t="str">
            <v>24_35</v>
          </cell>
        </row>
        <row r="879">
          <cell r="C879" t="str">
            <v>Funds of funds - Non-listed/ commingled real estate funds/private REITs</v>
          </cell>
          <cell r="D879" t="str">
            <v>24_36</v>
          </cell>
        </row>
        <row r="880">
          <cell r="C880" t="str">
            <v>Funds of funds - Separate accounts investing directly into real estate</v>
          </cell>
          <cell r="D880" t="str">
            <v>24_37</v>
          </cell>
        </row>
        <row r="881">
          <cell r="C881" t="str">
            <v>Funds of funds - Separate accounts investing into indirect vehicles</v>
          </cell>
          <cell r="D881" t="str">
            <v>24_38</v>
          </cell>
        </row>
        <row r="882">
          <cell r="C882" t="str">
            <v>Funds of funds - Joint ventures and club deals</v>
          </cell>
          <cell r="D882" t="str">
            <v>24_39</v>
          </cell>
        </row>
        <row r="883">
          <cell r="C883" t="str">
            <v>Funds of funds - Funds of funds</v>
          </cell>
          <cell r="D883" t="str">
            <v>24_40</v>
          </cell>
        </row>
        <row r="884">
          <cell r="C884" t="str">
            <v>Funds of funds - Non-listed debt products</v>
          </cell>
          <cell r="D884" t="str">
            <v>24_41</v>
          </cell>
        </row>
        <row r="885">
          <cell r="C885" t="str">
            <v>Funds of funds TOTAL</v>
          </cell>
          <cell r="D885" t="str">
            <v>24_42</v>
          </cell>
        </row>
        <row r="886">
          <cell r="C886" t="str">
            <v>High net worth individuals /Family offices - Non-listed/ commingled real estate funds/private REITs</v>
          </cell>
          <cell r="D886" t="str">
            <v>24_43</v>
          </cell>
        </row>
        <row r="887">
          <cell r="C887" t="str">
            <v>High net worth individuals /Family offices - Separate accounts investing directly into real estate</v>
          </cell>
          <cell r="D887" t="str">
            <v>24_44</v>
          </cell>
        </row>
        <row r="888">
          <cell r="C888" t="str">
            <v>High net worth individuals /Family offices - Separate accounts investing into indirect vehicles</v>
          </cell>
          <cell r="D888" t="str">
            <v>24_45</v>
          </cell>
        </row>
        <row r="889">
          <cell r="C889" t="str">
            <v>High net worth individuals /Family offices - Joint ventures and club deals</v>
          </cell>
          <cell r="D889" t="str">
            <v>24_46</v>
          </cell>
        </row>
        <row r="890">
          <cell r="C890" t="str">
            <v>High net worth individuals /Family offices - Funds of funds</v>
          </cell>
          <cell r="D890" t="str">
            <v>24_47</v>
          </cell>
        </row>
        <row r="891">
          <cell r="C891" t="str">
            <v>High net worth individuals /Family offices - Non-listed debt products</v>
          </cell>
          <cell r="D891" t="str">
            <v>24_48</v>
          </cell>
        </row>
        <row r="892">
          <cell r="C892" t="str">
            <v>High net worth individuals /Family offices TOTAL</v>
          </cell>
          <cell r="D892" t="str">
            <v>24_49</v>
          </cell>
        </row>
        <row r="893">
          <cell r="C893" t="str">
            <v>Other (please specify)</v>
          </cell>
          <cell r="D893" t="str">
            <v>24_50</v>
          </cell>
        </row>
        <row r="894">
          <cell r="C894" t="str">
            <v>Other - Non-listed/ commingled real estate funds/private REITs</v>
          </cell>
          <cell r="D894" t="str">
            <v>24_51</v>
          </cell>
        </row>
        <row r="895">
          <cell r="C895" t="str">
            <v>Other - Separate accounts investing directly into real estate</v>
          </cell>
          <cell r="D895" t="str">
            <v>24_52</v>
          </cell>
        </row>
        <row r="896">
          <cell r="C896" t="str">
            <v>Other - Separate accounts investing into indirect vehicles</v>
          </cell>
          <cell r="D896" t="str">
            <v>24_53</v>
          </cell>
        </row>
        <row r="897">
          <cell r="C897" t="str">
            <v>Other - Joint ventures and club deals</v>
          </cell>
          <cell r="D897" t="str">
            <v>24_54</v>
          </cell>
        </row>
        <row r="898">
          <cell r="C898" t="str">
            <v>Other - Funds of funds</v>
          </cell>
          <cell r="D898" t="str">
            <v>24_55</v>
          </cell>
        </row>
        <row r="899">
          <cell r="C899" t="str">
            <v>Other - Non-listed debt products</v>
          </cell>
          <cell r="D899" t="str">
            <v>24_56</v>
          </cell>
        </row>
        <row r="900">
          <cell r="C900" t="str">
            <v>Other TOTAL</v>
          </cell>
          <cell r="D900" t="str">
            <v>24_57</v>
          </cell>
        </row>
        <row r="901">
          <cell r="C901" t="str">
            <v>Non-listed/ commingled real estate funds/private REITs TOTAL</v>
          </cell>
          <cell r="D901" t="str">
            <v>24_58</v>
          </cell>
        </row>
        <row r="902">
          <cell r="C902" t="str">
            <v>Separate accounts investing directly into real estate TOTAL</v>
          </cell>
          <cell r="D902" t="str">
            <v>24_59</v>
          </cell>
        </row>
        <row r="903">
          <cell r="C903" t="str">
            <v>Separate accounts investing into indirect vehicles TOTAL</v>
          </cell>
          <cell r="D903" t="str">
            <v>24_60</v>
          </cell>
        </row>
        <row r="904">
          <cell r="C904" t="str">
            <v>Joint ventures and club deals TOTAL</v>
          </cell>
          <cell r="D904" t="str">
            <v>24_61</v>
          </cell>
        </row>
        <row r="905">
          <cell r="C905" t="str">
            <v>Funds of funds TOTAL</v>
          </cell>
          <cell r="D905" t="str">
            <v>24_62</v>
          </cell>
        </row>
        <row r="906">
          <cell r="C906" t="str">
            <v>Non-listed debt products TOTAL</v>
          </cell>
          <cell r="D906" t="str">
            <v>24_63</v>
          </cell>
        </row>
        <row r="907">
          <cell r="C907" t="str">
            <v>TOTAL institutional capital by investor type</v>
          </cell>
          <cell r="D907" t="str">
            <v>24_64</v>
          </cell>
        </row>
        <row r="908">
          <cell r="C908" t="str">
            <v>[African strategy] How much institutional capital did your company raise in 2018 by investor domicile (million)?</v>
          </cell>
          <cell r="D908">
            <v>25</v>
          </cell>
        </row>
        <row r="909">
          <cell r="C909" t="str">
            <v>Europe - Non-listed/ commingled real estate funds/private REITs</v>
          </cell>
          <cell r="D909" t="str">
            <v>25_1</v>
          </cell>
        </row>
        <row r="910">
          <cell r="C910" t="str">
            <v>Europe - Separate accounts investing directly into real estate</v>
          </cell>
          <cell r="D910" t="str">
            <v>25_2</v>
          </cell>
        </row>
        <row r="911">
          <cell r="C911" t="str">
            <v>Europe - Separate accounts investing into indirect vehicles</v>
          </cell>
          <cell r="D911" t="str">
            <v>25_3</v>
          </cell>
        </row>
        <row r="912">
          <cell r="C912" t="str">
            <v>Europe - Joint ventures and club deals</v>
          </cell>
          <cell r="D912" t="str">
            <v>25_4</v>
          </cell>
        </row>
        <row r="913">
          <cell r="C913" t="str">
            <v>Europe - Funds of funds</v>
          </cell>
          <cell r="D913" t="str">
            <v>25_5</v>
          </cell>
        </row>
        <row r="914">
          <cell r="C914" t="str">
            <v>Europe - Non-listed debt products</v>
          </cell>
          <cell r="D914" t="str">
            <v>25_6</v>
          </cell>
        </row>
        <row r="915">
          <cell r="C915" t="str">
            <v>Europe TOTAL</v>
          </cell>
          <cell r="D915" t="str">
            <v>25_7</v>
          </cell>
        </row>
        <row r="916">
          <cell r="C916" t="str">
            <v>Asia Pacific - Non-listed/ commingled real estate funds/private REITs</v>
          </cell>
          <cell r="D916" t="str">
            <v>25_8</v>
          </cell>
        </row>
        <row r="917">
          <cell r="C917" t="str">
            <v>Asia Pacific - Separate accounts investing directly into real estate</v>
          </cell>
          <cell r="D917" t="str">
            <v>25_9</v>
          </cell>
        </row>
        <row r="918">
          <cell r="C918" t="str">
            <v>Asia Pacific - Separate accounts investing into indirect vehicles</v>
          </cell>
          <cell r="D918" t="str">
            <v>25_10</v>
          </cell>
        </row>
        <row r="919">
          <cell r="C919" t="str">
            <v>Asia Pacific - Joint ventures and club deals</v>
          </cell>
          <cell r="D919" t="str">
            <v>25_11</v>
          </cell>
        </row>
        <row r="920">
          <cell r="C920" t="str">
            <v>Asia Pacific - Funds of funds</v>
          </cell>
          <cell r="D920" t="str">
            <v>25_12</v>
          </cell>
        </row>
        <row r="921">
          <cell r="C921" t="str">
            <v>Asia Pacific - Non-listed debt products</v>
          </cell>
          <cell r="D921" t="str">
            <v>25_13</v>
          </cell>
        </row>
        <row r="922">
          <cell r="C922" t="str">
            <v>Asia Pacific TOTAL</v>
          </cell>
          <cell r="D922" t="str">
            <v>25_14</v>
          </cell>
        </row>
        <row r="923">
          <cell r="C923" t="str">
            <v>North America - Non-listed/ commingled real estate funds/private REITs</v>
          </cell>
          <cell r="D923" t="str">
            <v>25_15</v>
          </cell>
        </row>
        <row r="924">
          <cell r="C924" t="str">
            <v>North America - Separate accounts investing directly into real estate</v>
          </cell>
          <cell r="D924" t="str">
            <v>25_16</v>
          </cell>
        </row>
        <row r="925">
          <cell r="C925" t="str">
            <v>North America - Separate accounts investing into indirect vehicles</v>
          </cell>
          <cell r="D925" t="str">
            <v>25_17</v>
          </cell>
        </row>
        <row r="926">
          <cell r="C926" t="str">
            <v>North America - Joint ventures and club deals</v>
          </cell>
          <cell r="D926" t="str">
            <v>25_18</v>
          </cell>
        </row>
        <row r="927">
          <cell r="C927" t="str">
            <v>North America - Funds of funds</v>
          </cell>
          <cell r="D927" t="str">
            <v>25_19</v>
          </cell>
        </row>
        <row r="928">
          <cell r="C928" t="str">
            <v>North America - Non-listed debt products</v>
          </cell>
          <cell r="D928" t="str">
            <v>25_20</v>
          </cell>
        </row>
        <row r="929">
          <cell r="C929" t="str">
            <v>North America TOTAL</v>
          </cell>
          <cell r="D929" t="str">
            <v>25_21</v>
          </cell>
        </row>
        <row r="930">
          <cell r="C930" t="str">
            <v>South America - Non-listed/ commingled real estate funds/private REITs</v>
          </cell>
          <cell r="D930" t="str">
            <v>25_22</v>
          </cell>
        </row>
        <row r="931">
          <cell r="C931" t="str">
            <v>South America - Separate accounts investing directly into real estate</v>
          </cell>
          <cell r="D931" t="str">
            <v>25_23</v>
          </cell>
        </row>
        <row r="932">
          <cell r="C932" t="str">
            <v>South America - Separate accounts investing into indirect vehicles</v>
          </cell>
          <cell r="D932" t="str">
            <v>25_24</v>
          </cell>
        </row>
        <row r="933">
          <cell r="C933" t="str">
            <v>South America - Joint ventures and club deals</v>
          </cell>
          <cell r="D933" t="str">
            <v>25_25</v>
          </cell>
        </row>
        <row r="934">
          <cell r="C934" t="str">
            <v>South America - Funds of funds</v>
          </cell>
          <cell r="D934" t="str">
            <v>25_26</v>
          </cell>
        </row>
        <row r="935">
          <cell r="C935" t="str">
            <v>South America - Non-listed debt products</v>
          </cell>
          <cell r="D935" t="str">
            <v>25_27</v>
          </cell>
        </row>
        <row r="936">
          <cell r="C936" t="str">
            <v>South America TOTAL</v>
          </cell>
          <cell r="D936" t="str">
            <v>25_28</v>
          </cell>
        </row>
        <row r="937">
          <cell r="C937" t="str">
            <v>Africa - Non-listed/ commingled real estate funds/private REITs</v>
          </cell>
          <cell r="D937" t="str">
            <v>25_29</v>
          </cell>
        </row>
        <row r="938">
          <cell r="C938" t="str">
            <v>Africa - Separate accounts investing directly into real estate</v>
          </cell>
          <cell r="D938" t="str">
            <v>25_30</v>
          </cell>
        </row>
        <row r="939">
          <cell r="C939" t="str">
            <v>Africa - Separate accounts investing into indirect vehicles</v>
          </cell>
          <cell r="D939" t="str">
            <v>25_31</v>
          </cell>
        </row>
        <row r="940">
          <cell r="C940" t="str">
            <v>Africa - Joint ventures and club deals</v>
          </cell>
          <cell r="D940" t="str">
            <v>25_32</v>
          </cell>
        </row>
        <row r="941">
          <cell r="C941" t="str">
            <v>Africa - Funds of funds</v>
          </cell>
          <cell r="D941" t="str">
            <v>25_33</v>
          </cell>
        </row>
        <row r="942">
          <cell r="C942" t="str">
            <v>Africa - Non-listed debt products</v>
          </cell>
          <cell r="D942" t="str">
            <v>25_34</v>
          </cell>
        </row>
        <row r="943">
          <cell r="C943" t="str">
            <v>Africa  TOTAL</v>
          </cell>
          <cell r="D943" t="str">
            <v>25_35</v>
          </cell>
        </row>
        <row r="944">
          <cell r="C944" t="str">
            <v>Non-listed/ commingled real estate funds/private REITs TOTAL</v>
          </cell>
          <cell r="D944" t="str">
            <v>25_36</v>
          </cell>
        </row>
        <row r="945">
          <cell r="C945" t="str">
            <v>Separate accounts investing directly into real estate TOTAL</v>
          </cell>
          <cell r="D945" t="str">
            <v>25_37</v>
          </cell>
        </row>
        <row r="946">
          <cell r="C946" t="str">
            <v>Separate accounts investing into indirect vehicles TOTAL</v>
          </cell>
          <cell r="D946" t="str">
            <v>25_38</v>
          </cell>
        </row>
        <row r="947">
          <cell r="C947" t="str">
            <v>Joint ventures and club deals TOTAL</v>
          </cell>
          <cell r="D947" t="str">
            <v>25_39</v>
          </cell>
        </row>
        <row r="948">
          <cell r="C948" t="str">
            <v>Funds of funds TOTAL</v>
          </cell>
          <cell r="D948" t="str">
            <v>25_40</v>
          </cell>
        </row>
        <row r="949">
          <cell r="C949" t="str">
            <v>Non-listed debt products TOTAL</v>
          </cell>
          <cell r="D949" t="str">
            <v>25_41</v>
          </cell>
        </row>
        <row r="950">
          <cell r="C950" t="str">
            <v>TOTAL institutional capital by investor domicle</v>
          </cell>
          <cell r="D950" t="str">
            <v>25_42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BBF8FF6-BE0B-4CAC-9009-C76B9B60854B}" autoFormatId="16" applyNumberFormats="0" applyBorderFormats="0" applyFontFormats="0" applyPatternFormats="0" applyAlignmentFormats="0" applyWidthHeightFormats="0">
  <queryTableRefresh nextId="16">
    <queryTableFields count="12">
      <queryTableField id="1" name="Column" tableColumnId="1"/>
      <queryTableField id="4" name="Format" tableColumnId="4"/>
      <queryTableField id="5" name="QuestionText" tableColumnId="5"/>
      <queryTableField id="6" name="dtcode" tableColumnId="6"/>
      <queryTableField id="8" name="answer_Label" tableColumnId="8"/>
      <queryTableField id="9" name="answer_label_condensed" tableColumnId="9"/>
      <queryTableField id="10" name="qn_breakdown_label" tableColumnId="10"/>
      <queryTableField id="11" name="section" tableColumnId="11"/>
      <queryTableField id="12" name="Topic" tableColumnId="12"/>
      <queryTableField id="13" name="sub_topic" tableColumnId="13"/>
      <queryTableField id="14" name="Question" tableColumnId="14"/>
      <queryTableField id="15" name="comment" tableColumnId="15"/>
    </queryTableFields>
    <queryTableDeletedFields count="3">
      <deletedField name="suffix"/>
      <deletedField name="OriginalColumn"/>
      <deletedField name="2021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A981C77-9416-4909-A5BA-D3F9081F2B1F}" autoFormatId="16" applyNumberFormats="0" applyBorderFormats="0" applyFontFormats="0" applyPatternFormats="0" applyAlignmentFormats="0" applyWidthHeightFormats="0">
  <queryTableRefresh nextId="5">
    <queryTableFields count="4">
      <queryTableField id="1" name="Question" tableColumnId="1"/>
      <queryTableField id="2" name="Value" tableColumnId="2"/>
      <queryTableField id="3" name="Text" tableColumnId="3"/>
      <queryTableField id="4" name="Label" tableColumnId="4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12</v>
    <v>0681</v>
    <v>0</v>
  </rv>
</rvData>
</file>

<file path=xl/richData/rdrichvaluestructure.xml><?xml version="1.0" encoding="utf-8"?>
<rvStructures xmlns="http://schemas.microsoft.com/office/spreadsheetml/2017/richdata" count="1">
  <s t="_error">
    <k n="errorType" t="i"/>
    <k n="field" t="s"/>
    <k n="subType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80420C-4FB8-4A72-830E-32BCCB6098E9}" name="cr_2019_question_map" displayName="cr_2019_question_map" ref="A1:L915" tableType="queryTable" totalsRowShown="0">
  <autoFilter ref="A1:L915" xr:uid="{0F80420C-4FB8-4A72-830E-32BCCB6098E9}"/>
  <tableColumns count="12">
    <tableColumn id="1" xr3:uid="{54C45709-E100-49E0-821E-BE4BA2C5008E}" uniqueName="1" name="Column" queryTableFieldId="1" dataDxfId="15"/>
    <tableColumn id="4" xr3:uid="{030BF2F7-E3AD-40B4-87CD-7CB3334FC087}" uniqueName="4" name="Format" queryTableFieldId="4" dataDxfId="14"/>
    <tableColumn id="5" xr3:uid="{8F6926FB-4A10-4877-94CA-7E957F1EA48E}" uniqueName="5" name="QuestionText" queryTableFieldId="5" dataDxfId="13"/>
    <tableColumn id="6" xr3:uid="{69656B32-340C-4687-A8F5-7DE9C929C268}" uniqueName="6" name="dtcode" queryTableFieldId="6" dataDxfId="12"/>
    <tableColumn id="8" xr3:uid="{CE833BA5-EF07-459B-8A9F-DB304C30E2A0}" uniqueName="8" name="answer_Label" queryTableFieldId="8" dataDxfId="11"/>
    <tableColumn id="9" xr3:uid="{71734CA1-763B-4F3C-A147-3F37D04A9837}" uniqueName="9" name="answer_label_condensed" queryTableFieldId="9" dataDxfId="10"/>
    <tableColumn id="10" xr3:uid="{96FFA723-7B8D-4AB9-B70B-47E8FDF261A9}" uniqueName="10" name="qn_breakdown_label" queryTableFieldId="10" dataDxfId="9"/>
    <tableColumn id="11" xr3:uid="{E95B2356-06FF-4A27-9BF7-EAC659F4D056}" uniqueName="11" name="section" queryTableFieldId="11" dataDxfId="8"/>
    <tableColumn id="12" xr3:uid="{9571AE63-2070-4B81-820E-7CB2B65411A4}" uniqueName="12" name="Topic" queryTableFieldId="12" dataDxfId="7"/>
    <tableColumn id="13" xr3:uid="{868FF5B7-09D1-4671-8CAD-DD931FE9DC88}" uniqueName="13" name="sub_topic" queryTableFieldId="13" dataDxfId="6"/>
    <tableColumn id="14" xr3:uid="{C0B99EA5-5F58-474D-839E-D2443C4D26B8}" uniqueName="14" name="Question" queryTableFieldId="14" dataDxfId="5"/>
    <tableColumn id="15" xr3:uid="{4BF306D2-9345-4A5A-8CB3-A835D28F9682}" uniqueName="15" name="comment" queryTableFieldId="15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4EF3A9-A253-403C-8FE7-C174BD8B6542}" name="cr_2019_answer_map" displayName="cr_2019_answer_map" ref="A1:D42" tableType="queryTable" totalsRowShown="0">
  <autoFilter ref="A1:D42" xr:uid="{244EF3A9-A253-403C-8FE7-C174BD8B6542}"/>
  <tableColumns count="4">
    <tableColumn id="1" xr3:uid="{33E71ED3-E8B5-488C-8400-BBD588F7E4BD}" uniqueName="1" name="Question" queryTableFieldId="1" dataDxfId="3"/>
    <tableColumn id="2" xr3:uid="{4FC1DEAD-CD82-442D-B10B-E7CE8E8BA6AF}" uniqueName="2" name="Value" queryTableFieldId="2" dataDxfId="2"/>
    <tableColumn id="3" xr3:uid="{5FF2DDC3-E8D5-4DDD-A52A-96A8F4E5F631}" uniqueName="3" name="Text" queryTableFieldId="3" dataDxfId="1"/>
    <tableColumn id="4" xr3:uid="{9083CDAB-9AEB-4FFE-AC02-FF20A13F53C5}" uniqueName="4" name="Label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customProperty" Target="../customProperty3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6.bin"/><Relationship Id="rId2" Type="http://schemas.openxmlformats.org/officeDocument/2006/relationships/customProperty" Target="../customProperty5.bin"/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8.bin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9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0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E8A07-7FB7-4C31-8E09-DC331EEF9868}">
  <sheetPr>
    <tabColor theme="9" tint="-0.249977111117893"/>
  </sheetPr>
  <dimension ref="A1:AIU216"/>
  <sheetViews>
    <sheetView topLeftCell="Z1" zoomScale="80" zoomScaleNormal="80" workbookViewId="0">
      <selection activeCell="AB39" sqref="AB39"/>
    </sheetView>
  </sheetViews>
  <sheetFormatPr defaultRowHeight="12.75" x14ac:dyDescent="0.2"/>
  <cols>
    <col min="1" max="1" width="14" bestFit="1" customWidth="1"/>
    <col min="2" max="2" width="21" bestFit="1" customWidth="1"/>
    <col min="3" max="3" width="58.28515625" bestFit="1" customWidth="1"/>
    <col min="4" max="4" width="8" customWidth="1"/>
    <col min="5" max="5" width="21.85546875" customWidth="1"/>
    <col min="6" max="6" width="8" customWidth="1"/>
    <col min="7" max="7" width="24.140625" customWidth="1"/>
    <col min="8" max="8" width="13.7109375" customWidth="1"/>
    <col min="9" max="9" width="30.5703125" customWidth="1"/>
    <col min="10" max="10" width="8" customWidth="1"/>
    <col min="11" max="11" width="24" customWidth="1"/>
    <col min="12" max="12" width="13.85546875" customWidth="1"/>
    <col min="13" max="13" width="30.7109375" customWidth="1"/>
    <col min="14" max="14" width="8" customWidth="1"/>
    <col min="15" max="15" width="23" customWidth="1"/>
    <col min="16" max="16" width="12.42578125" customWidth="1"/>
    <col min="17" max="17" width="10" customWidth="1"/>
    <col min="18" max="18" width="8.5703125" customWidth="1"/>
    <col min="19" max="19" width="12.28515625" customWidth="1"/>
    <col min="20" max="20" width="8.140625" customWidth="1"/>
    <col min="21" max="21" width="11.28515625" customWidth="1"/>
    <col min="22" max="22" width="9.85546875" customWidth="1"/>
    <col min="23" max="23" width="17.140625" style="20" bestFit="1" customWidth="1"/>
    <col min="24" max="24" width="15" customWidth="1"/>
    <col min="25" max="25" width="8.140625" customWidth="1"/>
    <col min="26" max="26" width="33.28515625" customWidth="1"/>
    <col min="27" max="28" width="52.5703125" customWidth="1"/>
    <col min="29" max="29" width="58" customWidth="1"/>
    <col min="30" max="30" width="43.140625" customWidth="1"/>
    <col min="31" max="31" width="21.42578125" customWidth="1"/>
    <col min="32" max="32" width="19.42578125" customWidth="1"/>
    <col min="33" max="33" width="10" customWidth="1"/>
    <col min="34" max="34" width="15.28515625" hidden="1" customWidth="1"/>
    <col min="35" max="35" width="3.28515625" hidden="1" customWidth="1"/>
    <col min="36" max="36" width="5.5703125" hidden="1" customWidth="1"/>
    <col min="37" max="37" width="72.5703125" hidden="1" customWidth="1"/>
    <col min="38" max="38" width="20.42578125" hidden="1" customWidth="1"/>
    <col min="39" max="39" width="25.140625" hidden="1" customWidth="1"/>
    <col min="40" max="40" width="20.42578125" hidden="1" customWidth="1"/>
    <col min="41" max="41" width="25.140625" hidden="1" customWidth="1"/>
    <col min="42" max="44" width="7.140625" hidden="1" customWidth="1"/>
    <col min="45" max="45" width="10.28515625" hidden="1" customWidth="1"/>
    <col min="46" max="46" width="6.42578125" hidden="1" customWidth="1"/>
    <col min="47" max="47" width="7.140625" hidden="1" customWidth="1"/>
    <col min="48" max="48" width="16.42578125" hidden="1" customWidth="1"/>
    <col min="49" max="49" width="9.28515625" hidden="1" customWidth="1"/>
    <col min="50" max="50" width="8.140625" hidden="1" customWidth="1"/>
    <col min="51" max="51" width="6.42578125" hidden="1" customWidth="1"/>
    <col min="52" max="52" width="8.140625" hidden="1" customWidth="1"/>
    <col min="53" max="53" width="10.28515625" hidden="1" customWidth="1"/>
    <col min="54" max="54" width="6.42578125" hidden="1" customWidth="1"/>
    <col min="55" max="55" width="16.42578125" hidden="1" customWidth="1"/>
    <col min="56" max="56" width="10.28515625" hidden="1" customWidth="1"/>
    <col min="57" max="57" width="7.140625" hidden="1" customWidth="1"/>
    <col min="58" max="58" width="6.42578125" hidden="1" customWidth="1"/>
    <col min="59" max="59" width="8.140625" hidden="1" customWidth="1"/>
    <col min="60" max="60" width="6.42578125" hidden="1" customWidth="1"/>
    <col min="61" max="61" width="9.28515625" hidden="1" customWidth="1"/>
    <col min="62" max="62" width="16.42578125" hidden="1" customWidth="1"/>
    <col min="63" max="66" width="6.42578125" hidden="1" customWidth="1"/>
    <col min="67" max="67" width="10.28515625" hidden="1" customWidth="1"/>
    <col min="68" max="68" width="7.140625" hidden="1" customWidth="1"/>
    <col min="69" max="69" width="16.42578125" hidden="1" customWidth="1"/>
    <col min="70" max="75" width="6.42578125" hidden="1" customWidth="1"/>
    <col min="76" max="76" width="16.42578125" hidden="1" customWidth="1"/>
    <col min="77" max="82" width="6.42578125" hidden="1" customWidth="1"/>
    <col min="83" max="83" width="16.42578125" hidden="1" customWidth="1"/>
    <col min="84" max="89" width="15.28515625" hidden="1" customWidth="1"/>
    <col min="90" max="90" width="22.42578125" hidden="1" customWidth="1"/>
    <col min="91" max="96" width="6.42578125" hidden="1" customWidth="1"/>
    <col min="97" max="97" width="16.42578125" hidden="1" customWidth="1"/>
    <col min="98" max="103" width="6.42578125" hidden="1" customWidth="1"/>
    <col min="104" max="104" width="16.42578125" hidden="1" customWidth="1"/>
    <col min="105" max="110" width="6.42578125" hidden="1" customWidth="1"/>
    <col min="111" max="111" width="16.42578125" hidden="1" customWidth="1"/>
    <col min="112" max="117" width="6.42578125" hidden="1" customWidth="1"/>
    <col min="118" max="118" width="16.42578125" hidden="1" customWidth="1"/>
    <col min="119" max="124" width="6.42578125" hidden="1" customWidth="1"/>
    <col min="125" max="125" width="16.42578125" hidden="1" customWidth="1"/>
    <col min="126" max="131" width="6.42578125" hidden="1" customWidth="1"/>
    <col min="132" max="132" width="16.42578125" hidden="1" customWidth="1"/>
    <col min="133" max="138" width="15.28515625" hidden="1" customWidth="1"/>
    <col min="139" max="139" width="22.42578125" hidden="1" customWidth="1"/>
    <col min="140" max="175" width="9.5703125" hidden="1" customWidth="1"/>
    <col min="176" max="176" width="8.140625" hidden="1" customWidth="1"/>
    <col min="177" max="178" width="7.140625" hidden="1" customWidth="1"/>
    <col min="179" max="179" width="10.28515625" hidden="1" customWidth="1"/>
    <col min="180" max="181" width="6.42578125" hidden="1" customWidth="1"/>
    <col min="182" max="182" width="16.42578125" hidden="1" customWidth="1"/>
    <col min="183" max="183" width="8.140625" hidden="1" customWidth="1"/>
    <col min="184" max="184" width="7.140625" hidden="1" customWidth="1"/>
    <col min="185" max="185" width="6.42578125" hidden="1" customWidth="1"/>
    <col min="186" max="186" width="10.28515625" hidden="1" customWidth="1"/>
    <col min="187" max="187" width="6.42578125" hidden="1" customWidth="1"/>
    <col min="188" max="188" width="9.28515625" hidden="1" customWidth="1"/>
    <col min="189" max="189" width="16.42578125" hidden="1" customWidth="1"/>
    <col min="190" max="190" width="7.140625" hidden="1" customWidth="1"/>
    <col min="191" max="192" width="6.42578125" hidden="1" customWidth="1"/>
    <col min="193" max="193" width="8.140625" hidden="1" customWidth="1"/>
    <col min="194" max="195" width="6.42578125" hidden="1" customWidth="1"/>
    <col min="196" max="196" width="16.42578125" hidden="1" customWidth="1"/>
    <col min="197" max="197" width="7.140625" hidden="1" customWidth="1"/>
    <col min="198" max="199" width="6.42578125" hidden="1" customWidth="1"/>
    <col min="200" max="201" width="7.140625" hidden="1" customWidth="1"/>
    <col min="202" max="202" width="6.42578125" hidden="1" customWidth="1"/>
    <col min="203" max="203" width="16.42578125" hidden="1" customWidth="1"/>
    <col min="204" max="204" width="9.28515625" hidden="1" customWidth="1"/>
    <col min="205" max="209" width="6.42578125" hidden="1" customWidth="1"/>
    <col min="210" max="210" width="16.42578125" hidden="1" customWidth="1"/>
    <col min="211" max="211" width="8.140625" hidden="1" customWidth="1"/>
    <col min="212" max="213" width="6.42578125" hidden="1" customWidth="1"/>
    <col min="214" max="215" width="10.28515625" hidden="1" customWidth="1"/>
    <col min="216" max="216" width="6.42578125" hidden="1" customWidth="1"/>
    <col min="217" max="217" width="16.42578125" hidden="1" customWidth="1"/>
    <col min="218" max="218" width="9.28515625" hidden="1" customWidth="1"/>
    <col min="219" max="220" width="6.42578125" hidden="1" customWidth="1"/>
    <col min="221" max="221" width="9.28515625" hidden="1" customWidth="1"/>
    <col min="222" max="223" width="6.42578125" hidden="1" customWidth="1"/>
    <col min="224" max="224" width="16.42578125" hidden="1" customWidth="1"/>
    <col min="225" max="225" width="71.42578125" hidden="1" customWidth="1"/>
    <col min="226" max="226" width="10.28515625" hidden="1" customWidth="1"/>
    <col min="227" max="227" width="8.140625" hidden="1" customWidth="1"/>
    <col min="228" max="228" width="6.42578125" hidden="1" customWidth="1"/>
    <col min="229" max="229" width="10.28515625" hidden="1" customWidth="1"/>
    <col min="230" max="230" width="8.140625" hidden="1" customWidth="1"/>
    <col min="231" max="231" width="9.28515625" hidden="1" customWidth="1"/>
    <col min="232" max="232" width="16.42578125" hidden="1" customWidth="1"/>
    <col min="233" max="238" width="15.28515625" hidden="1" customWidth="1"/>
    <col min="239" max="239" width="22.42578125" hidden="1" customWidth="1"/>
    <col min="240" max="240" width="9.28515625" hidden="1" customWidth="1"/>
    <col min="241" max="242" width="7.140625" hidden="1" customWidth="1"/>
    <col min="243" max="244" width="10.28515625" hidden="1" customWidth="1"/>
    <col min="245" max="245" width="9.28515625" hidden="1" customWidth="1"/>
    <col min="246" max="246" width="16.42578125" hidden="1" customWidth="1"/>
    <col min="247" max="247" width="9.28515625" hidden="1" customWidth="1"/>
    <col min="248" max="248" width="8.140625" hidden="1" customWidth="1"/>
    <col min="249" max="249" width="6.42578125" hidden="1" customWidth="1"/>
    <col min="250" max="251" width="10.28515625" hidden="1" customWidth="1"/>
    <col min="252" max="252" width="6.42578125" hidden="1" customWidth="1"/>
    <col min="253" max="253" width="16.42578125" hidden="1" customWidth="1"/>
    <col min="254" max="254" width="10.28515625" hidden="1" customWidth="1"/>
    <col min="255" max="255" width="7.140625" hidden="1" customWidth="1"/>
    <col min="256" max="256" width="6.42578125" hidden="1" customWidth="1"/>
    <col min="257" max="257" width="10.28515625" hidden="1" customWidth="1"/>
    <col min="258" max="258" width="6.42578125" hidden="1" customWidth="1"/>
    <col min="259" max="259" width="7.140625" hidden="1" customWidth="1"/>
    <col min="260" max="260" width="16.42578125" hidden="1" customWidth="1"/>
    <col min="261" max="263" width="6.42578125" hidden="1" customWidth="1"/>
    <col min="264" max="264" width="9.28515625" hidden="1" customWidth="1"/>
    <col min="265" max="266" width="6.42578125" hidden="1" customWidth="1"/>
    <col min="267" max="267" width="16.42578125" hidden="1" customWidth="1"/>
    <col min="268" max="270" width="6.42578125" hidden="1" customWidth="1"/>
    <col min="271" max="271" width="8.140625" hidden="1" customWidth="1"/>
    <col min="272" max="273" width="6.42578125" hidden="1" customWidth="1"/>
    <col min="274" max="274" width="16.42578125" hidden="1" customWidth="1"/>
    <col min="275" max="280" width="15.28515625" hidden="1" customWidth="1"/>
    <col min="281" max="281" width="22.42578125" hidden="1" customWidth="1"/>
    <col min="282" max="283" width="5.5703125" hidden="1" customWidth="1"/>
    <col min="284" max="284" width="6.140625" hidden="1" customWidth="1"/>
    <col min="285" max="285" width="50.28515625" hidden="1" customWidth="1"/>
    <col min="286" max="286" width="6.140625" hidden="1" customWidth="1"/>
    <col min="287" max="288" width="5.5703125" hidden="1" customWidth="1"/>
    <col min="289" max="289" width="5.5703125" bestFit="1" customWidth="1"/>
    <col min="290" max="290" width="18.28515625" bestFit="1" customWidth="1"/>
    <col min="291" max="296" width="7.42578125" bestFit="1" customWidth="1"/>
    <col min="297" max="297" width="17.5703125" bestFit="1" customWidth="1"/>
    <col min="298" max="303" width="7.42578125" bestFit="1" customWidth="1"/>
    <col min="304" max="304" width="17.5703125" bestFit="1" customWidth="1"/>
    <col min="305" max="310" width="7.42578125" bestFit="1" customWidth="1"/>
    <col min="311" max="311" width="17.5703125" bestFit="1" customWidth="1"/>
    <col min="312" max="317" width="7.42578125" bestFit="1" customWidth="1"/>
    <col min="318" max="318" width="17.5703125" bestFit="1" customWidth="1"/>
    <col min="319" max="324" width="7.42578125" bestFit="1" customWidth="1"/>
    <col min="325" max="325" width="17.5703125" bestFit="1" customWidth="1"/>
    <col min="326" max="331" width="7.42578125" bestFit="1" customWidth="1"/>
    <col min="332" max="332" width="17.5703125" bestFit="1" customWidth="1"/>
    <col min="333" max="338" width="7.42578125" bestFit="1" customWidth="1"/>
    <col min="339" max="339" width="17.5703125" bestFit="1" customWidth="1"/>
    <col min="340" max="340" width="51.85546875" bestFit="1" customWidth="1"/>
    <col min="341" max="343" width="7.42578125" bestFit="1" customWidth="1"/>
    <col min="344" max="344" width="9.28515625" bestFit="1" customWidth="1"/>
    <col min="345" max="346" width="7.42578125" bestFit="1" customWidth="1"/>
    <col min="347" max="347" width="17.5703125" bestFit="1" customWidth="1"/>
    <col min="348" max="353" width="16.28515625" bestFit="1" customWidth="1"/>
    <col min="354" max="354" width="23.5703125" bestFit="1" customWidth="1"/>
    <col min="355" max="360" width="7.42578125" bestFit="1" customWidth="1"/>
    <col min="361" max="361" width="17.5703125" bestFit="1" customWidth="1"/>
    <col min="362" max="364" width="7.42578125" bestFit="1" customWidth="1"/>
    <col min="365" max="365" width="9.28515625" bestFit="1" customWidth="1"/>
    <col min="366" max="367" width="7.42578125" bestFit="1" customWidth="1"/>
    <col min="368" max="368" width="17.5703125" bestFit="1" customWidth="1"/>
    <col min="369" max="374" width="7.42578125" bestFit="1" customWidth="1"/>
    <col min="375" max="375" width="17.5703125" bestFit="1" customWidth="1"/>
    <col min="376" max="381" width="7.42578125" bestFit="1" customWidth="1"/>
    <col min="382" max="382" width="17.5703125" bestFit="1" customWidth="1"/>
    <col min="383" max="388" width="7.42578125" bestFit="1" customWidth="1"/>
    <col min="389" max="389" width="17.5703125" bestFit="1" customWidth="1"/>
    <col min="390" max="395" width="16.28515625" bestFit="1" customWidth="1"/>
    <col min="396" max="396" width="23.5703125" bestFit="1" customWidth="1"/>
    <col min="397" max="397" width="14.140625" bestFit="1" customWidth="1"/>
    <col min="398" max="398" width="8.140625" bestFit="1" customWidth="1"/>
    <col min="399" max="400" width="7.42578125" bestFit="1" customWidth="1"/>
    <col min="401" max="401" width="9.28515625" bestFit="1" customWidth="1"/>
    <col min="402" max="403" width="7.42578125" bestFit="1" customWidth="1"/>
    <col min="404" max="404" width="17.5703125" bestFit="1" customWidth="1"/>
    <col min="405" max="405" width="8.140625" bestFit="1" customWidth="1"/>
    <col min="406" max="410" width="7.42578125" bestFit="1" customWidth="1"/>
    <col min="411" max="411" width="17.5703125" bestFit="1" customWidth="1"/>
    <col min="412" max="417" width="7.42578125" bestFit="1" customWidth="1"/>
    <col min="418" max="418" width="17.5703125" bestFit="1" customWidth="1"/>
    <col min="419" max="424" width="7.42578125" bestFit="1" customWidth="1"/>
    <col min="425" max="425" width="17.5703125" bestFit="1" customWidth="1"/>
    <col min="426" max="431" width="7.42578125" bestFit="1" customWidth="1"/>
    <col min="432" max="432" width="17.5703125" bestFit="1" customWidth="1"/>
    <col min="433" max="433" width="8.140625" bestFit="1" customWidth="1"/>
    <col min="434" max="435" width="7.42578125" bestFit="1" customWidth="1"/>
    <col min="436" max="436" width="8.140625" bestFit="1" customWidth="1"/>
    <col min="437" max="438" width="7.42578125" bestFit="1" customWidth="1"/>
    <col min="439" max="439" width="17.5703125" bestFit="1" customWidth="1"/>
    <col min="440" max="442" width="7.42578125" bestFit="1" customWidth="1"/>
    <col min="443" max="443" width="8.140625" bestFit="1" customWidth="1"/>
    <col min="444" max="445" width="7.42578125" bestFit="1" customWidth="1"/>
    <col min="446" max="446" width="17.5703125" bestFit="1" customWidth="1"/>
    <col min="447" max="447" width="51.85546875" bestFit="1" customWidth="1"/>
    <col min="448" max="450" width="7.42578125" bestFit="1" customWidth="1"/>
    <col min="451" max="451" width="10.28515625" bestFit="1" customWidth="1"/>
    <col min="452" max="453" width="7.42578125" bestFit="1" customWidth="1"/>
    <col min="454" max="454" width="17.5703125" bestFit="1" customWidth="1"/>
    <col min="455" max="460" width="16.28515625" bestFit="1" customWidth="1"/>
    <col min="461" max="461" width="23.5703125" bestFit="1" customWidth="1"/>
    <col min="462" max="462" width="9.28515625" bestFit="1" customWidth="1"/>
    <col min="463" max="464" width="7.42578125" bestFit="1" customWidth="1"/>
    <col min="465" max="465" width="10.28515625" bestFit="1" customWidth="1"/>
    <col min="466" max="467" width="7.42578125" bestFit="1" customWidth="1"/>
    <col min="468" max="468" width="17.5703125" bestFit="1" customWidth="1"/>
    <col min="469" max="469" width="9.28515625" bestFit="1" customWidth="1"/>
    <col min="470" max="471" width="7.42578125" bestFit="1" customWidth="1"/>
    <col min="472" max="472" width="10.28515625" bestFit="1" customWidth="1"/>
    <col min="473" max="474" width="7.42578125" bestFit="1" customWidth="1"/>
    <col min="475" max="475" width="17.5703125" bestFit="1" customWidth="1"/>
    <col min="476" max="478" width="7.42578125" bestFit="1" customWidth="1"/>
    <col min="479" max="479" width="8.140625" bestFit="1" customWidth="1"/>
    <col min="480" max="481" width="7.42578125" bestFit="1" customWidth="1"/>
    <col min="482" max="482" width="17.5703125" bestFit="1" customWidth="1"/>
    <col min="483" max="488" width="7.42578125" bestFit="1" customWidth="1"/>
    <col min="489" max="489" width="17.5703125" bestFit="1" customWidth="1"/>
    <col min="490" max="495" width="7.42578125" bestFit="1" customWidth="1"/>
    <col min="496" max="496" width="17.5703125" bestFit="1" customWidth="1"/>
    <col min="497" max="502" width="16.28515625" bestFit="1" customWidth="1"/>
    <col min="503" max="503" width="23.5703125" bestFit="1" customWidth="1"/>
    <col min="504" max="504" width="20.85546875" bestFit="1" customWidth="1"/>
    <col min="505" max="505" width="8.140625" bestFit="1" customWidth="1"/>
    <col min="506" max="507" width="7.42578125" bestFit="1" customWidth="1"/>
    <col min="508" max="508" width="9.28515625" bestFit="1" customWidth="1"/>
    <col min="509" max="510" width="7.42578125" bestFit="1" customWidth="1"/>
    <col min="511" max="511" width="17.5703125" bestFit="1" customWidth="1"/>
    <col min="512" max="514" width="7.42578125" bestFit="1" customWidth="1"/>
    <col min="515" max="515" width="9.28515625" bestFit="1" customWidth="1"/>
    <col min="516" max="516" width="7.42578125" bestFit="1" customWidth="1"/>
    <col min="517" max="517" width="9.28515625" bestFit="1" customWidth="1"/>
    <col min="518" max="518" width="17.5703125" bestFit="1" customWidth="1"/>
    <col min="519" max="521" width="7.42578125" bestFit="1" customWidth="1"/>
    <col min="522" max="522" width="8.140625" bestFit="1" customWidth="1"/>
    <col min="523" max="524" width="7.42578125" bestFit="1" customWidth="1"/>
    <col min="525" max="525" width="17.5703125" bestFit="1" customWidth="1"/>
    <col min="526" max="531" width="7.42578125" bestFit="1" customWidth="1"/>
    <col min="532" max="532" width="17.5703125" bestFit="1" customWidth="1"/>
    <col min="533" max="538" width="7.42578125" bestFit="1" customWidth="1"/>
    <col min="539" max="539" width="17.5703125" bestFit="1" customWidth="1"/>
    <col min="540" max="542" width="7.42578125" bestFit="1" customWidth="1"/>
    <col min="543" max="543" width="10.28515625" bestFit="1" customWidth="1"/>
    <col min="544" max="545" width="7.42578125" bestFit="1" customWidth="1"/>
    <col min="546" max="546" width="17.5703125" bestFit="1" customWidth="1"/>
    <col min="547" max="549" width="7.42578125" bestFit="1" customWidth="1"/>
    <col min="550" max="550" width="9.28515625" bestFit="1" customWidth="1"/>
    <col min="551" max="552" width="7.42578125" bestFit="1" customWidth="1"/>
    <col min="553" max="553" width="17.5703125" bestFit="1" customWidth="1"/>
    <col min="554" max="554" width="69.42578125" bestFit="1" customWidth="1"/>
    <col min="555" max="555" width="7.42578125" bestFit="1" customWidth="1"/>
    <col min="556" max="556" width="8.140625" bestFit="1" customWidth="1"/>
    <col min="557" max="557" width="7.42578125" bestFit="1" customWidth="1"/>
    <col min="558" max="558" width="10.28515625" bestFit="1" customWidth="1"/>
    <col min="559" max="559" width="7.42578125" bestFit="1" customWidth="1"/>
    <col min="560" max="560" width="9.28515625" bestFit="1" customWidth="1"/>
    <col min="561" max="561" width="17.5703125" bestFit="1" customWidth="1"/>
    <col min="562" max="567" width="16.28515625" bestFit="1" customWidth="1"/>
    <col min="568" max="568" width="23.5703125" bestFit="1" customWidth="1"/>
    <col min="569" max="574" width="7.42578125" bestFit="1" customWidth="1"/>
    <col min="575" max="575" width="17.5703125" bestFit="1" customWidth="1"/>
    <col min="576" max="578" width="7.42578125" bestFit="1" customWidth="1"/>
    <col min="579" max="579" width="9.28515625" bestFit="1" customWidth="1"/>
    <col min="580" max="580" width="7.42578125" bestFit="1" customWidth="1"/>
    <col min="581" max="581" width="9.28515625" bestFit="1" customWidth="1"/>
    <col min="582" max="582" width="17.5703125" bestFit="1" customWidth="1"/>
    <col min="583" max="584" width="8.140625" bestFit="1" customWidth="1"/>
    <col min="585" max="585" width="7.42578125" bestFit="1" customWidth="1"/>
    <col min="586" max="586" width="10.28515625" bestFit="1" customWidth="1"/>
    <col min="587" max="588" width="7.42578125" bestFit="1" customWidth="1"/>
    <col min="589" max="589" width="17.5703125" bestFit="1" customWidth="1"/>
    <col min="590" max="592" width="7.42578125" bestFit="1" customWidth="1"/>
    <col min="593" max="593" width="9.28515625" bestFit="1" customWidth="1"/>
    <col min="594" max="595" width="7.42578125" bestFit="1" customWidth="1"/>
    <col min="596" max="596" width="17.5703125" bestFit="1" customWidth="1"/>
    <col min="597" max="599" width="7.42578125" bestFit="1" customWidth="1"/>
    <col min="600" max="600" width="8.140625" bestFit="1" customWidth="1"/>
    <col min="601" max="602" width="7.42578125" bestFit="1" customWidth="1"/>
    <col min="603" max="603" width="17.5703125" bestFit="1" customWidth="1"/>
    <col min="604" max="609" width="16.28515625" bestFit="1" customWidth="1"/>
    <col min="610" max="610" width="23.5703125" bestFit="1" customWidth="1"/>
    <col min="611" max="611" width="13.85546875" bestFit="1" customWidth="1"/>
    <col min="612" max="617" width="7.42578125" bestFit="1" customWidth="1"/>
    <col min="618" max="618" width="17.5703125" bestFit="1" customWidth="1"/>
    <col min="619" max="624" width="7.42578125" bestFit="1" customWidth="1"/>
    <col min="625" max="625" width="17.5703125" bestFit="1" customWidth="1"/>
    <col min="626" max="631" width="7.42578125" bestFit="1" customWidth="1"/>
    <col min="632" max="632" width="17.5703125" bestFit="1" customWidth="1"/>
    <col min="633" max="638" width="7.42578125" bestFit="1" customWidth="1"/>
    <col min="639" max="639" width="17.5703125" bestFit="1" customWidth="1"/>
    <col min="640" max="645" width="7.42578125" bestFit="1" customWidth="1"/>
    <col min="646" max="646" width="17.5703125" bestFit="1" customWidth="1"/>
    <col min="647" max="652" width="7.42578125" bestFit="1" customWidth="1"/>
    <col min="653" max="653" width="17.5703125" bestFit="1" customWidth="1"/>
    <col min="654" max="659" width="7.42578125" bestFit="1" customWidth="1"/>
    <col min="660" max="660" width="17.5703125" bestFit="1" customWidth="1"/>
    <col min="661" max="661" width="9.28515625" bestFit="1" customWidth="1"/>
    <col min="662" max="665" width="7.42578125" bestFit="1" customWidth="1"/>
    <col min="666" max="666" width="8.140625" bestFit="1" customWidth="1"/>
    <col min="667" max="667" width="7.42578125" bestFit="1" customWidth="1"/>
    <col min="668" max="668" width="17.5703125" bestFit="1" customWidth="1"/>
    <col min="669" max="674" width="16.28515625" bestFit="1" customWidth="1"/>
    <col min="675" max="675" width="23.5703125" bestFit="1" customWidth="1"/>
    <col min="676" max="681" width="7.42578125" bestFit="1" customWidth="1"/>
    <col min="682" max="682" width="17.5703125" bestFit="1" customWidth="1"/>
    <col min="683" max="686" width="7.42578125" bestFit="1" customWidth="1"/>
    <col min="687" max="687" width="8.140625" bestFit="1" customWidth="1"/>
    <col min="688" max="688" width="7.42578125" bestFit="1" customWidth="1"/>
    <col min="689" max="689" width="17.5703125" bestFit="1" customWidth="1"/>
    <col min="690" max="695" width="7.42578125" bestFit="1" customWidth="1"/>
    <col min="696" max="696" width="17.5703125" bestFit="1" customWidth="1"/>
    <col min="697" max="702" width="7.42578125" bestFit="1" customWidth="1"/>
    <col min="703" max="703" width="17.5703125" bestFit="1" customWidth="1"/>
    <col min="704" max="709" width="7.42578125" bestFit="1" customWidth="1"/>
    <col min="710" max="710" width="17.5703125" bestFit="1" customWidth="1"/>
    <col min="711" max="716" width="16.28515625" bestFit="1" customWidth="1"/>
    <col min="717" max="717" width="23.5703125" bestFit="1" customWidth="1"/>
    <col min="718" max="718" width="22" bestFit="1" customWidth="1"/>
    <col min="719" max="724" width="7.42578125" bestFit="1" customWidth="1"/>
    <col min="725" max="725" width="17.5703125" bestFit="1" customWidth="1"/>
    <col min="726" max="731" width="7.42578125" bestFit="1" customWidth="1"/>
    <col min="732" max="732" width="17.5703125" bestFit="1" customWidth="1"/>
    <col min="733" max="738" width="7.42578125" bestFit="1" customWidth="1"/>
    <col min="739" max="739" width="17.5703125" bestFit="1" customWidth="1"/>
    <col min="740" max="745" width="7.42578125" bestFit="1" customWidth="1"/>
    <col min="746" max="746" width="17.5703125" bestFit="1" customWidth="1"/>
    <col min="747" max="752" width="7.42578125" bestFit="1" customWidth="1"/>
    <col min="753" max="753" width="17.5703125" bestFit="1" customWidth="1"/>
    <col min="754" max="759" width="7.42578125" bestFit="1" customWidth="1"/>
    <col min="760" max="760" width="17.5703125" bestFit="1" customWidth="1"/>
    <col min="761" max="766" width="7.42578125" bestFit="1" customWidth="1"/>
    <col min="767" max="767" width="17.5703125" bestFit="1" customWidth="1"/>
    <col min="768" max="768" width="9.28515625" bestFit="1" customWidth="1"/>
    <col min="769" max="774" width="7.42578125" bestFit="1" customWidth="1"/>
    <col min="775" max="775" width="17.5703125" bestFit="1" customWidth="1"/>
    <col min="776" max="781" width="16.28515625" bestFit="1" customWidth="1"/>
    <col min="782" max="782" width="23.5703125" bestFit="1" customWidth="1"/>
    <col min="783" max="788" width="7.42578125" bestFit="1" customWidth="1"/>
    <col min="789" max="789" width="17.5703125" bestFit="1" customWidth="1"/>
    <col min="790" max="795" width="7.42578125" bestFit="1" customWidth="1"/>
    <col min="796" max="796" width="17.5703125" bestFit="1" customWidth="1"/>
    <col min="797" max="802" width="7.42578125" bestFit="1" customWidth="1"/>
    <col min="803" max="803" width="17.5703125" bestFit="1" customWidth="1"/>
    <col min="804" max="809" width="7.42578125" bestFit="1" customWidth="1"/>
    <col min="810" max="810" width="17.5703125" bestFit="1" customWidth="1"/>
    <col min="811" max="816" width="7.42578125" bestFit="1" customWidth="1"/>
    <col min="817" max="817" width="17.5703125" bestFit="1" customWidth="1"/>
    <col min="818" max="823" width="16.28515625" bestFit="1" customWidth="1"/>
    <col min="824" max="824" width="23.5703125" bestFit="1" customWidth="1"/>
    <col min="825" max="825" width="12.7109375" bestFit="1" customWidth="1"/>
    <col min="826" max="831" width="7.42578125" bestFit="1" customWidth="1"/>
    <col min="832" max="832" width="17.5703125" bestFit="1" customWidth="1"/>
    <col min="833" max="838" width="7.42578125" bestFit="1" customWidth="1"/>
    <col min="839" max="839" width="17.5703125" bestFit="1" customWidth="1"/>
    <col min="840" max="845" width="7.42578125" bestFit="1" customWidth="1"/>
    <col min="846" max="846" width="17.5703125" bestFit="1" customWidth="1"/>
    <col min="847" max="852" width="7.42578125" bestFit="1" customWidth="1"/>
    <col min="853" max="853" width="17.5703125" bestFit="1" customWidth="1"/>
    <col min="854" max="859" width="7.42578125" bestFit="1" customWidth="1"/>
    <col min="860" max="860" width="17.5703125" bestFit="1" customWidth="1"/>
    <col min="861" max="866" width="7.42578125" bestFit="1" customWidth="1"/>
    <col min="867" max="867" width="17.5703125" bestFit="1" customWidth="1"/>
    <col min="868" max="873" width="7.42578125" bestFit="1" customWidth="1"/>
    <col min="874" max="874" width="17.5703125" bestFit="1" customWidth="1"/>
    <col min="875" max="875" width="9.28515625" bestFit="1" customWidth="1"/>
    <col min="876" max="881" width="7.42578125" bestFit="1" customWidth="1"/>
    <col min="882" max="882" width="17.5703125" bestFit="1" customWidth="1"/>
    <col min="883" max="888" width="16.28515625" bestFit="1" customWidth="1"/>
    <col min="889" max="889" width="23.5703125" bestFit="1" customWidth="1"/>
    <col min="890" max="895" width="7.42578125" bestFit="1" customWidth="1"/>
    <col min="896" max="896" width="17.5703125" bestFit="1" customWidth="1"/>
    <col min="897" max="902" width="7.42578125" bestFit="1" customWidth="1"/>
    <col min="903" max="903" width="17.5703125" bestFit="1" customWidth="1"/>
    <col min="904" max="909" width="7.42578125" bestFit="1" customWidth="1"/>
    <col min="910" max="910" width="17.5703125" bestFit="1" customWidth="1"/>
    <col min="911" max="916" width="7.42578125" bestFit="1" customWidth="1"/>
    <col min="917" max="917" width="17.5703125" bestFit="1" customWidth="1"/>
    <col min="918" max="923" width="7.42578125" bestFit="1" customWidth="1"/>
    <col min="924" max="924" width="17.5703125" bestFit="1" customWidth="1"/>
    <col min="925" max="930" width="16.28515625" bestFit="1" customWidth="1"/>
    <col min="931" max="931" width="23.5703125" bestFit="1" customWidth="1"/>
  </cols>
  <sheetData>
    <row r="1" spans="1:931" x14ac:dyDescent="0.2">
      <c r="A1" t="s">
        <v>0</v>
      </c>
      <c r="B1" t="s">
        <v>3477</v>
      </c>
      <c r="C1" t="s">
        <v>3478</v>
      </c>
      <c r="D1" t="s">
        <v>3479</v>
      </c>
      <c r="E1" t="s">
        <v>3480</v>
      </c>
      <c r="F1" t="s">
        <v>3481</v>
      </c>
      <c r="G1" t="s">
        <v>3482</v>
      </c>
      <c r="H1" t="s">
        <v>3483</v>
      </c>
      <c r="I1" t="s">
        <v>3484</v>
      </c>
      <c r="J1" t="s">
        <v>3485</v>
      </c>
      <c r="K1" t="s">
        <v>3486</v>
      </c>
      <c r="L1" t="s">
        <v>3487</v>
      </c>
      <c r="M1" t="s">
        <v>3488</v>
      </c>
      <c r="N1" t="s">
        <v>3489</v>
      </c>
      <c r="O1" t="s">
        <v>3490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s="20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5581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  <c r="AM1" t="s">
        <v>32</v>
      </c>
      <c r="AN1" t="s">
        <v>33</v>
      </c>
      <c r="AO1" t="s">
        <v>34</v>
      </c>
      <c r="AP1" t="s">
        <v>35</v>
      </c>
      <c r="AQ1" t="s">
        <v>36</v>
      </c>
      <c r="AR1" t="s">
        <v>37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61</v>
      </c>
      <c r="BQ1" t="s">
        <v>62</v>
      </c>
      <c r="BR1" t="s">
        <v>63</v>
      </c>
      <c r="BS1" t="s">
        <v>64</v>
      </c>
      <c r="BT1" t="s">
        <v>65</v>
      </c>
      <c r="BU1" t="s">
        <v>66</v>
      </c>
      <c r="BV1" t="s">
        <v>67</v>
      </c>
      <c r="BW1" t="s">
        <v>68</v>
      </c>
      <c r="BX1" t="s">
        <v>69</v>
      </c>
      <c r="BY1" t="s">
        <v>70</v>
      </c>
      <c r="BZ1" t="s">
        <v>71</v>
      </c>
      <c r="CA1" t="s">
        <v>72</v>
      </c>
      <c r="CB1" t="s">
        <v>73</v>
      </c>
      <c r="CC1" t="s">
        <v>74</v>
      </c>
      <c r="CD1" t="s">
        <v>75</v>
      </c>
      <c r="CE1" t="s">
        <v>76</v>
      </c>
      <c r="CF1" t="s">
        <v>77</v>
      </c>
      <c r="CG1" t="s">
        <v>78</v>
      </c>
      <c r="CH1" t="s">
        <v>79</v>
      </c>
      <c r="CI1" t="s">
        <v>80</v>
      </c>
      <c r="CJ1" t="s">
        <v>81</v>
      </c>
      <c r="CK1" t="s">
        <v>82</v>
      </c>
      <c r="CL1" t="s">
        <v>83</v>
      </c>
      <c r="CM1" t="s">
        <v>84</v>
      </c>
      <c r="CN1" t="s">
        <v>85</v>
      </c>
      <c r="CO1" t="s">
        <v>86</v>
      </c>
      <c r="CP1" t="s">
        <v>87</v>
      </c>
      <c r="CQ1" t="s">
        <v>88</v>
      </c>
      <c r="CR1" t="s">
        <v>89</v>
      </c>
      <c r="CS1" t="s">
        <v>90</v>
      </c>
      <c r="CT1" t="s">
        <v>91</v>
      </c>
      <c r="CU1" t="s">
        <v>92</v>
      </c>
      <c r="CV1" t="s">
        <v>93</v>
      </c>
      <c r="CW1" t="s">
        <v>94</v>
      </c>
      <c r="CX1" t="s">
        <v>95</v>
      </c>
      <c r="CY1" t="s">
        <v>96</v>
      </c>
      <c r="CZ1" t="s">
        <v>97</v>
      </c>
      <c r="DA1" t="s">
        <v>98</v>
      </c>
      <c r="DB1" t="s">
        <v>99</v>
      </c>
      <c r="DC1" t="s">
        <v>100</v>
      </c>
      <c r="DD1" t="s">
        <v>101</v>
      </c>
      <c r="DE1" t="s">
        <v>102</v>
      </c>
      <c r="DF1" t="s">
        <v>103</v>
      </c>
      <c r="DG1" t="s">
        <v>104</v>
      </c>
      <c r="DH1" t="s">
        <v>105</v>
      </c>
      <c r="DI1" t="s">
        <v>106</v>
      </c>
      <c r="DJ1" t="s">
        <v>107</v>
      </c>
      <c r="DK1" t="s">
        <v>108</v>
      </c>
      <c r="DL1" t="s">
        <v>109</v>
      </c>
      <c r="DM1" t="s">
        <v>110</v>
      </c>
      <c r="DN1" t="s">
        <v>111</v>
      </c>
      <c r="DO1" t="s">
        <v>112</v>
      </c>
      <c r="DP1" t="s">
        <v>113</v>
      </c>
      <c r="DQ1" t="s">
        <v>114</v>
      </c>
      <c r="DR1" t="s">
        <v>115</v>
      </c>
      <c r="DS1" t="s">
        <v>116</v>
      </c>
      <c r="DT1" t="s">
        <v>117</v>
      </c>
      <c r="DU1" t="s">
        <v>118</v>
      </c>
      <c r="DV1" t="s">
        <v>119</v>
      </c>
      <c r="DW1" t="s">
        <v>120</v>
      </c>
      <c r="DX1" t="s">
        <v>121</v>
      </c>
      <c r="DY1" t="s">
        <v>122</v>
      </c>
      <c r="DZ1" t="s">
        <v>123</v>
      </c>
      <c r="EA1" t="s">
        <v>124</v>
      </c>
      <c r="EB1" t="s">
        <v>125</v>
      </c>
      <c r="EC1" t="s">
        <v>126</v>
      </c>
      <c r="ED1" t="s">
        <v>127</v>
      </c>
      <c r="EE1" t="s">
        <v>128</v>
      </c>
      <c r="EF1" t="s">
        <v>129</v>
      </c>
      <c r="EG1" t="s">
        <v>130</v>
      </c>
      <c r="EH1" t="s">
        <v>131</v>
      </c>
      <c r="EI1" t="s">
        <v>132</v>
      </c>
      <c r="EJ1" t="s">
        <v>133</v>
      </c>
      <c r="EK1" t="s">
        <v>134</v>
      </c>
      <c r="EL1" t="s">
        <v>135</v>
      </c>
      <c r="EM1" t="s">
        <v>136</v>
      </c>
      <c r="EN1" t="s">
        <v>137</v>
      </c>
      <c r="EO1" t="s">
        <v>138</v>
      </c>
      <c r="EP1" t="s">
        <v>139</v>
      </c>
      <c r="EQ1" t="s">
        <v>140</v>
      </c>
      <c r="ER1" t="s">
        <v>141</v>
      </c>
      <c r="ES1" t="s">
        <v>142</v>
      </c>
      <c r="ET1" t="s">
        <v>143</v>
      </c>
      <c r="EU1" t="s">
        <v>144</v>
      </c>
      <c r="EV1" t="s">
        <v>145</v>
      </c>
      <c r="EW1" t="s">
        <v>146</v>
      </c>
      <c r="EX1" t="s">
        <v>147</v>
      </c>
      <c r="EY1" t="s">
        <v>148</v>
      </c>
      <c r="EZ1" t="s">
        <v>149</v>
      </c>
      <c r="FA1" t="s">
        <v>150</v>
      </c>
      <c r="FB1" t="s">
        <v>151</v>
      </c>
      <c r="FC1" t="s">
        <v>152</v>
      </c>
      <c r="FD1" t="s">
        <v>153</v>
      </c>
      <c r="FE1" t="s">
        <v>154</v>
      </c>
      <c r="FF1" t="s">
        <v>155</v>
      </c>
      <c r="FG1" t="s">
        <v>156</v>
      </c>
      <c r="FH1" t="s">
        <v>157</v>
      </c>
      <c r="FI1" t="s">
        <v>158</v>
      </c>
      <c r="FJ1" t="s">
        <v>159</v>
      </c>
      <c r="FK1" t="s">
        <v>160</v>
      </c>
      <c r="FL1" t="s">
        <v>161</v>
      </c>
      <c r="FM1" t="s">
        <v>162</v>
      </c>
      <c r="FN1" t="s">
        <v>163</v>
      </c>
      <c r="FO1" t="s">
        <v>164</v>
      </c>
      <c r="FP1" t="s">
        <v>165</v>
      </c>
      <c r="FQ1" t="s">
        <v>166</v>
      </c>
      <c r="FR1" t="s">
        <v>167</v>
      </c>
      <c r="FS1" t="s">
        <v>168</v>
      </c>
      <c r="FT1" t="s">
        <v>169</v>
      </c>
      <c r="FU1" t="s">
        <v>170</v>
      </c>
      <c r="FV1" t="s">
        <v>171</v>
      </c>
      <c r="FW1" t="s">
        <v>172</v>
      </c>
      <c r="FX1" t="s">
        <v>173</v>
      </c>
      <c r="FY1" t="s">
        <v>174</v>
      </c>
      <c r="FZ1" t="s">
        <v>175</v>
      </c>
      <c r="GA1" t="s">
        <v>176</v>
      </c>
      <c r="GB1" t="s">
        <v>177</v>
      </c>
      <c r="GC1" t="s">
        <v>178</v>
      </c>
      <c r="GD1" t="s">
        <v>179</v>
      </c>
      <c r="GE1" t="s">
        <v>180</v>
      </c>
      <c r="GF1" t="s">
        <v>181</v>
      </c>
      <c r="GG1" t="s">
        <v>182</v>
      </c>
      <c r="GH1" t="s">
        <v>183</v>
      </c>
      <c r="GI1" t="s">
        <v>184</v>
      </c>
      <c r="GJ1" t="s">
        <v>185</v>
      </c>
      <c r="GK1" t="s">
        <v>186</v>
      </c>
      <c r="GL1" t="s">
        <v>187</v>
      </c>
      <c r="GM1" t="s">
        <v>188</v>
      </c>
      <c r="GN1" t="s">
        <v>189</v>
      </c>
      <c r="GO1" t="s">
        <v>190</v>
      </c>
      <c r="GP1" t="s">
        <v>191</v>
      </c>
      <c r="GQ1" t="s">
        <v>192</v>
      </c>
      <c r="GR1" t="s">
        <v>193</v>
      </c>
      <c r="GS1" t="s">
        <v>194</v>
      </c>
      <c r="GT1" t="s">
        <v>195</v>
      </c>
      <c r="GU1" t="s">
        <v>196</v>
      </c>
      <c r="GV1" t="s">
        <v>197</v>
      </c>
      <c r="GW1" t="s">
        <v>198</v>
      </c>
      <c r="GX1" t="s">
        <v>199</v>
      </c>
      <c r="GY1" t="s">
        <v>200</v>
      </c>
      <c r="GZ1" t="s">
        <v>201</v>
      </c>
      <c r="HA1" t="s">
        <v>202</v>
      </c>
      <c r="HB1" t="s">
        <v>203</v>
      </c>
      <c r="HC1" t="s">
        <v>204</v>
      </c>
      <c r="HD1" t="s">
        <v>205</v>
      </c>
      <c r="HE1" t="s">
        <v>206</v>
      </c>
      <c r="HF1" t="s">
        <v>207</v>
      </c>
      <c r="HG1" t="s">
        <v>208</v>
      </c>
      <c r="HH1" t="s">
        <v>209</v>
      </c>
      <c r="HI1" t="s">
        <v>210</v>
      </c>
      <c r="HJ1" t="s">
        <v>211</v>
      </c>
      <c r="HK1" t="s">
        <v>212</v>
      </c>
      <c r="HL1" t="s">
        <v>213</v>
      </c>
      <c r="HM1" t="s">
        <v>214</v>
      </c>
      <c r="HN1" t="s">
        <v>215</v>
      </c>
      <c r="HO1" t="s">
        <v>216</v>
      </c>
      <c r="HP1" t="s">
        <v>217</v>
      </c>
      <c r="HQ1" t="s">
        <v>218</v>
      </c>
      <c r="HR1" t="s">
        <v>219</v>
      </c>
      <c r="HS1" t="s">
        <v>220</v>
      </c>
      <c r="HT1" t="s">
        <v>221</v>
      </c>
      <c r="HU1" t="s">
        <v>222</v>
      </c>
      <c r="HV1" t="s">
        <v>223</v>
      </c>
      <c r="HW1" t="s">
        <v>224</v>
      </c>
      <c r="HX1" t="s">
        <v>225</v>
      </c>
      <c r="HY1" t="s">
        <v>226</v>
      </c>
      <c r="HZ1" t="s">
        <v>227</v>
      </c>
      <c r="IA1" t="s">
        <v>228</v>
      </c>
      <c r="IB1" t="s">
        <v>229</v>
      </c>
      <c r="IC1" t="s">
        <v>230</v>
      </c>
      <c r="ID1" t="s">
        <v>231</v>
      </c>
      <c r="IE1" t="s">
        <v>232</v>
      </c>
      <c r="IF1" t="s">
        <v>233</v>
      </c>
      <c r="IG1" t="s">
        <v>234</v>
      </c>
      <c r="IH1" t="s">
        <v>235</v>
      </c>
      <c r="II1" t="s">
        <v>236</v>
      </c>
      <c r="IJ1" t="s">
        <v>237</v>
      </c>
      <c r="IK1" t="s">
        <v>238</v>
      </c>
      <c r="IL1" t="s">
        <v>239</v>
      </c>
      <c r="IM1" t="s">
        <v>240</v>
      </c>
      <c r="IN1" t="s">
        <v>241</v>
      </c>
      <c r="IO1" t="s">
        <v>242</v>
      </c>
      <c r="IP1" t="s">
        <v>243</v>
      </c>
      <c r="IQ1" t="s">
        <v>244</v>
      </c>
      <c r="IR1" t="s">
        <v>245</v>
      </c>
      <c r="IS1" t="s">
        <v>246</v>
      </c>
      <c r="IT1" t="s">
        <v>247</v>
      </c>
      <c r="IU1" t="s">
        <v>248</v>
      </c>
      <c r="IV1" t="s">
        <v>249</v>
      </c>
      <c r="IW1" t="s">
        <v>250</v>
      </c>
      <c r="IX1" t="s">
        <v>251</v>
      </c>
      <c r="IY1" t="s">
        <v>252</v>
      </c>
      <c r="IZ1" t="s">
        <v>253</v>
      </c>
      <c r="JA1" t="s">
        <v>254</v>
      </c>
      <c r="JB1" t="s">
        <v>255</v>
      </c>
      <c r="JC1" t="s">
        <v>256</v>
      </c>
      <c r="JD1" t="s">
        <v>257</v>
      </c>
      <c r="JE1" t="s">
        <v>258</v>
      </c>
      <c r="JF1" t="s">
        <v>259</v>
      </c>
      <c r="JG1" t="s">
        <v>260</v>
      </c>
      <c r="JH1" t="s">
        <v>261</v>
      </c>
      <c r="JI1" t="s">
        <v>262</v>
      </c>
      <c r="JJ1" t="s">
        <v>263</v>
      </c>
      <c r="JK1" t="s">
        <v>264</v>
      </c>
      <c r="JL1" t="s">
        <v>265</v>
      </c>
      <c r="JM1" t="s">
        <v>266</v>
      </c>
      <c r="JN1" t="s">
        <v>267</v>
      </c>
      <c r="JO1" t="s">
        <v>268</v>
      </c>
      <c r="JP1" t="s">
        <v>269</v>
      </c>
      <c r="JQ1" t="s">
        <v>270</v>
      </c>
      <c r="JR1" t="s">
        <v>271</v>
      </c>
      <c r="JS1" t="s">
        <v>272</v>
      </c>
      <c r="JT1" t="s">
        <v>273</v>
      </c>
      <c r="JU1" t="s">
        <v>274</v>
      </c>
      <c r="JV1" t="s">
        <v>275</v>
      </c>
      <c r="JW1" t="s">
        <v>276</v>
      </c>
      <c r="JX1" t="s">
        <v>277</v>
      </c>
      <c r="JY1" t="s">
        <v>278</v>
      </c>
      <c r="JZ1" t="s">
        <v>279</v>
      </c>
      <c r="KA1" t="s">
        <v>280</v>
      </c>
      <c r="KB1" t="s">
        <v>281</v>
      </c>
      <c r="KC1" t="s">
        <v>282</v>
      </c>
      <c r="KD1" t="s">
        <v>3491</v>
      </c>
      <c r="KE1" t="s">
        <v>2095</v>
      </c>
      <c r="KF1" t="s">
        <v>2096</v>
      </c>
      <c r="KG1" t="s">
        <v>2097</v>
      </c>
      <c r="KH1" t="s">
        <v>2098</v>
      </c>
      <c r="KI1" t="s">
        <v>2099</v>
      </c>
      <c r="KJ1" t="s">
        <v>2100</v>
      </c>
      <c r="KK1" t="s">
        <v>2101</v>
      </c>
      <c r="KL1" t="s">
        <v>2102</v>
      </c>
      <c r="KM1" t="s">
        <v>2103</v>
      </c>
      <c r="KN1" t="s">
        <v>2104</v>
      </c>
      <c r="KO1" t="s">
        <v>2105</v>
      </c>
      <c r="KP1" t="s">
        <v>2106</v>
      </c>
      <c r="KQ1" t="s">
        <v>2107</v>
      </c>
      <c r="KR1" t="s">
        <v>2108</v>
      </c>
      <c r="KS1" t="s">
        <v>2109</v>
      </c>
      <c r="KT1" t="s">
        <v>2110</v>
      </c>
      <c r="KU1" t="s">
        <v>2111</v>
      </c>
      <c r="KV1" t="s">
        <v>2112</v>
      </c>
      <c r="KW1" t="s">
        <v>2113</v>
      </c>
      <c r="KX1" t="s">
        <v>2114</v>
      </c>
      <c r="KY1" t="s">
        <v>2115</v>
      </c>
      <c r="KZ1" t="s">
        <v>2116</v>
      </c>
      <c r="LA1" t="s">
        <v>2117</v>
      </c>
      <c r="LB1" t="s">
        <v>2118</v>
      </c>
      <c r="LC1" t="s">
        <v>2119</v>
      </c>
      <c r="LD1" t="s">
        <v>2120</v>
      </c>
      <c r="LE1" t="s">
        <v>2121</v>
      </c>
      <c r="LF1" t="s">
        <v>2122</v>
      </c>
      <c r="LG1" t="s">
        <v>2123</v>
      </c>
      <c r="LH1" t="s">
        <v>2124</v>
      </c>
      <c r="LI1" t="s">
        <v>2125</v>
      </c>
      <c r="LJ1" t="s">
        <v>2126</v>
      </c>
      <c r="LK1" t="s">
        <v>2127</v>
      </c>
      <c r="LL1" t="s">
        <v>2128</v>
      </c>
      <c r="LM1" t="s">
        <v>2129</v>
      </c>
      <c r="LN1" t="s">
        <v>2130</v>
      </c>
      <c r="LO1" t="s">
        <v>2131</v>
      </c>
      <c r="LP1" t="s">
        <v>2132</v>
      </c>
      <c r="LQ1" t="s">
        <v>2133</v>
      </c>
      <c r="LR1" t="s">
        <v>2134</v>
      </c>
      <c r="LS1" t="s">
        <v>2135</v>
      </c>
      <c r="LT1" t="s">
        <v>2136</v>
      </c>
      <c r="LU1" t="s">
        <v>2137</v>
      </c>
      <c r="LV1" t="s">
        <v>2138</v>
      </c>
      <c r="LW1" t="s">
        <v>2139</v>
      </c>
      <c r="LX1" t="s">
        <v>2140</v>
      </c>
      <c r="LY1" t="s">
        <v>2141</v>
      </c>
      <c r="LZ1" t="s">
        <v>2142</v>
      </c>
      <c r="MA1" t="s">
        <v>2143</v>
      </c>
      <c r="MB1" t="s">
        <v>2144</v>
      </c>
      <c r="MC1" t="s">
        <v>2145</v>
      </c>
      <c r="MD1" t="s">
        <v>2146</v>
      </c>
      <c r="ME1" t="s">
        <v>2147</v>
      </c>
      <c r="MF1" t="s">
        <v>2148</v>
      </c>
      <c r="MG1" t="s">
        <v>2149</v>
      </c>
      <c r="MH1" t="s">
        <v>2150</v>
      </c>
      <c r="MI1" t="s">
        <v>2151</v>
      </c>
      <c r="MJ1" t="s">
        <v>2152</v>
      </c>
      <c r="MK1" t="s">
        <v>2153</v>
      </c>
      <c r="ML1" t="s">
        <v>2154</v>
      </c>
      <c r="MM1" t="s">
        <v>2155</v>
      </c>
      <c r="MN1" t="s">
        <v>2156</v>
      </c>
      <c r="MO1" t="s">
        <v>2157</v>
      </c>
      <c r="MP1" t="s">
        <v>2158</v>
      </c>
      <c r="MQ1" t="s">
        <v>2159</v>
      </c>
      <c r="MR1" t="s">
        <v>2160</v>
      </c>
      <c r="MS1" t="s">
        <v>2161</v>
      </c>
      <c r="MT1" t="s">
        <v>2162</v>
      </c>
      <c r="MU1" t="s">
        <v>2163</v>
      </c>
      <c r="MV1" t="s">
        <v>2164</v>
      </c>
      <c r="MW1" t="s">
        <v>2165</v>
      </c>
      <c r="MX1" t="s">
        <v>2166</v>
      </c>
      <c r="MY1" t="s">
        <v>2167</v>
      </c>
      <c r="MZ1" t="s">
        <v>2168</v>
      </c>
      <c r="NA1" t="s">
        <v>2169</v>
      </c>
      <c r="NB1" t="s">
        <v>2170</v>
      </c>
      <c r="NC1" t="s">
        <v>2171</v>
      </c>
      <c r="ND1" t="s">
        <v>2172</v>
      </c>
      <c r="NE1" t="s">
        <v>2173</v>
      </c>
      <c r="NF1" t="s">
        <v>2174</v>
      </c>
      <c r="NG1" t="s">
        <v>2175</v>
      </c>
      <c r="NH1" t="s">
        <v>2176</v>
      </c>
      <c r="NI1" t="s">
        <v>2177</v>
      </c>
      <c r="NJ1" t="s">
        <v>2178</v>
      </c>
      <c r="NK1" t="s">
        <v>2179</v>
      </c>
      <c r="NL1" t="s">
        <v>2180</v>
      </c>
      <c r="NM1" t="s">
        <v>2181</v>
      </c>
      <c r="NN1" t="s">
        <v>2182</v>
      </c>
      <c r="NO1" t="s">
        <v>2183</v>
      </c>
      <c r="NP1" t="s">
        <v>2184</v>
      </c>
      <c r="NQ1" t="s">
        <v>2185</v>
      </c>
      <c r="NR1" t="s">
        <v>2186</v>
      </c>
      <c r="NS1" t="s">
        <v>2187</v>
      </c>
      <c r="NT1" t="s">
        <v>2188</v>
      </c>
      <c r="NU1" t="s">
        <v>2189</v>
      </c>
      <c r="NV1" t="s">
        <v>2190</v>
      </c>
      <c r="NW1" t="s">
        <v>2191</v>
      </c>
      <c r="NX1" t="s">
        <v>2192</v>
      </c>
      <c r="NY1" t="s">
        <v>2193</v>
      </c>
      <c r="NZ1" t="s">
        <v>2194</v>
      </c>
      <c r="OA1" t="s">
        <v>2195</v>
      </c>
      <c r="OB1" t="s">
        <v>2196</v>
      </c>
      <c r="OC1" t="s">
        <v>2197</v>
      </c>
      <c r="OD1" t="s">
        <v>2198</v>
      </c>
      <c r="OE1" t="s">
        <v>2199</v>
      </c>
      <c r="OF1" t="s">
        <v>2200</v>
      </c>
      <c r="OG1" t="s">
        <v>2201</v>
      </c>
      <c r="OH1" t="s">
        <v>2202</v>
      </c>
      <c r="OI1" t="s">
        <v>2203</v>
      </c>
      <c r="OJ1" t="s">
        <v>2204</v>
      </c>
      <c r="OK1" t="s">
        <v>2205</v>
      </c>
      <c r="OL1" t="s">
        <v>2206</v>
      </c>
      <c r="OM1" t="s">
        <v>2207</v>
      </c>
      <c r="ON1" t="s">
        <v>2208</v>
      </c>
      <c r="OO1" t="s">
        <v>2209</v>
      </c>
      <c r="OP1" t="s">
        <v>2210</v>
      </c>
      <c r="OQ1" t="s">
        <v>2211</v>
      </c>
      <c r="OR1" t="s">
        <v>2212</v>
      </c>
      <c r="OS1" t="s">
        <v>2213</v>
      </c>
      <c r="OT1" t="s">
        <v>2214</v>
      </c>
      <c r="OU1" t="s">
        <v>2215</v>
      </c>
      <c r="OV1" t="s">
        <v>2216</v>
      </c>
      <c r="OW1" t="s">
        <v>2217</v>
      </c>
      <c r="OX1" t="s">
        <v>2218</v>
      </c>
      <c r="OY1" t="s">
        <v>2219</v>
      </c>
      <c r="OZ1" t="s">
        <v>2220</v>
      </c>
      <c r="PA1" t="s">
        <v>2221</v>
      </c>
      <c r="PB1" t="s">
        <v>2222</v>
      </c>
      <c r="PC1" t="s">
        <v>2223</v>
      </c>
      <c r="PD1" t="s">
        <v>2224</v>
      </c>
      <c r="PE1" t="s">
        <v>2225</v>
      </c>
      <c r="PF1" t="s">
        <v>2226</v>
      </c>
      <c r="PG1" t="s">
        <v>2227</v>
      </c>
      <c r="PH1" t="s">
        <v>2228</v>
      </c>
      <c r="PI1" t="s">
        <v>2229</v>
      </c>
      <c r="PJ1" t="s">
        <v>2230</v>
      </c>
      <c r="PK1" t="s">
        <v>2231</v>
      </c>
      <c r="PL1" t="s">
        <v>2232</v>
      </c>
      <c r="PM1" t="s">
        <v>2233</v>
      </c>
      <c r="PN1" t="s">
        <v>2234</v>
      </c>
      <c r="PO1" t="s">
        <v>2235</v>
      </c>
      <c r="PP1" t="s">
        <v>2236</v>
      </c>
      <c r="PQ1" t="s">
        <v>2237</v>
      </c>
      <c r="PR1" t="s">
        <v>2238</v>
      </c>
      <c r="PS1" t="s">
        <v>2239</v>
      </c>
      <c r="PT1" t="s">
        <v>2240</v>
      </c>
      <c r="PU1" t="s">
        <v>2241</v>
      </c>
      <c r="PV1" t="s">
        <v>2242</v>
      </c>
      <c r="PW1" t="s">
        <v>2243</v>
      </c>
      <c r="PX1" t="s">
        <v>2244</v>
      </c>
      <c r="PY1" t="s">
        <v>2245</v>
      </c>
      <c r="PZ1" t="s">
        <v>2246</v>
      </c>
      <c r="QA1" t="s">
        <v>2247</v>
      </c>
      <c r="QB1" t="s">
        <v>2248</v>
      </c>
      <c r="QC1" t="s">
        <v>2249</v>
      </c>
      <c r="QD1" t="s">
        <v>2250</v>
      </c>
      <c r="QE1" t="s">
        <v>2251</v>
      </c>
      <c r="QF1" t="s">
        <v>2252</v>
      </c>
      <c r="QG1" t="s">
        <v>2253</v>
      </c>
      <c r="QH1" t="s">
        <v>2254</v>
      </c>
      <c r="QI1" t="s">
        <v>2255</v>
      </c>
      <c r="QJ1" t="s">
        <v>2256</v>
      </c>
      <c r="QK1" t="s">
        <v>2257</v>
      </c>
      <c r="QL1" t="s">
        <v>2258</v>
      </c>
      <c r="QM1" t="s">
        <v>2259</v>
      </c>
      <c r="QN1" t="s">
        <v>2260</v>
      </c>
      <c r="QO1" t="s">
        <v>2261</v>
      </c>
      <c r="QP1" t="s">
        <v>2262</v>
      </c>
      <c r="QQ1" t="s">
        <v>2263</v>
      </c>
      <c r="QR1" t="s">
        <v>2264</v>
      </c>
      <c r="QS1" t="s">
        <v>2265</v>
      </c>
      <c r="QT1" t="s">
        <v>2266</v>
      </c>
      <c r="QU1" t="s">
        <v>2267</v>
      </c>
      <c r="QV1" t="s">
        <v>2268</v>
      </c>
      <c r="QW1" t="s">
        <v>2269</v>
      </c>
      <c r="QX1" t="s">
        <v>2270</v>
      </c>
      <c r="QY1" t="s">
        <v>2271</v>
      </c>
      <c r="QZ1" t="s">
        <v>2272</v>
      </c>
      <c r="RA1" t="s">
        <v>2273</v>
      </c>
      <c r="RB1" t="s">
        <v>2274</v>
      </c>
      <c r="RC1" t="s">
        <v>2275</v>
      </c>
      <c r="RD1" t="s">
        <v>2276</v>
      </c>
      <c r="RE1" t="s">
        <v>2277</v>
      </c>
      <c r="RF1" t="s">
        <v>2278</v>
      </c>
      <c r="RG1" t="s">
        <v>2279</v>
      </c>
      <c r="RH1" t="s">
        <v>2280</v>
      </c>
      <c r="RI1" t="s">
        <v>2281</v>
      </c>
      <c r="RJ1" t="s">
        <v>2282</v>
      </c>
      <c r="RK1" t="s">
        <v>2283</v>
      </c>
      <c r="RL1" t="s">
        <v>2284</v>
      </c>
      <c r="RM1" t="s">
        <v>2285</v>
      </c>
      <c r="RN1" t="s">
        <v>2286</v>
      </c>
      <c r="RO1" t="s">
        <v>2287</v>
      </c>
      <c r="RP1" t="s">
        <v>2288</v>
      </c>
      <c r="RQ1" t="s">
        <v>2289</v>
      </c>
      <c r="RR1" t="s">
        <v>2290</v>
      </c>
      <c r="RS1" t="s">
        <v>2291</v>
      </c>
      <c r="RT1" t="s">
        <v>2292</v>
      </c>
      <c r="RU1" t="s">
        <v>2293</v>
      </c>
      <c r="RV1" t="s">
        <v>2294</v>
      </c>
      <c r="RW1" t="s">
        <v>2295</v>
      </c>
      <c r="RX1" t="s">
        <v>2296</v>
      </c>
      <c r="RY1" t="s">
        <v>2297</v>
      </c>
      <c r="RZ1" t="s">
        <v>2298</v>
      </c>
      <c r="SA1" t="s">
        <v>2299</v>
      </c>
      <c r="SB1" t="s">
        <v>2300</v>
      </c>
      <c r="SC1" t="s">
        <v>2301</v>
      </c>
      <c r="SD1" t="s">
        <v>2302</v>
      </c>
      <c r="SE1" t="s">
        <v>2303</v>
      </c>
      <c r="SF1" t="s">
        <v>2304</v>
      </c>
      <c r="SG1" t="s">
        <v>2305</v>
      </c>
      <c r="SH1" t="s">
        <v>2306</v>
      </c>
      <c r="SI1" t="s">
        <v>2307</v>
      </c>
      <c r="SJ1" t="s">
        <v>3492</v>
      </c>
      <c r="SK1" t="s">
        <v>2309</v>
      </c>
      <c r="SL1" t="s">
        <v>2310</v>
      </c>
      <c r="SM1" t="s">
        <v>2311</v>
      </c>
      <c r="SN1" t="s">
        <v>2312</v>
      </c>
      <c r="SO1" t="s">
        <v>2313</v>
      </c>
      <c r="SP1" t="s">
        <v>2314</v>
      </c>
      <c r="SQ1" t="s">
        <v>2315</v>
      </c>
      <c r="SR1" t="s">
        <v>2316</v>
      </c>
      <c r="SS1" t="s">
        <v>2317</v>
      </c>
      <c r="ST1" t="s">
        <v>2318</v>
      </c>
      <c r="SU1" t="s">
        <v>2319</v>
      </c>
      <c r="SV1" t="s">
        <v>2320</v>
      </c>
      <c r="SW1" t="s">
        <v>2321</v>
      </c>
      <c r="SX1" t="s">
        <v>2322</v>
      </c>
      <c r="SY1" t="s">
        <v>2323</v>
      </c>
      <c r="SZ1" t="s">
        <v>2324</v>
      </c>
      <c r="TA1" t="s">
        <v>2325</v>
      </c>
      <c r="TB1" t="s">
        <v>2326</v>
      </c>
      <c r="TC1" t="s">
        <v>2327</v>
      </c>
      <c r="TD1" t="s">
        <v>2328</v>
      </c>
      <c r="TE1" t="s">
        <v>2329</v>
      </c>
      <c r="TF1" t="s">
        <v>2330</v>
      </c>
      <c r="TG1" t="s">
        <v>2331</v>
      </c>
      <c r="TH1" t="s">
        <v>2332</v>
      </c>
      <c r="TI1" t="s">
        <v>2333</v>
      </c>
      <c r="TJ1" t="s">
        <v>2334</v>
      </c>
      <c r="TK1" t="s">
        <v>2335</v>
      </c>
      <c r="TL1" t="s">
        <v>2336</v>
      </c>
      <c r="TM1" t="s">
        <v>2337</v>
      </c>
      <c r="TN1" t="s">
        <v>2338</v>
      </c>
      <c r="TO1" t="s">
        <v>2339</v>
      </c>
      <c r="TP1" t="s">
        <v>2340</v>
      </c>
      <c r="TQ1" t="s">
        <v>2341</v>
      </c>
      <c r="TR1" t="s">
        <v>2342</v>
      </c>
      <c r="TS1" t="s">
        <v>2343</v>
      </c>
      <c r="TT1" t="s">
        <v>2344</v>
      </c>
      <c r="TU1" t="s">
        <v>2345</v>
      </c>
      <c r="TV1" t="s">
        <v>2346</v>
      </c>
      <c r="TW1" t="s">
        <v>2347</v>
      </c>
      <c r="TX1" t="s">
        <v>2348</v>
      </c>
      <c r="TY1" t="s">
        <v>2349</v>
      </c>
      <c r="TZ1" t="s">
        <v>2350</v>
      </c>
      <c r="UA1" t="s">
        <v>2351</v>
      </c>
      <c r="UB1" t="s">
        <v>2352</v>
      </c>
      <c r="UC1" t="s">
        <v>2353</v>
      </c>
      <c r="UD1" t="s">
        <v>2354</v>
      </c>
      <c r="UE1" t="s">
        <v>2355</v>
      </c>
      <c r="UF1" t="s">
        <v>2356</v>
      </c>
      <c r="UG1" t="s">
        <v>2357</v>
      </c>
      <c r="UH1" t="s">
        <v>2358</v>
      </c>
      <c r="UI1" t="s">
        <v>2359</v>
      </c>
      <c r="UJ1" t="s">
        <v>2360</v>
      </c>
      <c r="UK1" t="s">
        <v>2361</v>
      </c>
      <c r="UL1" t="s">
        <v>2362</v>
      </c>
      <c r="UM1" t="s">
        <v>2363</v>
      </c>
      <c r="UN1" t="s">
        <v>2364</v>
      </c>
      <c r="UO1" t="s">
        <v>2365</v>
      </c>
      <c r="UP1" t="s">
        <v>2366</v>
      </c>
      <c r="UQ1" t="s">
        <v>2367</v>
      </c>
      <c r="UR1" t="s">
        <v>2368</v>
      </c>
      <c r="US1" t="s">
        <v>2369</v>
      </c>
      <c r="UT1" t="s">
        <v>2370</v>
      </c>
      <c r="UU1" t="s">
        <v>2371</v>
      </c>
      <c r="UV1" t="s">
        <v>2372</v>
      </c>
      <c r="UW1" t="s">
        <v>2373</v>
      </c>
      <c r="UX1" t="s">
        <v>2374</v>
      </c>
      <c r="UY1" t="s">
        <v>2375</v>
      </c>
      <c r="UZ1" t="s">
        <v>2376</v>
      </c>
      <c r="VA1" t="s">
        <v>2377</v>
      </c>
      <c r="VB1" t="s">
        <v>2378</v>
      </c>
      <c r="VC1" t="s">
        <v>2379</v>
      </c>
      <c r="VD1" t="s">
        <v>2380</v>
      </c>
      <c r="VE1" t="s">
        <v>2381</v>
      </c>
      <c r="VF1" t="s">
        <v>2382</v>
      </c>
      <c r="VG1" t="s">
        <v>2383</v>
      </c>
      <c r="VH1" t="s">
        <v>2384</v>
      </c>
      <c r="VI1" t="s">
        <v>2385</v>
      </c>
      <c r="VJ1" t="s">
        <v>2386</v>
      </c>
      <c r="VK1" t="s">
        <v>2387</v>
      </c>
      <c r="VL1" t="s">
        <v>2388</v>
      </c>
      <c r="VM1" t="s">
        <v>2389</v>
      </c>
      <c r="VN1" t="s">
        <v>2390</v>
      </c>
      <c r="VO1" t="s">
        <v>2391</v>
      </c>
      <c r="VP1" t="s">
        <v>2392</v>
      </c>
      <c r="VQ1" t="s">
        <v>2393</v>
      </c>
      <c r="VR1" t="s">
        <v>2394</v>
      </c>
      <c r="VS1" t="s">
        <v>2395</v>
      </c>
      <c r="VT1" t="s">
        <v>2396</v>
      </c>
      <c r="VU1" t="s">
        <v>2397</v>
      </c>
      <c r="VV1" t="s">
        <v>2398</v>
      </c>
      <c r="VW1" t="s">
        <v>2399</v>
      </c>
      <c r="VX1" t="s">
        <v>2400</v>
      </c>
      <c r="VY1" t="s">
        <v>2401</v>
      </c>
      <c r="VZ1" t="s">
        <v>2402</v>
      </c>
      <c r="WA1" t="s">
        <v>2403</v>
      </c>
      <c r="WB1" t="s">
        <v>2404</v>
      </c>
      <c r="WC1" t="s">
        <v>2405</v>
      </c>
      <c r="WD1" t="s">
        <v>2406</v>
      </c>
      <c r="WE1" t="s">
        <v>2407</v>
      </c>
      <c r="WF1" t="s">
        <v>2408</v>
      </c>
      <c r="WG1" t="s">
        <v>2409</v>
      </c>
      <c r="WH1" t="s">
        <v>2410</v>
      </c>
      <c r="WI1" t="s">
        <v>2411</v>
      </c>
      <c r="WJ1" t="s">
        <v>2412</v>
      </c>
      <c r="WK1" t="s">
        <v>2413</v>
      </c>
      <c r="WL1" t="s">
        <v>2414</v>
      </c>
      <c r="WM1" t="s">
        <v>2415</v>
      </c>
      <c r="WN1" t="s">
        <v>2416</v>
      </c>
      <c r="WO1" t="s">
        <v>2417</v>
      </c>
      <c r="WP1" t="s">
        <v>2418</v>
      </c>
      <c r="WQ1" t="s">
        <v>2419</v>
      </c>
      <c r="WR1" t="s">
        <v>2420</v>
      </c>
      <c r="WS1" t="s">
        <v>2421</v>
      </c>
      <c r="WT1" t="s">
        <v>2422</v>
      </c>
      <c r="WU1" t="s">
        <v>2423</v>
      </c>
      <c r="WV1" t="s">
        <v>2424</v>
      </c>
      <c r="WW1" t="s">
        <v>2425</v>
      </c>
      <c r="WX1" t="s">
        <v>2426</v>
      </c>
      <c r="WY1" t="s">
        <v>2427</v>
      </c>
      <c r="WZ1" t="s">
        <v>2428</v>
      </c>
      <c r="XA1" t="s">
        <v>2429</v>
      </c>
      <c r="XB1" t="s">
        <v>2430</v>
      </c>
      <c r="XC1" t="s">
        <v>2431</v>
      </c>
      <c r="XD1" t="s">
        <v>2432</v>
      </c>
      <c r="XE1" t="s">
        <v>2433</v>
      </c>
      <c r="XF1" t="s">
        <v>2434</v>
      </c>
      <c r="XG1" t="s">
        <v>2435</v>
      </c>
      <c r="XH1" t="s">
        <v>2436</v>
      </c>
      <c r="XI1" t="s">
        <v>2437</v>
      </c>
      <c r="XJ1" t="s">
        <v>2438</v>
      </c>
      <c r="XK1" t="s">
        <v>2439</v>
      </c>
      <c r="XL1" t="s">
        <v>2440</v>
      </c>
      <c r="XM1" t="s">
        <v>2441</v>
      </c>
      <c r="XN1" t="s">
        <v>2442</v>
      </c>
      <c r="XO1" t="s">
        <v>2443</v>
      </c>
      <c r="XP1" t="s">
        <v>2444</v>
      </c>
      <c r="XQ1" t="s">
        <v>2445</v>
      </c>
      <c r="XR1" t="s">
        <v>2446</v>
      </c>
      <c r="XS1" t="s">
        <v>2447</v>
      </c>
      <c r="XT1" t="s">
        <v>2448</v>
      </c>
      <c r="XU1" t="s">
        <v>2449</v>
      </c>
      <c r="XV1" t="s">
        <v>2450</v>
      </c>
      <c r="XW1" t="s">
        <v>2451</v>
      </c>
      <c r="XX1" t="s">
        <v>2452</v>
      </c>
      <c r="XY1" t="s">
        <v>2453</v>
      </c>
      <c r="XZ1" t="s">
        <v>2454</v>
      </c>
      <c r="YA1" t="s">
        <v>2455</v>
      </c>
      <c r="YB1" t="s">
        <v>2456</v>
      </c>
      <c r="YC1" t="s">
        <v>2457</v>
      </c>
      <c r="YD1" t="s">
        <v>2458</v>
      </c>
      <c r="YE1" t="s">
        <v>2459</v>
      </c>
      <c r="YF1" t="s">
        <v>2460</v>
      </c>
      <c r="YG1" t="s">
        <v>2461</v>
      </c>
      <c r="YH1" t="s">
        <v>2462</v>
      </c>
      <c r="YI1" t="s">
        <v>2463</v>
      </c>
      <c r="YJ1" t="s">
        <v>2464</v>
      </c>
      <c r="YK1" t="s">
        <v>2465</v>
      </c>
      <c r="YL1" t="s">
        <v>2466</v>
      </c>
      <c r="YM1" t="s">
        <v>2467</v>
      </c>
      <c r="YN1" t="s">
        <v>2468</v>
      </c>
      <c r="YO1" t="s">
        <v>2469</v>
      </c>
      <c r="YP1" t="s">
        <v>2470</v>
      </c>
      <c r="YQ1" t="s">
        <v>2471</v>
      </c>
      <c r="YR1" t="s">
        <v>2472</v>
      </c>
      <c r="YS1" t="s">
        <v>2473</v>
      </c>
      <c r="YT1" t="s">
        <v>2474</v>
      </c>
      <c r="YU1" t="s">
        <v>2475</v>
      </c>
      <c r="YV1" t="s">
        <v>2476</v>
      </c>
      <c r="YW1" t="s">
        <v>2477</v>
      </c>
      <c r="YX1" t="s">
        <v>2478</v>
      </c>
      <c r="YY1" t="s">
        <v>2479</v>
      </c>
      <c r="YZ1" t="s">
        <v>2480</v>
      </c>
      <c r="ZA1" t="s">
        <v>2481</v>
      </c>
      <c r="ZB1" t="s">
        <v>2482</v>
      </c>
      <c r="ZC1" t="s">
        <v>2483</v>
      </c>
      <c r="ZD1" t="s">
        <v>2484</v>
      </c>
      <c r="ZE1" t="s">
        <v>2485</v>
      </c>
      <c r="ZF1" t="s">
        <v>2486</v>
      </c>
      <c r="ZG1" t="s">
        <v>2487</v>
      </c>
      <c r="ZH1" t="s">
        <v>2488</v>
      </c>
      <c r="ZI1" t="s">
        <v>2489</v>
      </c>
      <c r="ZJ1" t="s">
        <v>2490</v>
      </c>
      <c r="ZK1" t="s">
        <v>2491</v>
      </c>
      <c r="ZL1" t="s">
        <v>2492</v>
      </c>
      <c r="ZM1" t="s">
        <v>2493</v>
      </c>
      <c r="ZN1" t="s">
        <v>2494</v>
      </c>
      <c r="ZO1" t="s">
        <v>2495</v>
      </c>
      <c r="ZP1" t="s">
        <v>2496</v>
      </c>
      <c r="ZQ1" t="s">
        <v>2497</v>
      </c>
      <c r="ZR1" t="s">
        <v>2498</v>
      </c>
      <c r="ZS1" t="s">
        <v>2499</v>
      </c>
      <c r="ZT1" t="s">
        <v>2500</v>
      </c>
      <c r="ZU1" t="s">
        <v>2501</v>
      </c>
      <c r="ZV1" t="s">
        <v>2502</v>
      </c>
      <c r="ZW1" t="s">
        <v>2503</v>
      </c>
      <c r="ZX1" t="s">
        <v>2504</v>
      </c>
      <c r="ZY1" t="s">
        <v>2505</v>
      </c>
      <c r="ZZ1" t="s">
        <v>2506</v>
      </c>
      <c r="AAA1" t="s">
        <v>2507</v>
      </c>
      <c r="AAB1" t="s">
        <v>2508</v>
      </c>
      <c r="AAC1" t="s">
        <v>2509</v>
      </c>
      <c r="AAD1" t="s">
        <v>2510</v>
      </c>
      <c r="AAE1" t="s">
        <v>2511</v>
      </c>
      <c r="AAF1" t="s">
        <v>2512</v>
      </c>
      <c r="AAG1" t="s">
        <v>2513</v>
      </c>
      <c r="AAH1" t="s">
        <v>2514</v>
      </c>
      <c r="AAI1" t="s">
        <v>2515</v>
      </c>
      <c r="AAJ1" t="s">
        <v>2516</v>
      </c>
      <c r="AAK1" t="s">
        <v>2517</v>
      </c>
      <c r="AAL1" t="s">
        <v>2518</v>
      </c>
      <c r="AAM1" t="s">
        <v>2519</v>
      </c>
      <c r="AAN1" t="s">
        <v>2520</v>
      </c>
      <c r="AAO1" t="s">
        <v>2521</v>
      </c>
      <c r="AAP1" t="s">
        <v>3493</v>
      </c>
      <c r="AAQ1" t="s">
        <v>2523</v>
      </c>
      <c r="AAR1" t="s">
        <v>2524</v>
      </c>
      <c r="AAS1" t="s">
        <v>2525</v>
      </c>
      <c r="AAT1" t="s">
        <v>2526</v>
      </c>
      <c r="AAU1" t="s">
        <v>2527</v>
      </c>
      <c r="AAV1" t="s">
        <v>2528</v>
      </c>
      <c r="AAW1" t="s">
        <v>2529</v>
      </c>
      <c r="AAX1" t="s">
        <v>2530</v>
      </c>
      <c r="AAY1" t="s">
        <v>2531</v>
      </c>
      <c r="AAZ1" t="s">
        <v>2532</v>
      </c>
      <c r="ABA1" t="s">
        <v>2533</v>
      </c>
      <c r="ABB1" t="s">
        <v>2534</v>
      </c>
      <c r="ABC1" t="s">
        <v>2535</v>
      </c>
      <c r="ABD1" t="s">
        <v>2536</v>
      </c>
      <c r="ABE1" t="s">
        <v>2537</v>
      </c>
      <c r="ABF1" t="s">
        <v>2538</v>
      </c>
      <c r="ABG1" t="s">
        <v>2539</v>
      </c>
      <c r="ABH1" t="s">
        <v>2540</v>
      </c>
      <c r="ABI1" t="s">
        <v>2541</v>
      </c>
      <c r="ABJ1" t="s">
        <v>2542</v>
      </c>
      <c r="ABK1" t="s">
        <v>2543</v>
      </c>
      <c r="ABL1" t="s">
        <v>2544</v>
      </c>
      <c r="ABM1" t="s">
        <v>2545</v>
      </c>
      <c r="ABN1" t="s">
        <v>2546</v>
      </c>
      <c r="ABO1" t="s">
        <v>2547</v>
      </c>
      <c r="ABP1" t="s">
        <v>2548</v>
      </c>
      <c r="ABQ1" t="s">
        <v>2549</v>
      </c>
      <c r="ABR1" t="s">
        <v>2550</v>
      </c>
      <c r="ABS1" t="s">
        <v>2551</v>
      </c>
      <c r="ABT1" t="s">
        <v>2552</v>
      </c>
      <c r="ABU1" t="s">
        <v>2553</v>
      </c>
      <c r="ABV1" t="s">
        <v>2554</v>
      </c>
      <c r="ABW1" t="s">
        <v>2555</v>
      </c>
      <c r="ABX1" t="s">
        <v>2556</v>
      </c>
      <c r="ABY1" t="s">
        <v>2557</v>
      </c>
      <c r="ABZ1" t="s">
        <v>2558</v>
      </c>
      <c r="ACA1" t="s">
        <v>2559</v>
      </c>
      <c r="ACB1" t="s">
        <v>2560</v>
      </c>
      <c r="ACC1" t="s">
        <v>2561</v>
      </c>
      <c r="ACD1" t="s">
        <v>2562</v>
      </c>
      <c r="ACE1" t="s">
        <v>2563</v>
      </c>
      <c r="ACF1" t="s">
        <v>2564</v>
      </c>
      <c r="ACG1" t="s">
        <v>2565</v>
      </c>
      <c r="ACH1" t="s">
        <v>2566</v>
      </c>
      <c r="ACI1" t="s">
        <v>2567</v>
      </c>
      <c r="ACJ1" t="s">
        <v>2568</v>
      </c>
      <c r="ACK1" t="s">
        <v>2569</v>
      </c>
      <c r="ACL1" t="s">
        <v>2570</v>
      </c>
      <c r="ACM1" t="s">
        <v>2571</v>
      </c>
      <c r="ACN1" t="s">
        <v>2572</v>
      </c>
      <c r="ACO1" t="s">
        <v>2573</v>
      </c>
      <c r="ACP1" t="s">
        <v>2574</v>
      </c>
      <c r="ACQ1" t="s">
        <v>2575</v>
      </c>
      <c r="ACR1" t="s">
        <v>2576</v>
      </c>
      <c r="ACS1" t="s">
        <v>2577</v>
      </c>
      <c r="ACT1" t="s">
        <v>2578</v>
      </c>
      <c r="ACU1" t="s">
        <v>2579</v>
      </c>
      <c r="ACV1" t="s">
        <v>2580</v>
      </c>
      <c r="ACW1" t="s">
        <v>2581</v>
      </c>
      <c r="ACX1" t="s">
        <v>2582</v>
      </c>
      <c r="ACY1" t="s">
        <v>2583</v>
      </c>
      <c r="ACZ1" t="s">
        <v>2584</v>
      </c>
      <c r="ADA1" t="s">
        <v>2585</v>
      </c>
      <c r="ADB1" t="s">
        <v>2586</v>
      </c>
      <c r="ADC1" t="s">
        <v>2587</v>
      </c>
      <c r="ADD1" t="s">
        <v>2588</v>
      </c>
      <c r="ADE1" t="s">
        <v>2589</v>
      </c>
      <c r="ADF1" t="s">
        <v>2590</v>
      </c>
      <c r="ADG1" t="s">
        <v>2591</v>
      </c>
      <c r="ADH1" t="s">
        <v>2592</v>
      </c>
      <c r="ADI1" t="s">
        <v>2593</v>
      </c>
      <c r="ADJ1" t="s">
        <v>2594</v>
      </c>
      <c r="ADK1" t="s">
        <v>2595</v>
      </c>
      <c r="ADL1" t="s">
        <v>2596</v>
      </c>
      <c r="ADM1" t="s">
        <v>2597</v>
      </c>
      <c r="ADN1" t="s">
        <v>2598</v>
      </c>
      <c r="ADO1" t="s">
        <v>2599</v>
      </c>
      <c r="ADP1" t="s">
        <v>2600</v>
      </c>
      <c r="ADQ1" t="s">
        <v>2601</v>
      </c>
      <c r="ADR1" t="s">
        <v>2602</v>
      </c>
      <c r="ADS1" t="s">
        <v>2603</v>
      </c>
      <c r="ADT1" t="s">
        <v>2604</v>
      </c>
      <c r="ADU1" t="s">
        <v>2605</v>
      </c>
      <c r="ADV1" t="s">
        <v>2606</v>
      </c>
      <c r="ADW1" t="s">
        <v>2607</v>
      </c>
      <c r="ADX1" t="s">
        <v>2608</v>
      </c>
      <c r="ADY1" t="s">
        <v>2609</v>
      </c>
      <c r="ADZ1" t="s">
        <v>2610</v>
      </c>
      <c r="AEA1" t="s">
        <v>2611</v>
      </c>
      <c r="AEB1" t="s">
        <v>2612</v>
      </c>
      <c r="AEC1" t="s">
        <v>2613</v>
      </c>
      <c r="AED1" t="s">
        <v>2614</v>
      </c>
      <c r="AEE1" t="s">
        <v>2615</v>
      </c>
      <c r="AEF1" t="s">
        <v>2616</v>
      </c>
      <c r="AEG1" t="s">
        <v>2617</v>
      </c>
      <c r="AEH1" t="s">
        <v>2618</v>
      </c>
      <c r="AEI1" t="s">
        <v>2619</v>
      </c>
      <c r="AEJ1" t="s">
        <v>2620</v>
      </c>
      <c r="AEK1" t="s">
        <v>2621</v>
      </c>
      <c r="AEL1" t="s">
        <v>2622</v>
      </c>
      <c r="AEM1" t="s">
        <v>2623</v>
      </c>
      <c r="AEN1" t="s">
        <v>2624</v>
      </c>
      <c r="AEO1" t="s">
        <v>2625</v>
      </c>
      <c r="AEP1" t="s">
        <v>2626</v>
      </c>
      <c r="AEQ1" t="s">
        <v>2627</v>
      </c>
      <c r="AER1" t="s">
        <v>2628</v>
      </c>
      <c r="AES1" t="s">
        <v>2629</v>
      </c>
      <c r="AET1" t="s">
        <v>2630</v>
      </c>
      <c r="AEU1" t="s">
        <v>2631</v>
      </c>
      <c r="AEV1" t="s">
        <v>2632</v>
      </c>
      <c r="AEW1" t="s">
        <v>2633</v>
      </c>
      <c r="AEX1" t="s">
        <v>2634</v>
      </c>
      <c r="AEY1" t="s">
        <v>2635</v>
      </c>
      <c r="AEZ1" t="s">
        <v>2636</v>
      </c>
      <c r="AFA1" t="s">
        <v>2637</v>
      </c>
      <c r="AFB1" t="s">
        <v>2638</v>
      </c>
      <c r="AFC1" t="s">
        <v>2639</v>
      </c>
      <c r="AFD1" t="s">
        <v>2640</v>
      </c>
      <c r="AFE1" t="s">
        <v>2641</v>
      </c>
      <c r="AFF1" t="s">
        <v>2642</v>
      </c>
      <c r="AFG1" t="s">
        <v>2643</v>
      </c>
      <c r="AFH1" t="s">
        <v>2644</v>
      </c>
      <c r="AFI1" t="s">
        <v>2645</v>
      </c>
      <c r="AFJ1" t="s">
        <v>2646</v>
      </c>
      <c r="AFK1" t="s">
        <v>2647</v>
      </c>
      <c r="AFL1" t="s">
        <v>2648</v>
      </c>
      <c r="AFM1" t="s">
        <v>2649</v>
      </c>
      <c r="AFN1" t="s">
        <v>2650</v>
      </c>
      <c r="AFO1" t="s">
        <v>2651</v>
      </c>
      <c r="AFP1" t="s">
        <v>2652</v>
      </c>
      <c r="AFQ1" t="s">
        <v>2653</v>
      </c>
      <c r="AFR1" t="s">
        <v>2654</v>
      </c>
      <c r="AFS1" t="s">
        <v>2655</v>
      </c>
      <c r="AFT1" t="s">
        <v>2656</v>
      </c>
      <c r="AFU1" t="s">
        <v>2657</v>
      </c>
      <c r="AFV1" t="s">
        <v>2658</v>
      </c>
      <c r="AFW1" t="s">
        <v>2659</v>
      </c>
      <c r="AFX1" t="s">
        <v>2660</v>
      </c>
      <c r="AFY1" t="s">
        <v>2661</v>
      </c>
      <c r="AFZ1" t="s">
        <v>2662</v>
      </c>
      <c r="AGA1" t="s">
        <v>2663</v>
      </c>
      <c r="AGB1" t="s">
        <v>2664</v>
      </c>
      <c r="AGC1" t="s">
        <v>2665</v>
      </c>
      <c r="AGD1" t="s">
        <v>2666</v>
      </c>
      <c r="AGE1" t="s">
        <v>2667</v>
      </c>
      <c r="AGF1" t="s">
        <v>2668</v>
      </c>
      <c r="AGG1" t="s">
        <v>2669</v>
      </c>
      <c r="AGH1" t="s">
        <v>2670</v>
      </c>
      <c r="AGI1" t="s">
        <v>2671</v>
      </c>
      <c r="AGJ1" t="s">
        <v>2672</v>
      </c>
      <c r="AGK1" t="s">
        <v>2673</v>
      </c>
      <c r="AGL1" t="s">
        <v>2674</v>
      </c>
      <c r="AGM1" t="s">
        <v>2675</v>
      </c>
      <c r="AGN1" t="s">
        <v>2676</v>
      </c>
      <c r="AGO1" t="s">
        <v>2677</v>
      </c>
      <c r="AGP1" t="s">
        <v>2678</v>
      </c>
      <c r="AGQ1" t="s">
        <v>2679</v>
      </c>
      <c r="AGR1" t="s">
        <v>2680</v>
      </c>
      <c r="AGS1" t="s">
        <v>2681</v>
      </c>
      <c r="AGT1" t="s">
        <v>2682</v>
      </c>
      <c r="AGU1" t="s">
        <v>2683</v>
      </c>
      <c r="AGV1" t="s">
        <v>2684</v>
      </c>
      <c r="AGW1" t="s">
        <v>2685</v>
      </c>
      <c r="AGX1" t="s">
        <v>2686</v>
      </c>
      <c r="AGY1" t="s">
        <v>2687</v>
      </c>
      <c r="AGZ1" t="s">
        <v>2688</v>
      </c>
      <c r="AHA1" t="s">
        <v>2689</v>
      </c>
      <c r="AHB1" t="s">
        <v>2690</v>
      </c>
      <c r="AHC1" t="s">
        <v>2691</v>
      </c>
      <c r="AHD1" t="s">
        <v>2692</v>
      </c>
      <c r="AHE1" t="s">
        <v>2693</v>
      </c>
      <c r="AHF1" t="s">
        <v>2694</v>
      </c>
      <c r="AHG1" t="s">
        <v>2695</v>
      </c>
      <c r="AHH1" t="s">
        <v>2696</v>
      </c>
      <c r="AHI1" t="s">
        <v>2697</v>
      </c>
      <c r="AHJ1" t="s">
        <v>2698</v>
      </c>
      <c r="AHK1" t="s">
        <v>2699</v>
      </c>
      <c r="AHL1" t="s">
        <v>2700</v>
      </c>
      <c r="AHM1" t="s">
        <v>2701</v>
      </c>
      <c r="AHN1" t="s">
        <v>2702</v>
      </c>
      <c r="AHO1" t="s">
        <v>2703</v>
      </c>
      <c r="AHP1" t="s">
        <v>2704</v>
      </c>
      <c r="AHQ1" t="s">
        <v>2705</v>
      </c>
      <c r="AHR1" t="s">
        <v>2706</v>
      </c>
      <c r="AHS1" t="s">
        <v>2707</v>
      </c>
      <c r="AHT1" t="s">
        <v>2708</v>
      </c>
      <c r="AHU1" t="s">
        <v>2709</v>
      </c>
      <c r="AHV1" t="s">
        <v>2710</v>
      </c>
      <c r="AHW1" t="s">
        <v>2711</v>
      </c>
      <c r="AHX1" t="s">
        <v>2712</v>
      </c>
      <c r="AHY1" t="s">
        <v>2713</v>
      </c>
      <c r="AHZ1" t="s">
        <v>2714</v>
      </c>
      <c r="AIA1" t="s">
        <v>2715</v>
      </c>
      <c r="AIB1" t="s">
        <v>2716</v>
      </c>
      <c r="AIC1" t="s">
        <v>2717</v>
      </c>
      <c r="AID1" t="s">
        <v>2718</v>
      </c>
      <c r="AIE1" t="s">
        <v>2719</v>
      </c>
      <c r="AIF1" t="s">
        <v>2720</v>
      </c>
      <c r="AIG1" t="s">
        <v>2721</v>
      </c>
      <c r="AIH1" t="s">
        <v>2722</v>
      </c>
      <c r="AII1" t="s">
        <v>2723</v>
      </c>
      <c r="AIJ1" t="s">
        <v>2724</v>
      </c>
      <c r="AIK1" t="s">
        <v>2725</v>
      </c>
      <c r="AIL1" t="s">
        <v>2726</v>
      </c>
      <c r="AIM1" t="s">
        <v>2727</v>
      </c>
      <c r="AIN1" t="s">
        <v>2728</v>
      </c>
      <c r="AIO1" t="s">
        <v>2729</v>
      </c>
      <c r="AIP1" t="s">
        <v>2730</v>
      </c>
      <c r="AIQ1" t="s">
        <v>2731</v>
      </c>
      <c r="AIR1" t="s">
        <v>2732</v>
      </c>
      <c r="AIS1" t="s">
        <v>2733</v>
      </c>
      <c r="AIT1" t="s">
        <v>2734</v>
      </c>
      <c r="AIU1" t="s">
        <v>2735</v>
      </c>
    </row>
    <row r="2" spans="1:931" x14ac:dyDescent="0.2">
      <c r="A2" t="s">
        <v>395</v>
      </c>
      <c r="B2" t="s">
        <v>396</v>
      </c>
      <c r="C2" t="s">
        <v>397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>
        <v>629</v>
      </c>
      <c r="W2" s="20">
        <v>43520.311805555553</v>
      </c>
      <c r="X2" t="s">
        <v>398</v>
      </c>
      <c r="Y2">
        <v>2019</v>
      </c>
      <c r="Z2" t="s">
        <v>399</v>
      </c>
      <c r="AA2" t="s">
        <v>400</v>
      </c>
      <c r="AB2" t="str">
        <f>VLOOKUP(MID(AD2,SEARCH("@",AD2,1),LEN(AD2)-SEARCH("@",AD2,1)+1),[2]Sheet1!$D:$F,3,FALSE)</f>
        <v>M174</v>
      </c>
      <c r="AD2" t="s">
        <v>401</v>
      </c>
      <c r="AF2" t="s">
        <v>402</v>
      </c>
      <c r="AG2" t="s">
        <v>403</v>
      </c>
      <c r="AI2">
        <v>1</v>
      </c>
      <c r="AL2">
        <v>73</v>
      </c>
      <c r="AM2">
        <v>71</v>
      </c>
      <c r="AN2">
        <v>2</v>
      </c>
      <c r="AO2">
        <v>0</v>
      </c>
      <c r="AV2">
        <v>0</v>
      </c>
      <c r="AW2">
        <v>71</v>
      </c>
      <c r="BC2">
        <v>71</v>
      </c>
      <c r="BJ2">
        <v>0</v>
      </c>
      <c r="BQ2">
        <v>0</v>
      </c>
      <c r="BX2">
        <v>0</v>
      </c>
      <c r="CE2">
        <v>0</v>
      </c>
      <c r="CF2">
        <v>71</v>
      </c>
      <c r="CG2">
        <v>0</v>
      </c>
      <c r="CH2">
        <v>0</v>
      </c>
      <c r="CI2">
        <v>0</v>
      </c>
      <c r="CJ2">
        <v>0</v>
      </c>
      <c r="CK2">
        <v>0</v>
      </c>
      <c r="CL2">
        <v>71</v>
      </c>
      <c r="CS2">
        <v>0</v>
      </c>
      <c r="CT2">
        <v>1</v>
      </c>
      <c r="CZ2">
        <v>1</v>
      </c>
      <c r="DG2">
        <v>0</v>
      </c>
      <c r="DN2">
        <v>0</v>
      </c>
      <c r="DU2">
        <v>0</v>
      </c>
      <c r="EB2">
        <v>0</v>
      </c>
      <c r="EC2">
        <v>1</v>
      </c>
      <c r="ED2">
        <v>0</v>
      </c>
      <c r="EE2">
        <v>0</v>
      </c>
      <c r="EF2">
        <v>0</v>
      </c>
      <c r="EG2">
        <v>0</v>
      </c>
      <c r="EH2">
        <v>0</v>
      </c>
      <c r="EI2">
        <v>1</v>
      </c>
      <c r="EJ2" t="s">
        <v>404</v>
      </c>
      <c r="EK2" t="s">
        <v>404</v>
      </c>
      <c r="EL2" t="s">
        <v>404</v>
      </c>
      <c r="EM2" t="s">
        <v>404</v>
      </c>
      <c r="EN2" t="s">
        <v>404</v>
      </c>
      <c r="EO2" t="s">
        <v>404</v>
      </c>
      <c r="EP2" t="s">
        <v>405</v>
      </c>
      <c r="EQ2" t="s">
        <v>404</v>
      </c>
      <c r="ER2" t="s">
        <v>404</v>
      </c>
      <c r="ES2" t="s">
        <v>404</v>
      </c>
      <c r="ET2" t="s">
        <v>404</v>
      </c>
      <c r="EU2" t="s">
        <v>404</v>
      </c>
      <c r="EV2" t="s">
        <v>404</v>
      </c>
      <c r="EW2" t="s">
        <v>404</v>
      </c>
      <c r="EX2" t="s">
        <v>404</v>
      </c>
      <c r="EY2" t="s">
        <v>404</v>
      </c>
      <c r="EZ2" t="s">
        <v>404</v>
      </c>
      <c r="FA2" t="s">
        <v>404</v>
      </c>
      <c r="FB2" t="s">
        <v>404</v>
      </c>
      <c r="FC2" t="s">
        <v>404</v>
      </c>
      <c r="FD2" t="s">
        <v>404</v>
      </c>
      <c r="FE2" t="s">
        <v>404</v>
      </c>
      <c r="FF2" t="s">
        <v>404</v>
      </c>
      <c r="FG2" t="s">
        <v>404</v>
      </c>
      <c r="FH2" t="s">
        <v>404</v>
      </c>
      <c r="FI2" t="s">
        <v>404</v>
      </c>
      <c r="FJ2" t="s">
        <v>404</v>
      </c>
      <c r="FK2" t="s">
        <v>404</v>
      </c>
      <c r="FL2" t="s">
        <v>404</v>
      </c>
      <c r="FM2" t="s">
        <v>404</v>
      </c>
      <c r="FN2" t="s">
        <v>404</v>
      </c>
      <c r="FO2" t="s">
        <v>404</v>
      </c>
      <c r="FP2" t="s">
        <v>404</v>
      </c>
      <c r="FQ2" t="s">
        <v>404</v>
      </c>
      <c r="FR2" t="s">
        <v>404</v>
      </c>
      <c r="FS2" t="s">
        <v>404</v>
      </c>
      <c r="FT2">
        <v>59</v>
      </c>
      <c r="FZ2">
        <v>59</v>
      </c>
      <c r="GG2">
        <v>0</v>
      </c>
      <c r="GN2">
        <v>0</v>
      </c>
      <c r="GU2">
        <v>0</v>
      </c>
      <c r="GV2">
        <v>6</v>
      </c>
      <c r="HB2">
        <v>6</v>
      </c>
      <c r="HI2">
        <v>0</v>
      </c>
      <c r="HP2">
        <v>0</v>
      </c>
      <c r="HQ2" t="s">
        <v>406</v>
      </c>
      <c r="HR2">
        <v>6</v>
      </c>
      <c r="HX2">
        <v>6</v>
      </c>
      <c r="HY2">
        <v>71</v>
      </c>
      <c r="HZ2">
        <v>0</v>
      </c>
      <c r="IA2">
        <v>0</v>
      </c>
      <c r="IB2">
        <v>0</v>
      </c>
      <c r="IC2">
        <v>0</v>
      </c>
      <c r="ID2">
        <v>0</v>
      </c>
      <c r="IE2">
        <v>71</v>
      </c>
      <c r="IL2">
        <v>0</v>
      </c>
      <c r="IM2">
        <v>71</v>
      </c>
      <c r="IS2">
        <v>71</v>
      </c>
      <c r="IZ2">
        <v>0</v>
      </c>
      <c r="JG2">
        <v>0</v>
      </c>
      <c r="JN2">
        <v>0</v>
      </c>
      <c r="JO2">
        <v>71</v>
      </c>
      <c r="JP2">
        <v>0</v>
      </c>
      <c r="JQ2">
        <v>0</v>
      </c>
      <c r="JR2">
        <v>0</v>
      </c>
      <c r="JS2">
        <v>0</v>
      </c>
      <c r="JT2">
        <v>0</v>
      </c>
      <c r="JU2">
        <v>71</v>
      </c>
      <c r="JV2">
        <v>34</v>
      </c>
      <c r="JX2">
        <v>66</v>
      </c>
      <c r="KA2">
        <v>2</v>
      </c>
      <c r="KB2">
        <v>3</v>
      </c>
      <c r="KC2">
        <v>1</v>
      </c>
      <c r="KD2" t="s">
        <v>407</v>
      </c>
      <c r="OG2" t="s">
        <v>408</v>
      </c>
      <c r="SJ2" t="s">
        <v>409</v>
      </c>
      <c r="WM2" t="s">
        <v>410</v>
      </c>
      <c r="AAP2" t="s">
        <v>411</v>
      </c>
      <c r="AES2" t="s">
        <v>412</v>
      </c>
    </row>
    <row r="3" spans="1:931" x14ac:dyDescent="0.2">
      <c r="A3" t="s">
        <v>413</v>
      </c>
      <c r="B3" t="s">
        <v>414</v>
      </c>
      <c r="C3" t="s">
        <v>415</v>
      </c>
      <c r="P3" t="b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>
        <v>708</v>
      </c>
      <c r="W3" s="20">
        <v>43510.219444444447</v>
      </c>
      <c r="X3" t="s">
        <v>416</v>
      </c>
      <c r="Y3">
        <v>2019</v>
      </c>
      <c r="Z3" t="s">
        <v>417</v>
      </c>
      <c r="AA3" t="s">
        <v>418</v>
      </c>
      <c r="AB3" t="str">
        <f>VLOOKUP(MID(AD3,SEARCH("@",AD3,1),LEN(AD3)-SEARCH("@",AD3,1)+1),[2]Sheet1!$D:$F,3,FALSE)</f>
        <v>M0318</v>
      </c>
      <c r="AD3" t="s">
        <v>419</v>
      </c>
      <c r="AF3" t="s">
        <v>420</v>
      </c>
      <c r="AG3" t="s">
        <v>421</v>
      </c>
      <c r="AI3">
        <v>1</v>
      </c>
      <c r="AL3">
        <v>150</v>
      </c>
      <c r="AM3">
        <v>150</v>
      </c>
      <c r="AN3">
        <v>150</v>
      </c>
      <c r="AO3">
        <v>150</v>
      </c>
      <c r="AP3">
        <v>150</v>
      </c>
      <c r="AV3">
        <v>150</v>
      </c>
      <c r="BC3">
        <v>0</v>
      </c>
      <c r="BJ3">
        <v>0</v>
      </c>
      <c r="BQ3">
        <v>0</v>
      </c>
      <c r="BX3">
        <v>0</v>
      </c>
      <c r="CE3">
        <v>0</v>
      </c>
      <c r="CF3">
        <v>150</v>
      </c>
      <c r="CG3">
        <v>0</v>
      </c>
      <c r="CH3">
        <v>0</v>
      </c>
      <c r="CI3">
        <v>0</v>
      </c>
      <c r="CJ3">
        <v>0</v>
      </c>
      <c r="CK3">
        <v>0</v>
      </c>
      <c r="CL3">
        <v>150</v>
      </c>
      <c r="CM3">
        <v>2</v>
      </c>
      <c r="CS3">
        <v>2</v>
      </c>
      <c r="CZ3">
        <v>0</v>
      </c>
      <c r="DG3">
        <v>0</v>
      </c>
      <c r="DN3">
        <v>0</v>
      </c>
      <c r="DU3">
        <v>0</v>
      </c>
      <c r="EB3">
        <v>0</v>
      </c>
      <c r="EC3">
        <v>2</v>
      </c>
      <c r="ED3">
        <v>0</v>
      </c>
      <c r="EE3">
        <v>0</v>
      </c>
      <c r="EF3">
        <v>0</v>
      </c>
      <c r="EG3">
        <v>0</v>
      </c>
      <c r="EH3">
        <v>0</v>
      </c>
      <c r="EI3">
        <v>2</v>
      </c>
      <c r="EJ3" t="s">
        <v>405</v>
      </c>
      <c r="EK3" t="s">
        <v>404</v>
      </c>
      <c r="EL3" t="s">
        <v>404</v>
      </c>
      <c r="EM3" t="s">
        <v>404</v>
      </c>
      <c r="EN3" t="s">
        <v>404</v>
      </c>
      <c r="EO3" t="s">
        <v>404</v>
      </c>
      <c r="EP3" t="s">
        <v>404</v>
      </c>
      <c r="EQ3" t="s">
        <v>404</v>
      </c>
      <c r="ER3" t="s">
        <v>404</v>
      </c>
      <c r="ES3" t="s">
        <v>404</v>
      </c>
      <c r="ET3" t="s">
        <v>404</v>
      </c>
      <c r="EU3" t="s">
        <v>404</v>
      </c>
      <c r="EV3" t="s">
        <v>404</v>
      </c>
      <c r="EW3" t="s">
        <v>404</v>
      </c>
      <c r="EX3" t="s">
        <v>404</v>
      </c>
      <c r="EY3" t="s">
        <v>404</v>
      </c>
      <c r="EZ3" t="s">
        <v>404</v>
      </c>
      <c r="FA3" t="s">
        <v>404</v>
      </c>
      <c r="FB3" t="s">
        <v>404</v>
      </c>
      <c r="FC3" t="s">
        <v>404</v>
      </c>
      <c r="FD3" t="s">
        <v>404</v>
      </c>
      <c r="FE3" t="s">
        <v>404</v>
      </c>
      <c r="FF3" t="s">
        <v>404</v>
      </c>
      <c r="FG3" t="s">
        <v>404</v>
      </c>
      <c r="FH3" t="s">
        <v>404</v>
      </c>
      <c r="FI3" t="s">
        <v>404</v>
      </c>
      <c r="FJ3" t="s">
        <v>404</v>
      </c>
      <c r="FK3" t="s">
        <v>404</v>
      </c>
      <c r="FL3" t="s">
        <v>404</v>
      </c>
      <c r="FM3" t="s">
        <v>404</v>
      </c>
      <c r="FN3" t="s">
        <v>404</v>
      </c>
      <c r="FO3" t="s">
        <v>404</v>
      </c>
      <c r="FP3" t="s">
        <v>404</v>
      </c>
      <c r="FQ3" t="s">
        <v>404</v>
      </c>
      <c r="FR3" t="s">
        <v>404</v>
      </c>
      <c r="FS3" t="s">
        <v>404</v>
      </c>
      <c r="FT3">
        <v>100</v>
      </c>
      <c r="FZ3">
        <v>100</v>
      </c>
      <c r="GG3">
        <v>0</v>
      </c>
      <c r="GN3">
        <v>0</v>
      </c>
      <c r="GU3">
        <v>0</v>
      </c>
      <c r="HB3">
        <v>0</v>
      </c>
      <c r="HI3">
        <v>0</v>
      </c>
      <c r="HP3">
        <v>0</v>
      </c>
      <c r="HQ3" t="s">
        <v>422</v>
      </c>
      <c r="HR3">
        <v>50</v>
      </c>
      <c r="HX3">
        <v>50</v>
      </c>
      <c r="HY3">
        <v>150</v>
      </c>
      <c r="HZ3">
        <v>0</v>
      </c>
      <c r="IA3">
        <v>0</v>
      </c>
      <c r="IB3">
        <v>0</v>
      </c>
      <c r="IC3">
        <v>0</v>
      </c>
      <c r="ID3">
        <v>0</v>
      </c>
      <c r="IE3">
        <v>150</v>
      </c>
      <c r="IF3">
        <v>150</v>
      </c>
      <c r="IL3">
        <v>150</v>
      </c>
      <c r="IS3">
        <v>0</v>
      </c>
      <c r="IZ3">
        <v>0</v>
      </c>
      <c r="JG3">
        <v>0</v>
      </c>
      <c r="JN3">
        <v>0</v>
      </c>
      <c r="JO3">
        <v>150</v>
      </c>
      <c r="JP3">
        <v>0</v>
      </c>
      <c r="JQ3">
        <v>0</v>
      </c>
      <c r="JR3">
        <v>0</v>
      </c>
      <c r="JS3">
        <v>0</v>
      </c>
      <c r="JT3">
        <v>0</v>
      </c>
      <c r="JU3">
        <v>150</v>
      </c>
      <c r="JX3">
        <v>100</v>
      </c>
      <c r="KA3">
        <v>1</v>
      </c>
      <c r="KB3">
        <v>3</v>
      </c>
      <c r="KC3">
        <v>1</v>
      </c>
      <c r="KD3" t="s">
        <v>407</v>
      </c>
      <c r="OG3" t="s">
        <v>408</v>
      </c>
      <c r="SJ3" t="s">
        <v>409</v>
      </c>
      <c r="WM3" t="s">
        <v>410</v>
      </c>
      <c r="AAP3" t="s">
        <v>411</v>
      </c>
      <c r="AES3" t="s">
        <v>412</v>
      </c>
    </row>
    <row r="4" spans="1:931" x14ac:dyDescent="0.2">
      <c r="A4" t="s">
        <v>423</v>
      </c>
      <c r="B4" t="s">
        <v>414</v>
      </c>
      <c r="C4" t="s">
        <v>424</v>
      </c>
      <c r="P4" t="b">
        <v>0</v>
      </c>
      <c r="Q4" t="b">
        <v>1</v>
      </c>
      <c r="R4" t="b">
        <v>0</v>
      </c>
      <c r="S4" t="b">
        <v>0</v>
      </c>
      <c r="T4" t="b">
        <v>0</v>
      </c>
      <c r="U4" t="b">
        <v>0</v>
      </c>
      <c r="V4">
        <v>535</v>
      </c>
      <c r="W4" s="20">
        <v>43523.354861111111</v>
      </c>
      <c r="X4" t="s">
        <v>425</v>
      </c>
      <c r="Y4">
        <v>2019</v>
      </c>
      <c r="Z4" t="s">
        <v>426</v>
      </c>
      <c r="AA4" t="s">
        <v>427</v>
      </c>
      <c r="AB4" t="str">
        <f>VLOOKUP(MID(AD4,SEARCH("@",AD4,1),LEN(AD4)-SEARCH("@",AD4,1)+1),[2]Sheet1!$D:$F,3,FALSE)</f>
        <v>M03232</v>
      </c>
      <c r="AC4" t="s">
        <v>428</v>
      </c>
      <c r="AD4" t="s">
        <v>429</v>
      </c>
      <c r="AE4" t="s">
        <v>430</v>
      </c>
      <c r="AF4" t="s">
        <v>420</v>
      </c>
      <c r="AG4" t="s">
        <v>421</v>
      </c>
      <c r="AI4">
        <v>1</v>
      </c>
      <c r="AL4">
        <v>1244</v>
      </c>
      <c r="AM4">
        <v>1244</v>
      </c>
      <c r="AN4">
        <v>1244</v>
      </c>
      <c r="AO4">
        <v>1244</v>
      </c>
      <c r="AP4">
        <v>1065</v>
      </c>
      <c r="AS4">
        <v>179</v>
      </c>
      <c r="AV4">
        <v>1244</v>
      </c>
      <c r="BC4">
        <v>0</v>
      </c>
      <c r="BJ4">
        <v>0</v>
      </c>
      <c r="BQ4">
        <v>0</v>
      </c>
      <c r="BX4">
        <v>0</v>
      </c>
      <c r="CE4">
        <v>0</v>
      </c>
      <c r="CF4">
        <v>1065</v>
      </c>
      <c r="CG4">
        <v>0</v>
      </c>
      <c r="CH4">
        <v>0</v>
      </c>
      <c r="CI4">
        <v>179</v>
      </c>
      <c r="CJ4">
        <v>0</v>
      </c>
      <c r="CK4">
        <v>0</v>
      </c>
      <c r="CL4">
        <v>1244</v>
      </c>
      <c r="CM4">
        <v>2</v>
      </c>
      <c r="CP4">
        <v>4</v>
      </c>
      <c r="CS4">
        <v>6</v>
      </c>
      <c r="CZ4">
        <v>0</v>
      </c>
      <c r="DG4">
        <v>0</v>
      </c>
      <c r="DN4">
        <v>0</v>
      </c>
      <c r="DU4">
        <v>0</v>
      </c>
      <c r="EB4">
        <v>0</v>
      </c>
      <c r="EC4">
        <v>2</v>
      </c>
      <c r="ED4">
        <v>0</v>
      </c>
      <c r="EE4">
        <v>0</v>
      </c>
      <c r="EF4">
        <v>4</v>
      </c>
      <c r="EG4">
        <v>0</v>
      </c>
      <c r="EH4">
        <v>0</v>
      </c>
      <c r="EI4">
        <v>6</v>
      </c>
      <c r="EJ4" t="s">
        <v>405</v>
      </c>
      <c r="EK4" t="s">
        <v>404</v>
      </c>
      <c r="EL4" t="s">
        <v>404</v>
      </c>
      <c r="EM4" t="s">
        <v>405</v>
      </c>
      <c r="EN4" t="s">
        <v>404</v>
      </c>
      <c r="EO4" t="s">
        <v>404</v>
      </c>
      <c r="EP4" t="s">
        <v>404</v>
      </c>
      <c r="EQ4" t="s">
        <v>404</v>
      </c>
      <c r="ER4" t="s">
        <v>404</v>
      </c>
      <c r="ES4" t="s">
        <v>404</v>
      </c>
      <c r="ET4" t="s">
        <v>404</v>
      </c>
      <c r="EU4" t="s">
        <v>404</v>
      </c>
      <c r="EV4" t="s">
        <v>404</v>
      </c>
      <c r="EW4" t="s">
        <v>404</v>
      </c>
      <c r="EX4" t="s">
        <v>404</v>
      </c>
      <c r="EY4" t="s">
        <v>404</v>
      </c>
      <c r="EZ4" t="s">
        <v>404</v>
      </c>
      <c r="FA4" t="s">
        <v>404</v>
      </c>
      <c r="FB4" t="s">
        <v>404</v>
      </c>
      <c r="FC4" t="s">
        <v>404</v>
      </c>
      <c r="FD4" t="s">
        <v>404</v>
      </c>
      <c r="FE4" t="s">
        <v>404</v>
      </c>
      <c r="FF4" t="s">
        <v>404</v>
      </c>
      <c r="FG4" t="s">
        <v>404</v>
      </c>
      <c r="FH4" t="s">
        <v>404</v>
      </c>
      <c r="FI4" t="s">
        <v>404</v>
      </c>
      <c r="FJ4" t="s">
        <v>404</v>
      </c>
      <c r="FK4" t="s">
        <v>404</v>
      </c>
      <c r="FL4" t="s">
        <v>404</v>
      </c>
      <c r="FM4" t="s">
        <v>404</v>
      </c>
      <c r="FN4" t="s">
        <v>404</v>
      </c>
      <c r="FO4" t="s">
        <v>404</v>
      </c>
      <c r="FP4" t="s">
        <v>404</v>
      </c>
      <c r="FQ4" t="s">
        <v>404</v>
      </c>
      <c r="FR4" t="s">
        <v>404</v>
      </c>
      <c r="FS4" t="s">
        <v>404</v>
      </c>
      <c r="FT4">
        <v>922</v>
      </c>
      <c r="FW4">
        <v>121</v>
      </c>
      <c r="FZ4">
        <v>1043</v>
      </c>
      <c r="GA4">
        <v>121</v>
      </c>
      <c r="GG4">
        <v>121</v>
      </c>
      <c r="GH4">
        <v>2</v>
      </c>
      <c r="GK4">
        <v>58</v>
      </c>
      <c r="GN4">
        <v>60</v>
      </c>
      <c r="GU4">
        <v>0</v>
      </c>
      <c r="HB4">
        <v>0</v>
      </c>
      <c r="HC4">
        <v>20</v>
      </c>
      <c r="HI4">
        <v>20</v>
      </c>
      <c r="HP4">
        <v>0</v>
      </c>
      <c r="HX4">
        <v>0</v>
      </c>
      <c r="HY4">
        <v>1065</v>
      </c>
      <c r="HZ4">
        <v>0</v>
      </c>
      <c r="IA4">
        <v>0</v>
      </c>
      <c r="IB4">
        <v>179</v>
      </c>
      <c r="IC4">
        <v>0</v>
      </c>
      <c r="ID4">
        <v>0</v>
      </c>
      <c r="IE4">
        <v>1244</v>
      </c>
      <c r="IF4">
        <v>957</v>
      </c>
      <c r="II4">
        <v>179</v>
      </c>
      <c r="IL4">
        <v>1136</v>
      </c>
      <c r="IM4">
        <v>108</v>
      </c>
      <c r="IS4">
        <v>108</v>
      </c>
      <c r="IZ4">
        <v>0</v>
      </c>
      <c r="JG4">
        <v>0</v>
      </c>
      <c r="JN4">
        <v>0</v>
      </c>
      <c r="JO4">
        <v>1065</v>
      </c>
      <c r="JP4">
        <v>0</v>
      </c>
      <c r="JQ4">
        <v>0</v>
      </c>
      <c r="JR4">
        <v>179</v>
      </c>
      <c r="JS4">
        <v>0</v>
      </c>
      <c r="JT4">
        <v>0</v>
      </c>
      <c r="JU4">
        <v>1244</v>
      </c>
      <c r="JX4">
        <v>100</v>
      </c>
      <c r="KA4">
        <v>3</v>
      </c>
      <c r="KB4">
        <v>3</v>
      </c>
      <c r="KC4">
        <v>1</v>
      </c>
      <c r="KD4" t="s">
        <v>407</v>
      </c>
      <c r="OG4" t="s">
        <v>408</v>
      </c>
      <c r="SJ4" t="s">
        <v>409</v>
      </c>
      <c r="WM4" t="s">
        <v>410</v>
      </c>
      <c r="AAP4" t="s">
        <v>411</v>
      </c>
      <c r="AES4" t="s">
        <v>412</v>
      </c>
    </row>
    <row r="5" spans="1:931" x14ac:dyDescent="0.2">
      <c r="A5" t="s">
        <v>431</v>
      </c>
      <c r="B5" t="s">
        <v>396</v>
      </c>
      <c r="C5" t="s">
        <v>432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0</v>
      </c>
      <c r="V5">
        <v>642</v>
      </c>
      <c r="W5" s="20">
        <v>43524.72152777778</v>
      </c>
      <c r="X5" t="s">
        <v>433</v>
      </c>
      <c r="Y5">
        <v>2019</v>
      </c>
      <c r="Z5" t="s">
        <v>434</v>
      </c>
      <c r="AA5" t="s">
        <v>435</v>
      </c>
      <c r="AB5" t="str">
        <f>VLOOKUP(MID(AD5,SEARCH("@",AD5,1),LEN(AD5)-SEARCH("@",AD5,1)+1),[2]Sheet1!$D:$F,3,FALSE)</f>
        <v>M064</v>
      </c>
      <c r="AD5" t="s">
        <v>436</v>
      </c>
      <c r="AF5" t="s">
        <v>437</v>
      </c>
      <c r="AG5" t="s">
        <v>403</v>
      </c>
      <c r="AI5">
        <v>1</v>
      </c>
      <c r="AL5">
        <v>5110.3999999999996</v>
      </c>
      <c r="AM5">
        <v>5027</v>
      </c>
      <c r="AP5">
        <v>17.399999999999999</v>
      </c>
      <c r="AQ5">
        <v>3.2</v>
      </c>
      <c r="AT5">
        <v>66</v>
      </c>
      <c r="AV5">
        <v>86.6</v>
      </c>
      <c r="AW5">
        <v>363.5</v>
      </c>
      <c r="AX5">
        <v>319.39999999999998</v>
      </c>
      <c r="BB5">
        <v>15.6</v>
      </c>
      <c r="BC5">
        <v>698.5</v>
      </c>
      <c r="BD5">
        <v>1490.5</v>
      </c>
      <c r="BE5">
        <v>516.70000000000005</v>
      </c>
      <c r="BF5">
        <v>31</v>
      </c>
      <c r="BJ5">
        <v>2038.2</v>
      </c>
      <c r="BL5">
        <v>106.4</v>
      </c>
      <c r="BM5">
        <v>223.8</v>
      </c>
      <c r="BO5">
        <v>1845.3</v>
      </c>
      <c r="BQ5">
        <v>2175.5</v>
      </c>
      <c r="BW5">
        <v>28.4</v>
      </c>
      <c r="BX5">
        <v>28.4</v>
      </c>
      <c r="CE5">
        <v>0</v>
      </c>
      <c r="CF5">
        <v>1871.4</v>
      </c>
      <c r="CG5">
        <v>945.7</v>
      </c>
      <c r="CH5">
        <v>254.8</v>
      </c>
      <c r="CI5">
        <v>0</v>
      </c>
      <c r="CJ5">
        <v>1911.3</v>
      </c>
      <c r="CK5">
        <v>44</v>
      </c>
      <c r="CL5">
        <v>5027.2</v>
      </c>
      <c r="CS5">
        <v>0</v>
      </c>
      <c r="CZ5">
        <v>0</v>
      </c>
      <c r="DG5">
        <v>0</v>
      </c>
      <c r="DN5">
        <v>0</v>
      </c>
      <c r="DU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 t="s">
        <v>405</v>
      </c>
      <c r="EK5" t="s">
        <v>405</v>
      </c>
      <c r="EL5" t="s">
        <v>404</v>
      </c>
      <c r="EM5" t="s">
        <v>404</v>
      </c>
      <c r="EN5" t="s">
        <v>405</v>
      </c>
      <c r="EO5" t="s">
        <v>404</v>
      </c>
      <c r="EP5" t="s">
        <v>405</v>
      </c>
      <c r="EQ5" t="s">
        <v>405</v>
      </c>
      <c r="ER5" t="s">
        <v>404</v>
      </c>
      <c r="ES5" t="s">
        <v>404</v>
      </c>
      <c r="ET5" t="s">
        <v>404</v>
      </c>
      <c r="EU5" t="s">
        <v>405</v>
      </c>
      <c r="EV5" t="s">
        <v>405</v>
      </c>
      <c r="EW5" t="s">
        <v>405</v>
      </c>
      <c r="EX5" t="s">
        <v>405</v>
      </c>
      <c r="EY5" t="s">
        <v>404</v>
      </c>
      <c r="EZ5" t="s">
        <v>404</v>
      </c>
      <c r="FA5" t="s">
        <v>404</v>
      </c>
      <c r="FB5" t="s">
        <v>404</v>
      </c>
      <c r="FC5" t="s">
        <v>405</v>
      </c>
      <c r="FD5" t="s">
        <v>405</v>
      </c>
      <c r="FE5" t="s">
        <v>404</v>
      </c>
      <c r="FF5" t="s">
        <v>405</v>
      </c>
      <c r="FG5" t="s">
        <v>404</v>
      </c>
      <c r="FH5" t="s">
        <v>404</v>
      </c>
      <c r="FI5" t="s">
        <v>404</v>
      </c>
      <c r="FJ5" t="s">
        <v>404</v>
      </c>
      <c r="FK5" t="s">
        <v>404</v>
      </c>
      <c r="FL5" t="s">
        <v>404</v>
      </c>
      <c r="FM5" t="s">
        <v>405</v>
      </c>
      <c r="FN5" t="s">
        <v>404</v>
      </c>
      <c r="FO5" t="s">
        <v>404</v>
      </c>
      <c r="FP5" t="s">
        <v>404</v>
      </c>
      <c r="FQ5" t="s">
        <v>404</v>
      </c>
      <c r="FR5" t="s">
        <v>404</v>
      </c>
      <c r="FS5" t="s">
        <v>404</v>
      </c>
      <c r="FZ5">
        <v>0</v>
      </c>
      <c r="GG5">
        <v>0</v>
      </c>
      <c r="GN5">
        <v>0</v>
      </c>
      <c r="GU5">
        <v>0</v>
      </c>
      <c r="HB5">
        <v>0</v>
      </c>
      <c r="HI5">
        <v>0</v>
      </c>
      <c r="HP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L5">
        <v>0</v>
      </c>
      <c r="IS5">
        <v>0</v>
      </c>
      <c r="IZ5">
        <v>0</v>
      </c>
      <c r="JG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KA5">
        <v>1</v>
      </c>
      <c r="KB5">
        <v>3</v>
      </c>
      <c r="KC5">
        <v>1</v>
      </c>
      <c r="KD5" t="s">
        <v>407</v>
      </c>
      <c r="OG5" t="s">
        <v>408</v>
      </c>
      <c r="SJ5" t="s">
        <v>409</v>
      </c>
      <c r="WM5" t="s">
        <v>410</v>
      </c>
      <c r="AAP5" t="s">
        <v>411</v>
      </c>
      <c r="AES5" t="s">
        <v>412</v>
      </c>
    </row>
    <row r="6" spans="1:931" x14ac:dyDescent="0.2">
      <c r="A6" t="s">
        <v>438</v>
      </c>
      <c r="B6" t="s">
        <v>396</v>
      </c>
      <c r="C6" t="s">
        <v>439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>
        <v>759</v>
      </c>
      <c r="W6" s="20">
        <v>43524.365972222222</v>
      </c>
      <c r="X6" t="s">
        <v>440</v>
      </c>
      <c r="Y6">
        <v>2019</v>
      </c>
      <c r="Z6" t="s">
        <v>441</v>
      </c>
      <c r="AA6" t="s">
        <v>442</v>
      </c>
      <c r="AB6" t="str">
        <f>VLOOKUP(MID(AD6,SEARCH("@",AD6,1),LEN(AD6)-SEARCH("@",AD6,1)+1),[2]Sheet1!$D:$F,3,FALSE)</f>
        <v>M690</v>
      </c>
      <c r="AD6" t="s">
        <v>443</v>
      </c>
      <c r="AF6" t="s">
        <v>444</v>
      </c>
      <c r="AG6" t="s">
        <v>403</v>
      </c>
      <c r="AI6">
        <v>1</v>
      </c>
      <c r="AL6">
        <v>65</v>
      </c>
      <c r="AM6">
        <v>65</v>
      </c>
      <c r="AN6">
        <v>16</v>
      </c>
      <c r="AO6">
        <v>16</v>
      </c>
      <c r="AV6">
        <v>0</v>
      </c>
      <c r="AW6">
        <v>65</v>
      </c>
      <c r="BC6">
        <v>65</v>
      </c>
      <c r="BJ6">
        <v>0</v>
      </c>
      <c r="BQ6">
        <v>0</v>
      </c>
      <c r="BX6">
        <v>0</v>
      </c>
      <c r="CE6">
        <v>0</v>
      </c>
      <c r="CF6">
        <v>65</v>
      </c>
      <c r="CG6">
        <v>0</v>
      </c>
      <c r="CH6">
        <v>0</v>
      </c>
      <c r="CI6">
        <v>0</v>
      </c>
      <c r="CJ6">
        <v>0</v>
      </c>
      <c r="CK6">
        <v>0</v>
      </c>
      <c r="CL6">
        <v>65</v>
      </c>
      <c r="CS6">
        <v>0</v>
      </c>
      <c r="CT6">
        <v>2</v>
      </c>
      <c r="CZ6">
        <v>2</v>
      </c>
      <c r="DG6">
        <v>0</v>
      </c>
      <c r="DN6">
        <v>0</v>
      </c>
      <c r="DU6">
        <v>0</v>
      </c>
      <c r="EB6">
        <v>0</v>
      </c>
      <c r="EC6">
        <v>2</v>
      </c>
      <c r="ED6">
        <v>0</v>
      </c>
      <c r="EE6">
        <v>0</v>
      </c>
      <c r="EF6">
        <v>0</v>
      </c>
      <c r="EG6">
        <v>0</v>
      </c>
      <c r="EH6">
        <v>0</v>
      </c>
      <c r="EI6">
        <v>2</v>
      </c>
      <c r="EJ6" t="s">
        <v>404</v>
      </c>
      <c r="EK6" t="s">
        <v>404</v>
      </c>
      <c r="EL6" t="s">
        <v>404</v>
      </c>
      <c r="EM6" t="s">
        <v>404</v>
      </c>
      <c r="EN6" t="s">
        <v>404</v>
      </c>
      <c r="EO6" t="s">
        <v>404</v>
      </c>
      <c r="EP6" t="s">
        <v>405</v>
      </c>
      <c r="EQ6" t="s">
        <v>404</v>
      </c>
      <c r="ER6" t="s">
        <v>404</v>
      </c>
      <c r="ES6" t="s">
        <v>404</v>
      </c>
      <c r="ET6" t="s">
        <v>404</v>
      </c>
      <c r="EU6" t="s">
        <v>404</v>
      </c>
      <c r="EV6" t="s">
        <v>404</v>
      </c>
      <c r="EW6" t="s">
        <v>404</v>
      </c>
      <c r="EX6" t="s">
        <v>404</v>
      </c>
      <c r="EY6" t="s">
        <v>404</v>
      </c>
      <c r="EZ6" t="s">
        <v>404</v>
      </c>
      <c r="FA6" t="s">
        <v>404</v>
      </c>
      <c r="FB6" t="s">
        <v>404</v>
      </c>
      <c r="FC6" t="s">
        <v>404</v>
      </c>
      <c r="FD6" t="s">
        <v>404</v>
      </c>
      <c r="FE6" t="s">
        <v>404</v>
      </c>
      <c r="FF6" t="s">
        <v>404</v>
      </c>
      <c r="FG6" t="s">
        <v>404</v>
      </c>
      <c r="FH6" t="s">
        <v>404</v>
      </c>
      <c r="FI6" t="s">
        <v>404</v>
      </c>
      <c r="FJ6" t="s">
        <v>404</v>
      </c>
      <c r="FK6" t="s">
        <v>404</v>
      </c>
      <c r="FL6" t="s">
        <v>404</v>
      </c>
      <c r="FM6" t="s">
        <v>404</v>
      </c>
      <c r="FN6" t="s">
        <v>404</v>
      </c>
      <c r="FO6" t="s">
        <v>404</v>
      </c>
      <c r="FP6" t="s">
        <v>404</v>
      </c>
      <c r="FQ6" t="s">
        <v>404</v>
      </c>
      <c r="FR6" t="s">
        <v>404</v>
      </c>
      <c r="FS6" t="s">
        <v>404</v>
      </c>
      <c r="FZ6">
        <v>0</v>
      </c>
      <c r="GG6">
        <v>0</v>
      </c>
      <c r="GN6">
        <v>0</v>
      </c>
      <c r="GU6">
        <v>0</v>
      </c>
      <c r="HB6">
        <v>0</v>
      </c>
      <c r="HC6">
        <v>65</v>
      </c>
      <c r="HI6">
        <v>65</v>
      </c>
      <c r="HP6">
        <v>0</v>
      </c>
      <c r="HX6">
        <v>0</v>
      </c>
      <c r="HY6">
        <v>65</v>
      </c>
      <c r="HZ6">
        <v>0</v>
      </c>
      <c r="IA6">
        <v>0</v>
      </c>
      <c r="IB6">
        <v>0</v>
      </c>
      <c r="IC6">
        <v>0</v>
      </c>
      <c r="ID6">
        <v>0</v>
      </c>
      <c r="IE6">
        <v>65</v>
      </c>
      <c r="IL6">
        <v>0</v>
      </c>
      <c r="IM6">
        <v>65</v>
      </c>
      <c r="IS6">
        <v>65</v>
      </c>
      <c r="IZ6">
        <v>0</v>
      </c>
      <c r="JG6">
        <v>0</v>
      </c>
      <c r="JN6">
        <v>0</v>
      </c>
      <c r="JO6">
        <v>65</v>
      </c>
      <c r="JP6">
        <v>0</v>
      </c>
      <c r="JQ6">
        <v>0</v>
      </c>
      <c r="JR6">
        <v>0</v>
      </c>
      <c r="JS6">
        <v>0</v>
      </c>
      <c r="JT6">
        <v>0</v>
      </c>
      <c r="JU6">
        <v>65</v>
      </c>
      <c r="JX6">
        <v>100</v>
      </c>
      <c r="KA6">
        <v>1</v>
      </c>
      <c r="KB6">
        <v>3</v>
      </c>
      <c r="KC6">
        <v>1</v>
      </c>
      <c r="KD6" t="s">
        <v>407</v>
      </c>
      <c r="OG6" t="s">
        <v>408</v>
      </c>
      <c r="SJ6" t="s">
        <v>409</v>
      </c>
      <c r="WM6" t="s">
        <v>410</v>
      </c>
      <c r="AAP6" t="s">
        <v>411</v>
      </c>
      <c r="AES6" t="s">
        <v>412</v>
      </c>
    </row>
    <row r="7" spans="1:931" x14ac:dyDescent="0.2">
      <c r="A7" t="s">
        <v>445</v>
      </c>
      <c r="B7" t="s">
        <v>396</v>
      </c>
      <c r="C7" t="s">
        <v>446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>
        <v>768</v>
      </c>
      <c r="W7" s="20">
        <v>43516.550694444442</v>
      </c>
      <c r="X7" t="s">
        <v>447</v>
      </c>
      <c r="Y7">
        <v>2019</v>
      </c>
      <c r="Z7" t="s">
        <v>448</v>
      </c>
      <c r="AA7" t="s">
        <v>449</v>
      </c>
      <c r="AB7" t="str">
        <f>VLOOKUP(MID(AD7,SEARCH("@",AD7,1),LEN(AD7)-SEARCH("@",AD7,1)+1),[2]Sheet1!$D:$F,3,FALSE)</f>
        <v>M03188</v>
      </c>
      <c r="AC7" t="s">
        <v>450</v>
      </c>
      <c r="AD7" t="s">
        <v>451</v>
      </c>
      <c r="AE7">
        <v>708870995</v>
      </c>
      <c r="AF7" t="s">
        <v>452</v>
      </c>
      <c r="AG7" t="s">
        <v>403</v>
      </c>
      <c r="AI7">
        <v>1</v>
      </c>
      <c r="AL7">
        <v>75</v>
      </c>
      <c r="AM7">
        <v>75</v>
      </c>
      <c r="AN7">
        <v>17</v>
      </c>
      <c r="AO7">
        <v>17</v>
      </c>
      <c r="AV7">
        <v>0</v>
      </c>
      <c r="AW7">
        <v>75</v>
      </c>
      <c r="AX7">
        <v>0</v>
      </c>
      <c r="AY7">
        <v>0</v>
      </c>
      <c r="AZ7">
        <v>0</v>
      </c>
      <c r="BA7">
        <v>0</v>
      </c>
      <c r="BB7">
        <v>0</v>
      </c>
      <c r="BC7">
        <v>75</v>
      </c>
      <c r="BJ7">
        <v>0</v>
      </c>
      <c r="BQ7">
        <v>0</v>
      </c>
      <c r="BX7">
        <v>0</v>
      </c>
      <c r="CE7">
        <v>0</v>
      </c>
      <c r="CF7">
        <v>75</v>
      </c>
      <c r="CG7">
        <v>0</v>
      </c>
      <c r="CH7">
        <v>0</v>
      </c>
      <c r="CI7">
        <v>0</v>
      </c>
      <c r="CJ7">
        <v>0</v>
      </c>
      <c r="CK7">
        <v>0</v>
      </c>
      <c r="CL7">
        <v>75</v>
      </c>
      <c r="CS7">
        <v>0</v>
      </c>
      <c r="CT7">
        <v>1</v>
      </c>
      <c r="CZ7">
        <v>1</v>
      </c>
      <c r="DG7">
        <v>0</v>
      </c>
      <c r="DN7">
        <v>0</v>
      </c>
      <c r="DU7">
        <v>0</v>
      </c>
      <c r="EB7">
        <v>0</v>
      </c>
      <c r="EC7">
        <v>1</v>
      </c>
      <c r="ED7">
        <v>0</v>
      </c>
      <c r="EE7">
        <v>0</v>
      </c>
      <c r="EF7">
        <v>0</v>
      </c>
      <c r="EG7">
        <v>0</v>
      </c>
      <c r="EH7">
        <v>0</v>
      </c>
      <c r="EI7">
        <v>1</v>
      </c>
      <c r="EJ7" t="s">
        <v>404</v>
      </c>
      <c r="EK7" t="s">
        <v>404</v>
      </c>
      <c r="EL7" t="s">
        <v>404</v>
      </c>
      <c r="EM7" t="s">
        <v>404</v>
      </c>
      <c r="EN7" t="s">
        <v>404</v>
      </c>
      <c r="EO7" t="s">
        <v>404</v>
      </c>
      <c r="EP7" t="s">
        <v>405</v>
      </c>
      <c r="EQ7" t="s">
        <v>404</v>
      </c>
      <c r="ER7" t="s">
        <v>404</v>
      </c>
      <c r="ES7" t="s">
        <v>404</v>
      </c>
      <c r="ET7" t="s">
        <v>404</v>
      </c>
      <c r="EU7" t="s">
        <v>404</v>
      </c>
      <c r="EV7" t="s">
        <v>404</v>
      </c>
      <c r="EW7" t="s">
        <v>404</v>
      </c>
      <c r="EX7" t="s">
        <v>404</v>
      </c>
      <c r="EY7" t="s">
        <v>404</v>
      </c>
      <c r="EZ7" t="s">
        <v>404</v>
      </c>
      <c r="FA7" t="s">
        <v>404</v>
      </c>
      <c r="FB7" t="s">
        <v>404</v>
      </c>
      <c r="FC7" t="s">
        <v>404</v>
      </c>
      <c r="FD7" t="s">
        <v>404</v>
      </c>
      <c r="FE7" t="s">
        <v>404</v>
      </c>
      <c r="FF7" t="s">
        <v>404</v>
      </c>
      <c r="FG7" t="s">
        <v>404</v>
      </c>
      <c r="FH7" t="s">
        <v>404</v>
      </c>
      <c r="FI7" t="s">
        <v>404</v>
      </c>
      <c r="FJ7" t="s">
        <v>404</v>
      </c>
      <c r="FK7" t="s">
        <v>404</v>
      </c>
      <c r="FL7" t="s">
        <v>404</v>
      </c>
      <c r="FM7" t="s">
        <v>404</v>
      </c>
      <c r="FN7" t="s">
        <v>404</v>
      </c>
      <c r="FO7" t="s">
        <v>404</v>
      </c>
      <c r="FP7" t="s">
        <v>404</v>
      </c>
      <c r="FQ7" t="s">
        <v>404</v>
      </c>
      <c r="FR7" t="s">
        <v>404</v>
      </c>
      <c r="FS7" t="s">
        <v>404</v>
      </c>
      <c r="FT7">
        <v>75</v>
      </c>
      <c r="FZ7">
        <v>75</v>
      </c>
      <c r="GG7">
        <v>0</v>
      </c>
      <c r="GN7">
        <v>0</v>
      </c>
      <c r="GU7">
        <v>0</v>
      </c>
      <c r="HB7">
        <v>0</v>
      </c>
      <c r="HI7">
        <v>0</v>
      </c>
      <c r="HP7">
        <v>0</v>
      </c>
      <c r="HX7">
        <v>0</v>
      </c>
      <c r="HY7">
        <v>75</v>
      </c>
      <c r="HZ7">
        <v>0</v>
      </c>
      <c r="IA7">
        <v>0</v>
      </c>
      <c r="IB7">
        <v>0</v>
      </c>
      <c r="IC7">
        <v>0</v>
      </c>
      <c r="ID7">
        <v>0</v>
      </c>
      <c r="IE7">
        <v>75</v>
      </c>
      <c r="IL7">
        <v>0</v>
      </c>
      <c r="IM7">
        <v>75</v>
      </c>
      <c r="IS7">
        <v>75</v>
      </c>
      <c r="IZ7">
        <v>0</v>
      </c>
      <c r="JG7">
        <v>0</v>
      </c>
      <c r="JN7">
        <v>0</v>
      </c>
      <c r="JO7">
        <v>75</v>
      </c>
      <c r="JP7">
        <v>0</v>
      </c>
      <c r="JQ7">
        <v>0</v>
      </c>
      <c r="JR7">
        <v>0</v>
      </c>
      <c r="JS7">
        <v>0</v>
      </c>
      <c r="JT7">
        <v>0</v>
      </c>
      <c r="JU7">
        <v>75</v>
      </c>
      <c r="JV7">
        <v>0</v>
      </c>
      <c r="JW7">
        <v>0</v>
      </c>
      <c r="JX7">
        <v>100</v>
      </c>
      <c r="KA7">
        <v>1</v>
      </c>
      <c r="KB7">
        <v>3</v>
      </c>
      <c r="KC7">
        <v>1</v>
      </c>
      <c r="KD7" t="s">
        <v>407</v>
      </c>
      <c r="OG7" t="s">
        <v>408</v>
      </c>
      <c r="SJ7" t="s">
        <v>409</v>
      </c>
      <c r="WM7" t="s">
        <v>410</v>
      </c>
      <c r="AAP7" t="s">
        <v>411</v>
      </c>
      <c r="AES7" t="s">
        <v>412</v>
      </c>
    </row>
    <row r="8" spans="1:931" x14ac:dyDescent="0.2">
      <c r="A8" t="s">
        <v>453</v>
      </c>
      <c r="B8" t="s">
        <v>414</v>
      </c>
      <c r="C8" t="s">
        <v>454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>
        <v>539</v>
      </c>
      <c r="W8" s="20">
        <v>43517.972916666666</v>
      </c>
      <c r="X8" t="s">
        <v>455</v>
      </c>
      <c r="Y8">
        <v>2019</v>
      </c>
      <c r="Z8" t="s">
        <v>456</v>
      </c>
      <c r="AA8" t="s">
        <v>454</v>
      </c>
      <c r="AB8" t="str">
        <f>VLOOKUP(MID(AD8,SEARCH("@",AD8,1),LEN(AD8)-SEARCH("@",AD8,1)+1),[2]Sheet1!$D:$F,3,FALSE)</f>
        <v>M0350</v>
      </c>
      <c r="AC8" t="s">
        <v>457</v>
      </c>
      <c r="AD8" t="s">
        <v>458</v>
      </c>
      <c r="AE8" t="s">
        <v>459</v>
      </c>
      <c r="AF8" t="s">
        <v>420</v>
      </c>
      <c r="AG8" t="s">
        <v>421</v>
      </c>
      <c r="AI8">
        <v>1</v>
      </c>
      <c r="AL8">
        <v>1000</v>
      </c>
      <c r="AM8">
        <v>1000</v>
      </c>
      <c r="AN8">
        <v>1000</v>
      </c>
      <c r="AO8">
        <v>1000</v>
      </c>
      <c r="AP8">
        <v>1000</v>
      </c>
      <c r="AV8">
        <v>1000</v>
      </c>
      <c r="BC8">
        <v>0</v>
      </c>
      <c r="BJ8">
        <v>0</v>
      </c>
      <c r="BQ8">
        <v>0</v>
      </c>
      <c r="BX8">
        <v>0</v>
      </c>
      <c r="CE8">
        <v>0</v>
      </c>
      <c r="CF8">
        <v>1000</v>
      </c>
      <c r="CG8">
        <v>0</v>
      </c>
      <c r="CH8">
        <v>0</v>
      </c>
      <c r="CI8">
        <v>0</v>
      </c>
      <c r="CJ8">
        <v>0</v>
      </c>
      <c r="CK8">
        <v>0</v>
      </c>
      <c r="CL8">
        <v>1000</v>
      </c>
      <c r="CM8">
        <v>2</v>
      </c>
      <c r="CS8">
        <v>2</v>
      </c>
      <c r="CZ8">
        <v>0</v>
      </c>
      <c r="DG8">
        <v>0</v>
      </c>
      <c r="DN8">
        <v>0</v>
      </c>
      <c r="DU8">
        <v>0</v>
      </c>
      <c r="EB8">
        <v>0</v>
      </c>
      <c r="EC8">
        <v>2</v>
      </c>
      <c r="ED8">
        <v>0</v>
      </c>
      <c r="EE8">
        <v>0</v>
      </c>
      <c r="EF8">
        <v>0</v>
      </c>
      <c r="EG8">
        <v>0</v>
      </c>
      <c r="EH8">
        <v>0</v>
      </c>
      <c r="EI8">
        <v>2</v>
      </c>
      <c r="EJ8" t="s">
        <v>405</v>
      </c>
      <c r="EK8" t="s">
        <v>404</v>
      </c>
      <c r="EL8" t="s">
        <v>404</v>
      </c>
      <c r="EM8" t="s">
        <v>404</v>
      </c>
      <c r="EN8" t="s">
        <v>404</v>
      </c>
      <c r="EO8" t="s">
        <v>404</v>
      </c>
      <c r="EP8" t="s">
        <v>404</v>
      </c>
      <c r="EQ8" t="s">
        <v>404</v>
      </c>
      <c r="ER8" t="s">
        <v>404</v>
      </c>
      <c r="ES8" t="s">
        <v>404</v>
      </c>
      <c r="ET8" t="s">
        <v>404</v>
      </c>
      <c r="EU8" t="s">
        <v>404</v>
      </c>
      <c r="EV8" t="s">
        <v>404</v>
      </c>
      <c r="EW8" t="s">
        <v>404</v>
      </c>
      <c r="EX8" t="s">
        <v>404</v>
      </c>
      <c r="EY8" t="s">
        <v>404</v>
      </c>
      <c r="EZ8" t="s">
        <v>404</v>
      </c>
      <c r="FA8" t="s">
        <v>404</v>
      </c>
      <c r="FB8" t="s">
        <v>404</v>
      </c>
      <c r="FC8" t="s">
        <v>404</v>
      </c>
      <c r="FD8" t="s">
        <v>404</v>
      </c>
      <c r="FE8" t="s">
        <v>404</v>
      </c>
      <c r="FF8" t="s">
        <v>404</v>
      </c>
      <c r="FG8" t="s">
        <v>404</v>
      </c>
      <c r="FH8" t="s">
        <v>404</v>
      </c>
      <c r="FI8" t="s">
        <v>404</v>
      </c>
      <c r="FJ8" t="s">
        <v>404</v>
      </c>
      <c r="FK8" t="s">
        <v>404</v>
      </c>
      <c r="FL8" t="s">
        <v>404</v>
      </c>
      <c r="FM8" t="s">
        <v>404</v>
      </c>
      <c r="FN8" t="s">
        <v>404</v>
      </c>
      <c r="FO8" t="s">
        <v>404</v>
      </c>
      <c r="FP8" t="s">
        <v>404</v>
      </c>
      <c r="FQ8" t="s">
        <v>404</v>
      </c>
      <c r="FR8" t="s">
        <v>404</v>
      </c>
      <c r="FS8" t="s">
        <v>404</v>
      </c>
      <c r="FT8">
        <v>477.3</v>
      </c>
      <c r="FZ8">
        <v>477.3</v>
      </c>
      <c r="GG8">
        <v>0</v>
      </c>
      <c r="GN8">
        <v>0</v>
      </c>
      <c r="GO8">
        <v>522.70000000000005</v>
      </c>
      <c r="GU8">
        <v>522.70000000000005</v>
      </c>
      <c r="HB8">
        <v>0</v>
      </c>
      <c r="HI8">
        <v>0</v>
      </c>
      <c r="HP8">
        <v>0</v>
      </c>
      <c r="HX8">
        <v>0</v>
      </c>
      <c r="HY8">
        <v>1000</v>
      </c>
      <c r="HZ8">
        <v>0</v>
      </c>
      <c r="IA8">
        <v>0</v>
      </c>
      <c r="IB8">
        <v>0</v>
      </c>
      <c r="IC8">
        <v>0</v>
      </c>
      <c r="ID8">
        <v>0</v>
      </c>
      <c r="IE8">
        <v>1000</v>
      </c>
      <c r="IF8">
        <v>1000</v>
      </c>
      <c r="IL8">
        <v>1000</v>
      </c>
      <c r="IS8">
        <v>0</v>
      </c>
      <c r="IZ8">
        <v>0</v>
      </c>
      <c r="JG8">
        <v>0</v>
      </c>
      <c r="JN8">
        <v>0</v>
      </c>
      <c r="JO8">
        <v>1000</v>
      </c>
      <c r="JP8">
        <v>0</v>
      </c>
      <c r="JQ8">
        <v>0</v>
      </c>
      <c r="JR8">
        <v>0</v>
      </c>
      <c r="JS8">
        <v>0</v>
      </c>
      <c r="JT8">
        <v>0</v>
      </c>
      <c r="JU8">
        <v>1000</v>
      </c>
      <c r="JX8">
        <v>100</v>
      </c>
      <c r="KA8">
        <v>1</v>
      </c>
      <c r="KB8">
        <v>3</v>
      </c>
      <c r="KC8">
        <v>1</v>
      </c>
      <c r="KD8" t="s">
        <v>407</v>
      </c>
      <c r="OG8" t="s">
        <v>408</v>
      </c>
      <c r="SJ8" t="s">
        <v>409</v>
      </c>
      <c r="WM8" t="s">
        <v>410</v>
      </c>
      <c r="AAP8" t="s">
        <v>411</v>
      </c>
      <c r="AES8" t="s">
        <v>412</v>
      </c>
    </row>
    <row r="9" spans="1:931" x14ac:dyDescent="0.2">
      <c r="A9" t="s">
        <v>460</v>
      </c>
      <c r="B9" t="s">
        <v>396</v>
      </c>
      <c r="C9" t="s">
        <v>461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>
        <v>651</v>
      </c>
      <c r="W9" s="20">
        <v>43490.67291666667</v>
      </c>
      <c r="X9" t="s">
        <v>462</v>
      </c>
      <c r="Y9">
        <v>2019</v>
      </c>
      <c r="Z9" t="s">
        <v>463</v>
      </c>
      <c r="AA9" t="s">
        <v>464</v>
      </c>
      <c r="AB9" t="str">
        <f>VLOOKUP(MID(AD9,SEARCH("@",AD9,1),LEN(AD9)-SEARCH("@",AD9,1)+1),[2]Sheet1!$D:$F,3,FALSE)</f>
        <v>M676</v>
      </c>
      <c r="AC9" t="s">
        <v>465</v>
      </c>
      <c r="AD9" t="s">
        <v>466</v>
      </c>
      <c r="AE9">
        <v>4793402718</v>
      </c>
      <c r="AF9" t="s">
        <v>467</v>
      </c>
      <c r="AG9" t="s">
        <v>468</v>
      </c>
      <c r="AI9">
        <v>2</v>
      </c>
      <c r="AJ9">
        <v>6</v>
      </c>
      <c r="AK9" t="s">
        <v>469</v>
      </c>
      <c r="AV9">
        <v>0</v>
      </c>
      <c r="BC9">
        <v>0</v>
      </c>
      <c r="BJ9">
        <v>0</v>
      </c>
      <c r="BQ9">
        <v>0</v>
      </c>
      <c r="BX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S9">
        <v>0</v>
      </c>
      <c r="CZ9">
        <v>0</v>
      </c>
      <c r="DG9">
        <v>0</v>
      </c>
      <c r="DN9">
        <v>0</v>
      </c>
      <c r="DU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 t="s">
        <v>404</v>
      </c>
      <c r="EK9" t="s">
        <v>404</v>
      </c>
      <c r="EL9" t="s">
        <v>404</v>
      </c>
      <c r="EM9" t="s">
        <v>404</v>
      </c>
      <c r="EN9" t="s">
        <v>404</v>
      </c>
      <c r="EO9" t="s">
        <v>404</v>
      </c>
      <c r="EP9" t="s">
        <v>404</v>
      </c>
      <c r="EQ9" t="s">
        <v>404</v>
      </c>
      <c r="ER9" t="s">
        <v>404</v>
      </c>
      <c r="ES9" t="s">
        <v>404</v>
      </c>
      <c r="ET9" t="s">
        <v>404</v>
      </c>
      <c r="EU9" t="s">
        <v>404</v>
      </c>
      <c r="EV9" t="s">
        <v>404</v>
      </c>
      <c r="EW9" t="s">
        <v>404</v>
      </c>
      <c r="EX9" t="s">
        <v>404</v>
      </c>
      <c r="EY9" t="s">
        <v>404</v>
      </c>
      <c r="EZ9" t="s">
        <v>404</v>
      </c>
      <c r="FA9" t="s">
        <v>404</v>
      </c>
      <c r="FB9" t="s">
        <v>404</v>
      </c>
      <c r="FC9" t="s">
        <v>404</v>
      </c>
      <c r="FD9" t="s">
        <v>404</v>
      </c>
      <c r="FE9" t="s">
        <v>404</v>
      </c>
      <c r="FF9" t="s">
        <v>404</v>
      </c>
      <c r="FG9" t="s">
        <v>404</v>
      </c>
      <c r="FH9" t="s">
        <v>404</v>
      </c>
      <c r="FI9" t="s">
        <v>404</v>
      </c>
      <c r="FJ9" t="s">
        <v>404</v>
      </c>
      <c r="FK9" t="s">
        <v>404</v>
      </c>
      <c r="FL9" t="s">
        <v>404</v>
      </c>
      <c r="FM9" t="s">
        <v>404</v>
      </c>
      <c r="FN9" t="s">
        <v>404</v>
      </c>
      <c r="FO9" t="s">
        <v>404</v>
      </c>
      <c r="FP9" t="s">
        <v>404</v>
      </c>
      <c r="FQ9" t="s">
        <v>404</v>
      </c>
      <c r="FR9" t="s">
        <v>404</v>
      </c>
      <c r="FS9" t="s">
        <v>404</v>
      </c>
      <c r="FZ9">
        <v>0</v>
      </c>
      <c r="GG9">
        <v>0</v>
      </c>
      <c r="GN9">
        <v>0</v>
      </c>
      <c r="GU9">
        <v>0</v>
      </c>
      <c r="HB9">
        <v>0</v>
      </c>
      <c r="HI9">
        <v>0</v>
      </c>
      <c r="HP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L9">
        <v>0</v>
      </c>
      <c r="IS9">
        <v>0</v>
      </c>
      <c r="IZ9">
        <v>0</v>
      </c>
      <c r="JG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KA9">
        <v>3</v>
      </c>
      <c r="KB9">
        <v>3</v>
      </c>
      <c r="KC9">
        <v>1</v>
      </c>
      <c r="KD9" t="s">
        <v>407</v>
      </c>
      <c r="OG9" t="s">
        <v>408</v>
      </c>
      <c r="SJ9" t="s">
        <v>409</v>
      </c>
      <c r="WM9" t="s">
        <v>410</v>
      </c>
      <c r="AAP9" t="s">
        <v>411</v>
      </c>
      <c r="AES9" t="s">
        <v>412</v>
      </c>
    </row>
    <row r="10" spans="1:931" x14ac:dyDescent="0.2">
      <c r="A10" t="s">
        <v>470</v>
      </c>
      <c r="B10" t="s">
        <v>396</v>
      </c>
      <c r="C10" t="s">
        <v>471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>
        <v>563</v>
      </c>
      <c r="W10" s="20">
        <v>43475.474999999999</v>
      </c>
      <c r="X10" t="s">
        <v>472</v>
      </c>
      <c r="Y10">
        <v>2019</v>
      </c>
      <c r="Z10" t="s">
        <v>473</v>
      </c>
      <c r="AA10" t="s">
        <v>474</v>
      </c>
      <c r="AB10" t="str">
        <f>VLOOKUP(MID(AD10,SEARCH("@",AD10,1),LEN(AD10)-SEARCH("@",AD10,1)+1),[2]Sheet1!$D:$F,3,FALSE)</f>
        <v>M700</v>
      </c>
      <c r="AD10" t="s">
        <v>475</v>
      </c>
      <c r="AF10" t="s">
        <v>444</v>
      </c>
      <c r="AG10" t="s">
        <v>403</v>
      </c>
      <c r="AI10">
        <v>1</v>
      </c>
      <c r="AL10">
        <v>260</v>
      </c>
      <c r="AM10">
        <v>0</v>
      </c>
      <c r="AN10">
        <v>260</v>
      </c>
      <c r="AO10">
        <v>0</v>
      </c>
      <c r="AV10">
        <v>0</v>
      </c>
      <c r="AX10">
        <v>60</v>
      </c>
      <c r="AY10">
        <v>200</v>
      </c>
      <c r="BC10">
        <v>260</v>
      </c>
      <c r="BJ10">
        <v>0</v>
      </c>
      <c r="BQ10">
        <v>0</v>
      </c>
      <c r="BX10">
        <v>0</v>
      </c>
      <c r="CE10">
        <v>0</v>
      </c>
      <c r="CF10">
        <v>0</v>
      </c>
      <c r="CG10">
        <v>60</v>
      </c>
      <c r="CH10">
        <v>200</v>
      </c>
      <c r="CI10">
        <v>0</v>
      </c>
      <c r="CJ10">
        <v>0</v>
      </c>
      <c r="CK10">
        <v>0</v>
      </c>
      <c r="CL10">
        <v>260</v>
      </c>
      <c r="CS10">
        <v>0</v>
      </c>
      <c r="CU10">
        <v>1</v>
      </c>
      <c r="CV10">
        <v>1</v>
      </c>
      <c r="CZ10">
        <v>2</v>
      </c>
      <c r="DG10">
        <v>0</v>
      </c>
      <c r="DN10">
        <v>0</v>
      </c>
      <c r="DU10">
        <v>0</v>
      </c>
      <c r="EB10">
        <v>0</v>
      </c>
      <c r="EC10">
        <v>0</v>
      </c>
      <c r="ED10">
        <v>1</v>
      </c>
      <c r="EE10">
        <v>1</v>
      </c>
      <c r="EF10">
        <v>0</v>
      </c>
      <c r="EG10">
        <v>0</v>
      </c>
      <c r="EH10">
        <v>0</v>
      </c>
      <c r="EI10">
        <v>2</v>
      </c>
      <c r="EJ10" t="s">
        <v>404</v>
      </c>
      <c r="EK10" t="s">
        <v>404</v>
      </c>
      <c r="EL10" t="s">
        <v>404</v>
      </c>
      <c r="EM10" t="s">
        <v>404</v>
      </c>
      <c r="EN10" t="s">
        <v>404</v>
      </c>
      <c r="EO10" t="s">
        <v>404</v>
      </c>
      <c r="EP10" t="s">
        <v>404</v>
      </c>
      <c r="EQ10" t="s">
        <v>405</v>
      </c>
      <c r="ER10" t="s">
        <v>405</v>
      </c>
      <c r="ES10" t="s">
        <v>404</v>
      </c>
      <c r="ET10" t="s">
        <v>404</v>
      </c>
      <c r="EU10" t="s">
        <v>404</v>
      </c>
      <c r="EV10" t="s">
        <v>404</v>
      </c>
      <c r="EW10" t="s">
        <v>404</v>
      </c>
      <c r="EX10" t="s">
        <v>404</v>
      </c>
      <c r="EY10" t="s">
        <v>404</v>
      </c>
      <c r="EZ10" t="s">
        <v>404</v>
      </c>
      <c r="FA10" t="s">
        <v>404</v>
      </c>
      <c r="FB10" t="s">
        <v>404</v>
      </c>
      <c r="FC10" t="s">
        <v>404</v>
      </c>
      <c r="FD10" t="s">
        <v>404</v>
      </c>
      <c r="FE10" t="s">
        <v>404</v>
      </c>
      <c r="FF10" t="s">
        <v>404</v>
      </c>
      <c r="FG10" t="s">
        <v>404</v>
      </c>
      <c r="FH10" t="s">
        <v>404</v>
      </c>
      <c r="FI10" t="s">
        <v>404</v>
      </c>
      <c r="FJ10" t="s">
        <v>404</v>
      </c>
      <c r="FK10" t="s">
        <v>404</v>
      </c>
      <c r="FL10" t="s">
        <v>404</v>
      </c>
      <c r="FM10" t="s">
        <v>404</v>
      </c>
      <c r="FN10" t="s">
        <v>404</v>
      </c>
      <c r="FO10" t="s">
        <v>404</v>
      </c>
      <c r="FP10" t="s">
        <v>404</v>
      </c>
      <c r="FQ10" t="s">
        <v>404</v>
      </c>
      <c r="FR10" t="s">
        <v>404</v>
      </c>
      <c r="FS10" t="s">
        <v>404</v>
      </c>
      <c r="FZ10">
        <v>0</v>
      </c>
      <c r="GG10">
        <v>0</v>
      </c>
      <c r="GN10">
        <v>0</v>
      </c>
      <c r="GU10">
        <v>0</v>
      </c>
      <c r="HB10">
        <v>0</v>
      </c>
      <c r="HI10">
        <v>0</v>
      </c>
      <c r="HP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L10">
        <v>0</v>
      </c>
      <c r="IN10">
        <v>60</v>
      </c>
      <c r="IO10">
        <v>200</v>
      </c>
      <c r="IS10">
        <v>260</v>
      </c>
      <c r="IZ10">
        <v>0</v>
      </c>
      <c r="JG10">
        <v>0</v>
      </c>
      <c r="JN10">
        <v>0</v>
      </c>
      <c r="JO10">
        <v>0</v>
      </c>
      <c r="JP10">
        <v>60</v>
      </c>
      <c r="JQ10">
        <v>200</v>
      </c>
      <c r="JR10">
        <v>0</v>
      </c>
      <c r="JS10">
        <v>0</v>
      </c>
      <c r="JT10">
        <v>0</v>
      </c>
      <c r="JU10">
        <v>260</v>
      </c>
      <c r="JX10">
        <v>100</v>
      </c>
      <c r="KA10">
        <v>3</v>
      </c>
      <c r="KB10">
        <v>3</v>
      </c>
      <c r="KC10">
        <v>2</v>
      </c>
      <c r="KD10" t="s">
        <v>407</v>
      </c>
      <c r="OG10" t="s">
        <v>408</v>
      </c>
      <c r="SJ10" t="s">
        <v>409</v>
      </c>
      <c r="WM10" t="s">
        <v>410</v>
      </c>
      <c r="AAP10" t="s">
        <v>411</v>
      </c>
      <c r="AES10" t="s">
        <v>412</v>
      </c>
    </row>
    <row r="11" spans="1:931" x14ac:dyDescent="0.2">
      <c r="A11" t="s">
        <v>476</v>
      </c>
      <c r="B11" t="s">
        <v>396</v>
      </c>
      <c r="C11" t="s">
        <v>477</v>
      </c>
      <c r="D11" t="s">
        <v>478</v>
      </c>
      <c r="E11" s="3">
        <v>43517.617361111108</v>
      </c>
      <c r="F11" t="s">
        <v>479</v>
      </c>
      <c r="G11" s="3">
        <v>43517.617361111108</v>
      </c>
      <c r="P11" t="b">
        <v>1</v>
      </c>
      <c r="Q11" t="b">
        <v>1</v>
      </c>
      <c r="R11" t="b">
        <v>0</v>
      </c>
      <c r="S11" t="b">
        <v>0</v>
      </c>
      <c r="T11" t="b">
        <v>0</v>
      </c>
      <c r="U11" t="b">
        <v>0</v>
      </c>
      <c r="V11">
        <v>783</v>
      </c>
      <c r="W11" s="20">
        <v>43517.616666666669</v>
      </c>
      <c r="X11" t="s">
        <v>480</v>
      </c>
      <c r="Y11">
        <v>2019</v>
      </c>
      <c r="Z11" t="s">
        <v>481</v>
      </c>
      <c r="AA11" t="s">
        <v>477</v>
      </c>
      <c r="AB11" t="str">
        <f>VLOOKUP(MID(AD11,SEARCH("@",AD11,1),LEN(AD11)-SEARCH("@",AD11,1)+1),[2]Sheet1!$D:$F,3,FALSE)</f>
        <v>M663</v>
      </c>
      <c r="AC11" t="s">
        <v>482</v>
      </c>
      <c r="AD11" t="s">
        <v>483</v>
      </c>
      <c r="AE11">
        <v>496929970245</v>
      </c>
      <c r="AF11" t="s">
        <v>444</v>
      </c>
      <c r="AG11" t="s">
        <v>403</v>
      </c>
      <c r="AI11">
        <v>1</v>
      </c>
      <c r="AL11">
        <v>2600</v>
      </c>
      <c r="AM11">
        <v>2600</v>
      </c>
      <c r="AN11">
        <v>1800</v>
      </c>
      <c r="AO11">
        <v>1800</v>
      </c>
      <c r="AT11">
        <v>200</v>
      </c>
      <c r="AV11">
        <v>200</v>
      </c>
      <c r="BA11">
        <v>2400</v>
      </c>
      <c r="BC11">
        <v>2400</v>
      </c>
      <c r="BJ11">
        <v>0</v>
      </c>
      <c r="BQ11">
        <v>0</v>
      </c>
      <c r="BX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2600</v>
      </c>
      <c r="CK11">
        <v>0</v>
      </c>
      <c r="CL11">
        <v>2600</v>
      </c>
      <c r="CQ11">
        <v>1</v>
      </c>
      <c r="CS11">
        <v>1</v>
      </c>
      <c r="CX11">
        <v>9</v>
      </c>
      <c r="CZ11">
        <v>9</v>
      </c>
      <c r="DG11">
        <v>0</v>
      </c>
      <c r="DN11">
        <v>0</v>
      </c>
      <c r="DU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10</v>
      </c>
      <c r="EH11">
        <v>0</v>
      </c>
      <c r="EI11">
        <v>10</v>
      </c>
      <c r="EJ11" t="s">
        <v>404</v>
      </c>
      <c r="EK11" t="s">
        <v>404</v>
      </c>
      <c r="EL11" t="s">
        <v>404</v>
      </c>
      <c r="EM11" t="s">
        <v>404</v>
      </c>
      <c r="EN11" t="s">
        <v>405</v>
      </c>
      <c r="EO11" t="s">
        <v>404</v>
      </c>
      <c r="EP11" t="s">
        <v>404</v>
      </c>
      <c r="EQ11" t="s">
        <v>404</v>
      </c>
      <c r="ER11" t="s">
        <v>404</v>
      </c>
      <c r="ES11" t="s">
        <v>404</v>
      </c>
      <c r="ET11" t="s">
        <v>405</v>
      </c>
      <c r="EU11" t="s">
        <v>404</v>
      </c>
      <c r="EV11" t="s">
        <v>404</v>
      </c>
      <c r="EW11" t="s">
        <v>404</v>
      </c>
      <c r="EX11" t="s">
        <v>404</v>
      </c>
      <c r="EY11" t="s">
        <v>404</v>
      </c>
      <c r="EZ11" t="s">
        <v>404</v>
      </c>
      <c r="FA11" t="s">
        <v>404</v>
      </c>
      <c r="FB11" t="s">
        <v>404</v>
      </c>
      <c r="FC11" t="s">
        <v>404</v>
      </c>
      <c r="FD11" t="s">
        <v>404</v>
      </c>
      <c r="FE11" t="s">
        <v>404</v>
      </c>
      <c r="FF11" t="s">
        <v>404</v>
      </c>
      <c r="FG11" t="s">
        <v>404</v>
      </c>
      <c r="FH11" t="s">
        <v>404</v>
      </c>
      <c r="FI11" t="s">
        <v>404</v>
      </c>
      <c r="FJ11" t="s">
        <v>404</v>
      </c>
      <c r="FK11" t="s">
        <v>404</v>
      </c>
      <c r="FL11" t="s">
        <v>404</v>
      </c>
      <c r="FM11" t="s">
        <v>404</v>
      </c>
      <c r="FN11" t="s">
        <v>404</v>
      </c>
      <c r="FO11" t="s">
        <v>404</v>
      </c>
      <c r="FP11" t="s">
        <v>404</v>
      </c>
      <c r="FQ11" t="s">
        <v>404</v>
      </c>
      <c r="FR11" t="s">
        <v>404</v>
      </c>
      <c r="FS11" t="s">
        <v>404</v>
      </c>
      <c r="FZ11">
        <v>0</v>
      </c>
      <c r="GG11">
        <v>0</v>
      </c>
      <c r="GN11">
        <v>0</v>
      </c>
      <c r="GU11">
        <v>0</v>
      </c>
      <c r="HB11">
        <v>0</v>
      </c>
      <c r="HI11">
        <v>0</v>
      </c>
      <c r="HP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L11">
        <v>0</v>
      </c>
      <c r="IQ11">
        <v>2600</v>
      </c>
      <c r="IS11">
        <v>2600</v>
      </c>
      <c r="IZ11">
        <v>0</v>
      </c>
      <c r="JG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2600</v>
      </c>
      <c r="JT11">
        <v>0</v>
      </c>
      <c r="JU11">
        <v>2600</v>
      </c>
      <c r="JV11">
        <v>0</v>
      </c>
      <c r="JX11">
        <v>100</v>
      </c>
      <c r="KA11">
        <v>3</v>
      </c>
      <c r="KB11">
        <v>2</v>
      </c>
      <c r="KC11">
        <v>1</v>
      </c>
      <c r="KD11" t="s">
        <v>407</v>
      </c>
      <c r="KI11">
        <v>150</v>
      </c>
      <c r="KK11">
        <v>150</v>
      </c>
      <c r="KP11">
        <v>50</v>
      </c>
      <c r="KR11">
        <v>50</v>
      </c>
      <c r="KY11">
        <v>0</v>
      </c>
      <c r="LF11">
        <v>0</v>
      </c>
      <c r="LM11">
        <v>0</v>
      </c>
      <c r="LT11">
        <v>0</v>
      </c>
      <c r="MA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200</v>
      </c>
      <c r="MO11">
        <v>0</v>
      </c>
      <c r="MP11">
        <v>200</v>
      </c>
      <c r="MU11">
        <v>200</v>
      </c>
      <c r="MW11">
        <v>200</v>
      </c>
      <c r="ND11">
        <v>0</v>
      </c>
      <c r="NK11">
        <v>0</v>
      </c>
      <c r="NR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200</v>
      </c>
      <c r="OE11">
        <v>0</v>
      </c>
      <c r="OF11">
        <v>200</v>
      </c>
      <c r="OG11" t="s">
        <v>408</v>
      </c>
      <c r="ON11">
        <v>0</v>
      </c>
      <c r="OU11">
        <v>0</v>
      </c>
      <c r="PB11">
        <v>0</v>
      </c>
      <c r="PI11">
        <v>0</v>
      </c>
      <c r="PP11">
        <v>0</v>
      </c>
      <c r="PW11">
        <v>0</v>
      </c>
      <c r="QD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X11">
        <v>2400</v>
      </c>
      <c r="QZ11">
        <v>2400</v>
      </c>
      <c r="RG11">
        <v>0</v>
      </c>
      <c r="RN11">
        <v>0</v>
      </c>
      <c r="RU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2400</v>
      </c>
      <c r="SH11">
        <v>0</v>
      </c>
      <c r="SI11">
        <v>2400</v>
      </c>
      <c r="SJ11" t="s">
        <v>409</v>
      </c>
      <c r="WM11" t="s">
        <v>410</v>
      </c>
      <c r="AAP11" t="s">
        <v>411</v>
      </c>
      <c r="AES11" t="s">
        <v>412</v>
      </c>
    </row>
    <row r="12" spans="1:931" x14ac:dyDescent="0.2">
      <c r="A12" t="s">
        <v>484</v>
      </c>
      <c r="B12" t="s">
        <v>396</v>
      </c>
      <c r="C12" t="s">
        <v>485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>
        <v>745</v>
      </c>
      <c r="W12" s="20">
        <v>43514.6875</v>
      </c>
      <c r="X12" t="s">
        <v>486</v>
      </c>
      <c r="Y12">
        <v>2019</v>
      </c>
      <c r="Z12" t="s">
        <v>487</v>
      </c>
      <c r="AA12" t="s">
        <v>488</v>
      </c>
      <c r="AB12" t="str">
        <f>VLOOKUP(MID(AD12,SEARCH("@",AD12,1),LEN(AD12)-SEARCH("@",AD12,1)+1),[2]Sheet1!$D:$F,3,FALSE)</f>
        <v>M490</v>
      </c>
      <c r="AC12" t="s">
        <v>489</v>
      </c>
      <c r="AD12" t="s">
        <v>490</v>
      </c>
      <c r="AF12" t="s">
        <v>491</v>
      </c>
      <c r="AG12" t="s">
        <v>492</v>
      </c>
      <c r="AI12">
        <v>2</v>
      </c>
      <c r="AJ12">
        <v>6</v>
      </c>
      <c r="AK12" t="s">
        <v>493</v>
      </c>
      <c r="AV12">
        <v>0</v>
      </c>
      <c r="BC12">
        <v>0</v>
      </c>
      <c r="BJ12">
        <v>0</v>
      </c>
      <c r="BQ12">
        <v>0</v>
      </c>
      <c r="BX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S12">
        <v>0</v>
      </c>
      <c r="CZ12">
        <v>0</v>
      </c>
      <c r="DG12">
        <v>0</v>
      </c>
      <c r="DN12">
        <v>0</v>
      </c>
      <c r="DU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 t="s">
        <v>404</v>
      </c>
      <c r="EK12" t="s">
        <v>404</v>
      </c>
      <c r="EL12" t="s">
        <v>404</v>
      </c>
      <c r="EM12" t="s">
        <v>404</v>
      </c>
      <c r="EN12" t="s">
        <v>404</v>
      </c>
      <c r="EO12" t="s">
        <v>404</v>
      </c>
      <c r="EP12" t="s">
        <v>404</v>
      </c>
      <c r="EQ12" t="s">
        <v>404</v>
      </c>
      <c r="ER12" t="s">
        <v>404</v>
      </c>
      <c r="ES12" t="s">
        <v>404</v>
      </c>
      <c r="ET12" t="s">
        <v>404</v>
      </c>
      <c r="EU12" t="s">
        <v>404</v>
      </c>
      <c r="EV12" t="s">
        <v>404</v>
      </c>
      <c r="EW12" t="s">
        <v>404</v>
      </c>
      <c r="EX12" t="s">
        <v>404</v>
      </c>
      <c r="EY12" t="s">
        <v>404</v>
      </c>
      <c r="EZ12" t="s">
        <v>404</v>
      </c>
      <c r="FA12" t="s">
        <v>404</v>
      </c>
      <c r="FB12" t="s">
        <v>404</v>
      </c>
      <c r="FC12" t="s">
        <v>404</v>
      </c>
      <c r="FD12" t="s">
        <v>404</v>
      </c>
      <c r="FE12" t="s">
        <v>404</v>
      </c>
      <c r="FF12" t="s">
        <v>404</v>
      </c>
      <c r="FG12" t="s">
        <v>404</v>
      </c>
      <c r="FH12" t="s">
        <v>404</v>
      </c>
      <c r="FI12" t="s">
        <v>404</v>
      </c>
      <c r="FJ12" t="s">
        <v>404</v>
      </c>
      <c r="FK12" t="s">
        <v>404</v>
      </c>
      <c r="FL12" t="s">
        <v>404</v>
      </c>
      <c r="FM12" t="s">
        <v>404</v>
      </c>
      <c r="FN12" t="s">
        <v>404</v>
      </c>
      <c r="FO12" t="s">
        <v>404</v>
      </c>
      <c r="FP12" t="s">
        <v>404</v>
      </c>
      <c r="FQ12" t="s">
        <v>404</v>
      </c>
      <c r="FR12" t="s">
        <v>404</v>
      </c>
      <c r="FS12" t="s">
        <v>404</v>
      </c>
      <c r="FZ12">
        <v>0</v>
      </c>
      <c r="GG12">
        <v>0</v>
      </c>
      <c r="GN12">
        <v>0</v>
      </c>
      <c r="GU12">
        <v>0</v>
      </c>
      <c r="HB12">
        <v>0</v>
      </c>
      <c r="HI12">
        <v>0</v>
      </c>
      <c r="HP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L12">
        <v>0</v>
      </c>
      <c r="IS12">
        <v>0</v>
      </c>
      <c r="IZ12">
        <v>0</v>
      </c>
      <c r="JG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KA12">
        <v>1</v>
      </c>
      <c r="KB12">
        <v>2</v>
      </c>
      <c r="KC12">
        <v>1</v>
      </c>
      <c r="KD12" t="s">
        <v>407</v>
      </c>
      <c r="OG12" t="s">
        <v>408</v>
      </c>
      <c r="SJ12" t="s">
        <v>409</v>
      </c>
      <c r="WM12" t="s">
        <v>410</v>
      </c>
      <c r="AAP12" t="s">
        <v>411</v>
      </c>
      <c r="AES12" t="s">
        <v>412</v>
      </c>
    </row>
    <row r="13" spans="1:931" x14ac:dyDescent="0.2">
      <c r="A13" t="s">
        <v>494</v>
      </c>
      <c r="B13" t="s">
        <v>396</v>
      </c>
      <c r="C13" t="s">
        <v>495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>
        <v>820</v>
      </c>
      <c r="W13" s="20">
        <v>43530.765972222223</v>
      </c>
      <c r="X13" t="s">
        <v>496</v>
      </c>
      <c r="Y13">
        <v>2019</v>
      </c>
      <c r="Z13" t="s">
        <v>497</v>
      </c>
      <c r="AA13" t="s">
        <v>495</v>
      </c>
      <c r="AB13" t="str">
        <f>VLOOKUP(MID(AD13,SEARCH("@",AD13,1),LEN(AD13)-SEARCH("@",AD13,1)+1),[2]Sheet1!$D:$F,3,FALSE)</f>
        <v>M465</v>
      </c>
      <c r="AC13" t="s">
        <v>498</v>
      </c>
      <c r="AD13" t="s">
        <v>499</v>
      </c>
      <c r="AE13">
        <v>2031242716</v>
      </c>
      <c r="AF13" t="s">
        <v>491</v>
      </c>
      <c r="AG13" t="s">
        <v>492</v>
      </c>
      <c r="AI13">
        <v>1</v>
      </c>
      <c r="AL13">
        <v>983</v>
      </c>
      <c r="AM13">
        <v>829</v>
      </c>
      <c r="AV13">
        <v>0</v>
      </c>
      <c r="AW13">
        <v>729</v>
      </c>
      <c r="AZ13">
        <v>100</v>
      </c>
      <c r="BC13">
        <v>829</v>
      </c>
      <c r="BJ13">
        <v>0</v>
      </c>
      <c r="BQ13">
        <v>0</v>
      </c>
      <c r="BX13">
        <v>0</v>
      </c>
      <c r="CE13">
        <v>0</v>
      </c>
      <c r="CF13">
        <v>729</v>
      </c>
      <c r="CG13">
        <v>0</v>
      </c>
      <c r="CH13">
        <v>0</v>
      </c>
      <c r="CI13">
        <v>100</v>
      </c>
      <c r="CJ13">
        <v>0</v>
      </c>
      <c r="CK13">
        <v>0</v>
      </c>
      <c r="CL13">
        <v>829</v>
      </c>
      <c r="CS13">
        <v>0</v>
      </c>
      <c r="CT13">
        <v>4</v>
      </c>
      <c r="CW13">
        <v>1</v>
      </c>
      <c r="CZ13">
        <v>5</v>
      </c>
      <c r="DG13">
        <v>0</v>
      </c>
      <c r="DN13">
        <v>0</v>
      </c>
      <c r="DU13">
        <v>0</v>
      </c>
      <c r="EB13">
        <v>0</v>
      </c>
      <c r="EC13">
        <v>4</v>
      </c>
      <c r="ED13">
        <v>0</v>
      </c>
      <c r="EE13">
        <v>0</v>
      </c>
      <c r="EF13">
        <v>1</v>
      </c>
      <c r="EG13">
        <v>0</v>
      </c>
      <c r="EH13">
        <v>0</v>
      </c>
      <c r="EI13">
        <v>5</v>
      </c>
      <c r="EJ13" t="s">
        <v>404</v>
      </c>
      <c r="EK13" t="s">
        <v>404</v>
      </c>
      <c r="EL13" t="s">
        <v>404</v>
      </c>
      <c r="EM13" t="s">
        <v>404</v>
      </c>
      <c r="EN13" t="s">
        <v>404</v>
      </c>
      <c r="EO13" t="s">
        <v>404</v>
      </c>
      <c r="EP13" t="s">
        <v>405</v>
      </c>
      <c r="EQ13" t="s">
        <v>404</v>
      </c>
      <c r="ER13" t="s">
        <v>404</v>
      </c>
      <c r="ES13" t="s">
        <v>405</v>
      </c>
      <c r="ET13" t="s">
        <v>404</v>
      </c>
      <c r="EU13" t="s">
        <v>404</v>
      </c>
      <c r="EV13" t="s">
        <v>404</v>
      </c>
      <c r="EW13" t="s">
        <v>404</v>
      </c>
      <c r="EX13" t="s">
        <v>404</v>
      </c>
      <c r="EY13" t="s">
        <v>404</v>
      </c>
      <c r="EZ13" t="s">
        <v>404</v>
      </c>
      <c r="FA13" t="s">
        <v>404</v>
      </c>
      <c r="FB13" t="s">
        <v>404</v>
      </c>
      <c r="FC13" t="s">
        <v>404</v>
      </c>
      <c r="FD13" t="s">
        <v>404</v>
      </c>
      <c r="FE13" t="s">
        <v>404</v>
      </c>
      <c r="FF13" t="s">
        <v>404</v>
      </c>
      <c r="FG13" t="s">
        <v>404</v>
      </c>
      <c r="FH13" t="s">
        <v>404</v>
      </c>
      <c r="FI13" t="s">
        <v>404</v>
      </c>
      <c r="FJ13" t="s">
        <v>404</v>
      </c>
      <c r="FK13" t="s">
        <v>404</v>
      </c>
      <c r="FL13" t="s">
        <v>404</v>
      </c>
      <c r="FM13" t="s">
        <v>404</v>
      </c>
      <c r="FN13" t="s">
        <v>404</v>
      </c>
      <c r="FO13" t="s">
        <v>404</v>
      </c>
      <c r="FP13" t="s">
        <v>404</v>
      </c>
      <c r="FQ13" t="s">
        <v>404</v>
      </c>
      <c r="FR13" t="s">
        <v>404</v>
      </c>
      <c r="FS13" t="s">
        <v>404</v>
      </c>
      <c r="FT13">
        <v>652</v>
      </c>
      <c r="FW13">
        <v>50</v>
      </c>
      <c r="FZ13">
        <v>702</v>
      </c>
      <c r="GD13">
        <v>50</v>
      </c>
      <c r="GG13">
        <v>50</v>
      </c>
      <c r="GN13">
        <v>0</v>
      </c>
      <c r="GU13">
        <v>0</v>
      </c>
      <c r="HB13">
        <v>0</v>
      </c>
      <c r="HC13">
        <v>77</v>
      </c>
      <c r="HI13">
        <v>77</v>
      </c>
      <c r="HP13">
        <v>0</v>
      </c>
      <c r="HX13">
        <v>0</v>
      </c>
      <c r="HY13">
        <v>729</v>
      </c>
      <c r="HZ13">
        <v>0</v>
      </c>
      <c r="IA13">
        <v>0</v>
      </c>
      <c r="IB13">
        <v>100</v>
      </c>
      <c r="IC13">
        <v>0</v>
      </c>
      <c r="ID13">
        <v>0</v>
      </c>
      <c r="IE13">
        <v>829</v>
      </c>
      <c r="IL13">
        <v>0</v>
      </c>
      <c r="IM13">
        <v>729</v>
      </c>
      <c r="IP13">
        <v>100</v>
      </c>
      <c r="IS13">
        <v>829</v>
      </c>
      <c r="IZ13">
        <v>0</v>
      </c>
      <c r="JG13">
        <v>0</v>
      </c>
      <c r="JN13">
        <v>0</v>
      </c>
      <c r="JO13">
        <v>729</v>
      </c>
      <c r="JP13">
        <v>0</v>
      </c>
      <c r="JQ13">
        <v>0</v>
      </c>
      <c r="JR13">
        <v>100</v>
      </c>
      <c r="JS13">
        <v>0</v>
      </c>
      <c r="JT13">
        <v>0</v>
      </c>
      <c r="JU13">
        <v>829</v>
      </c>
      <c r="JX13">
        <v>100</v>
      </c>
      <c r="KA13">
        <v>3</v>
      </c>
      <c r="KB13">
        <v>3</v>
      </c>
      <c r="KC13">
        <v>1</v>
      </c>
      <c r="KD13" t="s">
        <v>407</v>
      </c>
      <c r="OG13" t="s">
        <v>408</v>
      </c>
      <c r="SJ13" t="s">
        <v>409</v>
      </c>
      <c r="WM13" t="s">
        <v>410</v>
      </c>
      <c r="AAP13" t="s">
        <v>411</v>
      </c>
      <c r="AES13" t="s">
        <v>412</v>
      </c>
    </row>
    <row r="14" spans="1:931" x14ac:dyDescent="0.2">
      <c r="A14" t="s">
        <v>500</v>
      </c>
      <c r="B14" t="s">
        <v>396</v>
      </c>
      <c r="C14" t="s">
        <v>501</v>
      </c>
      <c r="F14" t="s">
        <v>479</v>
      </c>
      <c r="G14" s="3">
        <v>43521.722916666666</v>
      </c>
      <c r="H14" t="s">
        <v>502</v>
      </c>
      <c r="I14" s="3">
        <v>43521.724305555559</v>
      </c>
      <c r="P14" t="b">
        <v>1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>
        <v>581</v>
      </c>
      <c r="W14" s="20">
        <v>43521.722222222219</v>
      </c>
      <c r="X14" t="s">
        <v>503</v>
      </c>
      <c r="Y14">
        <v>2019</v>
      </c>
      <c r="Z14" t="s">
        <v>504</v>
      </c>
      <c r="AA14" t="s">
        <v>505</v>
      </c>
      <c r="AB14" t="str">
        <f>VLOOKUP(MID(AD14,SEARCH("@",AD14,1),LEN(AD14)-SEARCH("@",AD14,1)+1),[2]Sheet1!$D:$F,3,FALSE)</f>
        <v>M052</v>
      </c>
      <c r="AC14" t="s">
        <v>506</v>
      </c>
      <c r="AD14" t="s">
        <v>507</v>
      </c>
      <c r="AF14" t="s">
        <v>491</v>
      </c>
      <c r="AG14" t="s">
        <v>492</v>
      </c>
      <c r="AI14">
        <v>1</v>
      </c>
      <c r="AL14">
        <v>160</v>
      </c>
      <c r="AM14">
        <v>160</v>
      </c>
      <c r="AV14">
        <v>0</v>
      </c>
      <c r="AZ14">
        <v>99</v>
      </c>
      <c r="BC14">
        <v>99</v>
      </c>
      <c r="BG14">
        <v>61</v>
      </c>
      <c r="BJ14">
        <v>61</v>
      </c>
      <c r="BQ14">
        <v>0</v>
      </c>
      <c r="BX14">
        <v>0</v>
      </c>
      <c r="CE14">
        <v>0</v>
      </c>
      <c r="CF14">
        <v>0</v>
      </c>
      <c r="CG14">
        <v>0</v>
      </c>
      <c r="CH14">
        <v>0</v>
      </c>
      <c r="CI14">
        <v>160</v>
      </c>
      <c r="CJ14">
        <v>0</v>
      </c>
      <c r="CK14">
        <v>0</v>
      </c>
      <c r="CL14">
        <v>160</v>
      </c>
      <c r="CS14">
        <v>0</v>
      </c>
      <c r="CW14">
        <v>2</v>
      </c>
      <c r="CZ14">
        <v>2</v>
      </c>
      <c r="DD14">
        <v>2</v>
      </c>
      <c r="DG14">
        <v>2</v>
      </c>
      <c r="DN14">
        <v>0</v>
      </c>
      <c r="DU14">
        <v>0</v>
      </c>
      <c r="EB14">
        <v>0</v>
      </c>
      <c r="EC14">
        <v>0</v>
      </c>
      <c r="ED14">
        <v>0</v>
      </c>
      <c r="EE14">
        <v>0</v>
      </c>
      <c r="EF14">
        <v>4</v>
      </c>
      <c r="EG14">
        <v>0</v>
      </c>
      <c r="EH14">
        <v>0</v>
      </c>
      <c r="EI14">
        <v>4</v>
      </c>
      <c r="EJ14" t="s">
        <v>404</v>
      </c>
      <c r="EK14" t="s">
        <v>404</v>
      </c>
      <c r="EL14" t="s">
        <v>404</v>
      </c>
      <c r="EM14" t="s">
        <v>404</v>
      </c>
      <c r="EN14" t="s">
        <v>404</v>
      </c>
      <c r="EO14" t="s">
        <v>404</v>
      </c>
      <c r="EP14" t="s">
        <v>404</v>
      </c>
      <c r="EQ14" t="s">
        <v>404</v>
      </c>
      <c r="ER14" t="s">
        <v>404</v>
      </c>
      <c r="ES14" t="s">
        <v>405</v>
      </c>
      <c r="ET14" t="s">
        <v>404</v>
      </c>
      <c r="EU14" t="s">
        <v>404</v>
      </c>
      <c r="EV14" t="s">
        <v>404</v>
      </c>
      <c r="EW14" t="s">
        <v>404</v>
      </c>
      <c r="EX14" t="s">
        <v>404</v>
      </c>
      <c r="EY14" t="s">
        <v>405</v>
      </c>
      <c r="EZ14" t="s">
        <v>404</v>
      </c>
      <c r="FA14" t="s">
        <v>404</v>
      </c>
      <c r="FB14" t="s">
        <v>404</v>
      </c>
      <c r="FC14" t="s">
        <v>404</v>
      </c>
      <c r="FD14" t="s">
        <v>404</v>
      </c>
      <c r="FE14" t="s">
        <v>404</v>
      </c>
      <c r="FF14" t="s">
        <v>404</v>
      </c>
      <c r="FG14" t="s">
        <v>404</v>
      </c>
      <c r="FH14" t="s">
        <v>404</v>
      </c>
      <c r="FI14" t="s">
        <v>404</v>
      </c>
      <c r="FJ14" t="s">
        <v>404</v>
      </c>
      <c r="FK14" t="s">
        <v>404</v>
      </c>
      <c r="FL14" t="s">
        <v>404</v>
      </c>
      <c r="FM14" t="s">
        <v>404</v>
      </c>
      <c r="FN14" t="s">
        <v>404</v>
      </c>
      <c r="FO14" t="s">
        <v>404</v>
      </c>
      <c r="FP14" t="s">
        <v>404</v>
      </c>
      <c r="FQ14" t="s">
        <v>404</v>
      </c>
      <c r="FR14" t="s">
        <v>404</v>
      </c>
      <c r="FS14" t="s">
        <v>404</v>
      </c>
      <c r="FW14">
        <v>15</v>
      </c>
      <c r="FZ14">
        <v>15</v>
      </c>
      <c r="GG14">
        <v>0</v>
      </c>
      <c r="GN14">
        <v>0</v>
      </c>
      <c r="GU14">
        <v>0</v>
      </c>
      <c r="HB14">
        <v>0</v>
      </c>
      <c r="HI14">
        <v>0</v>
      </c>
      <c r="HM14">
        <v>145</v>
      </c>
      <c r="HP14">
        <v>145</v>
      </c>
      <c r="HX14">
        <v>0</v>
      </c>
      <c r="HY14">
        <v>0</v>
      </c>
      <c r="HZ14">
        <v>0</v>
      </c>
      <c r="IA14">
        <v>0</v>
      </c>
      <c r="IB14">
        <v>160</v>
      </c>
      <c r="IC14">
        <v>0</v>
      </c>
      <c r="ID14">
        <v>0</v>
      </c>
      <c r="IE14">
        <v>160</v>
      </c>
      <c r="II14">
        <v>14</v>
      </c>
      <c r="IL14">
        <v>14</v>
      </c>
      <c r="IP14">
        <v>85</v>
      </c>
      <c r="IS14">
        <v>85</v>
      </c>
      <c r="IW14">
        <v>61</v>
      </c>
      <c r="IZ14">
        <v>61</v>
      </c>
      <c r="JG14">
        <v>0</v>
      </c>
      <c r="JN14">
        <v>0</v>
      </c>
      <c r="JO14">
        <v>0</v>
      </c>
      <c r="JP14">
        <v>0</v>
      </c>
      <c r="JQ14">
        <v>0</v>
      </c>
      <c r="JR14">
        <v>160</v>
      </c>
      <c r="JS14">
        <v>0</v>
      </c>
      <c r="JT14">
        <v>0</v>
      </c>
      <c r="JU14">
        <v>160</v>
      </c>
      <c r="JX14">
        <v>100</v>
      </c>
      <c r="KA14">
        <v>1</v>
      </c>
      <c r="KB14">
        <v>2</v>
      </c>
      <c r="KC14">
        <v>1</v>
      </c>
      <c r="KD14" t="s">
        <v>407</v>
      </c>
      <c r="OG14" t="s">
        <v>408</v>
      </c>
      <c r="ON14">
        <v>0</v>
      </c>
      <c r="OU14">
        <v>0</v>
      </c>
      <c r="PB14">
        <v>0</v>
      </c>
      <c r="PI14">
        <v>0</v>
      </c>
      <c r="PP14">
        <v>0</v>
      </c>
      <c r="PW14">
        <v>0</v>
      </c>
      <c r="QA14">
        <v>99</v>
      </c>
      <c r="QD14">
        <v>99</v>
      </c>
      <c r="QL14">
        <v>0</v>
      </c>
      <c r="QM14">
        <v>0</v>
      </c>
      <c r="QN14">
        <v>0</v>
      </c>
      <c r="QO14">
        <v>0</v>
      </c>
      <c r="QP14">
        <v>99</v>
      </c>
      <c r="QQ14">
        <v>0</v>
      </c>
      <c r="QR14">
        <v>0</v>
      </c>
      <c r="QS14">
        <v>99</v>
      </c>
      <c r="QW14">
        <v>85</v>
      </c>
      <c r="QZ14">
        <v>85</v>
      </c>
      <c r="RD14">
        <v>14</v>
      </c>
      <c r="RG14">
        <v>14</v>
      </c>
      <c r="RN14">
        <v>0</v>
      </c>
      <c r="RU14">
        <v>0</v>
      </c>
      <c r="SB14">
        <v>0</v>
      </c>
      <c r="SC14">
        <v>0</v>
      </c>
      <c r="SD14">
        <v>0</v>
      </c>
      <c r="SE14">
        <v>0</v>
      </c>
      <c r="SF14">
        <v>99</v>
      </c>
      <c r="SG14">
        <v>0</v>
      </c>
      <c r="SH14">
        <v>0</v>
      </c>
      <c r="SI14">
        <v>99</v>
      </c>
      <c r="SJ14" t="s">
        <v>409</v>
      </c>
      <c r="SQ14">
        <v>0</v>
      </c>
      <c r="SX14">
        <v>0</v>
      </c>
      <c r="TE14">
        <v>0</v>
      </c>
      <c r="TL14">
        <v>0</v>
      </c>
      <c r="TS14">
        <v>0</v>
      </c>
      <c r="TZ14">
        <v>0</v>
      </c>
      <c r="UD14">
        <v>61</v>
      </c>
      <c r="UG14">
        <v>61</v>
      </c>
      <c r="UO14">
        <v>0</v>
      </c>
      <c r="UP14">
        <v>0</v>
      </c>
      <c r="UQ14">
        <v>0</v>
      </c>
      <c r="UR14">
        <v>0</v>
      </c>
      <c r="US14">
        <v>61</v>
      </c>
      <c r="UT14">
        <v>0</v>
      </c>
      <c r="UU14">
        <v>0</v>
      </c>
      <c r="UV14">
        <v>61</v>
      </c>
      <c r="VC14">
        <v>0</v>
      </c>
      <c r="VJ14">
        <v>0</v>
      </c>
      <c r="VN14">
        <v>61</v>
      </c>
      <c r="VQ14">
        <v>61</v>
      </c>
      <c r="VX14">
        <v>0</v>
      </c>
      <c r="WE14">
        <v>0</v>
      </c>
      <c r="WF14">
        <v>0</v>
      </c>
      <c r="WG14">
        <v>0</v>
      </c>
      <c r="WH14">
        <v>0</v>
      </c>
      <c r="WI14">
        <v>61</v>
      </c>
      <c r="WJ14">
        <v>0</v>
      </c>
      <c r="WK14">
        <v>0</v>
      </c>
      <c r="WL14">
        <v>61</v>
      </c>
      <c r="WM14" t="s">
        <v>410</v>
      </c>
      <c r="AAP14" t="s">
        <v>411</v>
      </c>
      <c r="AES14" t="s">
        <v>412</v>
      </c>
    </row>
    <row r="15" spans="1:931" x14ac:dyDescent="0.2">
      <c r="A15" t="s">
        <v>508</v>
      </c>
      <c r="B15" t="s">
        <v>396</v>
      </c>
      <c r="C15" t="s">
        <v>509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>
        <v>756</v>
      </c>
      <c r="W15" s="20">
        <v>43515.46875</v>
      </c>
      <c r="X15" t="s">
        <v>510</v>
      </c>
      <c r="Y15">
        <v>2019</v>
      </c>
      <c r="Z15" t="s">
        <v>511</v>
      </c>
      <c r="AA15" t="s">
        <v>512</v>
      </c>
      <c r="AB15" t="str">
        <f>VLOOKUP(MID(AD15,SEARCH("@",AD15,1),LEN(AD15)-SEARCH("@",AD15,1)+1),[2]Sheet1!$D:$F,3,FALSE)</f>
        <v>M122</v>
      </c>
      <c r="AC15" t="s">
        <v>513</v>
      </c>
      <c r="AD15" t="s">
        <v>514</v>
      </c>
      <c r="AE15" t="s">
        <v>515</v>
      </c>
      <c r="AF15" t="s">
        <v>516</v>
      </c>
      <c r="AG15" t="s">
        <v>403</v>
      </c>
      <c r="AI15">
        <v>1</v>
      </c>
      <c r="AL15">
        <v>303</v>
      </c>
      <c r="AM15">
        <v>303</v>
      </c>
      <c r="AN15">
        <v>250</v>
      </c>
      <c r="AO15">
        <v>250</v>
      </c>
      <c r="AV15">
        <v>0</v>
      </c>
      <c r="AW15">
        <v>293</v>
      </c>
      <c r="BA15">
        <v>10</v>
      </c>
      <c r="BC15">
        <v>303</v>
      </c>
      <c r="BJ15">
        <v>0</v>
      </c>
      <c r="BQ15">
        <v>0</v>
      </c>
      <c r="BX15">
        <v>0</v>
      </c>
      <c r="CE15">
        <v>0</v>
      </c>
      <c r="CF15">
        <v>293</v>
      </c>
      <c r="CG15">
        <v>0</v>
      </c>
      <c r="CH15">
        <v>0</v>
      </c>
      <c r="CI15">
        <v>0</v>
      </c>
      <c r="CJ15">
        <v>10</v>
      </c>
      <c r="CK15">
        <v>0</v>
      </c>
      <c r="CL15">
        <v>303</v>
      </c>
      <c r="CS15">
        <v>0</v>
      </c>
      <c r="CT15">
        <v>5</v>
      </c>
      <c r="CX15">
        <v>1</v>
      </c>
      <c r="CZ15">
        <v>6</v>
      </c>
      <c r="DG15">
        <v>0</v>
      </c>
      <c r="DN15">
        <v>0</v>
      </c>
      <c r="DU15">
        <v>0</v>
      </c>
      <c r="EB15">
        <v>0</v>
      </c>
      <c r="EC15">
        <v>5</v>
      </c>
      <c r="ED15">
        <v>0</v>
      </c>
      <c r="EE15">
        <v>0</v>
      </c>
      <c r="EF15">
        <v>0</v>
      </c>
      <c r="EG15">
        <v>1</v>
      </c>
      <c r="EH15">
        <v>0</v>
      </c>
      <c r="EI15">
        <v>6</v>
      </c>
      <c r="EJ15" t="s">
        <v>404</v>
      </c>
      <c r="EK15" t="s">
        <v>404</v>
      </c>
      <c r="EL15" t="s">
        <v>404</v>
      </c>
      <c r="EM15" t="s">
        <v>404</v>
      </c>
      <c r="EN15" t="s">
        <v>404</v>
      </c>
      <c r="EO15" t="s">
        <v>404</v>
      </c>
      <c r="EP15" t="s">
        <v>405</v>
      </c>
      <c r="EQ15" t="s">
        <v>404</v>
      </c>
      <c r="ER15" t="s">
        <v>404</v>
      </c>
      <c r="ES15" t="s">
        <v>404</v>
      </c>
      <c r="ET15" t="s">
        <v>405</v>
      </c>
      <c r="EU15" t="s">
        <v>404</v>
      </c>
      <c r="EV15" t="s">
        <v>404</v>
      </c>
      <c r="EW15" t="s">
        <v>404</v>
      </c>
      <c r="EX15" t="s">
        <v>404</v>
      </c>
      <c r="EY15" t="s">
        <v>404</v>
      </c>
      <c r="EZ15" t="s">
        <v>404</v>
      </c>
      <c r="FA15" t="s">
        <v>404</v>
      </c>
      <c r="FB15" t="s">
        <v>404</v>
      </c>
      <c r="FC15" t="s">
        <v>404</v>
      </c>
      <c r="FD15" t="s">
        <v>404</v>
      </c>
      <c r="FE15" t="s">
        <v>404</v>
      </c>
      <c r="FF15" t="s">
        <v>404</v>
      </c>
      <c r="FG15" t="s">
        <v>404</v>
      </c>
      <c r="FH15" t="s">
        <v>404</v>
      </c>
      <c r="FI15" t="s">
        <v>404</v>
      </c>
      <c r="FJ15" t="s">
        <v>404</v>
      </c>
      <c r="FK15" t="s">
        <v>404</v>
      </c>
      <c r="FL15" t="s">
        <v>404</v>
      </c>
      <c r="FM15" t="s">
        <v>404</v>
      </c>
      <c r="FN15" t="s">
        <v>404</v>
      </c>
      <c r="FO15" t="s">
        <v>404</v>
      </c>
      <c r="FP15" t="s">
        <v>404</v>
      </c>
      <c r="FQ15" t="s">
        <v>404</v>
      </c>
      <c r="FR15" t="s">
        <v>404</v>
      </c>
      <c r="FS15" t="s">
        <v>404</v>
      </c>
      <c r="FT15">
        <v>5</v>
      </c>
      <c r="FZ15">
        <v>5</v>
      </c>
      <c r="GA15">
        <v>6</v>
      </c>
      <c r="GE15">
        <v>5</v>
      </c>
      <c r="GG15">
        <v>11</v>
      </c>
      <c r="GN15">
        <v>0</v>
      </c>
      <c r="GU15">
        <v>0</v>
      </c>
      <c r="GV15">
        <v>5</v>
      </c>
      <c r="GZ15">
        <v>5</v>
      </c>
      <c r="HB15">
        <v>10</v>
      </c>
      <c r="HI15">
        <v>0</v>
      </c>
      <c r="HJ15">
        <v>277</v>
      </c>
      <c r="HP15">
        <v>277</v>
      </c>
      <c r="HX15">
        <v>0</v>
      </c>
      <c r="HY15">
        <v>293</v>
      </c>
      <c r="HZ15">
        <v>0</v>
      </c>
      <c r="IA15">
        <v>0</v>
      </c>
      <c r="IB15">
        <v>0</v>
      </c>
      <c r="IC15">
        <v>10</v>
      </c>
      <c r="ID15">
        <v>0</v>
      </c>
      <c r="IE15">
        <v>303</v>
      </c>
      <c r="IL15">
        <v>0</v>
      </c>
      <c r="IM15">
        <v>293</v>
      </c>
      <c r="IQ15">
        <v>10</v>
      </c>
      <c r="IS15">
        <v>303</v>
      </c>
      <c r="IZ15">
        <v>0</v>
      </c>
      <c r="JG15">
        <v>0</v>
      </c>
      <c r="JN15">
        <v>0</v>
      </c>
      <c r="JO15">
        <v>293</v>
      </c>
      <c r="JP15">
        <v>0</v>
      </c>
      <c r="JQ15">
        <v>0</v>
      </c>
      <c r="JR15">
        <v>0</v>
      </c>
      <c r="JS15">
        <v>10</v>
      </c>
      <c r="JT15">
        <v>0</v>
      </c>
      <c r="JU15">
        <v>303</v>
      </c>
      <c r="JX15">
        <v>100</v>
      </c>
      <c r="KA15">
        <v>3</v>
      </c>
      <c r="KB15">
        <v>3</v>
      </c>
      <c r="KC15">
        <v>1</v>
      </c>
      <c r="KD15" t="s">
        <v>407</v>
      </c>
      <c r="OG15" t="s">
        <v>408</v>
      </c>
      <c r="SJ15" t="s">
        <v>409</v>
      </c>
      <c r="WM15" t="s">
        <v>410</v>
      </c>
      <c r="AAP15" t="s">
        <v>411</v>
      </c>
      <c r="AES15" t="s">
        <v>412</v>
      </c>
    </row>
    <row r="16" spans="1:931" x14ac:dyDescent="0.2">
      <c r="A16" t="s">
        <v>517</v>
      </c>
      <c r="B16" t="s">
        <v>396</v>
      </c>
      <c r="C16" t="s">
        <v>518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>
        <v>625</v>
      </c>
      <c r="W16" s="20">
        <v>43520.65</v>
      </c>
      <c r="X16" t="s">
        <v>519</v>
      </c>
      <c r="Y16">
        <v>2019</v>
      </c>
      <c r="Z16" t="s">
        <v>520</v>
      </c>
      <c r="AA16" t="s">
        <v>518</v>
      </c>
      <c r="AB16" t="str">
        <f>VLOOKUP(MID(AD16,SEARCH("@",AD16,1),LEN(AD16)-SEARCH("@",AD16,1)+1),[2]Sheet1!$D:$F,3,FALSE)</f>
        <v>M2715</v>
      </c>
      <c r="AC16" t="s">
        <v>521</v>
      </c>
      <c r="AD16" t="s">
        <v>522</v>
      </c>
      <c r="AE16">
        <f>44-797-122-6842</f>
        <v>-7717</v>
      </c>
      <c r="AF16" t="s">
        <v>491</v>
      </c>
      <c r="AG16" t="s">
        <v>492</v>
      </c>
      <c r="AI16">
        <v>1</v>
      </c>
      <c r="AL16">
        <v>150</v>
      </c>
      <c r="AM16">
        <v>150</v>
      </c>
      <c r="AN16">
        <v>150</v>
      </c>
      <c r="AO16">
        <v>150</v>
      </c>
      <c r="AV16">
        <v>0</v>
      </c>
      <c r="AW16">
        <v>150</v>
      </c>
      <c r="BC16">
        <v>150</v>
      </c>
      <c r="BJ16">
        <v>0</v>
      </c>
      <c r="BQ16">
        <v>0</v>
      </c>
      <c r="BX16">
        <v>0</v>
      </c>
      <c r="CE16">
        <v>0</v>
      </c>
      <c r="CF16">
        <v>150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150</v>
      </c>
      <c r="CS16">
        <v>0</v>
      </c>
      <c r="CT16">
        <v>1</v>
      </c>
      <c r="CZ16">
        <v>1</v>
      </c>
      <c r="DG16">
        <v>0</v>
      </c>
      <c r="DN16">
        <v>0</v>
      </c>
      <c r="DU16">
        <v>0</v>
      </c>
      <c r="EB16">
        <v>0</v>
      </c>
      <c r="EC16">
        <v>1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1</v>
      </c>
      <c r="EJ16" t="s">
        <v>404</v>
      </c>
      <c r="EK16" t="s">
        <v>404</v>
      </c>
      <c r="EL16" t="s">
        <v>404</v>
      </c>
      <c r="EM16" t="s">
        <v>404</v>
      </c>
      <c r="EN16" t="s">
        <v>404</v>
      </c>
      <c r="EO16" t="s">
        <v>404</v>
      </c>
      <c r="EP16" t="s">
        <v>405</v>
      </c>
      <c r="EQ16" t="s">
        <v>404</v>
      </c>
      <c r="ER16" t="s">
        <v>404</v>
      </c>
      <c r="ES16" t="s">
        <v>404</v>
      </c>
      <c r="ET16" t="s">
        <v>404</v>
      </c>
      <c r="EU16" t="s">
        <v>404</v>
      </c>
      <c r="EV16" t="s">
        <v>404</v>
      </c>
      <c r="EW16" t="s">
        <v>404</v>
      </c>
      <c r="EX16" t="s">
        <v>404</v>
      </c>
      <c r="EY16" t="s">
        <v>404</v>
      </c>
      <c r="EZ16" t="s">
        <v>404</v>
      </c>
      <c r="FA16" t="s">
        <v>404</v>
      </c>
      <c r="FB16" t="s">
        <v>404</v>
      </c>
      <c r="FC16" t="s">
        <v>404</v>
      </c>
      <c r="FD16" t="s">
        <v>404</v>
      </c>
      <c r="FE16" t="s">
        <v>404</v>
      </c>
      <c r="FF16" t="s">
        <v>404</v>
      </c>
      <c r="FG16" t="s">
        <v>404</v>
      </c>
      <c r="FH16" t="s">
        <v>404</v>
      </c>
      <c r="FI16" t="s">
        <v>404</v>
      </c>
      <c r="FJ16" t="s">
        <v>404</v>
      </c>
      <c r="FK16" t="s">
        <v>404</v>
      </c>
      <c r="FL16" t="s">
        <v>404</v>
      </c>
      <c r="FM16" t="s">
        <v>404</v>
      </c>
      <c r="FN16" t="s">
        <v>404</v>
      </c>
      <c r="FO16" t="s">
        <v>404</v>
      </c>
      <c r="FP16" t="s">
        <v>404</v>
      </c>
      <c r="FQ16" t="s">
        <v>404</v>
      </c>
      <c r="FR16" t="s">
        <v>404</v>
      </c>
      <c r="FS16" t="s">
        <v>404</v>
      </c>
      <c r="FT16">
        <v>40</v>
      </c>
      <c r="FZ16">
        <v>40</v>
      </c>
      <c r="GG16">
        <v>0</v>
      </c>
      <c r="GN16">
        <v>0</v>
      </c>
      <c r="GU16">
        <v>0</v>
      </c>
      <c r="HB16">
        <v>0</v>
      </c>
      <c r="HC16">
        <v>80</v>
      </c>
      <c r="HI16">
        <v>80</v>
      </c>
      <c r="HJ16">
        <v>30</v>
      </c>
      <c r="HP16">
        <v>30</v>
      </c>
      <c r="HX16">
        <v>0</v>
      </c>
      <c r="HY16">
        <v>150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150</v>
      </c>
      <c r="IL16">
        <v>0</v>
      </c>
      <c r="IM16">
        <v>138</v>
      </c>
      <c r="IS16">
        <v>138</v>
      </c>
      <c r="IT16">
        <v>12</v>
      </c>
      <c r="IZ16">
        <v>12</v>
      </c>
      <c r="JG16">
        <v>0</v>
      </c>
      <c r="JN16">
        <v>0</v>
      </c>
      <c r="JO16">
        <v>150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150</v>
      </c>
      <c r="JX16">
        <v>100</v>
      </c>
      <c r="KA16">
        <v>1</v>
      </c>
      <c r="KB16">
        <v>2</v>
      </c>
      <c r="KC16">
        <v>2</v>
      </c>
      <c r="KD16" t="s">
        <v>407</v>
      </c>
      <c r="OG16" t="s">
        <v>408</v>
      </c>
      <c r="SJ16" t="s">
        <v>409</v>
      </c>
      <c r="WM16" t="s">
        <v>410</v>
      </c>
      <c r="AAP16" t="s">
        <v>411</v>
      </c>
      <c r="AES16" t="s">
        <v>412</v>
      </c>
    </row>
    <row r="17" spans="1:825" x14ac:dyDescent="0.2">
      <c r="A17" t="s">
        <v>523</v>
      </c>
      <c r="B17" t="s">
        <v>396</v>
      </c>
      <c r="C17" t="s">
        <v>524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>
        <v>735</v>
      </c>
      <c r="W17" s="20">
        <v>43517.352083333331</v>
      </c>
      <c r="X17" t="s">
        <v>525</v>
      </c>
      <c r="Y17">
        <v>2019</v>
      </c>
      <c r="Z17" t="s">
        <v>526</v>
      </c>
      <c r="AA17" t="s">
        <v>527</v>
      </c>
      <c r="AB17" t="str">
        <f>VLOOKUP(MID(AD17,SEARCH("@",AD17,1),LEN(AD17)-SEARCH("@",AD17,1)+1),[2]Sheet1!$D:$F,3,FALSE)</f>
        <v>M506</v>
      </c>
      <c r="AC17" t="s">
        <v>528</v>
      </c>
      <c r="AD17" t="s">
        <v>529</v>
      </c>
      <c r="AE17" t="s">
        <v>530</v>
      </c>
      <c r="AF17" t="s">
        <v>491</v>
      </c>
      <c r="AG17" t="s">
        <v>403</v>
      </c>
      <c r="AI17">
        <v>1</v>
      </c>
      <c r="AL17">
        <v>328</v>
      </c>
      <c r="AM17">
        <v>328</v>
      </c>
      <c r="AN17">
        <v>268</v>
      </c>
      <c r="AO17">
        <v>268</v>
      </c>
      <c r="AV17">
        <v>0</v>
      </c>
      <c r="AW17">
        <v>202</v>
      </c>
      <c r="AX17">
        <v>126</v>
      </c>
      <c r="BC17">
        <v>328</v>
      </c>
      <c r="BJ17">
        <v>0</v>
      </c>
      <c r="BQ17">
        <v>0</v>
      </c>
      <c r="BX17">
        <v>0</v>
      </c>
      <c r="CE17">
        <v>0</v>
      </c>
      <c r="CF17">
        <v>202</v>
      </c>
      <c r="CG17">
        <v>126</v>
      </c>
      <c r="CH17">
        <v>0</v>
      </c>
      <c r="CI17">
        <v>0</v>
      </c>
      <c r="CJ17">
        <v>0</v>
      </c>
      <c r="CK17">
        <v>0</v>
      </c>
      <c r="CL17">
        <v>328</v>
      </c>
      <c r="CS17">
        <v>0</v>
      </c>
      <c r="CT17">
        <v>4</v>
      </c>
      <c r="CU17">
        <v>3</v>
      </c>
      <c r="CZ17">
        <v>7</v>
      </c>
      <c r="DG17">
        <v>0</v>
      </c>
      <c r="DN17">
        <v>0</v>
      </c>
      <c r="DU17">
        <v>0</v>
      </c>
      <c r="EB17">
        <v>0</v>
      </c>
      <c r="EC17">
        <v>4</v>
      </c>
      <c r="ED17">
        <v>3</v>
      </c>
      <c r="EE17">
        <v>0</v>
      </c>
      <c r="EF17">
        <v>0</v>
      </c>
      <c r="EG17">
        <v>0</v>
      </c>
      <c r="EH17">
        <v>0</v>
      </c>
      <c r="EI17">
        <v>7</v>
      </c>
      <c r="EJ17" t="s">
        <v>404</v>
      </c>
      <c r="EK17" t="s">
        <v>404</v>
      </c>
      <c r="EL17" t="s">
        <v>404</v>
      </c>
      <c r="EM17" t="s">
        <v>404</v>
      </c>
      <c r="EN17" t="s">
        <v>404</v>
      </c>
      <c r="EO17" t="s">
        <v>404</v>
      </c>
      <c r="EP17" t="s">
        <v>405</v>
      </c>
      <c r="EQ17" t="s">
        <v>405</v>
      </c>
      <c r="ER17" t="s">
        <v>404</v>
      </c>
      <c r="ES17" t="s">
        <v>404</v>
      </c>
      <c r="ET17" t="s">
        <v>404</v>
      </c>
      <c r="EU17" t="s">
        <v>404</v>
      </c>
      <c r="EV17" t="s">
        <v>404</v>
      </c>
      <c r="EW17" t="s">
        <v>404</v>
      </c>
      <c r="EX17" t="s">
        <v>404</v>
      </c>
      <c r="EY17" t="s">
        <v>404</v>
      </c>
      <c r="EZ17" t="s">
        <v>404</v>
      </c>
      <c r="FA17" t="s">
        <v>404</v>
      </c>
      <c r="FB17" t="s">
        <v>404</v>
      </c>
      <c r="FC17" t="s">
        <v>404</v>
      </c>
      <c r="FD17" t="s">
        <v>404</v>
      </c>
      <c r="FE17" t="s">
        <v>404</v>
      </c>
      <c r="FF17" t="s">
        <v>404</v>
      </c>
      <c r="FG17" t="s">
        <v>404</v>
      </c>
      <c r="FH17" t="s">
        <v>404</v>
      </c>
      <c r="FI17" t="s">
        <v>404</v>
      </c>
      <c r="FJ17" t="s">
        <v>404</v>
      </c>
      <c r="FK17" t="s">
        <v>404</v>
      </c>
      <c r="FL17" t="s">
        <v>404</v>
      </c>
      <c r="FM17" t="s">
        <v>404</v>
      </c>
      <c r="FN17" t="s">
        <v>404</v>
      </c>
      <c r="FO17" t="s">
        <v>404</v>
      </c>
      <c r="FP17" t="s">
        <v>404</v>
      </c>
      <c r="FQ17" t="s">
        <v>404</v>
      </c>
      <c r="FR17" t="s">
        <v>404</v>
      </c>
      <c r="FS17" t="s">
        <v>404</v>
      </c>
      <c r="FT17">
        <v>54</v>
      </c>
      <c r="FU17">
        <v>36</v>
      </c>
      <c r="FZ17">
        <v>90</v>
      </c>
      <c r="GG17">
        <v>0</v>
      </c>
      <c r="GN17">
        <v>0</v>
      </c>
      <c r="GU17">
        <v>0</v>
      </c>
      <c r="HB17">
        <v>0</v>
      </c>
      <c r="HC17">
        <v>147</v>
      </c>
      <c r="HI17">
        <v>147</v>
      </c>
      <c r="HJ17">
        <v>91</v>
      </c>
      <c r="HP17">
        <v>91</v>
      </c>
      <c r="HX17">
        <v>0</v>
      </c>
      <c r="HY17">
        <v>292</v>
      </c>
      <c r="HZ17">
        <v>36</v>
      </c>
      <c r="IA17">
        <v>0</v>
      </c>
      <c r="IB17">
        <v>0</v>
      </c>
      <c r="IC17">
        <v>0</v>
      </c>
      <c r="ID17">
        <v>0</v>
      </c>
      <c r="IE17">
        <v>328</v>
      </c>
      <c r="IL17">
        <v>0</v>
      </c>
      <c r="IM17">
        <v>292</v>
      </c>
      <c r="IN17">
        <v>36</v>
      </c>
      <c r="IS17">
        <v>328</v>
      </c>
      <c r="IZ17">
        <v>0</v>
      </c>
      <c r="JG17">
        <v>0</v>
      </c>
      <c r="JN17">
        <v>0</v>
      </c>
      <c r="JO17">
        <v>292</v>
      </c>
      <c r="JP17">
        <v>36</v>
      </c>
      <c r="JQ17">
        <v>0</v>
      </c>
      <c r="JR17">
        <v>0</v>
      </c>
      <c r="JS17">
        <v>0</v>
      </c>
      <c r="JT17">
        <v>0</v>
      </c>
      <c r="JU17">
        <v>328</v>
      </c>
      <c r="JX17">
        <v>100</v>
      </c>
      <c r="KA17">
        <v>1</v>
      </c>
      <c r="KB17">
        <v>2</v>
      </c>
      <c r="KC17">
        <v>1</v>
      </c>
      <c r="KD17" t="s">
        <v>407</v>
      </c>
      <c r="OG17" t="s">
        <v>408</v>
      </c>
      <c r="SJ17" t="s">
        <v>409</v>
      </c>
      <c r="WM17" t="s">
        <v>410</v>
      </c>
      <c r="AAP17" t="s">
        <v>411</v>
      </c>
      <c r="AES17" t="s">
        <v>412</v>
      </c>
    </row>
    <row r="18" spans="1:825" x14ac:dyDescent="0.2">
      <c r="A18" t="s">
        <v>531</v>
      </c>
      <c r="B18" t="s">
        <v>414</v>
      </c>
      <c r="C18" t="s">
        <v>532</v>
      </c>
      <c r="P18" t="b">
        <v>0</v>
      </c>
      <c r="Q18" t="b">
        <v>1</v>
      </c>
      <c r="R18" t="b">
        <v>0</v>
      </c>
      <c r="S18" t="b">
        <v>0</v>
      </c>
      <c r="T18" t="b">
        <v>0</v>
      </c>
      <c r="U18" t="b">
        <v>0</v>
      </c>
      <c r="V18">
        <v>712</v>
      </c>
      <c r="W18" s="20">
        <v>43509.164583333331</v>
      </c>
      <c r="X18" t="s">
        <v>533</v>
      </c>
      <c r="Y18">
        <v>2019</v>
      </c>
      <c r="Z18" t="s">
        <v>534</v>
      </c>
      <c r="AA18" t="s">
        <v>532</v>
      </c>
      <c r="AB18" t="str">
        <f>VLOOKUP(MID(AD18,SEARCH("@",AD18,1),LEN(AD18)-SEARCH("@",AD18,1)+1),[2]Sheet1!$D:$F,3,FALSE)</f>
        <v>M0125</v>
      </c>
      <c r="AC18" t="s">
        <v>528</v>
      </c>
      <c r="AD18" t="s">
        <v>535</v>
      </c>
      <c r="AE18" t="s">
        <v>536</v>
      </c>
      <c r="AF18" t="s">
        <v>537</v>
      </c>
      <c r="AG18" t="s">
        <v>538</v>
      </c>
      <c r="AI18">
        <v>1</v>
      </c>
      <c r="AL18">
        <v>420</v>
      </c>
      <c r="AM18">
        <v>420</v>
      </c>
      <c r="AN18">
        <v>0</v>
      </c>
      <c r="AO18">
        <v>0</v>
      </c>
      <c r="AP18">
        <v>420</v>
      </c>
      <c r="AV18">
        <v>420</v>
      </c>
      <c r="BC18">
        <v>0</v>
      </c>
      <c r="BJ18">
        <v>0</v>
      </c>
      <c r="BQ18">
        <v>0</v>
      </c>
      <c r="BX18">
        <v>0</v>
      </c>
      <c r="CE18">
        <v>0</v>
      </c>
      <c r="CF18">
        <v>420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420</v>
      </c>
      <c r="CM18">
        <v>1</v>
      </c>
      <c r="CS18">
        <v>1</v>
      </c>
      <c r="CZ18">
        <v>0</v>
      </c>
      <c r="DG18">
        <v>0</v>
      </c>
      <c r="DN18">
        <v>0</v>
      </c>
      <c r="DU18">
        <v>0</v>
      </c>
      <c r="EB18">
        <v>0</v>
      </c>
      <c r="EC18">
        <v>1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1</v>
      </c>
      <c r="EJ18" t="s">
        <v>405</v>
      </c>
      <c r="EK18" t="s">
        <v>404</v>
      </c>
      <c r="EL18" t="s">
        <v>404</v>
      </c>
      <c r="EM18" t="s">
        <v>404</v>
      </c>
      <c r="EN18" t="s">
        <v>404</v>
      </c>
      <c r="EO18" t="s">
        <v>404</v>
      </c>
      <c r="EP18" t="s">
        <v>404</v>
      </c>
      <c r="EQ18" t="s">
        <v>404</v>
      </c>
      <c r="ER18" t="s">
        <v>404</v>
      </c>
      <c r="ES18" t="s">
        <v>404</v>
      </c>
      <c r="ET18" t="s">
        <v>404</v>
      </c>
      <c r="EU18" t="s">
        <v>404</v>
      </c>
      <c r="EV18" t="s">
        <v>404</v>
      </c>
      <c r="EW18" t="s">
        <v>404</v>
      </c>
      <c r="EX18" t="s">
        <v>404</v>
      </c>
      <c r="EY18" t="s">
        <v>404</v>
      </c>
      <c r="EZ18" t="s">
        <v>404</v>
      </c>
      <c r="FA18" t="s">
        <v>404</v>
      </c>
      <c r="FB18" t="s">
        <v>404</v>
      </c>
      <c r="FC18" t="s">
        <v>404</v>
      </c>
      <c r="FD18" t="s">
        <v>404</v>
      </c>
      <c r="FE18" t="s">
        <v>404</v>
      </c>
      <c r="FF18" t="s">
        <v>404</v>
      </c>
      <c r="FG18" t="s">
        <v>404</v>
      </c>
      <c r="FH18" t="s">
        <v>404</v>
      </c>
      <c r="FI18" t="s">
        <v>404</v>
      </c>
      <c r="FJ18" t="s">
        <v>404</v>
      </c>
      <c r="FK18" t="s">
        <v>404</v>
      </c>
      <c r="FL18" t="s">
        <v>404</v>
      </c>
      <c r="FM18" t="s">
        <v>404</v>
      </c>
      <c r="FN18" t="s">
        <v>404</v>
      </c>
      <c r="FO18" t="s">
        <v>404</v>
      </c>
      <c r="FP18" t="s">
        <v>404</v>
      </c>
      <c r="FQ18" t="s">
        <v>404</v>
      </c>
      <c r="FR18" t="s">
        <v>404</v>
      </c>
      <c r="FS18" t="s">
        <v>404</v>
      </c>
      <c r="FT18">
        <v>150</v>
      </c>
      <c r="FZ18">
        <v>150</v>
      </c>
      <c r="GA18">
        <v>35</v>
      </c>
      <c r="GG18">
        <v>35</v>
      </c>
      <c r="GN18">
        <v>0</v>
      </c>
      <c r="GU18">
        <v>0</v>
      </c>
      <c r="GV18">
        <v>50</v>
      </c>
      <c r="HB18">
        <v>50</v>
      </c>
      <c r="HC18">
        <v>165</v>
      </c>
      <c r="HI18">
        <v>165</v>
      </c>
      <c r="HJ18">
        <v>13</v>
      </c>
      <c r="HP18">
        <v>13</v>
      </c>
      <c r="HQ18" t="s">
        <v>539</v>
      </c>
      <c r="HR18">
        <v>7</v>
      </c>
      <c r="HX18">
        <v>7</v>
      </c>
      <c r="HY18">
        <v>420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420</v>
      </c>
      <c r="IF18">
        <v>107</v>
      </c>
      <c r="IL18">
        <v>107</v>
      </c>
      <c r="IM18">
        <v>178</v>
      </c>
      <c r="IS18">
        <v>178</v>
      </c>
      <c r="IT18">
        <v>135</v>
      </c>
      <c r="IZ18">
        <v>135</v>
      </c>
      <c r="JG18">
        <v>0</v>
      </c>
      <c r="JN18">
        <v>0</v>
      </c>
      <c r="JO18">
        <v>420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420</v>
      </c>
      <c r="JV18">
        <v>19</v>
      </c>
      <c r="JX18">
        <v>79</v>
      </c>
      <c r="JY18" t="s">
        <v>539</v>
      </c>
      <c r="JZ18">
        <v>2</v>
      </c>
      <c r="KA18">
        <v>1</v>
      </c>
      <c r="KB18">
        <v>2</v>
      </c>
      <c r="KC18">
        <v>1</v>
      </c>
      <c r="KD18" t="s">
        <v>407</v>
      </c>
      <c r="OG18" t="s">
        <v>408</v>
      </c>
      <c r="SJ18" t="s">
        <v>409</v>
      </c>
      <c r="WM18" t="s">
        <v>410</v>
      </c>
      <c r="AAP18" t="s">
        <v>411</v>
      </c>
      <c r="AES18" t="s">
        <v>412</v>
      </c>
    </row>
    <row r="19" spans="1:825" x14ac:dyDescent="0.2">
      <c r="A19" t="s">
        <v>540</v>
      </c>
      <c r="B19" t="s">
        <v>414</v>
      </c>
      <c r="C19" t="s">
        <v>541</v>
      </c>
      <c r="P19" t="b">
        <v>0</v>
      </c>
      <c r="Q19" t="b">
        <v>1</v>
      </c>
      <c r="R19" t="b">
        <v>0</v>
      </c>
      <c r="S19" t="b">
        <v>0</v>
      </c>
      <c r="T19" t="b">
        <v>0</v>
      </c>
      <c r="U19" t="b">
        <v>0</v>
      </c>
      <c r="V19">
        <v>635</v>
      </c>
      <c r="W19" s="20">
        <v>43508.42083333333</v>
      </c>
      <c r="X19" t="s">
        <v>542</v>
      </c>
      <c r="Y19">
        <v>2019</v>
      </c>
      <c r="Z19" t="s">
        <v>543</v>
      </c>
      <c r="AA19" t="s">
        <v>544</v>
      </c>
      <c r="AB19" t="str">
        <f>VLOOKUP(MID(AD19,SEARCH("@",AD19,1),LEN(AD19)-SEARCH("@",AD19,1)+1),[2]Sheet1!$D:$F,3,FALSE)</f>
        <v>M0107</v>
      </c>
      <c r="AC19" t="s">
        <v>545</v>
      </c>
      <c r="AD19" t="s">
        <v>546</v>
      </c>
      <c r="AE19" t="s">
        <v>547</v>
      </c>
      <c r="AF19" t="s">
        <v>537</v>
      </c>
      <c r="AG19" t="s">
        <v>548</v>
      </c>
      <c r="AI19">
        <v>1</v>
      </c>
      <c r="AL19">
        <v>420</v>
      </c>
      <c r="AM19">
        <v>420</v>
      </c>
      <c r="AN19">
        <v>340</v>
      </c>
      <c r="AO19">
        <v>340</v>
      </c>
      <c r="AP19">
        <v>420</v>
      </c>
      <c r="AV19">
        <v>420</v>
      </c>
      <c r="BC19">
        <v>0</v>
      </c>
      <c r="BJ19">
        <v>0</v>
      </c>
      <c r="BQ19">
        <v>0</v>
      </c>
      <c r="BX19">
        <v>0</v>
      </c>
      <c r="CE19">
        <v>0</v>
      </c>
      <c r="CF19">
        <v>420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420</v>
      </c>
      <c r="CM19">
        <v>2</v>
      </c>
      <c r="CS19">
        <v>2</v>
      </c>
      <c r="CZ19">
        <v>0</v>
      </c>
      <c r="DG19">
        <v>0</v>
      </c>
      <c r="DN19">
        <v>0</v>
      </c>
      <c r="DU19">
        <v>0</v>
      </c>
      <c r="EB19">
        <v>0</v>
      </c>
      <c r="EC19">
        <v>2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2</v>
      </c>
      <c r="EJ19" t="s">
        <v>405</v>
      </c>
      <c r="EK19" t="s">
        <v>404</v>
      </c>
      <c r="EL19" t="s">
        <v>404</v>
      </c>
      <c r="EM19" t="s">
        <v>404</v>
      </c>
      <c r="EN19" t="s">
        <v>404</v>
      </c>
      <c r="EO19" t="s">
        <v>404</v>
      </c>
      <c r="EP19" t="s">
        <v>404</v>
      </c>
      <c r="EQ19" t="s">
        <v>404</v>
      </c>
      <c r="ER19" t="s">
        <v>404</v>
      </c>
      <c r="ES19" t="s">
        <v>404</v>
      </c>
      <c r="ET19" t="s">
        <v>404</v>
      </c>
      <c r="EU19" t="s">
        <v>404</v>
      </c>
      <c r="EV19" t="s">
        <v>404</v>
      </c>
      <c r="EW19" t="s">
        <v>404</v>
      </c>
      <c r="EX19" t="s">
        <v>404</v>
      </c>
      <c r="EY19" t="s">
        <v>404</v>
      </c>
      <c r="EZ19" t="s">
        <v>404</v>
      </c>
      <c r="FA19" t="s">
        <v>404</v>
      </c>
      <c r="FB19" t="s">
        <v>404</v>
      </c>
      <c r="FC19" t="s">
        <v>404</v>
      </c>
      <c r="FD19" t="s">
        <v>404</v>
      </c>
      <c r="FE19" t="s">
        <v>404</v>
      </c>
      <c r="FF19" t="s">
        <v>404</v>
      </c>
      <c r="FG19" t="s">
        <v>404</v>
      </c>
      <c r="FH19" t="s">
        <v>404</v>
      </c>
      <c r="FI19" t="s">
        <v>404</v>
      </c>
      <c r="FJ19" t="s">
        <v>404</v>
      </c>
      <c r="FK19" t="s">
        <v>404</v>
      </c>
      <c r="FL19" t="s">
        <v>404</v>
      </c>
      <c r="FM19" t="s">
        <v>404</v>
      </c>
      <c r="FN19" t="s">
        <v>404</v>
      </c>
      <c r="FO19" t="s">
        <v>404</v>
      </c>
      <c r="FP19" t="s">
        <v>404</v>
      </c>
      <c r="FQ19" t="s">
        <v>404</v>
      </c>
      <c r="FR19" t="s">
        <v>404</v>
      </c>
      <c r="FS19" t="s">
        <v>404</v>
      </c>
      <c r="FT19">
        <v>420</v>
      </c>
      <c r="FZ19">
        <v>420</v>
      </c>
      <c r="GG19">
        <v>0</v>
      </c>
      <c r="GN19">
        <v>0</v>
      </c>
      <c r="GU19">
        <v>0</v>
      </c>
      <c r="HB19">
        <v>0</v>
      </c>
      <c r="HI19">
        <v>0</v>
      </c>
      <c r="HP19">
        <v>0</v>
      </c>
      <c r="HX19">
        <v>0</v>
      </c>
      <c r="HY19">
        <v>420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420</v>
      </c>
      <c r="IF19">
        <v>420</v>
      </c>
      <c r="IL19">
        <v>420</v>
      </c>
      <c r="IS19">
        <v>0</v>
      </c>
      <c r="IZ19">
        <v>0</v>
      </c>
      <c r="JG19">
        <v>0</v>
      </c>
      <c r="JN19">
        <v>0</v>
      </c>
      <c r="JO19">
        <v>420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420</v>
      </c>
      <c r="JX19">
        <v>100</v>
      </c>
      <c r="KA19">
        <v>3</v>
      </c>
      <c r="KB19">
        <v>3</v>
      </c>
      <c r="KC19">
        <v>1</v>
      </c>
      <c r="KD19" t="s">
        <v>407</v>
      </c>
      <c r="OG19" t="s">
        <v>408</v>
      </c>
      <c r="SJ19" t="s">
        <v>409</v>
      </c>
      <c r="WM19" t="s">
        <v>410</v>
      </c>
      <c r="AAP19" t="s">
        <v>411</v>
      </c>
      <c r="AES19" t="s">
        <v>412</v>
      </c>
    </row>
    <row r="20" spans="1:825" x14ac:dyDescent="0.2">
      <c r="A20" t="s">
        <v>549</v>
      </c>
      <c r="B20" t="s">
        <v>396</v>
      </c>
      <c r="C20" t="s">
        <v>550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>
        <v>592</v>
      </c>
      <c r="W20" s="20">
        <v>43508.548611111109</v>
      </c>
      <c r="X20" t="s">
        <v>551</v>
      </c>
      <c r="Y20">
        <v>2019</v>
      </c>
      <c r="Z20" t="s">
        <v>552</v>
      </c>
      <c r="AA20" t="s">
        <v>550</v>
      </c>
      <c r="AB20" t="str">
        <f>VLOOKUP(MID(AD20,SEARCH("@",AD20,1),LEN(AD20)-SEARCH("@",AD20,1)+1),[2]Sheet1!$D:$F,3,FALSE)</f>
        <v>M757</v>
      </c>
      <c r="AD20" t="s">
        <v>553</v>
      </c>
      <c r="AF20" t="s">
        <v>516</v>
      </c>
      <c r="AG20" t="s">
        <v>403</v>
      </c>
      <c r="AI20">
        <v>1</v>
      </c>
      <c r="AL20">
        <v>35</v>
      </c>
      <c r="AM20">
        <v>35</v>
      </c>
      <c r="AN20">
        <v>30</v>
      </c>
      <c r="AO20">
        <v>30</v>
      </c>
      <c r="AV20">
        <v>0</v>
      </c>
      <c r="AW20">
        <v>35</v>
      </c>
      <c r="BC20">
        <v>35</v>
      </c>
      <c r="BJ20">
        <v>0</v>
      </c>
      <c r="BQ20">
        <v>0</v>
      </c>
      <c r="BX20">
        <v>0</v>
      </c>
      <c r="CE20">
        <v>0</v>
      </c>
      <c r="CF20">
        <v>35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35</v>
      </c>
      <c r="CS20">
        <v>0</v>
      </c>
      <c r="CT20">
        <v>1</v>
      </c>
      <c r="CZ20">
        <v>1</v>
      </c>
      <c r="DG20">
        <v>0</v>
      </c>
      <c r="DN20">
        <v>0</v>
      </c>
      <c r="DU20">
        <v>0</v>
      </c>
      <c r="EB20">
        <v>0</v>
      </c>
      <c r="EC20">
        <v>1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1</v>
      </c>
      <c r="EJ20" t="s">
        <v>404</v>
      </c>
      <c r="EK20" t="s">
        <v>404</v>
      </c>
      <c r="EL20" t="s">
        <v>404</v>
      </c>
      <c r="EM20" t="s">
        <v>404</v>
      </c>
      <c r="EN20" t="s">
        <v>404</v>
      </c>
      <c r="EO20" t="s">
        <v>404</v>
      </c>
      <c r="EP20" t="s">
        <v>405</v>
      </c>
      <c r="EQ20" t="s">
        <v>404</v>
      </c>
      <c r="ER20" t="s">
        <v>404</v>
      </c>
      <c r="ES20" t="s">
        <v>404</v>
      </c>
      <c r="ET20" t="s">
        <v>404</v>
      </c>
      <c r="EU20" t="s">
        <v>404</v>
      </c>
      <c r="EV20" t="s">
        <v>404</v>
      </c>
      <c r="EW20" t="s">
        <v>404</v>
      </c>
      <c r="EX20" t="s">
        <v>404</v>
      </c>
      <c r="EY20" t="s">
        <v>404</v>
      </c>
      <c r="EZ20" t="s">
        <v>404</v>
      </c>
      <c r="FA20" t="s">
        <v>404</v>
      </c>
      <c r="FB20" t="s">
        <v>404</v>
      </c>
      <c r="FC20" t="s">
        <v>404</v>
      </c>
      <c r="FD20" t="s">
        <v>404</v>
      </c>
      <c r="FE20" t="s">
        <v>404</v>
      </c>
      <c r="FF20" t="s">
        <v>404</v>
      </c>
      <c r="FG20" t="s">
        <v>404</v>
      </c>
      <c r="FH20" t="s">
        <v>404</v>
      </c>
      <c r="FI20" t="s">
        <v>404</v>
      </c>
      <c r="FJ20" t="s">
        <v>404</v>
      </c>
      <c r="FK20" t="s">
        <v>404</v>
      </c>
      <c r="FL20" t="s">
        <v>404</v>
      </c>
      <c r="FM20" t="s">
        <v>404</v>
      </c>
      <c r="FN20" t="s">
        <v>404</v>
      </c>
      <c r="FO20" t="s">
        <v>404</v>
      </c>
      <c r="FP20" t="s">
        <v>404</v>
      </c>
      <c r="FQ20" t="s">
        <v>404</v>
      </c>
      <c r="FR20" t="s">
        <v>404</v>
      </c>
      <c r="FS20" t="s">
        <v>404</v>
      </c>
      <c r="FT20">
        <v>25</v>
      </c>
      <c r="FZ20">
        <v>25</v>
      </c>
      <c r="GG20">
        <v>0</v>
      </c>
      <c r="GN20">
        <v>0</v>
      </c>
      <c r="GU20">
        <v>0</v>
      </c>
      <c r="HB20">
        <v>0</v>
      </c>
      <c r="HC20">
        <v>5</v>
      </c>
      <c r="HI20">
        <v>5</v>
      </c>
      <c r="HJ20">
        <v>5</v>
      </c>
      <c r="HP20">
        <v>5</v>
      </c>
      <c r="HX20">
        <v>0</v>
      </c>
      <c r="HY20">
        <v>35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35</v>
      </c>
      <c r="IL20">
        <v>0</v>
      </c>
      <c r="IM20">
        <v>35</v>
      </c>
      <c r="IS20">
        <v>35</v>
      </c>
      <c r="IZ20">
        <v>0</v>
      </c>
      <c r="JG20">
        <v>0</v>
      </c>
      <c r="JN20">
        <v>0</v>
      </c>
      <c r="JO20">
        <v>35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35</v>
      </c>
      <c r="JX20">
        <v>100</v>
      </c>
      <c r="KA20">
        <v>3</v>
      </c>
      <c r="KB20">
        <v>3</v>
      </c>
      <c r="KC20">
        <v>1</v>
      </c>
      <c r="KD20" t="s">
        <v>407</v>
      </c>
      <c r="OG20" t="s">
        <v>408</v>
      </c>
      <c r="SJ20" t="s">
        <v>409</v>
      </c>
      <c r="WM20" t="s">
        <v>410</v>
      </c>
      <c r="AAP20" t="s">
        <v>411</v>
      </c>
      <c r="AES20" t="s">
        <v>412</v>
      </c>
    </row>
    <row r="21" spans="1:825" x14ac:dyDescent="0.2">
      <c r="A21" t="s">
        <v>554</v>
      </c>
      <c r="B21" t="s">
        <v>396</v>
      </c>
      <c r="C21" t="s">
        <v>555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>
        <v>741</v>
      </c>
      <c r="W21" s="20">
        <v>43515.462500000001</v>
      </c>
      <c r="X21" t="s">
        <v>556</v>
      </c>
      <c r="Y21">
        <v>2019</v>
      </c>
      <c r="Z21" t="s">
        <v>557</v>
      </c>
      <c r="AA21" t="s">
        <v>555</v>
      </c>
      <c r="AB21" t="str">
        <f>VLOOKUP(MID(AD21,SEARCH("@",AD21,1),LEN(AD21)-SEARCH("@",AD21,1)+1),[2]Sheet1!$D:$F,3,FALSE)</f>
        <v>M680</v>
      </c>
      <c r="AC21" t="s">
        <v>558</v>
      </c>
      <c r="AD21" t="s">
        <v>559</v>
      </c>
      <c r="AE21" t="s">
        <v>560</v>
      </c>
      <c r="AF21" t="s">
        <v>444</v>
      </c>
      <c r="AG21" t="s">
        <v>403</v>
      </c>
      <c r="AI21">
        <v>2</v>
      </c>
      <c r="AJ21">
        <v>6</v>
      </c>
      <c r="AK21" t="s">
        <v>561</v>
      </c>
      <c r="AV21">
        <v>0</v>
      </c>
      <c r="BC21">
        <v>0</v>
      </c>
      <c r="BJ21">
        <v>0</v>
      </c>
      <c r="BQ21">
        <v>0</v>
      </c>
      <c r="BX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S21">
        <v>0</v>
      </c>
      <c r="CZ21">
        <v>0</v>
      </c>
      <c r="DG21">
        <v>0</v>
      </c>
      <c r="DN21">
        <v>0</v>
      </c>
      <c r="DU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 t="s">
        <v>404</v>
      </c>
      <c r="EK21" t="s">
        <v>404</v>
      </c>
      <c r="EL21" t="s">
        <v>404</v>
      </c>
      <c r="EM21" t="s">
        <v>404</v>
      </c>
      <c r="EN21" t="s">
        <v>404</v>
      </c>
      <c r="EO21" t="s">
        <v>404</v>
      </c>
      <c r="EP21" t="s">
        <v>404</v>
      </c>
      <c r="EQ21" t="s">
        <v>404</v>
      </c>
      <c r="ER21" t="s">
        <v>404</v>
      </c>
      <c r="ES21" t="s">
        <v>404</v>
      </c>
      <c r="ET21" t="s">
        <v>404</v>
      </c>
      <c r="EU21" t="s">
        <v>404</v>
      </c>
      <c r="EV21" t="s">
        <v>404</v>
      </c>
      <c r="EW21" t="s">
        <v>404</v>
      </c>
      <c r="EX21" t="s">
        <v>404</v>
      </c>
      <c r="EY21" t="s">
        <v>404</v>
      </c>
      <c r="EZ21" t="s">
        <v>404</v>
      </c>
      <c r="FA21" t="s">
        <v>404</v>
      </c>
      <c r="FB21" t="s">
        <v>404</v>
      </c>
      <c r="FC21" t="s">
        <v>404</v>
      </c>
      <c r="FD21" t="s">
        <v>404</v>
      </c>
      <c r="FE21" t="s">
        <v>404</v>
      </c>
      <c r="FF21" t="s">
        <v>404</v>
      </c>
      <c r="FG21" t="s">
        <v>404</v>
      </c>
      <c r="FH21" t="s">
        <v>404</v>
      </c>
      <c r="FI21" t="s">
        <v>404</v>
      </c>
      <c r="FJ21" t="s">
        <v>404</v>
      </c>
      <c r="FK21" t="s">
        <v>404</v>
      </c>
      <c r="FL21" t="s">
        <v>404</v>
      </c>
      <c r="FM21" t="s">
        <v>404</v>
      </c>
      <c r="FN21" t="s">
        <v>404</v>
      </c>
      <c r="FO21" t="s">
        <v>404</v>
      </c>
      <c r="FP21" t="s">
        <v>404</v>
      </c>
      <c r="FQ21" t="s">
        <v>404</v>
      </c>
      <c r="FR21" t="s">
        <v>404</v>
      </c>
      <c r="FS21" t="s">
        <v>404</v>
      </c>
      <c r="FZ21">
        <v>0</v>
      </c>
      <c r="GG21">
        <v>0</v>
      </c>
      <c r="GN21">
        <v>0</v>
      </c>
      <c r="GU21">
        <v>0</v>
      </c>
      <c r="HB21">
        <v>0</v>
      </c>
      <c r="HI21">
        <v>0</v>
      </c>
      <c r="HP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L21">
        <v>0</v>
      </c>
      <c r="IS21">
        <v>0</v>
      </c>
      <c r="IZ21">
        <v>0</v>
      </c>
      <c r="JG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KA21">
        <v>1</v>
      </c>
      <c r="KB21">
        <v>2</v>
      </c>
      <c r="KC21">
        <v>1</v>
      </c>
      <c r="KD21" t="s">
        <v>407</v>
      </c>
      <c r="OG21" t="s">
        <v>408</v>
      </c>
      <c r="SJ21" t="s">
        <v>409</v>
      </c>
      <c r="WM21" t="s">
        <v>410</v>
      </c>
      <c r="AAP21" t="s">
        <v>411</v>
      </c>
      <c r="AES21" t="s">
        <v>412</v>
      </c>
    </row>
    <row r="22" spans="1:825" x14ac:dyDescent="0.2">
      <c r="A22" t="s">
        <v>562</v>
      </c>
      <c r="B22" t="s">
        <v>563</v>
      </c>
      <c r="C22" t="s">
        <v>564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b">
        <v>0</v>
      </c>
      <c r="V22">
        <v>600</v>
      </c>
      <c r="W22" s="20">
        <v>43481.849305555559</v>
      </c>
      <c r="X22" t="s">
        <v>565</v>
      </c>
      <c r="Y22">
        <v>2019</v>
      </c>
      <c r="Z22" t="s">
        <v>566</v>
      </c>
      <c r="AA22" t="s">
        <v>567</v>
      </c>
      <c r="AB22" t="str">
        <f>VLOOKUP(MID(AD22,SEARCH("@",AD22,1),LEN(AD22)-SEARCH("@",AD22,1)+1),[2]Sheet1!$D:$F,3,FALSE)</f>
        <v>NC017</v>
      </c>
      <c r="AC22" t="s">
        <v>568</v>
      </c>
      <c r="AD22" t="s">
        <v>569</v>
      </c>
      <c r="AE22" t="s">
        <v>570</v>
      </c>
      <c r="AF22" t="s">
        <v>571</v>
      </c>
      <c r="AG22" t="s">
        <v>538</v>
      </c>
      <c r="AI22">
        <v>1</v>
      </c>
      <c r="AL22">
        <v>710</v>
      </c>
      <c r="AM22">
        <v>710</v>
      </c>
      <c r="AN22">
        <v>561</v>
      </c>
      <c r="AO22">
        <v>561</v>
      </c>
      <c r="AV22">
        <v>0</v>
      </c>
      <c r="BC22">
        <v>0</v>
      </c>
      <c r="BD22">
        <v>237</v>
      </c>
      <c r="BE22">
        <v>473</v>
      </c>
      <c r="BJ22">
        <v>710</v>
      </c>
      <c r="BQ22">
        <v>0</v>
      </c>
      <c r="BX22">
        <v>0</v>
      </c>
      <c r="CE22">
        <v>0</v>
      </c>
      <c r="CF22">
        <v>237</v>
      </c>
      <c r="CG22">
        <v>473</v>
      </c>
      <c r="CH22">
        <v>0</v>
      </c>
      <c r="CI22">
        <v>0</v>
      </c>
      <c r="CJ22">
        <v>0</v>
      </c>
      <c r="CK22">
        <v>0</v>
      </c>
      <c r="CL22">
        <v>710</v>
      </c>
      <c r="CS22">
        <v>0</v>
      </c>
      <c r="CZ22">
        <v>0</v>
      </c>
      <c r="DA22">
        <v>1</v>
      </c>
      <c r="DB22">
        <v>2</v>
      </c>
      <c r="DG22">
        <v>3</v>
      </c>
      <c r="DN22">
        <v>0</v>
      </c>
      <c r="DU22">
        <v>0</v>
      </c>
      <c r="EB22">
        <v>0</v>
      </c>
      <c r="EC22">
        <v>1</v>
      </c>
      <c r="ED22">
        <v>2</v>
      </c>
      <c r="EE22">
        <v>0</v>
      </c>
      <c r="EF22">
        <v>0</v>
      </c>
      <c r="EG22">
        <v>0</v>
      </c>
      <c r="EH22">
        <v>0</v>
      </c>
      <c r="EI22">
        <v>3</v>
      </c>
      <c r="EJ22" t="s">
        <v>404</v>
      </c>
      <c r="EK22" t="s">
        <v>404</v>
      </c>
      <c r="EL22" t="s">
        <v>404</v>
      </c>
      <c r="EM22" t="s">
        <v>404</v>
      </c>
      <c r="EN22" t="s">
        <v>404</v>
      </c>
      <c r="EO22" t="s">
        <v>404</v>
      </c>
      <c r="EP22" t="s">
        <v>404</v>
      </c>
      <c r="EQ22" t="s">
        <v>404</v>
      </c>
      <c r="ER22" t="s">
        <v>404</v>
      </c>
      <c r="ES22" t="s">
        <v>404</v>
      </c>
      <c r="ET22" t="s">
        <v>404</v>
      </c>
      <c r="EU22" t="s">
        <v>404</v>
      </c>
      <c r="EV22" t="s">
        <v>405</v>
      </c>
      <c r="EW22" t="s">
        <v>405</v>
      </c>
      <c r="EX22" t="s">
        <v>404</v>
      </c>
      <c r="EY22" t="s">
        <v>404</v>
      </c>
      <c r="EZ22" t="s">
        <v>404</v>
      </c>
      <c r="FA22" t="s">
        <v>404</v>
      </c>
      <c r="FB22" t="s">
        <v>404</v>
      </c>
      <c r="FC22" t="s">
        <v>404</v>
      </c>
      <c r="FD22" t="s">
        <v>404</v>
      </c>
      <c r="FE22" t="s">
        <v>404</v>
      </c>
      <c r="FF22" t="s">
        <v>404</v>
      </c>
      <c r="FG22" t="s">
        <v>404</v>
      </c>
      <c r="FH22" t="s">
        <v>404</v>
      </c>
      <c r="FI22" t="s">
        <v>404</v>
      </c>
      <c r="FJ22" t="s">
        <v>404</v>
      </c>
      <c r="FK22" t="s">
        <v>404</v>
      </c>
      <c r="FL22" t="s">
        <v>404</v>
      </c>
      <c r="FM22" t="s">
        <v>404</v>
      </c>
      <c r="FN22" t="s">
        <v>404</v>
      </c>
      <c r="FO22" t="s">
        <v>404</v>
      </c>
      <c r="FP22" t="s">
        <v>404</v>
      </c>
      <c r="FQ22" t="s">
        <v>404</v>
      </c>
      <c r="FR22" t="s">
        <v>404</v>
      </c>
      <c r="FS22" t="s">
        <v>404</v>
      </c>
      <c r="FT22">
        <v>191</v>
      </c>
      <c r="FZ22">
        <v>191</v>
      </c>
      <c r="GG22">
        <v>0</v>
      </c>
      <c r="GN22">
        <v>0</v>
      </c>
      <c r="GU22">
        <v>0</v>
      </c>
      <c r="GV22">
        <v>26</v>
      </c>
      <c r="HB22">
        <v>26</v>
      </c>
      <c r="HD22">
        <v>473</v>
      </c>
      <c r="HI22">
        <v>473</v>
      </c>
      <c r="HJ22">
        <v>20</v>
      </c>
      <c r="HP22">
        <v>20</v>
      </c>
      <c r="HX22">
        <v>0</v>
      </c>
      <c r="HY22">
        <v>237</v>
      </c>
      <c r="HZ22">
        <v>473</v>
      </c>
      <c r="IA22">
        <v>0</v>
      </c>
      <c r="IB22">
        <v>0</v>
      </c>
      <c r="IC22">
        <v>0</v>
      </c>
      <c r="ID22">
        <v>0</v>
      </c>
      <c r="IE22">
        <v>710</v>
      </c>
      <c r="IL22">
        <v>0</v>
      </c>
      <c r="IS22">
        <v>0</v>
      </c>
      <c r="IT22">
        <v>237</v>
      </c>
      <c r="IU22">
        <v>473</v>
      </c>
      <c r="IZ22">
        <v>710</v>
      </c>
      <c r="JG22">
        <v>0</v>
      </c>
      <c r="JN22">
        <v>0</v>
      </c>
      <c r="JO22">
        <v>237</v>
      </c>
      <c r="JP22">
        <v>473</v>
      </c>
      <c r="JQ22">
        <v>0</v>
      </c>
      <c r="JR22">
        <v>0</v>
      </c>
      <c r="JS22">
        <v>0</v>
      </c>
      <c r="JT22">
        <v>0</v>
      </c>
      <c r="JU22">
        <v>710</v>
      </c>
      <c r="JV22">
        <v>0</v>
      </c>
      <c r="JX22">
        <v>100</v>
      </c>
      <c r="KA22">
        <v>2</v>
      </c>
      <c r="KB22">
        <v>3</v>
      </c>
      <c r="KC22">
        <v>2</v>
      </c>
      <c r="KD22" t="s">
        <v>407</v>
      </c>
      <c r="OG22" t="s">
        <v>408</v>
      </c>
      <c r="SJ22" t="s">
        <v>409</v>
      </c>
      <c r="WM22" t="s">
        <v>410</v>
      </c>
      <c r="AAP22" t="s">
        <v>411</v>
      </c>
      <c r="AES22" t="s">
        <v>412</v>
      </c>
    </row>
    <row r="23" spans="1:825" x14ac:dyDescent="0.2">
      <c r="A23" t="s">
        <v>572</v>
      </c>
      <c r="B23" t="s">
        <v>563</v>
      </c>
      <c r="C23" t="s">
        <v>573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>
        <v>609</v>
      </c>
      <c r="W23" s="20">
        <v>43482.051388888889</v>
      </c>
      <c r="X23" t="s">
        <v>574</v>
      </c>
      <c r="Y23">
        <v>2019</v>
      </c>
      <c r="Z23" t="s">
        <v>575</v>
      </c>
      <c r="AA23" t="s">
        <v>576</v>
      </c>
      <c r="AB23" t="str">
        <f>VLOOKUP(MID(AD23,SEARCH("@",AD23,1),LEN(AD23)-SEARCH("@",AD23,1)+1),[2]Sheet1!$D:$F,3,FALSE)</f>
        <v>NC001</v>
      </c>
      <c r="AC23" t="s">
        <v>577</v>
      </c>
      <c r="AD23" t="s">
        <v>578</v>
      </c>
      <c r="AE23">
        <v>4253010728</v>
      </c>
      <c r="AF23" t="s">
        <v>571</v>
      </c>
      <c r="AG23" t="s">
        <v>538</v>
      </c>
      <c r="AI23">
        <v>2</v>
      </c>
      <c r="AJ23">
        <v>6</v>
      </c>
      <c r="AK23" t="s">
        <v>579</v>
      </c>
      <c r="AV23">
        <v>0</v>
      </c>
      <c r="BC23">
        <v>0</v>
      </c>
      <c r="BJ23">
        <v>0</v>
      </c>
      <c r="BQ23">
        <v>0</v>
      </c>
      <c r="BX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S23">
        <v>0</v>
      </c>
      <c r="CZ23">
        <v>0</v>
      </c>
      <c r="DG23">
        <v>0</v>
      </c>
      <c r="DN23">
        <v>0</v>
      </c>
      <c r="DU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 t="s">
        <v>404</v>
      </c>
      <c r="EK23" t="s">
        <v>404</v>
      </c>
      <c r="EL23" t="s">
        <v>404</v>
      </c>
      <c r="EM23" t="s">
        <v>404</v>
      </c>
      <c r="EN23" t="s">
        <v>404</v>
      </c>
      <c r="EO23" t="s">
        <v>404</v>
      </c>
      <c r="EP23" t="s">
        <v>404</v>
      </c>
      <c r="EQ23" t="s">
        <v>404</v>
      </c>
      <c r="ER23" t="s">
        <v>404</v>
      </c>
      <c r="ES23" t="s">
        <v>404</v>
      </c>
      <c r="ET23" t="s">
        <v>404</v>
      </c>
      <c r="EU23" t="s">
        <v>404</v>
      </c>
      <c r="EV23" t="s">
        <v>404</v>
      </c>
      <c r="EW23" t="s">
        <v>404</v>
      </c>
      <c r="EX23" t="s">
        <v>404</v>
      </c>
      <c r="EY23" t="s">
        <v>404</v>
      </c>
      <c r="EZ23" t="s">
        <v>404</v>
      </c>
      <c r="FA23" t="s">
        <v>404</v>
      </c>
      <c r="FB23" t="s">
        <v>404</v>
      </c>
      <c r="FC23" t="s">
        <v>404</v>
      </c>
      <c r="FD23" t="s">
        <v>404</v>
      </c>
      <c r="FE23" t="s">
        <v>404</v>
      </c>
      <c r="FF23" t="s">
        <v>404</v>
      </c>
      <c r="FG23" t="s">
        <v>404</v>
      </c>
      <c r="FH23" t="s">
        <v>404</v>
      </c>
      <c r="FI23" t="s">
        <v>404</v>
      </c>
      <c r="FJ23" t="s">
        <v>404</v>
      </c>
      <c r="FK23" t="s">
        <v>404</v>
      </c>
      <c r="FL23" t="s">
        <v>404</v>
      </c>
      <c r="FM23" t="s">
        <v>404</v>
      </c>
      <c r="FN23" t="s">
        <v>404</v>
      </c>
      <c r="FO23" t="s">
        <v>404</v>
      </c>
      <c r="FP23" t="s">
        <v>404</v>
      </c>
      <c r="FQ23" t="s">
        <v>404</v>
      </c>
      <c r="FR23" t="s">
        <v>404</v>
      </c>
      <c r="FS23" t="s">
        <v>404</v>
      </c>
      <c r="FZ23">
        <v>0</v>
      </c>
      <c r="GG23">
        <v>0</v>
      </c>
      <c r="GN23">
        <v>0</v>
      </c>
      <c r="GU23">
        <v>0</v>
      </c>
      <c r="HB23">
        <v>0</v>
      </c>
      <c r="HI23">
        <v>0</v>
      </c>
      <c r="HP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L23">
        <v>0</v>
      </c>
      <c r="IS23">
        <v>0</v>
      </c>
      <c r="IZ23">
        <v>0</v>
      </c>
      <c r="JG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KA23">
        <v>1</v>
      </c>
      <c r="KB23">
        <v>3</v>
      </c>
      <c r="KC23">
        <v>1</v>
      </c>
      <c r="KD23" t="s">
        <v>407</v>
      </c>
      <c r="OG23" t="s">
        <v>408</v>
      </c>
      <c r="SJ23" t="s">
        <v>409</v>
      </c>
      <c r="WM23" t="s">
        <v>410</v>
      </c>
      <c r="AAP23" t="s">
        <v>411</v>
      </c>
      <c r="AES23" t="s">
        <v>412</v>
      </c>
    </row>
    <row r="24" spans="1:825" x14ac:dyDescent="0.2">
      <c r="A24" t="s">
        <v>580</v>
      </c>
      <c r="B24" t="s">
        <v>396</v>
      </c>
      <c r="C24" t="s">
        <v>581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>
        <v>591</v>
      </c>
      <c r="W24" s="20">
        <v>43481.479166666664</v>
      </c>
      <c r="X24" t="s">
        <v>582</v>
      </c>
      <c r="Y24">
        <v>2019</v>
      </c>
      <c r="Z24" t="s">
        <v>583</v>
      </c>
      <c r="AA24" t="s">
        <v>581</v>
      </c>
      <c r="AB24" t="str">
        <f>VLOOKUP(MID(AD24,SEARCH("@",AD24,1),LEN(AD24)-SEARCH("@",AD24,1)+1),[2]Sheet1!$D:$F,3,FALSE)</f>
        <v>M160</v>
      </c>
      <c r="AC24" t="s">
        <v>513</v>
      </c>
      <c r="AD24" t="s">
        <v>584</v>
      </c>
      <c r="AE24">
        <v>4520606020</v>
      </c>
      <c r="AF24" t="s">
        <v>402</v>
      </c>
      <c r="AG24" t="s">
        <v>403</v>
      </c>
      <c r="AI24">
        <v>2</v>
      </c>
      <c r="AJ24">
        <v>2</v>
      </c>
      <c r="AV24">
        <v>0</v>
      </c>
      <c r="BC24">
        <v>0</v>
      </c>
      <c r="BJ24">
        <v>0</v>
      </c>
      <c r="BQ24">
        <v>0</v>
      </c>
      <c r="BX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S24">
        <v>0</v>
      </c>
      <c r="CZ24">
        <v>0</v>
      </c>
      <c r="DG24">
        <v>0</v>
      </c>
      <c r="DN24">
        <v>0</v>
      </c>
      <c r="DU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 t="s">
        <v>404</v>
      </c>
      <c r="EK24" t="s">
        <v>404</v>
      </c>
      <c r="EL24" t="s">
        <v>404</v>
      </c>
      <c r="EM24" t="s">
        <v>404</v>
      </c>
      <c r="EN24" t="s">
        <v>404</v>
      </c>
      <c r="EO24" t="s">
        <v>404</v>
      </c>
      <c r="EP24" t="s">
        <v>404</v>
      </c>
      <c r="EQ24" t="s">
        <v>404</v>
      </c>
      <c r="ER24" t="s">
        <v>404</v>
      </c>
      <c r="ES24" t="s">
        <v>404</v>
      </c>
      <c r="ET24" t="s">
        <v>404</v>
      </c>
      <c r="EU24" t="s">
        <v>404</v>
      </c>
      <c r="EV24" t="s">
        <v>404</v>
      </c>
      <c r="EW24" t="s">
        <v>404</v>
      </c>
      <c r="EX24" t="s">
        <v>404</v>
      </c>
      <c r="EY24" t="s">
        <v>404</v>
      </c>
      <c r="EZ24" t="s">
        <v>404</v>
      </c>
      <c r="FA24" t="s">
        <v>404</v>
      </c>
      <c r="FB24" t="s">
        <v>404</v>
      </c>
      <c r="FC24" t="s">
        <v>404</v>
      </c>
      <c r="FD24" t="s">
        <v>404</v>
      </c>
      <c r="FE24" t="s">
        <v>404</v>
      </c>
      <c r="FF24" t="s">
        <v>404</v>
      </c>
      <c r="FG24" t="s">
        <v>404</v>
      </c>
      <c r="FH24" t="s">
        <v>404</v>
      </c>
      <c r="FI24" t="s">
        <v>404</v>
      </c>
      <c r="FJ24" t="s">
        <v>404</v>
      </c>
      <c r="FK24" t="s">
        <v>404</v>
      </c>
      <c r="FL24" t="s">
        <v>404</v>
      </c>
      <c r="FM24" t="s">
        <v>404</v>
      </c>
      <c r="FN24" t="s">
        <v>404</v>
      </c>
      <c r="FO24" t="s">
        <v>404</v>
      </c>
      <c r="FP24" t="s">
        <v>404</v>
      </c>
      <c r="FQ24" t="s">
        <v>404</v>
      </c>
      <c r="FR24" t="s">
        <v>404</v>
      </c>
      <c r="FS24" t="s">
        <v>404</v>
      </c>
      <c r="FZ24">
        <v>0</v>
      </c>
      <c r="GG24">
        <v>0</v>
      </c>
      <c r="GN24">
        <v>0</v>
      </c>
      <c r="GU24">
        <v>0</v>
      </c>
      <c r="HB24">
        <v>0</v>
      </c>
      <c r="HI24">
        <v>0</v>
      </c>
      <c r="HP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L24">
        <v>0</v>
      </c>
      <c r="IS24">
        <v>0</v>
      </c>
      <c r="IZ24">
        <v>0</v>
      </c>
      <c r="JG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KA24">
        <v>1</v>
      </c>
      <c r="KB24">
        <v>2</v>
      </c>
      <c r="KC24">
        <v>1</v>
      </c>
      <c r="KD24" t="s">
        <v>407</v>
      </c>
      <c r="OG24" t="s">
        <v>408</v>
      </c>
      <c r="SJ24" t="s">
        <v>409</v>
      </c>
      <c r="WM24" t="s">
        <v>410</v>
      </c>
      <c r="AAP24" t="s">
        <v>411</v>
      </c>
      <c r="AES24" t="s">
        <v>412</v>
      </c>
    </row>
    <row r="25" spans="1:825" x14ac:dyDescent="0.2">
      <c r="A25" t="s">
        <v>585</v>
      </c>
      <c r="B25" t="s">
        <v>396</v>
      </c>
      <c r="C25" t="s">
        <v>586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>
        <v>549</v>
      </c>
      <c r="W25" s="20">
        <v>43518.679861111108</v>
      </c>
      <c r="X25" t="s">
        <v>587</v>
      </c>
      <c r="Y25">
        <v>2019</v>
      </c>
      <c r="Z25" t="s">
        <v>588</v>
      </c>
      <c r="AA25" t="s">
        <v>589</v>
      </c>
      <c r="AB25" t="str">
        <f>VLOOKUP(MID(AD25,SEARCH("@",AD25,1),LEN(AD25)-SEARCH("@",AD25,1)+1),[2]Sheet1!$D:$F,3,FALSE)</f>
        <v>M379</v>
      </c>
      <c r="AC25" t="s">
        <v>590</v>
      </c>
      <c r="AD25" t="s">
        <v>591</v>
      </c>
      <c r="AF25" t="s">
        <v>592</v>
      </c>
      <c r="AG25" t="s">
        <v>403</v>
      </c>
      <c r="AI25">
        <v>1</v>
      </c>
      <c r="AL25">
        <v>3127</v>
      </c>
      <c r="AM25">
        <v>3127</v>
      </c>
      <c r="AN25">
        <v>3127</v>
      </c>
      <c r="AO25">
        <v>3127</v>
      </c>
      <c r="AV25">
        <v>0</v>
      </c>
      <c r="AW25">
        <v>1686.5</v>
      </c>
      <c r="AX25">
        <v>1440.7</v>
      </c>
      <c r="BC25">
        <v>3127.2</v>
      </c>
      <c r="BJ25">
        <v>0</v>
      </c>
      <c r="BQ25">
        <v>0</v>
      </c>
      <c r="BX25">
        <v>0</v>
      </c>
      <c r="CE25">
        <v>0</v>
      </c>
      <c r="CF25">
        <v>1686.5</v>
      </c>
      <c r="CG25">
        <v>1440.7</v>
      </c>
      <c r="CH25">
        <v>0</v>
      </c>
      <c r="CI25">
        <v>0</v>
      </c>
      <c r="CJ25">
        <v>0</v>
      </c>
      <c r="CK25">
        <v>0</v>
      </c>
      <c r="CL25">
        <v>3127.2</v>
      </c>
      <c r="CS25">
        <v>0</v>
      </c>
      <c r="CT25" s="2"/>
      <c r="CU25" s="2"/>
      <c r="CV25" s="2"/>
      <c r="CW25" s="2"/>
      <c r="CX25" s="2"/>
      <c r="CY25" s="2"/>
      <c r="CZ25" s="2"/>
      <c r="DG25">
        <v>0</v>
      </c>
      <c r="DN25">
        <v>0</v>
      </c>
      <c r="DU25">
        <v>0</v>
      </c>
      <c r="EB25">
        <v>0</v>
      </c>
      <c r="EC25" s="2"/>
      <c r="ED25" s="2"/>
      <c r="EE25">
        <v>0</v>
      </c>
      <c r="EF25">
        <v>0</v>
      </c>
      <c r="EG25">
        <v>0</v>
      </c>
      <c r="EH25">
        <v>0</v>
      </c>
      <c r="EI25" s="2"/>
      <c r="EJ25" t="s">
        <v>404</v>
      </c>
      <c r="EK25" t="s">
        <v>404</v>
      </c>
      <c r="EL25" t="s">
        <v>404</v>
      </c>
      <c r="EM25" t="s">
        <v>404</v>
      </c>
      <c r="EN25" t="s">
        <v>404</v>
      </c>
      <c r="EO25" t="s">
        <v>404</v>
      </c>
      <c r="EP25" t="s">
        <v>405</v>
      </c>
      <c r="EQ25" t="s">
        <v>405</v>
      </c>
      <c r="ER25" t="s">
        <v>404</v>
      </c>
      <c r="ES25" t="s">
        <v>404</v>
      </c>
      <c r="ET25" t="s">
        <v>404</v>
      </c>
      <c r="EU25" t="s">
        <v>404</v>
      </c>
      <c r="EV25" t="s">
        <v>404</v>
      </c>
      <c r="EW25" t="s">
        <v>404</v>
      </c>
      <c r="EX25" t="s">
        <v>404</v>
      </c>
      <c r="EY25" t="s">
        <v>404</v>
      </c>
      <c r="EZ25" t="s">
        <v>404</v>
      </c>
      <c r="FA25" t="s">
        <v>404</v>
      </c>
      <c r="FB25" t="s">
        <v>404</v>
      </c>
      <c r="FC25" t="s">
        <v>404</v>
      </c>
      <c r="FD25" t="s">
        <v>404</v>
      </c>
      <c r="FE25" t="s">
        <v>404</v>
      </c>
      <c r="FF25" t="s">
        <v>404</v>
      </c>
      <c r="FG25" t="s">
        <v>404</v>
      </c>
      <c r="FH25" t="s">
        <v>404</v>
      </c>
      <c r="FI25" t="s">
        <v>404</v>
      </c>
      <c r="FJ25" t="s">
        <v>404</v>
      </c>
      <c r="FK25" t="s">
        <v>404</v>
      </c>
      <c r="FL25" t="s">
        <v>404</v>
      </c>
      <c r="FM25" t="s">
        <v>404</v>
      </c>
      <c r="FN25" t="s">
        <v>404</v>
      </c>
      <c r="FO25" t="s">
        <v>404</v>
      </c>
      <c r="FP25" t="s">
        <v>404</v>
      </c>
      <c r="FQ25" t="s">
        <v>404</v>
      </c>
      <c r="FR25" t="s">
        <v>404</v>
      </c>
      <c r="FS25" t="s">
        <v>404</v>
      </c>
      <c r="FT25">
        <v>289.39999999999998</v>
      </c>
      <c r="FU25">
        <v>565.79999999999995</v>
      </c>
      <c r="FZ25">
        <v>855.2</v>
      </c>
      <c r="GA25">
        <v>478.3</v>
      </c>
      <c r="GB25">
        <v>874.9</v>
      </c>
      <c r="GG25">
        <v>1353.2</v>
      </c>
      <c r="GN25">
        <v>0</v>
      </c>
      <c r="GU25">
        <v>0</v>
      </c>
      <c r="GV25">
        <v>30</v>
      </c>
      <c r="HB25">
        <v>30</v>
      </c>
      <c r="HI25">
        <v>0</v>
      </c>
      <c r="HJ25">
        <v>506.3</v>
      </c>
      <c r="HP25">
        <v>506.3</v>
      </c>
      <c r="HQ25" t="s">
        <v>593</v>
      </c>
      <c r="HR25">
        <v>382.5</v>
      </c>
      <c r="HX25">
        <v>382.5</v>
      </c>
      <c r="HY25">
        <v>1686.5</v>
      </c>
      <c r="HZ25">
        <v>1440.7</v>
      </c>
      <c r="IA25">
        <v>0</v>
      </c>
      <c r="IB25">
        <v>0</v>
      </c>
      <c r="IC25">
        <v>0</v>
      </c>
      <c r="ID25">
        <v>0</v>
      </c>
      <c r="IE25">
        <v>3127.2</v>
      </c>
      <c r="IG25">
        <v>217</v>
      </c>
      <c r="IL25">
        <v>217</v>
      </c>
      <c r="IM25">
        <v>1685.5</v>
      </c>
      <c r="IN25">
        <v>1223.7</v>
      </c>
      <c r="IS25">
        <v>2909.2</v>
      </c>
      <c r="IZ25">
        <v>0</v>
      </c>
      <c r="JG25">
        <v>0</v>
      </c>
      <c r="JH25">
        <v>1</v>
      </c>
      <c r="JN25">
        <v>1</v>
      </c>
      <c r="JO25">
        <v>1686.5</v>
      </c>
      <c r="JP25">
        <v>1440.7</v>
      </c>
      <c r="JQ25">
        <v>0</v>
      </c>
      <c r="JR25">
        <v>0</v>
      </c>
      <c r="JS25">
        <v>0</v>
      </c>
      <c r="JT25">
        <v>0</v>
      </c>
      <c r="JU25">
        <v>3127.2</v>
      </c>
      <c r="JX25">
        <v>100</v>
      </c>
      <c r="KA25">
        <v>1</v>
      </c>
      <c r="KB25">
        <v>3</v>
      </c>
      <c r="KC25">
        <v>1</v>
      </c>
      <c r="KD25" t="s">
        <v>407</v>
      </c>
      <c r="OG25" t="s">
        <v>408</v>
      </c>
      <c r="SJ25" t="s">
        <v>409</v>
      </c>
      <c r="WM25" t="s">
        <v>410</v>
      </c>
      <c r="AAP25" t="s">
        <v>411</v>
      </c>
      <c r="AES25" t="s">
        <v>412</v>
      </c>
    </row>
    <row r="26" spans="1:825" x14ac:dyDescent="0.2">
      <c r="A26" t="s">
        <v>594</v>
      </c>
      <c r="B26" t="s">
        <v>414</v>
      </c>
      <c r="C26" t="s">
        <v>595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>
        <v>694</v>
      </c>
      <c r="W26" s="20">
        <v>43501.131944444445</v>
      </c>
      <c r="X26" t="s">
        <v>596</v>
      </c>
      <c r="Y26">
        <v>2019</v>
      </c>
      <c r="Z26" t="s">
        <v>597</v>
      </c>
      <c r="AA26" t="s">
        <v>598</v>
      </c>
      <c r="AB26" t="str">
        <f>VLOOKUP(MID(AD26,SEARCH("@",AD26,1),LEN(AD26)-SEARCH("@",AD26,1)+1),[2]Sheet1!$D:$F,3,FALSE)</f>
        <v>M0220</v>
      </c>
      <c r="AC26" t="s">
        <v>599</v>
      </c>
      <c r="AD26" t="s">
        <v>600</v>
      </c>
      <c r="AE26" t="s">
        <v>601</v>
      </c>
      <c r="AF26" t="s">
        <v>420</v>
      </c>
      <c r="AG26" t="s">
        <v>421</v>
      </c>
      <c r="AI26">
        <v>2</v>
      </c>
      <c r="AJ26">
        <v>6</v>
      </c>
      <c r="AK26" t="s">
        <v>602</v>
      </c>
      <c r="AV26">
        <v>0</v>
      </c>
      <c r="BC26">
        <v>0</v>
      </c>
      <c r="BJ26">
        <v>0</v>
      </c>
      <c r="BQ26">
        <v>0</v>
      </c>
      <c r="BX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S26">
        <v>0</v>
      </c>
      <c r="CZ26">
        <v>0</v>
      </c>
      <c r="DG26">
        <v>0</v>
      </c>
      <c r="DN26">
        <v>0</v>
      </c>
      <c r="DU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 t="s">
        <v>404</v>
      </c>
      <c r="EK26" t="s">
        <v>404</v>
      </c>
      <c r="EL26" t="s">
        <v>404</v>
      </c>
      <c r="EM26" t="s">
        <v>404</v>
      </c>
      <c r="EN26" t="s">
        <v>404</v>
      </c>
      <c r="EO26" t="s">
        <v>404</v>
      </c>
      <c r="EP26" t="s">
        <v>404</v>
      </c>
      <c r="EQ26" t="s">
        <v>404</v>
      </c>
      <c r="ER26" t="s">
        <v>404</v>
      </c>
      <c r="ES26" t="s">
        <v>404</v>
      </c>
      <c r="ET26" t="s">
        <v>404</v>
      </c>
      <c r="EU26" t="s">
        <v>404</v>
      </c>
      <c r="EV26" t="s">
        <v>404</v>
      </c>
      <c r="EW26" t="s">
        <v>404</v>
      </c>
      <c r="EX26" t="s">
        <v>404</v>
      </c>
      <c r="EY26" t="s">
        <v>404</v>
      </c>
      <c r="EZ26" t="s">
        <v>404</v>
      </c>
      <c r="FA26" t="s">
        <v>404</v>
      </c>
      <c r="FB26" t="s">
        <v>404</v>
      </c>
      <c r="FC26" t="s">
        <v>404</v>
      </c>
      <c r="FD26" t="s">
        <v>404</v>
      </c>
      <c r="FE26" t="s">
        <v>404</v>
      </c>
      <c r="FF26" t="s">
        <v>404</v>
      </c>
      <c r="FG26" t="s">
        <v>404</v>
      </c>
      <c r="FH26" t="s">
        <v>404</v>
      </c>
      <c r="FI26" t="s">
        <v>404</v>
      </c>
      <c r="FJ26" t="s">
        <v>404</v>
      </c>
      <c r="FK26" t="s">
        <v>404</v>
      </c>
      <c r="FL26" t="s">
        <v>404</v>
      </c>
      <c r="FM26" t="s">
        <v>404</v>
      </c>
      <c r="FN26" t="s">
        <v>404</v>
      </c>
      <c r="FO26" t="s">
        <v>404</v>
      </c>
      <c r="FP26" t="s">
        <v>404</v>
      </c>
      <c r="FQ26" t="s">
        <v>404</v>
      </c>
      <c r="FR26" t="s">
        <v>404</v>
      </c>
      <c r="FS26" t="s">
        <v>404</v>
      </c>
      <c r="FZ26">
        <v>0</v>
      </c>
      <c r="GG26">
        <v>0</v>
      </c>
      <c r="GN26">
        <v>0</v>
      </c>
      <c r="GU26">
        <v>0</v>
      </c>
      <c r="HB26">
        <v>0</v>
      </c>
      <c r="HI26">
        <v>0</v>
      </c>
      <c r="HP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L26">
        <v>0</v>
      </c>
      <c r="IS26">
        <v>0</v>
      </c>
      <c r="IZ26">
        <v>0</v>
      </c>
      <c r="JG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KA26">
        <v>1</v>
      </c>
      <c r="KB26">
        <v>3</v>
      </c>
      <c r="KC26">
        <v>1</v>
      </c>
      <c r="KD26" t="s">
        <v>407</v>
      </c>
      <c r="OG26" t="s">
        <v>408</v>
      </c>
      <c r="SJ26" t="s">
        <v>409</v>
      </c>
      <c r="WM26" t="s">
        <v>410</v>
      </c>
      <c r="AAP26" t="s">
        <v>411</v>
      </c>
      <c r="AES26" t="s">
        <v>412</v>
      </c>
    </row>
    <row r="27" spans="1:825" x14ac:dyDescent="0.2">
      <c r="A27" t="s">
        <v>603</v>
      </c>
      <c r="B27" t="s">
        <v>396</v>
      </c>
      <c r="C27" t="s">
        <v>604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>
        <v>556</v>
      </c>
      <c r="W27" s="20">
        <v>43475.388194444444</v>
      </c>
      <c r="X27" t="s">
        <v>605</v>
      </c>
      <c r="Y27">
        <v>2019</v>
      </c>
      <c r="Z27" t="s">
        <v>606</v>
      </c>
      <c r="AA27" t="s">
        <v>607</v>
      </c>
      <c r="AB27" t="str">
        <f>VLOOKUP(MID(AD27,SEARCH("@",AD27,1),LEN(AD27)-SEARCH("@",AD27,1)+1),[2]Sheet1!$D:$F,3,FALSE)</f>
        <v>M291</v>
      </c>
      <c r="AC27" t="s">
        <v>608</v>
      </c>
      <c r="AD27" t="s">
        <v>609</v>
      </c>
      <c r="AE27" t="s">
        <v>610</v>
      </c>
      <c r="AF27" t="s">
        <v>611</v>
      </c>
      <c r="AG27" t="s">
        <v>403</v>
      </c>
      <c r="AI27">
        <v>2</v>
      </c>
      <c r="AJ27">
        <v>6</v>
      </c>
      <c r="AK27" t="s">
        <v>612</v>
      </c>
      <c r="AV27">
        <v>0</v>
      </c>
      <c r="BC27">
        <v>0</v>
      </c>
      <c r="BJ27">
        <v>0</v>
      </c>
      <c r="BQ27">
        <v>0</v>
      </c>
      <c r="BX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S27">
        <v>0</v>
      </c>
      <c r="CZ27">
        <v>0</v>
      </c>
      <c r="DG27">
        <v>0</v>
      </c>
      <c r="DN27">
        <v>0</v>
      </c>
      <c r="DU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 t="s">
        <v>404</v>
      </c>
      <c r="EK27" t="s">
        <v>404</v>
      </c>
      <c r="EL27" t="s">
        <v>404</v>
      </c>
      <c r="EM27" t="s">
        <v>404</v>
      </c>
      <c r="EN27" t="s">
        <v>404</v>
      </c>
      <c r="EO27" t="s">
        <v>404</v>
      </c>
      <c r="EP27" t="s">
        <v>404</v>
      </c>
      <c r="EQ27" t="s">
        <v>404</v>
      </c>
      <c r="ER27" t="s">
        <v>404</v>
      </c>
      <c r="ES27" t="s">
        <v>404</v>
      </c>
      <c r="ET27" t="s">
        <v>404</v>
      </c>
      <c r="EU27" t="s">
        <v>404</v>
      </c>
      <c r="EV27" t="s">
        <v>404</v>
      </c>
      <c r="EW27" t="s">
        <v>404</v>
      </c>
      <c r="EX27" t="s">
        <v>404</v>
      </c>
      <c r="EY27" t="s">
        <v>404</v>
      </c>
      <c r="EZ27" t="s">
        <v>404</v>
      </c>
      <c r="FA27" t="s">
        <v>404</v>
      </c>
      <c r="FB27" t="s">
        <v>404</v>
      </c>
      <c r="FC27" t="s">
        <v>404</v>
      </c>
      <c r="FD27" t="s">
        <v>404</v>
      </c>
      <c r="FE27" t="s">
        <v>404</v>
      </c>
      <c r="FF27" t="s">
        <v>404</v>
      </c>
      <c r="FG27" t="s">
        <v>404</v>
      </c>
      <c r="FH27" t="s">
        <v>404</v>
      </c>
      <c r="FI27" t="s">
        <v>404</v>
      </c>
      <c r="FJ27" t="s">
        <v>404</v>
      </c>
      <c r="FK27" t="s">
        <v>404</v>
      </c>
      <c r="FL27" t="s">
        <v>404</v>
      </c>
      <c r="FM27" t="s">
        <v>404</v>
      </c>
      <c r="FN27" t="s">
        <v>404</v>
      </c>
      <c r="FO27" t="s">
        <v>404</v>
      </c>
      <c r="FP27" t="s">
        <v>404</v>
      </c>
      <c r="FQ27" t="s">
        <v>404</v>
      </c>
      <c r="FR27" t="s">
        <v>404</v>
      </c>
      <c r="FS27" t="s">
        <v>404</v>
      </c>
      <c r="FZ27">
        <v>0</v>
      </c>
      <c r="GG27">
        <v>0</v>
      </c>
      <c r="GN27">
        <v>0</v>
      </c>
      <c r="GU27">
        <v>0</v>
      </c>
      <c r="HB27">
        <v>0</v>
      </c>
      <c r="HI27">
        <v>0</v>
      </c>
      <c r="HP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L27">
        <v>0</v>
      </c>
      <c r="IS27">
        <v>0</v>
      </c>
      <c r="IZ27">
        <v>0</v>
      </c>
      <c r="JG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KA27">
        <v>2</v>
      </c>
      <c r="KB27">
        <v>2</v>
      </c>
      <c r="KC27">
        <v>2</v>
      </c>
      <c r="KD27" t="s">
        <v>407</v>
      </c>
      <c r="OG27" t="s">
        <v>408</v>
      </c>
      <c r="SJ27" t="s">
        <v>409</v>
      </c>
      <c r="WM27" t="s">
        <v>410</v>
      </c>
      <c r="AAP27" t="s">
        <v>411</v>
      </c>
      <c r="AES27" t="s">
        <v>412</v>
      </c>
    </row>
    <row r="28" spans="1:825" x14ac:dyDescent="0.2">
      <c r="A28" t="s">
        <v>613</v>
      </c>
      <c r="B28" t="s">
        <v>414</v>
      </c>
      <c r="C28" t="s">
        <v>614</v>
      </c>
      <c r="P28" t="b">
        <v>0</v>
      </c>
      <c r="Q28" t="b">
        <v>1</v>
      </c>
      <c r="R28" t="b">
        <v>0</v>
      </c>
      <c r="S28" t="b">
        <v>0</v>
      </c>
      <c r="T28" t="b">
        <v>0</v>
      </c>
      <c r="U28" t="b">
        <v>0</v>
      </c>
      <c r="V28">
        <v>727</v>
      </c>
      <c r="W28" s="20">
        <v>43524.320138888892</v>
      </c>
      <c r="X28" t="s">
        <v>615</v>
      </c>
      <c r="Y28">
        <v>2019</v>
      </c>
      <c r="Z28" t="s">
        <v>616</v>
      </c>
      <c r="AA28" t="s">
        <v>617</v>
      </c>
      <c r="AB28" t="str">
        <f>VLOOKUP(MID(AD28,SEARCH("@",AD28,1),LEN(AD28)-SEARCH("@",AD28,1)+1),[2]Sheet1!$D:$F,3,FALSE)</f>
        <v>M0128</v>
      </c>
      <c r="AC28" t="s">
        <v>528</v>
      </c>
      <c r="AD28" t="s">
        <v>618</v>
      </c>
      <c r="AE28">
        <v>8615821564358</v>
      </c>
      <c r="AF28" t="s">
        <v>619</v>
      </c>
      <c r="AG28" t="s">
        <v>548</v>
      </c>
      <c r="AI28">
        <v>1</v>
      </c>
      <c r="AL28">
        <v>1074</v>
      </c>
      <c r="AM28">
        <v>1074</v>
      </c>
      <c r="AN28">
        <v>1074</v>
      </c>
      <c r="AO28">
        <v>1074</v>
      </c>
      <c r="AP28">
        <v>1074</v>
      </c>
      <c r="AV28">
        <v>1074</v>
      </c>
      <c r="BC28">
        <v>0</v>
      </c>
      <c r="BJ28">
        <v>0</v>
      </c>
      <c r="BQ28">
        <v>0</v>
      </c>
      <c r="BX28">
        <v>0</v>
      </c>
      <c r="CE28">
        <v>0</v>
      </c>
      <c r="CF28">
        <v>1074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1074</v>
      </c>
      <c r="CM28">
        <v>1</v>
      </c>
      <c r="CS28">
        <v>1</v>
      </c>
      <c r="CZ28">
        <v>0</v>
      </c>
      <c r="DG28">
        <v>0</v>
      </c>
      <c r="DN28">
        <v>0</v>
      </c>
      <c r="DU28">
        <v>0</v>
      </c>
      <c r="EB28">
        <v>0</v>
      </c>
      <c r="EC28">
        <v>1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1</v>
      </c>
      <c r="EJ28" t="s">
        <v>405</v>
      </c>
      <c r="EK28" t="s">
        <v>404</v>
      </c>
      <c r="EL28" t="s">
        <v>404</v>
      </c>
      <c r="EM28" t="s">
        <v>404</v>
      </c>
      <c r="EN28" t="s">
        <v>404</v>
      </c>
      <c r="EO28" t="s">
        <v>404</v>
      </c>
      <c r="EP28" t="s">
        <v>404</v>
      </c>
      <c r="EQ28" t="s">
        <v>404</v>
      </c>
      <c r="ER28" t="s">
        <v>404</v>
      </c>
      <c r="ES28" t="s">
        <v>404</v>
      </c>
      <c r="ET28" t="s">
        <v>404</v>
      </c>
      <c r="EU28" t="s">
        <v>404</v>
      </c>
      <c r="EV28" t="s">
        <v>404</v>
      </c>
      <c r="EW28" t="s">
        <v>404</v>
      </c>
      <c r="EX28" t="s">
        <v>404</v>
      </c>
      <c r="EY28" t="s">
        <v>404</v>
      </c>
      <c r="EZ28" t="s">
        <v>404</v>
      </c>
      <c r="FA28" t="s">
        <v>404</v>
      </c>
      <c r="FB28" t="s">
        <v>404</v>
      </c>
      <c r="FC28" t="s">
        <v>404</v>
      </c>
      <c r="FD28" t="s">
        <v>404</v>
      </c>
      <c r="FE28" t="s">
        <v>404</v>
      </c>
      <c r="FF28" t="s">
        <v>404</v>
      </c>
      <c r="FG28" t="s">
        <v>404</v>
      </c>
      <c r="FH28" t="s">
        <v>404</v>
      </c>
      <c r="FI28" t="s">
        <v>404</v>
      </c>
      <c r="FJ28" t="s">
        <v>404</v>
      </c>
      <c r="FK28" t="s">
        <v>404</v>
      </c>
      <c r="FL28" t="s">
        <v>404</v>
      </c>
      <c r="FM28" t="s">
        <v>404</v>
      </c>
      <c r="FN28" t="s">
        <v>404</v>
      </c>
      <c r="FO28" t="s">
        <v>404</v>
      </c>
      <c r="FP28" t="s">
        <v>404</v>
      </c>
      <c r="FQ28" t="s">
        <v>404</v>
      </c>
      <c r="FR28" t="s">
        <v>404</v>
      </c>
      <c r="FS28" t="s">
        <v>404</v>
      </c>
      <c r="FT28">
        <v>1074</v>
      </c>
      <c r="FZ28">
        <v>1074</v>
      </c>
      <c r="GG28">
        <v>0</v>
      </c>
      <c r="GN28">
        <v>0</v>
      </c>
      <c r="GU28">
        <v>0</v>
      </c>
      <c r="HB28">
        <v>0</v>
      </c>
      <c r="HI28">
        <v>0</v>
      </c>
      <c r="HP28">
        <v>0</v>
      </c>
      <c r="HX28">
        <v>0</v>
      </c>
      <c r="HY28">
        <v>1074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1074</v>
      </c>
      <c r="IL28">
        <v>0</v>
      </c>
      <c r="IM28">
        <v>1074</v>
      </c>
      <c r="IS28">
        <v>1074</v>
      </c>
      <c r="IZ28">
        <v>0</v>
      </c>
      <c r="JG28">
        <v>0</v>
      </c>
      <c r="JN28">
        <v>0</v>
      </c>
      <c r="JO28">
        <v>1074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1074</v>
      </c>
      <c r="JX28">
        <v>100</v>
      </c>
      <c r="KA28">
        <v>1</v>
      </c>
      <c r="KB28">
        <v>3</v>
      </c>
      <c r="KC28">
        <v>1</v>
      </c>
      <c r="KD28" t="s">
        <v>407</v>
      </c>
      <c r="OG28" t="s">
        <v>408</v>
      </c>
      <c r="SJ28" t="s">
        <v>409</v>
      </c>
      <c r="WM28" t="s">
        <v>410</v>
      </c>
      <c r="AAP28" t="s">
        <v>411</v>
      </c>
      <c r="AES28" t="s">
        <v>412</v>
      </c>
    </row>
    <row r="29" spans="1:825" x14ac:dyDescent="0.2">
      <c r="A29" t="s">
        <v>620</v>
      </c>
      <c r="B29" t="s">
        <v>396</v>
      </c>
      <c r="C29" t="s">
        <v>621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>
        <v>571</v>
      </c>
      <c r="W29" s="20">
        <v>43510.706250000003</v>
      </c>
      <c r="X29" t="s">
        <v>622</v>
      </c>
      <c r="Y29">
        <v>2019</v>
      </c>
      <c r="Z29" t="s">
        <v>623</v>
      </c>
      <c r="AA29" t="s">
        <v>624</v>
      </c>
      <c r="AB29" t="str">
        <f>VLOOKUP(MID(AD29,SEARCH("@",AD29,1),LEN(AD29)-SEARCH("@",AD29,1)+1),[2]Sheet1!$D:$F,3,FALSE)</f>
        <v>M03115</v>
      </c>
      <c r="AC29" t="s">
        <v>625</v>
      </c>
      <c r="AD29" t="s">
        <v>626</v>
      </c>
      <c r="AE29">
        <v>34917817302</v>
      </c>
      <c r="AF29" t="s">
        <v>627</v>
      </c>
      <c r="AG29" t="s">
        <v>403</v>
      </c>
      <c r="AI29">
        <v>1</v>
      </c>
      <c r="AL29">
        <v>766</v>
      </c>
      <c r="AM29">
        <v>766</v>
      </c>
      <c r="AN29">
        <v>716</v>
      </c>
      <c r="AO29">
        <v>716</v>
      </c>
      <c r="AV29">
        <v>0</v>
      </c>
      <c r="AZ29">
        <v>766</v>
      </c>
      <c r="BC29">
        <v>766</v>
      </c>
      <c r="BJ29">
        <v>0</v>
      </c>
      <c r="BQ29">
        <v>0</v>
      </c>
      <c r="BX29">
        <v>0</v>
      </c>
      <c r="CE29">
        <v>0</v>
      </c>
      <c r="CG29">
        <v>0</v>
      </c>
      <c r="CH29">
        <v>0</v>
      </c>
      <c r="CI29">
        <v>766</v>
      </c>
      <c r="CJ29">
        <v>0</v>
      </c>
      <c r="CK29">
        <v>0</v>
      </c>
      <c r="CL29">
        <v>766</v>
      </c>
      <c r="CS29">
        <v>0</v>
      </c>
      <c r="CW29">
        <v>1</v>
      </c>
      <c r="CZ29">
        <v>1</v>
      </c>
      <c r="DG29">
        <v>0</v>
      </c>
      <c r="DN29">
        <v>0</v>
      </c>
      <c r="DU29">
        <v>0</v>
      </c>
      <c r="EB29">
        <v>0</v>
      </c>
      <c r="EC29">
        <v>0</v>
      </c>
      <c r="ED29">
        <v>0</v>
      </c>
      <c r="EE29">
        <v>0</v>
      </c>
      <c r="EF29">
        <v>1</v>
      </c>
      <c r="EG29">
        <v>0</v>
      </c>
      <c r="EH29">
        <v>0</v>
      </c>
      <c r="EI29">
        <v>1</v>
      </c>
      <c r="EJ29" t="s">
        <v>404</v>
      </c>
      <c r="EK29" t="s">
        <v>404</v>
      </c>
      <c r="EL29" t="s">
        <v>404</v>
      </c>
      <c r="EM29" t="s">
        <v>404</v>
      </c>
      <c r="EN29" t="s">
        <v>404</v>
      </c>
      <c r="EO29" t="s">
        <v>404</v>
      </c>
      <c r="EP29" t="s">
        <v>404</v>
      </c>
      <c r="EQ29" t="s">
        <v>404</v>
      </c>
      <c r="ER29" t="s">
        <v>404</v>
      </c>
      <c r="ES29" t="s">
        <v>405</v>
      </c>
      <c r="ET29" t="s">
        <v>404</v>
      </c>
      <c r="EU29" t="s">
        <v>404</v>
      </c>
      <c r="EV29" t="s">
        <v>404</v>
      </c>
      <c r="EW29" t="s">
        <v>404</v>
      </c>
      <c r="EX29" t="s">
        <v>404</v>
      </c>
      <c r="EY29" t="s">
        <v>404</v>
      </c>
      <c r="EZ29" t="s">
        <v>404</v>
      </c>
      <c r="FA29" t="s">
        <v>404</v>
      </c>
      <c r="FB29" t="s">
        <v>404</v>
      </c>
      <c r="FC29" t="s">
        <v>404</v>
      </c>
      <c r="FD29" t="s">
        <v>404</v>
      </c>
      <c r="FE29" t="s">
        <v>404</v>
      </c>
      <c r="FF29" t="s">
        <v>404</v>
      </c>
      <c r="FG29" t="s">
        <v>404</v>
      </c>
      <c r="FH29" t="s">
        <v>404</v>
      </c>
      <c r="FI29" t="s">
        <v>404</v>
      </c>
      <c r="FJ29" t="s">
        <v>404</v>
      </c>
      <c r="FK29" t="s">
        <v>404</v>
      </c>
      <c r="FL29" t="s">
        <v>404</v>
      </c>
      <c r="FM29" t="s">
        <v>404</v>
      </c>
      <c r="FN29" t="s">
        <v>404</v>
      </c>
      <c r="FO29" t="s">
        <v>404</v>
      </c>
      <c r="FP29" t="s">
        <v>404</v>
      </c>
      <c r="FQ29" t="s">
        <v>404</v>
      </c>
      <c r="FR29" t="s">
        <v>404</v>
      </c>
      <c r="FS29" t="s">
        <v>404</v>
      </c>
      <c r="FZ29">
        <v>0</v>
      </c>
      <c r="GD29">
        <v>169</v>
      </c>
      <c r="GG29">
        <v>169</v>
      </c>
      <c r="GN29">
        <v>0</v>
      </c>
      <c r="GU29">
        <v>0</v>
      </c>
      <c r="HB29">
        <v>0</v>
      </c>
      <c r="HI29">
        <v>0</v>
      </c>
      <c r="HP29">
        <v>0</v>
      </c>
      <c r="HQ29" t="s">
        <v>628</v>
      </c>
      <c r="HU29">
        <v>597</v>
      </c>
      <c r="HX29">
        <v>597</v>
      </c>
      <c r="HY29">
        <v>0</v>
      </c>
      <c r="HZ29">
        <v>0</v>
      </c>
      <c r="IA29">
        <v>0</v>
      </c>
      <c r="IB29">
        <v>766</v>
      </c>
      <c r="IC29">
        <v>0</v>
      </c>
      <c r="ID29">
        <v>0</v>
      </c>
      <c r="IE29">
        <v>766</v>
      </c>
      <c r="IL29">
        <v>0</v>
      </c>
      <c r="IP29">
        <v>550</v>
      </c>
      <c r="IS29">
        <v>550</v>
      </c>
      <c r="IW29">
        <v>216</v>
      </c>
      <c r="IZ29">
        <v>216</v>
      </c>
      <c r="JG29">
        <v>0</v>
      </c>
      <c r="JN29">
        <v>0</v>
      </c>
      <c r="JO29">
        <v>0</v>
      </c>
      <c r="JP29">
        <v>0</v>
      </c>
      <c r="JQ29">
        <v>0</v>
      </c>
      <c r="JR29">
        <v>766</v>
      </c>
      <c r="JS29">
        <v>0</v>
      </c>
      <c r="JT29">
        <v>0</v>
      </c>
      <c r="JU29">
        <v>766</v>
      </c>
      <c r="JV29">
        <v>100</v>
      </c>
      <c r="KA29">
        <v>1</v>
      </c>
      <c r="KB29">
        <v>3</v>
      </c>
      <c r="KC29">
        <v>2</v>
      </c>
      <c r="KD29" t="s">
        <v>407</v>
      </c>
      <c r="OG29" t="s">
        <v>408</v>
      </c>
      <c r="SJ29" t="s">
        <v>409</v>
      </c>
      <c r="WM29" t="s">
        <v>410</v>
      </c>
      <c r="AAP29" t="s">
        <v>411</v>
      </c>
      <c r="AES29" t="s">
        <v>412</v>
      </c>
    </row>
    <row r="30" spans="1:825" x14ac:dyDescent="0.2">
      <c r="A30" t="s">
        <v>629</v>
      </c>
      <c r="B30" t="s">
        <v>396</v>
      </c>
      <c r="C30" t="s">
        <v>630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>
        <v>679</v>
      </c>
      <c r="W30" s="20">
        <v>43523.59375</v>
      </c>
      <c r="X30" t="s">
        <v>631</v>
      </c>
      <c r="Y30">
        <v>2019</v>
      </c>
      <c r="Z30" t="s">
        <v>632</v>
      </c>
      <c r="AA30" t="s">
        <v>630</v>
      </c>
      <c r="AB30" t="str">
        <f>VLOOKUP(MID(AD30,SEARCH("@",AD30,1),LEN(AD30)-SEARCH("@",AD30,1)+1),[2]Sheet1!$D:$F,3,FALSE)</f>
        <v>M03091</v>
      </c>
      <c r="AC30" t="s">
        <v>450</v>
      </c>
      <c r="AD30" t="s">
        <v>633</v>
      </c>
      <c r="AE30" t="s">
        <v>634</v>
      </c>
      <c r="AF30" t="s">
        <v>491</v>
      </c>
      <c r="AG30" t="s">
        <v>492</v>
      </c>
      <c r="AI30">
        <v>2</v>
      </c>
      <c r="AJ30">
        <v>6</v>
      </c>
      <c r="AK30" t="s">
        <v>635</v>
      </c>
      <c r="AV30">
        <v>0</v>
      </c>
      <c r="BC30">
        <v>0</v>
      </c>
      <c r="BJ30">
        <v>0</v>
      </c>
      <c r="BQ30">
        <v>0</v>
      </c>
      <c r="BX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S30">
        <v>0</v>
      </c>
      <c r="CZ30">
        <v>0</v>
      </c>
      <c r="DG30">
        <v>0</v>
      </c>
      <c r="DN30">
        <v>0</v>
      </c>
      <c r="DU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 t="s">
        <v>404</v>
      </c>
      <c r="EK30" t="s">
        <v>404</v>
      </c>
      <c r="EL30" t="s">
        <v>404</v>
      </c>
      <c r="EM30" t="s">
        <v>404</v>
      </c>
      <c r="EN30" t="s">
        <v>404</v>
      </c>
      <c r="EO30" t="s">
        <v>404</v>
      </c>
      <c r="EP30" t="s">
        <v>404</v>
      </c>
      <c r="EQ30" t="s">
        <v>404</v>
      </c>
      <c r="ER30" t="s">
        <v>404</v>
      </c>
      <c r="ES30" t="s">
        <v>404</v>
      </c>
      <c r="ET30" t="s">
        <v>404</v>
      </c>
      <c r="EU30" t="s">
        <v>404</v>
      </c>
      <c r="EV30" t="s">
        <v>404</v>
      </c>
      <c r="EW30" t="s">
        <v>404</v>
      </c>
      <c r="EX30" t="s">
        <v>404</v>
      </c>
      <c r="EY30" t="s">
        <v>404</v>
      </c>
      <c r="EZ30" t="s">
        <v>404</v>
      </c>
      <c r="FA30" t="s">
        <v>404</v>
      </c>
      <c r="FB30" t="s">
        <v>404</v>
      </c>
      <c r="FC30" t="s">
        <v>404</v>
      </c>
      <c r="FD30" t="s">
        <v>404</v>
      </c>
      <c r="FE30" t="s">
        <v>404</v>
      </c>
      <c r="FF30" t="s">
        <v>404</v>
      </c>
      <c r="FG30" t="s">
        <v>404</v>
      </c>
      <c r="FH30" t="s">
        <v>404</v>
      </c>
      <c r="FI30" t="s">
        <v>404</v>
      </c>
      <c r="FJ30" t="s">
        <v>404</v>
      </c>
      <c r="FK30" t="s">
        <v>404</v>
      </c>
      <c r="FL30" t="s">
        <v>404</v>
      </c>
      <c r="FM30" t="s">
        <v>404</v>
      </c>
      <c r="FN30" t="s">
        <v>404</v>
      </c>
      <c r="FO30" t="s">
        <v>404</v>
      </c>
      <c r="FP30" t="s">
        <v>404</v>
      </c>
      <c r="FQ30" t="s">
        <v>404</v>
      </c>
      <c r="FR30" t="s">
        <v>404</v>
      </c>
      <c r="FS30" t="s">
        <v>404</v>
      </c>
      <c r="FZ30">
        <v>0</v>
      </c>
      <c r="GG30">
        <v>0</v>
      </c>
      <c r="GN30">
        <v>0</v>
      </c>
      <c r="GU30">
        <v>0</v>
      </c>
      <c r="HB30">
        <v>0</v>
      </c>
      <c r="HI30">
        <v>0</v>
      </c>
      <c r="HP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L30">
        <v>0</v>
      </c>
      <c r="IS30">
        <v>0</v>
      </c>
      <c r="IZ30">
        <v>0</v>
      </c>
      <c r="JG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KA30">
        <v>1</v>
      </c>
      <c r="KB30">
        <v>2</v>
      </c>
      <c r="KC30">
        <v>2</v>
      </c>
      <c r="KD30" t="s">
        <v>407</v>
      </c>
      <c r="OG30" t="s">
        <v>408</v>
      </c>
      <c r="SJ30" t="s">
        <v>409</v>
      </c>
      <c r="WM30" t="s">
        <v>410</v>
      </c>
      <c r="AAP30" t="s">
        <v>411</v>
      </c>
      <c r="AES30" t="s">
        <v>412</v>
      </c>
    </row>
    <row r="31" spans="1:825" x14ac:dyDescent="0.2">
      <c r="A31" t="s">
        <v>636</v>
      </c>
      <c r="B31" t="s">
        <v>563</v>
      </c>
      <c r="C31" t="s">
        <v>637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b">
        <v>0</v>
      </c>
      <c r="V31">
        <v>722</v>
      </c>
      <c r="W31" s="20">
        <v>43516.323611111111</v>
      </c>
      <c r="X31" t="s">
        <v>638</v>
      </c>
      <c r="Y31">
        <v>2019</v>
      </c>
      <c r="Z31" t="s">
        <v>639</v>
      </c>
      <c r="AA31" t="s">
        <v>640</v>
      </c>
      <c r="AB31" t="str">
        <f>VLOOKUP(MID(AD31,SEARCH("@",AD31,1),LEN(AD31)-SEARCH("@",AD31,1)+1),[2]Sheet1!$D:$F,3,FALSE)</f>
        <v>NC007</v>
      </c>
      <c r="AC31" t="s">
        <v>641</v>
      </c>
      <c r="AD31" t="s">
        <v>642</v>
      </c>
      <c r="AE31">
        <v>6177790490</v>
      </c>
      <c r="AF31" t="s">
        <v>571</v>
      </c>
      <c r="AG31" t="s">
        <v>538</v>
      </c>
      <c r="AI31">
        <v>1</v>
      </c>
      <c r="AL31">
        <v>568.91636600000004</v>
      </c>
      <c r="AM31">
        <v>0</v>
      </c>
      <c r="AN31">
        <v>567.91636600000004</v>
      </c>
      <c r="AO31">
        <v>0</v>
      </c>
      <c r="AV31">
        <v>0</v>
      </c>
      <c r="BC31">
        <v>0</v>
      </c>
      <c r="BD31">
        <v>568.91637000000003</v>
      </c>
      <c r="BJ31">
        <v>568.91999999999996</v>
      </c>
      <c r="BQ31">
        <v>0</v>
      </c>
      <c r="BX31">
        <v>0</v>
      </c>
      <c r="CE31">
        <v>0</v>
      </c>
      <c r="CF31">
        <v>568.91999999999996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568.91999999999996</v>
      </c>
      <c r="CS31">
        <v>0</v>
      </c>
      <c r="CZ31">
        <v>0</v>
      </c>
      <c r="DA31">
        <v>1</v>
      </c>
      <c r="DG31">
        <v>1</v>
      </c>
      <c r="DN31">
        <v>0</v>
      </c>
      <c r="DU31">
        <v>0</v>
      </c>
      <c r="EB31">
        <v>0</v>
      </c>
      <c r="EC31">
        <v>1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1</v>
      </c>
      <c r="EJ31" t="s">
        <v>404</v>
      </c>
      <c r="EK31" t="s">
        <v>404</v>
      </c>
      <c r="EL31" t="s">
        <v>404</v>
      </c>
      <c r="EM31" t="s">
        <v>404</v>
      </c>
      <c r="EN31" t="s">
        <v>404</v>
      </c>
      <c r="EO31" t="s">
        <v>404</v>
      </c>
      <c r="EP31" t="s">
        <v>404</v>
      </c>
      <c r="EQ31" t="s">
        <v>404</v>
      </c>
      <c r="ER31" t="s">
        <v>404</v>
      </c>
      <c r="ES31" t="s">
        <v>404</v>
      </c>
      <c r="ET31" t="s">
        <v>404</v>
      </c>
      <c r="EU31" t="s">
        <v>404</v>
      </c>
      <c r="EV31" t="s">
        <v>405</v>
      </c>
      <c r="EW31" t="s">
        <v>404</v>
      </c>
      <c r="EX31" t="s">
        <v>404</v>
      </c>
      <c r="EY31" t="s">
        <v>404</v>
      </c>
      <c r="EZ31" t="s">
        <v>404</v>
      </c>
      <c r="FA31" t="s">
        <v>404</v>
      </c>
      <c r="FB31" t="s">
        <v>404</v>
      </c>
      <c r="FC31" t="s">
        <v>404</v>
      </c>
      <c r="FD31" t="s">
        <v>404</v>
      </c>
      <c r="FE31" t="s">
        <v>404</v>
      </c>
      <c r="FF31" t="s">
        <v>404</v>
      </c>
      <c r="FG31" t="s">
        <v>404</v>
      </c>
      <c r="FH31" t="s">
        <v>404</v>
      </c>
      <c r="FI31" t="s">
        <v>404</v>
      </c>
      <c r="FJ31" t="s">
        <v>404</v>
      </c>
      <c r="FK31" t="s">
        <v>404</v>
      </c>
      <c r="FL31" t="s">
        <v>404</v>
      </c>
      <c r="FM31" t="s">
        <v>404</v>
      </c>
      <c r="FN31" t="s">
        <v>404</v>
      </c>
      <c r="FO31" t="s">
        <v>404</v>
      </c>
      <c r="FP31" t="s">
        <v>404</v>
      </c>
      <c r="FQ31" t="s">
        <v>404</v>
      </c>
      <c r="FR31" t="s">
        <v>404</v>
      </c>
      <c r="FS31" t="s">
        <v>404</v>
      </c>
      <c r="FT31">
        <v>537.32299999999998</v>
      </c>
      <c r="FZ31">
        <v>537.32000000000005</v>
      </c>
      <c r="GG31">
        <v>0</v>
      </c>
      <c r="GN31">
        <v>0</v>
      </c>
      <c r="GU31">
        <v>0</v>
      </c>
      <c r="GV31">
        <v>11.65056</v>
      </c>
      <c r="HB31">
        <v>11.65</v>
      </c>
      <c r="HI31">
        <v>0</v>
      </c>
      <c r="HJ31">
        <v>1.3049569999999999</v>
      </c>
      <c r="HP31">
        <v>1.3</v>
      </c>
      <c r="HQ31" t="s">
        <v>643</v>
      </c>
      <c r="HR31">
        <v>18.637844999999999</v>
      </c>
      <c r="HX31">
        <v>18.64</v>
      </c>
      <c r="HY31">
        <v>568.91999999999996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568.91999999999996</v>
      </c>
      <c r="IL31">
        <v>0</v>
      </c>
      <c r="IS31">
        <v>0</v>
      </c>
      <c r="IT31">
        <v>568.91637000000003</v>
      </c>
      <c r="IZ31">
        <v>568.91999999999996</v>
      </c>
      <c r="JG31">
        <v>0</v>
      </c>
      <c r="JN31">
        <v>0</v>
      </c>
      <c r="JO31">
        <v>568.91999999999996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568.91999999999996</v>
      </c>
      <c r="JX31">
        <v>100</v>
      </c>
      <c r="KA31">
        <v>3</v>
      </c>
      <c r="KB31">
        <v>3</v>
      </c>
      <c r="KC31">
        <v>1</v>
      </c>
      <c r="KD31" t="s">
        <v>407</v>
      </c>
      <c r="OG31" t="s">
        <v>408</v>
      </c>
      <c r="SJ31" t="s">
        <v>409</v>
      </c>
      <c r="WM31" t="s">
        <v>410</v>
      </c>
      <c r="AAP31" t="s">
        <v>411</v>
      </c>
      <c r="AES31" t="s">
        <v>412</v>
      </c>
    </row>
    <row r="32" spans="1:825" x14ac:dyDescent="0.2">
      <c r="A32" t="s">
        <v>644</v>
      </c>
      <c r="B32" t="s">
        <v>396</v>
      </c>
      <c r="C32" t="s">
        <v>645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>
        <v>766</v>
      </c>
      <c r="W32" s="20">
        <v>43516.418749999997</v>
      </c>
      <c r="X32" t="s">
        <v>646</v>
      </c>
      <c r="Y32">
        <v>2019</v>
      </c>
      <c r="Z32" t="s">
        <v>647</v>
      </c>
      <c r="AA32" t="s">
        <v>645</v>
      </c>
      <c r="AB32" t="str">
        <f>VLOOKUP(MID(AD32,SEARCH("@",AD32,1),LEN(AD32)-SEARCH("@",AD32,1)+1),[2]Sheet1!$D:$F,3,FALSE)</f>
        <v>M310</v>
      </c>
      <c r="AC32" t="s">
        <v>450</v>
      </c>
      <c r="AD32" t="s">
        <v>648</v>
      </c>
      <c r="AF32" t="s">
        <v>491</v>
      </c>
      <c r="AG32" t="s">
        <v>403</v>
      </c>
      <c r="AI32">
        <v>1</v>
      </c>
      <c r="AL32">
        <v>350</v>
      </c>
      <c r="AM32">
        <v>350</v>
      </c>
      <c r="AN32">
        <v>180</v>
      </c>
      <c r="AO32">
        <v>180</v>
      </c>
      <c r="AV32">
        <v>0</v>
      </c>
      <c r="AW32">
        <v>350</v>
      </c>
      <c r="BC32">
        <v>350</v>
      </c>
      <c r="BJ32">
        <v>0</v>
      </c>
      <c r="BQ32">
        <v>0</v>
      </c>
      <c r="BX32">
        <v>0</v>
      </c>
      <c r="CE32">
        <v>0</v>
      </c>
      <c r="CF32">
        <v>350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350</v>
      </c>
      <c r="CS32">
        <v>0</v>
      </c>
      <c r="CT32">
        <v>2</v>
      </c>
      <c r="CZ32">
        <v>2</v>
      </c>
      <c r="DG32">
        <v>0</v>
      </c>
      <c r="DN32">
        <v>0</v>
      </c>
      <c r="DU32">
        <v>0</v>
      </c>
      <c r="EB32">
        <v>0</v>
      </c>
      <c r="EC32">
        <v>2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2</v>
      </c>
      <c r="EJ32" t="s">
        <v>404</v>
      </c>
      <c r="EK32" t="s">
        <v>404</v>
      </c>
      <c r="EL32" t="s">
        <v>404</v>
      </c>
      <c r="EM32" t="s">
        <v>404</v>
      </c>
      <c r="EN32" t="s">
        <v>404</v>
      </c>
      <c r="EO32" t="s">
        <v>404</v>
      </c>
      <c r="EP32" t="s">
        <v>405</v>
      </c>
      <c r="EQ32" t="s">
        <v>404</v>
      </c>
      <c r="ER32" t="s">
        <v>404</v>
      </c>
      <c r="ES32" t="s">
        <v>404</v>
      </c>
      <c r="ET32" t="s">
        <v>404</v>
      </c>
      <c r="EU32" t="s">
        <v>404</v>
      </c>
      <c r="EV32" t="s">
        <v>404</v>
      </c>
      <c r="EW32" t="s">
        <v>404</v>
      </c>
      <c r="EX32" t="s">
        <v>404</v>
      </c>
      <c r="EY32" t="s">
        <v>404</v>
      </c>
      <c r="EZ32" t="s">
        <v>404</v>
      </c>
      <c r="FA32" t="s">
        <v>404</v>
      </c>
      <c r="FB32" t="s">
        <v>404</v>
      </c>
      <c r="FC32" t="s">
        <v>404</v>
      </c>
      <c r="FD32" t="s">
        <v>404</v>
      </c>
      <c r="FE32" t="s">
        <v>404</v>
      </c>
      <c r="FF32" t="s">
        <v>404</v>
      </c>
      <c r="FG32" t="s">
        <v>404</v>
      </c>
      <c r="FH32" t="s">
        <v>404</v>
      </c>
      <c r="FI32" t="s">
        <v>404</v>
      </c>
      <c r="FJ32" t="s">
        <v>404</v>
      </c>
      <c r="FK32" t="s">
        <v>404</v>
      </c>
      <c r="FL32" t="s">
        <v>404</v>
      </c>
      <c r="FM32" t="s">
        <v>404</v>
      </c>
      <c r="FN32" t="s">
        <v>404</v>
      </c>
      <c r="FO32" t="s">
        <v>404</v>
      </c>
      <c r="FP32" t="s">
        <v>404</v>
      </c>
      <c r="FQ32" t="s">
        <v>404</v>
      </c>
      <c r="FR32" t="s">
        <v>404</v>
      </c>
      <c r="FS32" t="s">
        <v>404</v>
      </c>
      <c r="FT32">
        <v>300</v>
      </c>
      <c r="FZ32">
        <v>300</v>
      </c>
      <c r="GG32">
        <v>0</v>
      </c>
      <c r="GN32">
        <v>0</v>
      </c>
      <c r="GU32">
        <v>0</v>
      </c>
      <c r="HB32">
        <v>0</v>
      </c>
      <c r="HI32">
        <v>0</v>
      </c>
      <c r="HJ32">
        <v>50</v>
      </c>
      <c r="HP32">
        <v>50</v>
      </c>
      <c r="HX32">
        <v>0</v>
      </c>
      <c r="HY32">
        <v>350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350</v>
      </c>
      <c r="IF32">
        <v>50</v>
      </c>
      <c r="IL32">
        <v>50</v>
      </c>
      <c r="IS32">
        <v>0</v>
      </c>
      <c r="IZ32">
        <v>0</v>
      </c>
      <c r="JG32">
        <v>0</v>
      </c>
      <c r="JH32">
        <v>300</v>
      </c>
      <c r="JN32">
        <v>300</v>
      </c>
      <c r="JO32">
        <v>350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350</v>
      </c>
      <c r="JV32">
        <v>85</v>
      </c>
      <c r="JX32">
        <v>15</v>
      </c>
      <c r="KA32">
        <v>1</v>
      </c>
      <c r="KB32">
        <v>3</v>
      </c>
      <c r="KC32">
        <v>1</v>
      </c>
      <c r="KD32" t="s">
        <v>407</v>
      </c>
      <c r="OG32" t="s">
        <v>408</v>
      </c>
      <c r="SJ32" t="s">
        <v>409</v>
      </c>
      <c r="WM32" t="s">
        <v>410</v>
      </c>
      <c r="AAP32" t="s">
        <v>411</v>
      </c>
      <c r="AES32" t="s">
        <v>412</v>
      </c>
    </row>
    <row r="33" spans="1:825" x14ac:dyDescent="0.2">
      <c r="A33" t="s">
        <v>649</v>
      </c>
      <c r="B33" t="s">
        <v>396</v>
      </c>
      <c r="C33" t="s">
        <v>650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>
        <v>704</v>
      </c>
      <c r="W33" s="20">
        <v>43504.59097222222</v>
      </c>
      <c r="X33" t="s">
        <v>651</v>
      </c>
      <c r="Y33">
        <v>2019</v>
      </c>
      <c r="Z33" t="s">
        <v>652</v>
      </c>
      <c r="AA33" t="s">
        <v>650</v>
      </c>
      <c r="AB33" t="str">
        <f>VLOOKUP(MID(AD33,SEARCH("@",AD33,1),LEN(AD33)-SEARCH("@",AD33,1)+1),[2]Sheet1!$D:$F,3,FALSE)</f>
        <v>M2842</v>
      </c>
      <c r="AC33" t="s">
        <v>653</v>
      </c>
      <c r="AD33" t="s">
        <v>654</v>
      </c>
      <c r="AE33" t="s">
        <v>655</v>
      </c>
      <c r="AF33" t="s">
        <v>444</v>
      </c>
      <c r="AG33" t="s">
        <v>403</v>
      </c>
      <c r="AI33">
        <v>1</v>
      </c>
      <c r="AL33">
        <v>245</v>
      </c>
      <c r="AM33">
        <v>245</v>
      </c>
      <c r="AN33">
        <v>245</v>
      </c>
      <c r="AO33">
        <v>245</v>
      </c>
      <c r="AV33">
        <v>0</v>
      </c>
      <c r="AW33">
        <v>5</v>
      </c>
      <c r="AY33">
        <v>240</v>
      </c>
      <c r="BC33">
        <v>245</v>
      </c>
      <c r="BJ33">
        <v>0</v>
      </c>
      <c r="BQ33">
        <v>0</v>
      </c>
      <c r="BX33">
        <v>0</v>
      </c>
      <c r="CE33">
        <v>0</v>
      </c>
      <c r="CF33">
        <v>5</v>
      </c>
      <c r="CG33">
        <v>0</v>
      </c>
      <c r="CH33">
        <v>240</v>
      </c>
      <c r="CI33">
        <v>0</v>
      </c>
      <c r="CJ33">
        <v>0</v>
      </c>
      <c r="CK33">
        <v>0</v>
      </c>
      <c r="CL33">
        <v>245</v>
      </c>
      <c r="CS33">
        <v>0</v>
      </c>
      <c r="CT33">
        <v>1</v>
      </c>
      <c r="CV33">
        <v>1</v>
      </c>
      <c r="CZ33">
        <v>2</v>
      </c>
      <c r="DG33">
        <v>0</v>
      </c>
      <c r="DN33">
        <v>0</v>
      </c>
      <c r="DU33">
        <v>0</v>
      </c>
      <c r="EB33">
        <v>0</v>
      </c>
      <c r="EC33">
        <v>1</v>
      </c>
      <c r="ED33">
        <v>0</v>
      </c>
      <c r="EE33">
        <v>1</v>
      </c>
      <c r="EF33">
        <v>0</v>
      </c>
      <c r="EG33">
        <v>0</v>
      </c>
      <c r="EH33">
        <v>0</v>
      </c>
      <c r="EI33">
        <v>2</v>
      </c>
      <c r="EJ33" t="s">
        <v>404</v>
      </c>
      <c r="EK33" t="s">
        <v>404</v>
      </c>
      <c r="EL33" t="s">
        <v>404</v>
      </c>
      <c r="EM33" t="s">
        <v>404</v>
      </c>
      <c r="EN33" t="s">
        <v>404</v>
      </c>
      <c r="EO33" t="s">
        <v>404</v>
      </c>
      <c r="EP33" t="s">
        <v>405</v>
      </c>
      <c r="EQ33" t="s">
        <v>404</v>
      </c>
      <c r="ER33" t="s">
        <v>405</v>
      </c>
      <c r="ES33" t="s">
        <v>404</v>
      </c>
      <c r="ET33" t="s">
        <v>404</v>
      </c>
      <c r="EU33" t="s">
        <v>404</v>
      </c>
      <c r="EV33" t="s">
        <v>404</v>
      </c>
      <c r="EW33" t="s">
        <v>404</v>
      </c>
      <c r="EX33" t="s">
        <v>404</v>
      </c>
      <c r="EY33" t="s">
        <v>404</v>
      </c>
      <c r="EZ33" t="s">
        <v>404</v>
      </c>
      <c r="FA33" t="s">
        <v>404</v>
      </c>
      <c r="FB33" t="s">
        <v>404</v>
      </c>
      <c r="FC33" t="s">
        <v>404</v>
      </c>
      <c r="FD33" t="s">
        <v>404</v>
      </c>
      <c r="FE33" t="s">
        <v>404</v>
      </c>
      <c r="FF33" t="s">
        <v>404</v>
      </c>
      <c r="FG33" t="s">
        <v>404</v>
      </c>
      <c r="FH33" t="s">
        <v>404</v>
      </c>
      <c r="FI33" t="s">
        <v>404</v>
      </c>
      <c r="FJ33" t="s">
        <v>404</v>
      </c>
      <c r="FK33" t="s">
        <v>404</v>
      </c>
      <c r="FL33" t="s">
        <v>404</v>
      </c>
      <c r="FM33" t="s">
        <v>404</v>
      </c>
      <c r="FN33" t="s">
        <v>404</v>
      </c>
      <c r="FO33" t="s">
        <v>404</v>
      </c>
      <c r="FP33" t="s">
        <v>404</v>
      </c>
      <c r="FQ33" t="s">
        <v>404</v>
      </c>
      <c r="FR33" t="s">
        <v>404</v>
      </c>
      <c r="FS33" t="s">
        <v>404</v>
      </c>
      <c r="FV33">
        <v>240</v>
      </c>
      <c r="FZ33">
        <v>240</v>
      </c>
      <c r="GG33">
        <v>0</v>
      </c>
      <c r="GN33">
        <v>0</v>
      </c>
      <c r="GU33">
        <v>0</v>
      </c>
      <c r="HB33">
        <v>0</v>
      </c>
      <c r="HI33">
        <v>0</v>
      </c>
      <c r="HJ33">
        <v>5</v>
      </c>
      <c r="HP33">
        <v>5</v>
      </c>
      <c r="HX33">
        <v>0</v>
      </c>
      <c r="HY33">
        <v>5</v>
      </c>
      <c r="HZ33">
        <v>0</v>
      </c>
      <c r="IA33">
        <v>240</v>
      </c>
      <c r="IB33">
        <v>0</v>
      </c>
      <c r="IC33">
        <v>0</v>
      </c>
      <c r="ID33">
        <v>0</v>
      </c>
      <c r="IE33">
        <v>245</v>
      </c>
      <c r="IL33">
        <v>0</v>
      </c>
      <c r="IM33">
        <v>5</v>
      </c>
      <c r="IO33">
        <v>240</v>
      </c>
      <c r="IS33">
        <v>245</v>
      </c>
      <c r="IZ33">
        <v>0</v>
      </c>
      <c r="JG33">
        <v>0</v>
      </c>
      <c r="JN33">
        <v>0</v>
      </c>
      <c r="JO33">
        <v>5</v>
      </c>
      <c r="JP33">
        <v>0</v>
      </c>
      <c r="JQ33">
        <v>240</v>
      </c>
      <c r="JR33">
        <v>0</v>
      </c>
      <c r="JS33">
        <v>0</v>
      </c>
      <c r="JT33">
        <v>0</v>
      </c>
      <c r="JU33">
        <v>245</v>
      </c>
      <c r="JV33">
        <v>0</v>
      </c>
      <c r="JW33">
        <v>90</v>
      </c>
      <c r="JX33">
        <v>10</v>
      </c>
      <c r="KA33">
        <v>1</v>
      </c>
      <c r="KB33">
        <v>3</v>
      </c>
      <c r="KC33">
        <v>1</v>
      </c>
      <c r="KD33" t="s">
        <v>407</v>
      </c>
      <c r="OG33" t="s">
        <v>408</v>
      </c>
      <c r="SJ33" t="s">
        <v>409</v>
      </c>
      <c r="WM33" t="s">
        <v>410</v>
      </c>
      <c r="AAP33" t="s">
        <v>411</v>
      </c>
      <c r="AES33" t="s">
        <v>412</v>
      </c>
    </row>
    <row r="34" spans="1:825" x14ac:dyDescent="0.2">
      <c r="A34" t="s">
        <v>656</v>
      </c>
      <c r="B34" t="s">
        <v>414</v>
      </c>
      <c r="C34" t="s">
        <v>657</v>
      </c>
      <c r="P34" t="b">
        <v>1</v>
      </c>
      <c r="Q34" t="b">
        <v>1</v>
      </c>
      <c r="R34" t="b">
        <v>1</v>
      </c>
      <c r="S34" t="b">
        <v>0</v>
      </c>
      <c r="T34" t="b">
        <v>0</v>
      </c>
      <c r="U34" t="b">
        <v>0</v>
      </c>
      <c r="V34">
        <v>698</v>
      </c>
      <c r="W34" s="20">
        <v>43508.227083333331</v>
      </c>
      <c r="X34" t="s">
        <v>658</v>
      </c>
      <c r="Y34">
        <v>2019</v>
      </c>
      <c r="Z34" t="s">
        <v>659</v>
      </c>
      <c r="AA34" t="s">
        <v>660</v>
      </c>
      <c r="AB34" t="str">
        <f>VLOOKUP(MID(AD34,SEARCH("@",AD34,1),LEN(AD34)-SEARCH("@",AD34,1)+1),[2]Sheet1!$D:$F,3,FALSE)</f>
        <v>M243</v>
      </c>
      <c r="AC34" t="s">
        <v>661</v>
      </c>
      <c r="AD34" t="s">
        <v>662</v>
      </c>
      <c r="AE34">
        <v>61477309659</v>
      </c>
      <c r="AF34" t="s">
        <v>420</v>
      </c>
      <c r="AG34" t="s">
        <v>421</v>
      </c>
      <c r="AI34">
        <v>1</v>
      </c>
      <c r="AL34">
        <v>2389</v>
      </c>
      <c r="AM34">
        <v>2389</v>
      </c>
      <c r="AN34">
        <v>2075</v>
      </c>
      <c r="AO34">
        <v>2075</v>
      </c>
      <c r="AP34">
        <v>513</v>
      </c>
      <c r="AQ34">
        <v>747</v>
      </c>
      <c r="AS34">
        <v>37.700000000000003</v>
      </c>
      <c r="AV34">
        <v>1297.7</v>
      </c>
      <c r="AZ34">
        <v>618</v>
      </c>
      <c r="BC34">
        <v>618</v>
      </c>
      <c r="BG34">
        <v>474</v>
      </c>
      <c r="BJ34">
        <v>474</v>
      </c>
      <c r="BQ34">
        <v>0</v>
      </c>
      <c r="BX34">
        <v>0</v>
      </c>
      <c r="CE34">
        <v>0</v>
      </c>
      <c r="CF34">
        <v>513</v>
      </c>
      <c r="CG34">
        <v>747</v>
      </c>
      <c r="CH34">
        <v>0</v>
      </c>
      <c r="CI34">
        <v>1129.7</v>
      </c>
      <c r="CJ34">
        <v>0</v>
      </c>
      <c r="CK34">
        <v>0</v>
      </c>
      <c r="CL34">
        <v>2389.6999999999998</v>
      </c>
      <c r="CM34">
        <v>2</v>
      </c>
      <c r="CN34">
        <v>5</v>
      </c>
      <c r="CP34">
        <v>1</v>
      </c>
      <c r="CS34">
        <v>8</v>
      </c>
      <c r="CW34">
        <v>1</v>
      </c>
      <c r="CZ34">
        <v>1</v>
      </c>
      <c r="DD34">
        <v>2</v>
      </c>
      <c r="DG34">
        <v>2</v>
      </c>
      <c r="DN34">
        <v>0</v>
      </c>
      <c r="DU34">
        <v>0</v>
      </c>
      <c r="EB34">
        <v>0</v>
      </c>
      <c r="EC34">
        <v>2</v>
      </c>
      <c r="ED34">
        <v>5</v>
      </c>
      <c r="EE34">
        <v>0</v>
      </c>
      <c r="EF34">
        <v>4</v>
      </c>
      <c r="EG34">
        <v>0</v>
      </c>
      <c r="EH34">
        <v>0</v>
      </c>
      <c r="EI34">
        <v>11</v>
      </c>
      <c r="EJ34" t="s">
        <v>405</v>
      </c>
      <c r="EK34" t="s">
        <v>405</v>
      </c>
      <c r="EL34" t="s">
        <v>404</v>
      </c>
      <c r="EM34" t="s">
        <v>405</v>
      </c>
      <c r="EN34" t="s">
        <v>404</v>
      </c>
      <c r="EO34" t="s">
        <v>404</v>
      </c>
      <c r="EP34" t="s">
        <v>404</v>
      </c>
      <c r="EQ34" t="s">
        <v>404</v>
      </c>
      <c r="ER34" t="s">
        <v>404</v>
      </c>
      <c r="ES34" t="s">
        <v>405</v>
      </c>
      <c r="ET34" t="s">
        <v>404</v>
      </c>
      <c r="EU34" t="s">
        <v>404</v>
      </c>
      <c r="EV34" t="s">
        <v>404</v>
      </c>
      <c r="EW34" t="s">
        <v>404</v>
      </c>
      <c r="EX34" t="s">
        <v>404</v>
      </c>
      <c r="EY34" t="s">
        <v>405</v>
      </c>
      <c r="EZ34" t="s">
        <v>404</v>
      </c>
      <c r="FA34" t="s">
        <v>404</v>
      </c>
      <c r="FB34" t="s">
        <v>404</v>
      </c>
      <c r="FC34" t="s">
        <v>404</v>
      </c>
      <c r="FD34" t="s">
        <v>404</v>
      </c>
      <c r="FE34" t="s">
        <v>404</v>
      </c>
      <c r="FF34" t="s">
        <v>404</v>
      </c>
      <c r="FG34" t="s">
        <v>404</v>
      </c>
      <c r="FH34" t="s">
        <v>404</v>
      </c>
      <c r="FI34" t="s">
        <v>404</v>
      </c>
      <c r="FJ34" t="s">
        <v>404</v>
      </c>
      <c r="FK34" t="s">
        <v>404</v>
      </c>
      <c r="FL34" t="s">
        <v>404</v>
      </c>
      <c r="FM34" t="s">
        <v>404</v>
      </c>
      <c r="FN34" t="s">
        <v>404</v>
      </c>
      <c r="FO34" t="s">
        <v>404</v>
      </c>
      <c r="FP34" t="s">
        <v>404</v>
      </c>
      <c r="FQ34" t="s">
        <v>404</v>
      </c>
      <c r="FR34" t="s">
        <v>404</v>
      </c>
      <c r="FS34" t="s">
        <v>404</v>
      </c>
      <c r="FT34">
        <v>203</v>
      </c>
      <c r="FU34">
        <v>332</v>
      </c>
      <c r="FW34">
        <v>832</v>
      </c>
      <c r="FZ34">
        <v>1367</v>
      </c>
      <c r="GG34">
        <v>0</v>
      </c>
      <c r="GH34">
        <v>210</v>
      </c>
      <c r="GI34">
        <v>415</v>
      </c>
      <c r="GK34">
        <v>37.700000000000003</v>
      </c>
      <c r="GN34">
        <v>662.7</v>
      </c>
      <c r="GO34">
        <v>100</v>
      </c>
      <c r="GU34">
        <v>100</v>
      </c>
      <c r="HB34">
        <v>0</v>
      </c>
      <c r="HI34">
        <v>0</v>
      </c>
      <c r="HP34">
        <v>0</v>
      </c>
      <c r="HQ34" t="s">
        <v>663</v>
      </c>
      <c r="HU34">
        <v>260</v>
      </c>
      <c r="HX34">
        <v>260</v>
      </c>
      <c r="HY34">
        <v>513</v>
      </c>
      <c r="HZ34">
        <v>747</v>
      </c>
      <c r="IA34">
        <v>0</v>
      </c>
      <c r="IB34">
        <v>1129.7</v>
      </c>
      <c r="IC34">
        <v>0</v>
      </c>
      <c r="ID34">
        <v>0</v>
      </c>
      <c r="IE34">
        <v>2389.6999999999998</v>
      </c>
      <c r="IF34">
        <v>513</v>
      </c>
      <c r="IG34">
        <v>747</v>
      </c>
      <c r="II34">
        <v>511.7</v>
      </c>
      <c r="IL34">
        <v>1771.7</v>
      </c>
      <c r="IS34">
        <v>0</v>
      </c>
      <c r="IW34">
        <v>618</v>
      </c>
      <c r="IZ34">
        <v>618</v>
      </c>
      <c r="JG34">
        <v>0</v>
      </c>
      <c r="JN34">
        <v>0</v>
      </c>
      <c r="JO34">
        <v>513</v>
      </c>
      <c r="JP34">
        <v>747</v>
      </c>
      <c r="JQ34">
        <v>0</v>
      </c>
      <c r="JR34">
        <v>1129.7</v>
      </c>
      <c r="JS34">
        <v>0</v>
      </c>
      <c r="JT34">
        <v>0</v>
      </c>
      <c r="JU34">
        <v>2389.6999999999998</v>
      </c>
      <c r="JV34">
        <v>0</v>
      </c>
      <c r="JX34">
        <v>100</v>
      </c>
      <c r="KA34">
        <v>1</v>
      </c>
      <c r="KB34">
        <v>3</v>
      </c>
      <c r="KC34">
        <v>1</v>
      </c>
      <c r="KD34" t="s">
        <v>407</v>
      </c>
      <c r="OG34" t="s">
        <v>408</v>
      </c>
      <c r="SJ34" t="s">
        <v>409</v>
      </c>
      <c r="WM34" t="s">
        <v>410</v>
      </c>
      <c r="AAP34" t="s">
        <v>411</v>
      </c>
      <c r="AES34" t="s">
        <v>412</v>
      </c>
    </row>
    <row r="35" spans="1:825" x14ac:dyDescent="0.2">
      <c r="A35" t="s">
        <v>664</v>
      </c>
      <c r="B35" t="s">
        <v>414</v>
      </c>
      <c r="C35" t="s">
        <v>665</v>
      </c>
      <c r="P35" t="b">
        <v>0</v>
      </c>
      <c r="Q35" t="b">
        <v>1</v>
      </c>
      <c r="R35" t="b">
        <v>0</v>
      </c>
      <c r="S35" t="b">
        <v>0</v>
      </c>
      <c r="T35" t="b">
        <v>0</v>
      </c>
      <c r="U35" t="b">
        <v>0</v>
      </c>
      <c r="V35">
        <v>714</v>
      </c>
      <c r="W35" s="20">
        <v>43511.28125</v>
      </c>
      <c r="X35" t="s">
        <v>666</v>
      </c>
      <c r="Y35">
        <v>2019</v>
      </c>
      <c r="Z35" t="s">
        <v>667</v>
      </c>
      <c r="AA35" t="s">
        <v>668</v>
      </c>
      <c r="AB35" t="str">
        <f>VLOOKUP(MID(AD35,SEARCH("@",AD35,1),LEN(AD35)-SEARCH("@",AD35,1)+1),[2]Sheet1!$D:$F,3,FALSE)</f>
        <v>M0149</v>
      </c>
      <c r="AC35" t="s">
        <v>669</v>
      </c>
      <c r="AD35" t="s">
        <v>670</v>
      </c>
      <c r="AE35" t="s">
        <v>671</v>
      </c>
      <c r="AF35" t="s">
        <v>537</v>
      </c>
      <c r="AG35" t="s">
        <v>538</v>
      </c>
      <c r="AI35">
        <v>1</v>
      </c>
      <c r="AM35">
        <v>1000</v>
      </c>
      <c r="AO35">
        <v>160</v>
      </c>
      <c r="AP35">
        <v>1000</v>
      </c>
      <c r="AV35">
        <v>1000</v>
      </c>
      <c r="BC35">
        <v>0</v>
      </c>
      <c r="BJ35">
        <v>0</v>
      </c>
      <c r="BQ35">
        <v>0</v>
      </c>
      <c r="BX35">
        <v>0</v>
      </c>
      <c r="CE35">
        <v>0</v>
      </c>
      <c r="CF35">
        <v>1000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1000</v>
      </c>
      <c r="CM35">
        <v>1</v>
      </c>
      <c r="CS35">
        <v>1</v>
      </c>
      <c r="CZ35">
        <v>0</v>
      </c>
      <c r="DG35">
        <v>0</v>
      </c>
      <c r="DN35">
        <v>0</v>
      </c>
      <c r="DU35">
        <v>0</v>
      </c>
      <c r="EB35">
        <v>0</v>
      </c>
      <c r="EC35">
        <v>1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1</v>
      </c>
      <c r="EJ35" t="s">
        <v>405</v>
      </c>
      <c r="EK35" t="s">
        <v>404</v>
      </c>
      <c r="EL35" t="s">
        <v>404</v>
      </c>
      <c r="EM35" t="s">
        <v>404</v>
      </c>
      <c r="EN35" t="s">
        <v>404</v>
      </c>
      <c r="EO35" t="s">
        <v>404</v>
      </c>
      <c r="EP35" t="s">
        <v>404</v>
      </c>
      <c r="EQ35" t="s">
        <v>404</v>
      </c>
      <c r="ER35" t="s">
        <v>404</v>
      </c>
      <c r="ES35" t="s">
        <v>404</v>
      </c>
      <c r="ET35" t="s">
        <v>404</v>
      </c>
      <c r="EU35" t="s">
        <v>404</v>
      </c>
      <c r="EV35" t="s">
        <v>404</v>
      </c>
      <c r="EW35" t="s">
        <v>404</v>
      </c>
      <c r="EX35" t="s">
        <v>404</v>
      </c>
      <c r="EY35" t="s">
        <v>404</v>
      </c>
      <c r="EZ35" t="s">
        <v>404</v>
      </c>
      <c r="FA35" t="s">
        <v>404</v>
      </c>
      <c r="FB35" t="s">
        <v>404</v>
      </c>
      <c r="FC35" t="s">
        <v>404</v>
      </c>
      <c r="FD35" t="s">
        <v>404</v>
      </c>
      <c r="FE35" t="s">
        <v>404</v>
      </c>
      <c r="FF35" t="s">
        <v>404</v>
      </c>
      <c r="FG35" t="s">
        <v>404</v>
      </c>
      <c r="FH35" t="s">
        <v>404</v>
      </c>
      <c r="FI35" t="s">
        <v>404</v>
      </c>
      <c r="FJ35" t="s">
        <v>404</v>
      </c>
      <c r="FK35" t="s">
        <v>404</v>
      </c>
      <c r="FL35" t="s">
        <v>404</v>
      </c>
      <c r="FM35" t="s">
        <v>404</v>
      </c>
      <c r="FN35" t="s">
        <v>404</v>
      </c>
      <c r="FO35" t="s">
        <v>404</v>
      </c>
      <c r="FP35" t="s">
        <v>404</v>
      </c>
      <c r="FQ35" t="s">
        <v>404</v>
      </c>
      <c r="FR35" t="s">
        <v>404</v>
      </c>
      <c r="FS35" t="s">
        <v>404</v>
      </c>
      <c r="FZ35">
        <v>0</v>
      </c>
      <c r="GG35">
        <v>0</v>
      </c>
      <c r="GN35">
        <v>0</v>
      </c>
      <c r="GU35">
        <v>0</v>
      </c>
      <c r="HB35">
        <v>0</v>
      </c>
      <c r="HI35">
        <v>0</v>
      </c>
      <c r="HP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L35">
        <v>0</v>
      </c>
      <c r="IS35">
        <v>0</v>
      </c>
      <c r="IZ35">
        <v>0</v>
      </c>
      <c r="JG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KA35">
        <v>1</v>
      </c>
      <c r="KB35">
        <v>2</v>
      </c>
      <c r="KC35">
        <v>1</v>
      </c>
      <c r="KD35" t="s">
        <v>407</v>
      </c>
      <c r="OG35" t="s">
        <v>408</v>
      </c>
      <c r="SJ35" t="s">
        <v>409</v>
      </c>
      <c r="WM35" t="s">
        <v>410</v>
      </c>
      <c r="AAP35" t="s">
        <v>411</v>
      </c>
      <c r="AES35" t="s">
        <v>412</v>
      </c>
    </row>
    <row r="36" spans="1:825" x14ac:dyDescent="0.2">
      <c r="A36" t="s">
        <v>672</v>
      </c>
      <c r="B36" t="s">
        <v>396</v>
      </c>
      <c r="C36" t="s">
        <v>673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>
        <v>782</v>
      </c>
      <c r="W36" s="20">
        <v>43528.575694444444</v>
      </c>
      <c r="X36" t="s">
        <v>674</v>
      </c>
      <c r="Y36">
        <v>2019</v>
      </c>
      <c r="Z36" t="s">
        <v>675</v>
      </c>
      <c r="AA36" t="s">
        <v>676</v>
      </c>
      <c r="AB36" t="str">
        <f>VLOOKUP(MID(AD36,SEARCH("@",AD36,1),LEN(AD36)-SEARCH("@",AD36,1)+1),[2]Sheet1!$D:$F,3,FALSE)</f>
        <v>M180</v>
      </c>
      <c r="AC36" t="s">
        <v>677</v>
      </c>
      <c r="AD36" t="s">
        <v>678</v>
      </c>
      <c r="AE36" t="s">
        <v>679</v>
      </c>
      <c r="AF36" t="s">
        <v>444</v>
      </c>
      <c r="AG36" t="s">
        <v>403</v>
      </c>
      <c r="AI36">
        <v>1</v>
      </c>
      <c r="AL36">
        <v>2283</v>
      </c>
      <c r="AM36">
        <v>2283</v>
      </c>
      <c r="AN36">
        <v>1619.2</v>
      </c>
      <c r="AO36">
        <v>1619.2</v>
      </c>
      <c r="AV36">
        <v>0</v>
      </c>
      <c r="AW36">
        <v>777</v>
      </c>
      <c r="AX36">
        <v>1463</v>
      </c>
      <c r="AZ36">
        <v>43</v>
      </c>
      <c r="BC36">
        <v>2283</v>
      </c>
      <c r="BJ36">
        <v>0</v>
      </c>
      <c r="BQ36">
        <v>0</v>
      </c>
      <c r="BX36">
        <v>0</v>
      </c>
      <c r="CE36">
        <v>0</v>
      </c>
      <c r="CF36">
        <v>777</v>
      </c>
      <c r="CG36">
        <v>1463</v>
      </c>
      <c r="CH36">
        <v>0</v>
      </c>
      <c r="CI36">
        <v>43</v>
      </c>
      <c r="CJ36">
        <v>0</v>
      </c>
      <c r="CK36">
        <v>0</v>
      </c>
      <c r="CL36">
        <v>2283</v>
      </c>
      <c r="CS36">
        <v>0</v>
      </c>
      <c r="CT36">
        <v>11</v>
      </c>
      <c r="CU36">
        <v>15</v>
      </c>
      <c r="CW36">
        <v>2</v>
      </c>
      <c r="CZ36">
        <v>28</v>
      </c>
      <c r="DG36">
        <v>0</v>
      </c>
      <c r="DN36">
        <v>0</v>
      </c>
      <c r="DU36">
        <v>0</v>
      </c>
      <c r="EB36">
        <v>0</v>
      </c>
      <c r="EC36">
        <v>11</v>
      </c>
      <c r="ED36">
        <v>15</v>
      </c>
      <c r="EE36">
        <v>0</v>
      </c>
      <c r="EF36">
        <v>2</v>
      </c>
      <c r="EG36">
        <v>0</v>
      </c>
      <c r="EH36">
        <v>0</v>
      </c>
      <c r="EI36">
        <v>28</v>
      </c>
      <c r="EJ36" t="s">
        <v>404</v>
      </c>
      <c r="EK36" t="s">
        <v>404</v>
      </c>
      <c r="EL36" t="s">
        <v>404</v>
      </c>
      <c r="EM36" t="s">
        <v>404</v>
      </c>
      <c r="EN36" t="s">
        <v>404</v>
      </c>
      <c r="EO36" t="s">
        <v>404</v>
      </c>
      <c r="EP36" t="s">
        <v>405</v>
      </c>
      <c r="EQ36" t="s">
        <v>405</v>
      </c>
      <c r="ER36" t="s">
        <v>404</v>
      </c>
      <c r="ES36" t="s">
        <v>405</v>
      </c>
      <c r="ET36" t="s">
        <v>404</v>
      </c>
      <c r="EU36" t="s">
        <v>404</v>
      </c>
      <c r="EV36" t="s">
        <v>404</v>
      </c>
      <c r="EW36" t="s">
        <v>404</v>
      </c>
      <c r="EX36" t="s">
        <v>404</v>
      </c>
      <c r="EY36" t="s">
        <v>404</v>
      </c>
      <c r="EZ36" t="s">
        <v>404</v>
      </c>
      <c r="FA36" t="s">
        <v>404</v>
      </c>
      <c r="FB36" t="s">
        <v>404</v>
      </c>
      <c r="FC36" t="s">
        <v>404</v>
      </c>
      <c r="FD36" t="s">
        <v>404</v>
      </c>
      <c r="FE36" t="s">
        <v>404</v>
      </c>
      <c r="FF36" t="s">
        <v>404</v>
      </c>
      <c r="FG36" t="s">
        <v>404</v>
      </c>
      <c r="FH36" t="s">
        <v>404</v>
      </c>
      <c r="FI36" t="s">
        <v>404</v>
      </c>
      <c r="FJ36" t="s">
        <v>404</v>
      </c>
      <c r="FK36" t="s">
        <v>404</v>
      </c>
      <c r="FL36" t="s">
        <v>404</v>
      </c>
      <c r="FM36" t="s">
        <v>404</v>
      </c>
      <c r="FN36" t="s">
        <v>404</v>
      </c>
      <c r="FO36" t="s">
        <v>404</v>
      </c>
      <c r="FP36" t="s">
        <v>404</v>
      </c>
      <c r="FQ36" t="s">
        <v>404</v>
      </c>
      <c r="FR36" t="s">
        <v>404</v>
      </c>
      <c r="FS36" t="s">
        <v>404</v>
      </c>
      <c r="FT36">
        <v>168</v>
      </c>
      <c r="FU36">
        <v>346</v>
      </c>
      <c r="FZ36">
        <v>514</v>
      </c>
      <c r="GA36">
        <v>45</v>
      </c>
      <c r="GB36">
        <v>530</v>
      </c>
      <c r="GD36">
        <v>43</v>
      </c>
      <c r="GG36">
        <v>618</v>
      </c>
      <c r="GH36">
        <v>75</v>
      </c>
      <c r="GI36">
        <v>200</v>
      </c>
      <c r="GN36">
        <v>275</v>
      </c>
      <c r="GU36">
        <v>0</v>
      </c>
      <c r="GV36">
        <v>1</v>
      </c>
      <c r="GW36">
        <v>57</v>
      </c>
      <c r="HB36">
        <v>58</v>
      </c>
      <c r="HI36">
        <v>0</v>
      </c>
      <c r="HP36">
        <v>0</v>
      </c>
      <c r="HQ36" t="s">
        <v>680</v>
      </c>
      <c r="HR36">
        <v>488</v>
      </c>
      <c r="HS36">
        <v>330</v>
      </c>
      <c r="HX36">
        <v>818</v>
      </c>
      <c r="HY36">
        <v>777</v>
      </c>
      <c r="HZ36">
        <v>1463</v>
      </c>
      <c r="IA36">
        <v>0</v>
      </c>
      <c r="IB36">
        <v>43</v>
      </c>
      <c r="IC36">
        <v>0</v>
      </c>
      <c r="ID36">
        <v>0</v>
      </c>
      <c r="IE36">
        <v>2283</v>
      </c>
      <c r="IF36">
        <v>75</v>
      </c>
      <c r="IG36">
        <v>890</v>
      </c>
      <c r="IL36">
        <v>965</v>
      </c>
      <c r="IM36">
        <v>700</v>
      </c>
      <c r="IN36">
        <v>573</v>
      </c>
      <c r="IP36">
        <v>43</v>
      </c>
      <c r="IS36">
        <v>1316</v>
      </c>
      <c r="IZ36">
        <v>0</v>
      </c>
      <c r="JA36">
        <v>2</v>
      </c>
      <c r="JG36">
        <v>2</v>
      </c>
      <c r="JN36">
        <v>0</v>
      </c>
      <c r="JO36">
        <v>777</v>
      </c>
      <c r="JP36">
        <v>1463</v>
      </c>
      <c r="JQ36">
        <v>0</v>
      </c>
      <c r="JR36">
        <v>43</v>
      </c>
      <c r="JS36">
        <v>0</v>
      </c>
      <c r="JT36">
        <v>0</v>
      </c>
      <c r="JU36">
        <v>2283</v>
      </c>
      <c r="JX36">
        <v>100</v>
      </c>
      <c r="KA36">
        <v>1</v>
      </c>
      <c r="KB36">
        <v>3</v>
      </c>
      <c r="KC36">
        <v>1</v>
      </c>
      <c r="KD36" t="s">
        <v>407</v>
      </c>
      <c r="OG36" t="s">
        <v>408</v>
      </c>
      <c r="SJ36" t="s">
        <v>409</v>
      </c>
      <c r="WM36" t="s">
        <v>410</v>
      </c>
      <c r="AAP36" t="s">
        <v>411</v>
      </c>
      <c r="AES36" t="s">
        <v>412</v>
      </c>
    </row>
    <row r="37" spans="1:825" x14ac:dyDescent="0.2">
      <c r="A37" t="s">
        <v>681</v>
      </c>
      <c r="B37" t="s">
        <v>563</v>
      </c>
      <c r="C37" t="s">
        <v>682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>
        <v>598</v>
      </c>
      <c r="W37" s="20">
        <v>43511.940972222219</v>
      </c>
      <c r="X37" t="s">
        <v>683</v>
      </c>
      <c r="Y37">
        <v>2019</v>
      </c>
      <c r="Z37" t="s">
        <v>684</v>
      </c>
      <c r="AA37" t="s">
        <v>682</v>
      </c>
      <c r="AB37" t="str">
        <f>VLOOKUP(MID(AD37,SEARCH("@",AD37,1),LEN(AD37)-SEARCH("@",AD37,1)+1),[2]Sheet1!$D:$F,3,FALSE)</f>
        <v>NC016</v>
      </c>
      <c r="AC37" t="s">
        <v>685</v>
      </c>
      <c r="AD37" t="s">
        <v>686</v>
      </c>
      <c r="AE37">
        <v>9163793800</v>
      </c>
      <c r="AF37" t="s">
        <v>571</v>
      </c>
      <c r="AG37" t="s">
        <v>538</v>
      </c>
      <c r="AI37">
        <v>2</v>
      </c>
      <c r="AJ37">
        <v>6</v>
      </c>
      <c r="AK37" t="s">
        <v>687</v>
      </c>
      <c r="AV37">
        <v>0</v>
      </c>
      <c r="BC37">
        <v>0</v>
      </c>
      <c r="BJ37">
        <v>0</v>
      </c>
      <c r="BQ37">
        <v>0</v>
      </c>
      <c r="BX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S37">
        <v>0</v>
      </c>
      <c r="CZ37">
        <v>0</v>
      </c>
      <c r="DG37">
        <v>0</v>
      </c>
      <c r="DN37">
        <v>0</v>
      </c>
      <c r="DU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 t="s">
        <v>404</v>
      </c>
      <c r="EK37" t="s">
        <v>404</v>
      </c>
      <c r="EL37" t="s">
        <v>404</v>
      </c>
      <c r="EM37" t="s">
        <v>404</v>
      </c>
      <c r="EN37" t="s">
        <v>404</v>
      </c>
      <c r="EO37" t="s">
        <v>404</v>
      </c>
      <c r="EP37" t="s">
        <v>404</v>
      </c>
      <c r="EQ37" t="s">
        <v>404</v>
      </c>
      <c r="ER37" t="s">
        <v>404</v>
      </c>
      <c r="ES37" t="s">
        <v>404</v>
      </c>
      <c r="ET37" t="s">
        <v>404</v>
      </c>
      <c r="EU37" t="s">
        <v>404</v>
      </c>
      <c r="EV37" t="s">
        <v>404</v>
      </c>
      <c r="EW37" t="s">
        <v>404</v>
      </c>
      <c r="EX37" t="s">
        <v>404</v>
      </c>
      <c r="EY37" t="s">
        <v>404</v>
      </c>
      <c r="EZ37" t="s">
        <v>404</v>
      </c>
      <c r="FA37" t="s">
        <v>404</v>
      </c>
      <c r="FB37" t="s">
        <v>404</v>
      </c>
      <c r="FC37" t="s">
        <v>404</v>
      </c>
      <c r="FD37" t="s">
        <v>404</v>
      </c>
      <c r="FE37" t="s">
        <v>404</v>
      </c>
      <c r="FF37" t="s">
        <v>404</v>
      </c>
      <c r="FG37" t="s">
        <v>404</v>
      </c>
      <c r="FH37" t="s">
        <v>404</v>
      </c>
      <c r="FI37" t="s">
        <v>404</v>
      </c>
      <c r="FJ37" t="s">
        <v>404</v>
      </c>
      <c r="FK37" t="s">
        <v>404</v>
      </c>
      <c r="FL37" t="s">
        <v>404</v>
      </c>
      <c r="FM37" t="s">
        <v>404</v>
      </c>
      <c r="FN37" t="s">
        <v>404</v>
      </c>
      <c r="FO37" t="s">
        <v>404</v>
      </c>
      <c r="FP37" t="s">
        <v>404</v>
      </c>
      <c r="FQ37" t="s">
        <v>404</v>
      </c>
      <c r="FR37" t="s">
        <v>404</v>
      </c>
      <c r="FS37" t="s">
        <v>404</v>
      </c>
      <c r="FZ37">
        <v>0</v>
      </c>
      <c r="GG37">
        <v>0</v>
      </c>
      <c r="GN37">
        <v>0</v>
      </c>
      <c r="GU37">
        <v>0</v>
      </c>
      <c r="HB37">
        <v>0</v>
      </c>
      <c r="HI37">
        <v>0</v>
      </c>
      <c r="HP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L37">
        <v>0</v>
      </c>
      <c r="IS37">
        <v>0</v>
      </c>
      <c r="IZ37">
        <v>0</v>
      </c>
      <c r="JG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KA37">
        <v>1</v>
      </c>
      <c r="KB37">
        <v>3</v>
      </c>
      <c r="KC37">
        <v>1</v>
      </c>
      <c r="KD37" t="s">
        <v>407</v>
      </c>
      <c r="OG37" t="s">
        <v>408</v>
      </c>
      <c r="SJ37" t="s">
        <v>409</v>
      </c>
      <c r="WM37" t="s">
        <v>410</v>
      </c>
      <c r="AAP37" t="s">
        <v>411</v>
      </c>
      <c r="AES37" t="s">
        <v>412</v>
      </c>
    </row>
    <row r="38" spans="1:825" x14ac:dyDescent="0.2">
      <c r="A38" t="s">
        <v>688</v>
      </c>
      <c r="B38" t="s">
        <v>396</v>
      </c>
      <c r="C38" t="s">
        <v>689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>
        <v>566</v>
      </c>
      <c r="W38" s="20">
        <v>43483.443749999999</v>
      </c>
      <c r="X38" t="s">
        <v>690</v>
      </c>
      <c r="Y38">
        <v>2019</v>
      </c>
      <c r="Z38" t="s">
        <v>691</v>
      </c>
      <c r="AA38" t="s">
        <v>692</v>
      </c>
      <c r="AB38" t="str">
        <f>VLOOKUP(MID(AD38,SEARCH("@",AD38,1),LEN(AD38)-SEARCH("@",AD38,1)+1),[2]Sheet1!$D:$F,3,FALSE)</f>
        <v>M674</v>
      </c>
      <c r="AC38" t="s">
        <v>693</v>
      </c>
      <c r="AD38" t="s">
        <v>694</v>
      </c>
      <c r="AE38">
        <v>2032017772</v>
      </c>
      <c r="AF38" t="s">
        <v>491</v>
      </c>
      <c r="AG38" t="s">
        <v>492</v>
      </c>
      <c r="AI38">
        <v>1</v>
      </c>
      <c r="AL38">
        <v>725.5</v>
      </c>
      <c r="AM38">
        <v>725.5</v>
      </c>
      <c r="AN38">
        <v>336</v>
      </c>
      <c r="AO38">
        <v>336</v>
      </c>
      <c r="AV38">
        <v>0</v>
      </c>
      <c r="BB38">
        <v>725.5</v>
      </c>
      <c r="BC38">
        <v>725.5</v>
      </c>
      <c r="BJ38">
        <v>0</v>
      </c>
      <c r="BQ38">
        <v>0</v>
      </c>
      <c r="BX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725.5</v>
      </c>
      <c r="CL38">
        <v>725.5</v>
      </c>
      <c r="CS38">
        <v>0</v>
      </c>
      <c r="CY38">
        <v>2</v>
      </c>
      <c r="CZ38">
        <v>2</v>
      </c>
      <c r="DG38">
        <v>0</v>
      </c>
      <c r="DN38">
        <v>0</v>
      </c>
      <c r="DU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2</v>
      </c>
      <c r="EI38">
        <v>2</v>
      </c>
      <c r="EJ38" t="s">
        <v>404</v>
      </c>
      <c r="EK38" t="s">
        <v>404</v>
      </c>
      <c r="EL38" t="s">
        <v>404</v>
      </c>
      <c r="EM38" t="s">
        <v>404</v>
      </c>
      <c r="EN38" t="s">
        <v>404</v>
      </c>
      <c r="EO38" t="s">
        <v>404</v>
      </c>
      <c r="EP38" t="s">
        <v>404</v>
      </c>
      <c r="EQ38" t="s">
        <v>404</v>
      </c>
      <c r="ER38" t="s">
        <v>404</v>
      </c>
      <c r="ES38" t="s">
        <v>404</v>
      </c>
      <c r="ET38" t="s">
        <v>404</v>
      </c>
      <c r="EU38" t="s">
        <v>405</v>
      </c>
      <c r="EV38" t="s">
        <v>404</v>
      </c>
      <c r="EW38" t="s">
        <v>404</v>
      </c>
      <c r="EX38" t="s">
        <v>404</v>
      </c>
      <c r="EY38" t="s">
        <v>404</v>
      </c>
      <c r="EZ38" t="s">
        <v>404</v>
      </c>
      <c r="FA38" t="s">
        <v>404</v>
      </c>
      <c r="FB38" t="s">
        <v>404</v>
      </c>
      <c r="FC38" t="s">
        <v>404</v>
      </c>
      <c r="FD38" t="s">
        <v>404</v>
      </c>
      <c r="FE38" t="s">
        <v>404</v>
      </c>
      <c r="FF38" t="s">
        <v>404</v>
      </c>
      <c r="FG38" t="s">
        <v>404</v>
      </c>
      <c r="FH38" t="s">
        <v>404</v>
      </c>
      <c r="FI38" t="s">
        <v>404</v>
      </c>
      <c r="FJ38" t="s">
        <v>404</v>
      </c>
      <c r="FK38" t="s">
        <v>404</v>
      </c>
      <c r="FL38" t="s">
        <v>404</v>
      </c>
      <c r="FM38" t="s">
        <v>404</v>
      </c>
      <c r="FN38" t="s">
        <v>404</v>
      </c>
      <c r="FO38" t="s">
        <v>404</v>
      </c>
      <c r="FP38" t="s">
        <v>404</v>
      </c>
      <c r="FQ38" t="s">
        <v>404</v>
      </c>
      <c r="FR38" t="s">
        <v>404</v>
      </c>
      <c r="FS38" t="s">
        <v>404</v>
      </c>
      <c r="FY38">
        <v>396.5</v>
      </c>
      <c r="FZ38">
        <v>396.5</v>
      </c>
      <c r="GF38">
        <v>143.5</v>
      </c>
      <c r="GG38">
        <v>143.5</v>
      </c>
      <c r="GM38">
        <v>100</v>
      </c>
      <c r="GN38">
        <v>100</v>
      </c>
      <c r="GU38">
        <v>0</v>
      </c>
      <c r="HB38">
        <v>0</v>
      </c>
      <c r="HH38">
        <v>78</v>
      </c>
      <c r="HI38">
        <v>78</v>
      </c>
      <c r="HP38">
        <v>0</v>
      </c>
      <c r="HW38">
        <v>7.5</v>
      </c>
      <c r="HX38">
        <v>7.5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725.5</v>
      </c>
      <c r="IE38">
        <v>725.5</v>
      </c>
      <c r="IK38">
        <v>7.5</v>
      </c>
      <c r="IL38">
        <v>7.5</v>
      </c>
      <c r="IR38">
        <v>718</v>
      </c>
      <c r="IS38">
        <v>718</v>
      </c>
      <c r="IZ38">
        <v>0</v>
      </c>
      <c r="JG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725.5</v>
      </c>
      <c r="JU38">
        <v>725.5</v>
      </c>
      <c r="JX38">
        <v>100</v>
      </c>
      <c r="KA38">
        <v>3</v>
      </c>
      <c r="KB38">
        <v>3</v>
      </c>
      <c r="KC38">
        <v>1</v>
      </c>
      <c r="KD38" t="s">
        <v>407</v>
      </c>
      <c r="OG38" t="s">
        <v>408</v>
      </c>
      <c r="SJ38" t="s">
        <v>409</v>
      </c>
      <c r="WM38" t="s">
        <v>410</v>
      </c>
      <c r="AAP38" t="s">
        <v>411</v>
      </c>
      <c r="AES38" t="s">
        <v>412</v>
      </c>
    </row>
    <row r="39" spans="1:825" x14ac:dyDescent="0.2">
      <c r="A39" t="s">
        <v>695</v>
      </c>
      <c r="B39" t="s">
        <v>414</v>
      </c>
      <c r="C39" t="s">
        <v>696</v>
      </c>
      <c r="D39" t="s">
        <v>697</v>
      </c>
      <c r="E39" s="3">
        <v>43524.232638888891</v>
      </c>
      <c r="H39" t="s">
        <v>502</v>
      </c>
      <c r="I39" s="3">
        <v>43524.23333333333</v>
      </c>
      <c r="P39" t="b">
        <v>0</v>
      </c>
      <c r="Q39" t="b">
        <v>1</v>
      </c>
      <c r="R39" t="b">
        <v>1</v>
      </c>
      <c r="S39" t="b">
        <v>0</v>
      </c>
      <c r="T39" t="b">
        <v>0</v>
      </c>
      <c r="U39" t="b">
        <v>0</v>
      </c>
      <c r="V39">
        <v>818</v>
      </c>
      <c r="W39" s="20">
        <v>43524.230555555558</v>
      </c>
      <c r="X39" t="s">
        <v>698</v>
      </c>
      <c r="Y39">
        <v>2019</v>
      </c>
      <c r="Z39" t="s">
        <v>699</v>
      </c>
      <c r="AA39" t="s">
        <v>700</v>
      </c>
      <c r="AB39" t="str">
        <f>VLOOKUP(MID(AD39,SEARCH("@",AD39,1),LEN(AD39)-SEARCH("@",AD39,1)+1),[2]Sheet1!$D:$F,3,FALSE)</f>
        <v>M0177</v>
      </c>
      <c r="AC39" t="s">
        <v>701</v>
      </c>
      <c r="AD39" t="s">
        <v>702</v>
      </c>
      <c r="AE39">
        <f>81-3-3246-3332</f>
        <v>-6500</v>
      </c>
      <c r="AF39" t="s">
        <v>703</v>
      </c>
      <c r="AG39" t="s">
        <v>704</v>
      </c>
      <c r="AI39">
        <v>1</v>
      </c>
      <c r="AL39">
        <v>23302</v>
      </c>
      <c r="AM39">
        <v>23302</v>
      </c>
      <c r="AN39">
        <v>23302</v>
      </c>
      <c r="AO39">
        <v>23302</v>
      </c>
      <c r="AP39">
        <v>0</v>
      </c>
      <c r="AQ39">
        <v>14400</v>
      </c>
      <c r="AR39">
        <v>0</v>
      </c>
      <c r="AS39">
        <v>0</v>
      </c>
      <c r="AT39">
        <v>0</v>
      </c>
      <c r="AU39">
        <v>0</v>
      </c>
      <c r="AV39">
        <v>14400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8902</v>
      </c>
      <c r="BH39">
        <v>0</v>
      </c>
      <c r="BI39">
        <v>0</v>
      </c>
      <c r="BJ39">
        <v>8902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14400</v>
      </c>
      <c r="CH39">
        <v>0</v>
      </c>
      <c r="CI39">
        <v>8902</v>
      </c>
      <c r="CJ39">
        <v>0</v>
      </c>
      <c r="CK39">
        <v>0</v>
      </c>
      <c r="CL39">
        <v>23302</v>
      </c>
      <c r="CN39">
        <v>1</v>
      </c>
      <c r="CS39">
        <v>1</v>
      </c>
      <c r="CZ39">
        <v>0</v>
      </c>
      <c r="DD39">
        <v>1</v>
      </c>
      <c r="DG39">
        <v>1</v>
      </c>
      <c r="DN39">
        <v>0</v>
      </c>
      <c r="DU39">
        <v>0</v>
      </c>
      <c r="EB39">
        <v>0</v>
      </c>
      <c r="EC39">
        <v>0</v>
      </c>
      <c r="ED39">
        <v>1</v>
      </c>
      <c r="EE39">
        <v>0</v>
      </c>
      <c r="EF39">
        <v>1</v>
      </c>
      <c r="EG39">
        <v>0</v>
      </c>
      <c r="EH39">
        <v>0</v>
      </c>
      <c r="EI39">
        <v>2</v>
      </c>
      <c r="EJ39" t="s">
        <v>404</v>
      </c>
      <c r="EK39" t="s">
        <v>405</v>
      </c>
      <c r="EL39" t="s">
        <v>404</v>
      </c>
      <c r="EM39" t="s">
        <v>404</v>
      </c>
      <c r="EN39" t="s">
        <v>404</v>
      </c>
      <c r="EO39" t="s">
        <v>404</v>
      </c>
      <c r="EP39" t="s">
        <v>404</v>
      </c>
      <c r="EQ39" t="s">
        <v>404</v>
      </c>
      <c r="ER39" t="s">
        <v>404</v>
      </c>
      <c r="ES39" t="s">
        <v>404</v>
      </c>
      <c r="ET39" t="s">
        <v>404</v>
      </c>
      <c r="EU39" t="s">
        <v>404</v>
      </c>
      <c r="EV39" t="s">
        <v>404</v>
      </c>
      <c r="EW39" t="s">
        <v>404</v>
      </c>
      <c r="EX39" t="s">
        <v>404</v>
      </c>
      <c r="EY39" t="s">
        <v>405</v>
      </c>
      <c r="EZ39" t="s">
        <v>404</v>
      </c>
      <c r="FA39" t="s">
        <v>404</v>
      </c>
      <c r="FB39" t="s">
        <v>404</v>
      </c>
      <c r="FC39" t="s">
        <v>404</v>
      </c>
      <c r="FD39" t="s">
        <v>404</v>
      </c>
      <c r="FE39" t="s">
        <v>404</v>
      </c>
      <c r="FF39" t="s">
        <v>404</v>
      </c>
      <c r="FG39" t="s">
        <v>404</v>
      </c>
      <c r="FH39" t="s">
        <v>404</v>
      </c>
      <c r="FI39" t="s">
        <v>404</v>
      </c>
      <c r="FJ39" t="s">
        <v>404</v>
      </c>
      <c r="FK39" t="s">
        <v>404</v>
      </c>
      <c r="FL39" t="s">
        <v>404</v>
      </c>
      <c r="FM39" t="s">
        <v>404</v>
      </c>
      <c r="FN39" t="s">
        <v>404</v>
      </c>
      <c r="FO39" t="s">
        <v>404</v>
      </c>
      <c r="FP39" t="s">
        <v>404</v>
      </c>
      <c r="FQ39" t="s">
        <v>404</v>
      </c>
      <c r="FR39" t="s">
        <v>404</v>
      </c>
      <c r="FS39" t="s">
        <v>404</v>
      </c>
      <c r="FZ39">
        <v>0</v>
      </c>
      <c r="GG39">
        <v>0</v>
      </c>
      <c r="GN39">
        <v>0</v>
      </c>
      <c r="GU39">
        <v>0</v>
      </c>
      <c r="HB39">
        <v>0</v>
      </c>
      <c r="HI39">
        <v>0</v>
      </c>
      <c r="HP39">
        <v>0</v>
      </c>
      <c r="HQ39" t="s">
        <v>705</v>
      </c>
      <c r="HS39">
        <v>14400</v>
      </c>
      <c r="HU39">
        <v>8902</v>
      </c>
      <c r="HX39">
        <v>23302</v>
      </c>
      <c r="HY39">
        <v>0</v>
      </c>
      <c r="HZ39">
        <v>14400</v>
      </c>
      <c r="IA39">
        <v>0</v>
      </c>
      <c r="IB39">
        <v>8902</v>
      </c>
      <c r="IC39">
        <v>0</v>
      </c>
      <c r="ID39">
        <v>0</v>
      </c>
      <c r="IE39">
        <v>23302</v>
      </c>
      <c r="IG39">
        <v>14400</v>
      </c>
      <c r="II39">
        <v>8902</v>
      </c>
      <c r="IL39">
        <v>23302</v>
      </c>
      <c r="IS39">
        <v>0</v>
      </c>
      <c r="IZ39">
        <v>0</v>
      </c>
      <c r="JG39">
        <v>0</v>
      </c>
      <c r="JN39">
        <v>0</v>
      </c>
      <c r="JO39">
        <v>0</v>
      </c>
      <c r="JP39">
        <v>14400</v>
      </c>
      <c r="JQ39">
        <v>0</v>
      </c>
      <c r="JR39">
        <v>8902</v>
      </c>
      <c r="JS39">
        <v>0</v>
      </c>
      <c r="JT39">
        <v>0</v>
      </c>
      <c r="JU39">
        <v>23302</v>
      </c>
      <c r="JX39">
        <v>100</v>
      </c>
      <c r="KA39">
        <v>3</v>
      </c>
      <c r="KB39">
        <v>3</v>
      </c>
      <c r="KC39">
        <v>2</v>
      </c>
      <c r="KD39" t="s">
        <v>407</v>
      </c>
      <c r="KK39">
        <v>0</v>
      </c>
      <c r="KR39">
        <v>0</v>
      </c>
      <c r="KY39">
        <v>0</v>
      </c>
      <c r="LF39">
        <v>0</v>
      </c>
      <c r="LM39">
        <v>0</v>
      </c>
      <c r="LT39">
        <v>0</v>
      </c>
      <c r="MA39">
        <v>0</v>
      </c>
      <c r="MB39" t="s">
        <v>706</v>
      </c>
      <c r="MD39">
        <v>14400</v>
      </c>
      <c r="MI39">
        <v>14400</v>
      </c>
      <c r="MJ39">
        <v>0</v>
      </c>
      <c r="MK39">
        <v>14400</v>
      </c>
      <c r="ML39">
        <v>0</v>
      </c>
      <c r="MM39">
        <v>0</v>
      </c>
      <c r="MN39">
        <v>0</v>
      </c>
      <c r="MO39">
        <v>0</v>
      </c>
      <c r="MP39">
        <v>14400</v>
      </c>
      <c r="MW39">
        <v>0</v>
      </c>
      <c r="MY39">
        <v>14400</v>
      </c>
      <c r="ND39">
        <v>14400</v>
      </c>
      <c r="NK39">
        <v>0</v>
      </c>
      <c r="NR39">
        <v>0</v>
      </c>
      <c r="NY39">
        <v>0</v>
      </c>
      <c r="NZ39">
        <v>0</v>
      </c>
      <c r="OA39">
        <v>14400</v>
      </c>
      <c r="OB39">
        <v>0</v>
      </c>
      <c r="OC39">
        <v>0</v>
      </c>
      <c r="OD39">
        <v>0</v>
      </c>
      <c r="OE39">
        <v>0</v>
      </c>
      <c r="OF39">
        <v>14400</v>
      </c>
      <c r="OG39" t="s">
        <v>408</v>
      </c>
      <c r="SJ39" t="s">
        <v>409</v>
      </c>
      <c r="SQ39">
        <v>0</v>
      </c>
      <c r="SX39">
        <v>0</v>
      </c>
      <c r="TE39">
        <v>0</v>
      </c>
      <c r="TL39">
        <v>0</v>
      </c>
      <c r="TS39">
        <v>0</v>
      </c>
      <c r="TZ39">
        <v>0</v>
      </c>
      <c r="UG39">
        <v>0</v>
      </c>
      <c r="UH39" t="s">
        <v>705</v>
      </c>
      <c r="UL39">
        <v>8902</v>
      </c>
      <c r="UO39">
        <v>8902</v>
      </c>
      <c r="UP39">
        <v>0</v>
      </c>
      <c r="UQ39">
        <v>0</v>
      </c>
      <c r="UR39">
        <v>0</v>
      </c>
      <c r="US39">
        <v>8902</v>
      </c>
      <c r="UT39">
        <v>0</v>
      </c>
      <c r="UU39">
        <v>0</v>
      </c>
      <c r="UV39">
        <v>8902</v>
      </c>
      <c r="VC39">
        <v>0</v>
      </c>
      <c r="VG39">
        <v>8902</v>
      </c>
      <c r="VJ39">
        <v>8902</v>
      </c>
      <c r="VQ39">
        <v>0</v>
      </c>
      <c r="VX39">
        <v>0</v>
      </c>
      <c r="WE39">
        <v>0</v>
      </c>
      <c r="WF39">
        <v>0</v>
      </c>
      <c r="WG39">
        <v>0</v>
      </c>
      <c r="WH39">
        <v>0</v>
      </c>
      <c r="WI39">
        <v>8902</v>
      </c>
      <c r="WJ39">
        <v>0</v>
      </c>
      <c r="WK39">
        <v>0</v>
      </c>
      <c r="WL39">
        <v>8902</v>
      </c>
      <c r="WM39" t="s">
        <v>410</v>
      </c>
      <c r="AAP39" t="s">
        <v>411</v>
      </c>
      <c r="AES39" t="s">
        <v>412</v>
      </c>
    </row>
    <row r="40" spans="1:825" x14ac:dyDescent="0.2">
      <c r="A40" t="s">
        <v>707</v>
      </c>
      <c r="B40" t="s">
        <v>396</v>
      </c>
      <c r="C40" t="s">
        <v>708</v>
      </c>
      <c r="F40" t="s">
        <v>479</v>
      </c>
      <c r="G40" s="3">
        <v>43517.091666666667</v>
      </c>
      <c r="J40" t="s">
        <v>709</v>
      </c>
      <c r="K40" s="3">
        <v>43517.092361111114</v>
      </c>
      <c r="P40" t="b">
        <v>1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>
        <v>751</v>
      </c>
      <c r="W40" s="20">
        <v>43517.093055555553</v>
      </c>
      <c r="X40" t="s">
        <v>710</v>
      </c>
      <c r="Y40">
        <v>2019</v>
      </c>
      <c r="Z40" t="s">
        <v>711</v>
      </c>
      <c r="AA40" t="s">
        <v>712</v>
      </c>
      <c r="AB40" t="str">
        <f>VLOOKUP(MID(AD40,SEARCH("@",AD40,1),LEN(AD40)-SEARCH("@",AD40,1)+1),[2]Sheet1!$D:$F,3,FALSE)</f>
        <v>M106</v>
      </c>
      <c r="AC40" t="s">
        <v>713</v>
      </c>
      <c r="AD40" t="s">
        <v>714</v>
      </c>
      <c r="AE40">
        <v>61396529415</v>
      </c>
      <c r="AF40" t="s">
        <v>571</v>
      </c>
      <c r="AG40" t="s">
        <v>538</v>
      </c>
      <c r="AI40">
        <v>1</v>
      </c>
      <c r="AL40">
        <v>400</v>
      </c>
      <c r="AM40">
        <v>400</v>
      </c>
      <c r="AN40">
        <v>212</v>
      </c>
      <c r="AO40">
        <v>212</v>
      </c>
      <c r="AV40">
        <v>0</v>
      </c>
      <c r="AW40">
        <v>180</v>
      </c>
      <c r="BC40">
        <v>180</v>
      </c>
      <c r="BJ40">
        <v>0</v>
      </c>
      <c r="BK40">
        <v>67</v>
      </c>
      <c r="BO40">
        <v>153</v>
      </c>
      <c r="BQ40">
        <v>220</v>
      </c>
      <c r="BX40">
        <v>0</v>
      </c>
      <c r="CE40">
        <v>0</v>
      </c>
      <c r="CF40">
        <v>247</v>
      </c>
      <c r="CG40">
        <v>0</v>
      </c>
      <c r="CH40">
        <v>0</v>
      </c>
      <c r="CI40">
        <v>0</v>
      </c>
      <c r="CJ40">
        <v>153</v>
      </c>
      <c r="CK40">
        <v>0</v>
      </c>
      <c r="CL40">
        <v>400</v>
      </c>
      <c r="CS40">
        <v>0</v>
      </c>
      <c r="CT40">
        <v>1</v>
      </c>
      <c r="CZ40">
        <v>1</v>
      </c>
      <c r="DG40">
        <v>0</v>
      </c>
      <c r="DH40">
        <v>1</v>
      </c>
      <c r="DL40">
        <v>1</v>
      </c>
      <c r="DN40">
        <v>2</v>
      </c>
      <c r="DU40">
        <v>0</v>
      </c>
      <c r="EB40">
        <v>0</v>
      </c>
      <c r="EC40">
        <v>2</v>
      </c>
      <c r="ED40">
        <v>0</v>
      </c>
      <c r="EE40">
        <v>0</v>
      </c>
      <c r="EF40">
        <v>0</v>
      </c>
      <c r="EG40">
        <v>1</v>
      </c>
      <c r="EH40">
        <v>0</v>
      </c>
      <c r="EI40">
        <v>3</v>
      </c>
      <c r="EJ40" t="s">
        <v>404</v>
      </c>
      <c r="EK40" t="s">
        <v>404</v>
      </c>
      <c r="EL40" t="s">
        <v>404</v>
      </c>
      <c r="EM40" t="s">
        <v>404</v>
      </c>
      <c r="EN40" t="s">
        <v>404</v>
      </c>
      <c r="EO40" t="s">
        <v>404</v>
      </c>
      <c r="EP40" t="s">
        <v>405</v>
      </c>
      <c r="EQ40" t="s">
        <v>404</v>
      </c>
      <c r="ER40" t="s">
        <v>404</v>
      </c>
      <c r="ES40" t="s">
        <v>404</v>
      </c>
      <c r="ET40" t="s">
        <v>404</v>
      </c>
      <c r="EU40" t="s">
        <v>404</v>
      </c>
      <c r="EV40" t="s">
        <v>404</v>
      </c>
      <c r="EW40" t="s">
        <v>404</v>
      </c>
      <c r="EX40" t="s">
        <v>404</v>
      </c>
      <c r="EY40" t="s">
        <v>404</v>
      </c>
      <c r="EZ40" t="s">
        <v>404</v>
      </c>
      <c r="FA40" t="s">
        <v>404</v>
      </c>
      <c r="FB40" t="s">
        <v>405</v>
      </c>
      <c r="FC40" t="s">
        <v>404</v>
      </c>
      <c r="FD40" t="s">
        <v>404</v>
      </c>
      <c r="FE40" t="s">
        <v>404</v>
      </c>
      <c r="FF40" t="s">
        <v>405</v>
      </c>
      <c r="FG40" t="s">
        <v>404</v>
      </c>
      <c r="FH40" t="s">
        <v>404</v>
      </c>
      <c r="FI40" t="s">
        <v>404</v>
      </c>
      <c r="FJ40" t="s">
        <v>404</v>
      </c>
      <c r="FK40" t="s">
        <v>404</v>
      </c>
      <c r="FL40" t="s">
        <v>404</v>
      </c>
      <c r="FM40" t="s">
        <v>404</v>
      </c>
      <c r="FN40" t="s">
        <v>404</v>
      </c>
      <c r="FO40" t="s">
        <v>404</v>
      </c>
      <c r="FP40" t="s">
        <v>404</v>
      </c>
      <c r="FQ40" t="s">
        <v>404</v>
      </c>
      <c r="FR40" t="s">
        <v>404</v>
      </c>
      <c r="FS40" t="s">
        <v>404</v>
      </c>
      <c r="FT40">
        <v>216</v>
      </c>
      <c r="FX40">
        <v>102</v>
      </c>
      <c r="FZ40">
        <v>318</v>
      </c>
      <c r="GG40">
        <v>0</v>
      </c>
      <c r="GN40">
        <v>0</v>
      </c>
      <c r="GU40">
        <v>0</v>
      </c>
      <c r="HB40">
        <v>0</v>
      </c>
      <c r="HI40">
        <v>0</v>
      </c>
      <c r="HJ40">
        <v>31</v>
      </c>
      <c r="HN40">
        <v>51</v>
      </c>
      <c r="HP40">
        <v>82</v>
      </c>
      <c r="HX40">
        <v>0</v>
      </c>
      <c r="HY40">
        <v>247</v>
      </c>
      <c r="HZ40">
        <v>0</v>
      </c>
      <c r="IA40">
        <v>0</v>
      </c>
      <c r="IB40">
        <v>0</v>
      </c>
      <c r="IC40">
        <v>153</v>
      </c>
      <c r="ID40">
        <v>0</v>
      </c>
      <c r="IE40">
        <v>400</v>
      </c>
      <c r="IL40">
        <v>0</v>
      </c>
      <c r="IM40">
        <v>178</v>
      </c>
      <c r="IS40">
        <v>178</v>
      </c>
      <c r="IT40">
        <v>70</v>
      </c>
      <c r="IX40">
        <v>152</v>
      </c>
      <c r="IZ40">
        <v>222</v>
      </c>
      <c r="JG40">
        <v>0</v>
      </c>
      <c r="JN40">
        <v>0</v>
      </c>
      <c r="JO40">
        <v>248</v>
      </c>
      <c r="JP40">
        <v>0</v>
      </c>
      <c r="JQ40">
        <v>0</v>
      </c>
      <c r="JR40">
        <v>0</v>
      </c>
      <c r="JS40">
        <v>152</v>
      </c>
      <c r="JT40">
        <v>0</v>
      </c>
      <c r="JU40">
        <v>400</v>
      </c>
      <c r="JX40">
        <v>100</v>
      </c>
      <c r="KA40">
        <v>1</v>
      </c>
      <c r="KB40">
        <v>3</v>
      </c>
      <c r="KC40">
        <v>1</v>
      </c>
      <c r="KD40" t="s">
        <v>407</v>
      </c>
      <c r="OG40" t="s">
        <v>408</v>
      </c>
      <c r="OH40">
        <v>180</v>
      </c>
      <c r="ON40">
        <v>180</v>
      </c>
      <c r="OU40">
        <v>0</v>
      </c>
      <c r="PB40">
        <v>0</v>
      </c>
      <c r="PI40">
        <v>0</v>
      </c>
      <c r="PP40">
        <v>0</v>
      </c>
      <c r="PW40">
        <v>0</v>
      </c>
      <c r="QD40">
        <v>0</v>
      </c>
      <c r="QL40">
        <v>0</v>
      </c>
      <c r="QM40">
        <v>180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180</v>
      </c>
      <c r="QT40">
        <v>167</v>
      </c>
      <c r="QZ40">
        <v>167</v>
      </c>
      <c r="RG40">
        <v>0</v>
      </c>
      <c r="RH40">
        <v>13</v>
      </c>
      <c r="RN40">
        <v>13</v>
      </c>
      <c r="RU40">
        <v>0</v>
      </c>
      <c r="SB40">
        <v>0</v>
      </c>
      <c r="SC40">
        <v>180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180</v>
      </c>
      <c r="SJ40" t="s">
        <v>409</v>
      </c>
      <c r="WM40" t="s">
        <v>410</v>
      </c>
      <c r="WN40">
        <v>137</v>
      </c>
      <c r="WT40">
        <v>137</v>
      </c>
      <c r="XA40">
        <v>0</v>
      </c>
      <c r="XH40">
        <v>0</v>
      </c>
      <c r="XO40">
        <v>0</v>
      </c>
      <c r="XV40">
        <v>0</v>
      </c>
      <c r="YC40">
        <v>0</v>
      </c>
      <c r="YD40">
        <v>83</v>
      </c>
      <c r="YJ40">
        <v>83</v>
      </c>
      <c r="YR40">
        <v>0</v>
      </c>
      <c r="YS40">
        <v>220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220</v>
      </c>
      <c r="ZF40">
        <v>0</v>
      </c>
      <c r="ZM40">
        <v>0</v>
      </c>
      <c r="ZN40">
        <v>220</v>
      </c>
      <c r="ZT40">
        <v>220</v>
      </c>
      <c r="AAA40">
        <v>0</v>
      </c>
      <c r="AAH40">
        <v>0</v>
      </c>
      <c r="AAI40">
        <v>220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220</v>
      </c>
      <c r="AAP40" t="s">
        <v>411</v>
      </c>
      <c r="AES40" t="s">
        <v>412</v>
      </c>
    </row>
    <row r="41" spans="1:825" x14ac:dyDescent="0.2">
      <c r="A41" t="s">
        <v>715</v>
      </c>
      <c r="B41" t="s">
        <v>396</v>
      </c>
      <c r="C41" t="s">
        <v>716</v>
      </c>
      <c r="P41" t="b">
        <v>1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>
        <v>822</v>
      </c>
      <c r="W41" s="20">
        <v>43532.622916666667</v>
      </c>
      <c r="X41" t="s">
        <v>717</v>
      </c>
      <c r="Y41">
        <v>2019</v>
      </c>
      <c r="Z41" t="s">
        <v>718</v>
      </c>
      <c r="AA41" t="s">
        <v>719</v>
      </c>
      <c r="AB41" t="str">
        <f>VLOOKUP(MID(AD41,SEARCH("@",AD41,1),LEN(AD41)-SEARCH("@",AD41,1)+1),[2]Sheet1!$D:$F,3,FALSE)</f>
        <v>M675</v>
      </c>
      <c r="AC41" t="s">
        <v>720</v>
      </c>
      <c r="AD41" t="s">
        <v>721</v>
      </c>
      <c r="AF41" t="s">
        <v>491</v>
      </c>
      <c r="AG41" t="s">
        <v>403</v>
      </c>
      <c r="AI41">
        <v>1</v>
      </c>
      <c r="AL41">
        <v>1022.476211</v>
      </c>
      <c r="AM41">
        <v>1022.476211</v>
      </c>
      <c r="AN41">
        <v>17.102387</v>
      </c>
      <c r="AO41">
        <v>17.102387</v>
      </c>
      <c r="AV41">
        <v>0</v>
      </c>
      <c r="BA41">
        <v>135.36313000000001</v>
      </c>
      <c r="BC41">
        <v>135.36313000000001</v>
      </c>
      <c r="BJ41">
        <v>0</v>
      </c>
      <c r="BO41">
        <v>887.11308099999997</v>
      </c>
      <c r="BQ41">
        <v>887.11308099999997</v>
      </c>
      <c r="BX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1022.476211</v>
      </c>
      <c r="CK41">
        <v>0</v>
      </c>
      <c r="CL41">
        <v>1022.476211</v>
      </c>
      <c r="CS41">
        <v>0</v>
      </c>
      <c r="CX41">
        <v>2</v>
      </c>
      <c r="CZ41">
        <v>2</v>
      </c>
      <c r="DG41">
        <v>0</v>
      </c>
      <c r="DL41">
        <v>1</v>
      </c>
      <c r="DN41">
        <v>1</v>
      </c>
      <c r="DU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3</v>
      </c>
      <c r="EH41">
        <v>0</v>
      </c>
      <c r="EI41">
        <v>3</v>
      </c>
      <c r="EJ41" t="s">
        <v>404</v>
      </c>
      <c r="EK41" t="s">
        <v>404</v>
      </c>
      <c r="EL41" t="s">
        <v>404</v>
      </c>
      <c r="EM41" t="s">
        <v>404</v>
      </c>
      <c r="EN41" t="s">
        <v>404</v>
      </c>
      <c r="EO41" t="s">
        <v>404</v>
      </c>
      <c r="EP41" t="s">
        <v>404</v>
      </c>
      <c r="EQ41" t="s">
        <v>404</v>
      </c>
      <c r="ER41" t="s">
        <v>404</v>
      </c>
      <c r="ES41" t="s">
        <v>404</v>
      </c>
      <c r="ET41" t="s">
        <v>405</v>
      </c>
      <c r="EU41" t="s">
        <v>404</v>
      </c>
      <c r="EV41" t="s">
        <v>404</v>
      </c>
      <c r="EW41" t="s">
        <v>404</v>
      </c>
      <c r="EX41" t="s">
        <v>404</v>
      </c>
      <c r="EY41" t="s">
        <v>404</v>
      </c>
      <c r="EZ41" t="s">
        <v>404</v>
      </c>
      <c r="FA41" t="s">
        <v>404</v>
      </c>
      <c r="FB41" t="s">
        <v>404</v>
      </c>
      <c r="FC41" t="s">
        <v>404</v>
      </c>
      <c r="FD41" t="s">
        <v>404</v>
      </c>
      <c r="FE41" t="s">
        <v>404</v>
      </c>
      <c r="FF41" t="s">
        <v>405</v>
      </c>
      <c r="FG41" t="s">
        <v>404</v>
      </c>
      <c r="FH41" t="s">
        <v>404</v>
      </c>
      <c r="FI41" t="s">
        <v>404</v>
      </c>
      <c r="FJ41" t="s">
        <v>404</v>
      </c>
      <c r="FK41" t="s">
        <v>404</v>
      </c>
      <c r="FL41" t="s">
        <v>404</v>
      </c>
      <c r="FM41" t="s">
        <v>404</v>
      </c>
      <c r="FN41" t="s">
        <v>404</v>
      </c>
      <c r="FO41" t="s">
        <v>404</v>
      </c>
      <c r="FP41" t="s">
        <v>404</v>
      </c>
      <c r="FQ41" t="s">
        <v>404</v>
      </c>
      <c r="FR41" t="s">
        <v>404</v>
      </c>
      <c r="FS41" t="s">
        <v>404</v>
      </c>
      <c r="FZ41">
        <v>0</v>
      </c>
      <c r="GG41">
        <v>0</v>
      </c>
      <c r="GN41">
        <v>0</v>
      </c>
      <c r="GU41">
        <v>0</v>
      </c>
      <c r="HB41">
        <v>0</v>
      </c>
      <c r="HG41">
        <v>1022.47621</v>
      </c>
      <c r="HI41">
        <v>1022.47621</v>
      </c>
      <c r="HP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1022.47621</v>
      </c>
      <c r="ID41">
        <v>0</v>
      </c>
      <c r="IE41">
        <v>1022.47621</v>
      </c>
      <c r="IJ41">
        <v>887.11308099999997</v>
      </c>
      <c r="IL41">
        <v>887.11308099999997</v>
      </c>
      <c r="IQ41">
        <v>135.36313000000001</v>
      </c>
      <c r="IS41">
        <v>135.36313000000001</v>
      </c>
      <c r="IZ41">
        <v>0</v>
      </c>
      <c r="JG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1022.476211</v>
      </c>
      <c r="JT41">
        <v>0</v>
      </c>
      <c r="JU41">
        <v>1022.476211</v>
      </c>
      <c r="JX41">
        <v>100</v>
      </c>
      <c r="KA41">
        <v>2</v>
      </c>
      <c r="KB41">
        <v>2</v>
      </c>
      <c r="KC41">
        <v>2</v>
      </c>
      <c r="KD41" t="s">
        <v>407</v>
      </c>
      <c r="OG41" t="s">
        <v>408</v>
      </c>
      <c r="SJ41" t="s">
        <v>409</v>
      </c>
      <c r="WM41" t="s">
        <v>410</v>
      </c>
      <c r="AAP41" t="s">
        <v>411</v>
      </c>
      <c r="AES41" t="s">
        <v>412</v>
      </c>
    </row>
    <row r="42" spans="1:825" x14ac:dyDescent="0.2">
      <c r="A42" t="s">
        <v>722</v>
      </c>
      <c r="B42" t="s">
        <v>396</v>
      </c>
      <c r="C42" t="s">
        <v>723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>
        <v>569</v>
      </c>
      <c r="W42" s="20">
        <v>43475.543055555558</v>
      </c>
      <c r="X42" t="s">
        <v>724</v>
      </c>
      <c r="Y42">
        <v>2019</v>
      </c>
      <c r="Z42" t="s">
        <v>725</v>
      </c>
      <c r="AA42" t="s">
        <v>723</v>
      </c>
      <c r="AB42" t="str">
        <f>VLOOKUP(MID(AD42,SEARCH("@",AD42,1),LEN(AD42)-SEARCH("@",AD42,1)+1),[2]Sheet1!$D:$F,3,FALSE)</f>
        <v>M628</v>
      </c>
      <c r="AC42" t="s">
        <v>726</v>
      </c>
      <c r="AD42" t="s">
        <v>727</v>
      </c>
      <c r="AF42" t="s">
        <v>728</v>
      </c>
      <c r="AG42" t="s">
        <v>403</v>
      </c>
      <c r="AI42">
        <v>1</v>
      </c>
      <c r="AL42">
        <v>350</v>
      </c>
      <c r="AM42">
        <v>350</v>
      </c>
      <c r="AN42">
        <v>180</v>
      </c>
      <c r="AO42">
        <v>180</v>
      </c>
      <c r="AV42">
        <v>0</v>
      </c>
      <c r="AW42">
        <v>350</v>
      </c>
      <c r="BC42">
        <v>350</v>
      </c>
      <c r="BJ42">
        <v>0</v>
      </c>
      <c r="BQ42">
        <v>0</v>
      </c>
      <c r="BX42">
        <v>0</v>
      </c>
      <c r="CE42">
        <v>0</v>
      </c>
      <c r="CF42">
        <v>350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350</v>
      </c>
      <c r="CS42">
        <v>0</v>
      </c>
      <c r="CT42">
        <v>1</v>
      </c>
      <c r="CZ42">
        <v>1</v>
      </c>
      <c r="DG42">
        <v>0</v>
      </c>
      <c r="DN42">
        <v>0</v>
      </c>
      <c r="DU42">
        <v>0</v>
      </c>
      <c r="EB42">
        <v>0</v>
      </c>
      <c r="EC42">
        <v>1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1</v>
      </c>
      <c r="EJ42" t="s">
        <v>404</v>
      </c>
      <c r="EK42" t="s">
        <v>404</v>
      </c>
      <c r="EL42" t="s">
        <v>404</v>
      </c>
      <c r="EM42" t="s">
        <v>404</v>
      </c>
      <c r="EN42" t="s">
        <v>404</v>
      </c>
      <c r="EO42" t="s">
        <v>404</v>
      </c>
      <c r="EP42" t="s">
        <v>405</v>
      </c>
      <c r="EQ42" t="s">
        <v>404</v>
      </c>
      <c r="ER42" t="s">
        <v>404</v>
      </c>
      <c r="ES42" t="s">
        <v>404</v>
      </c>
      <c r="ET42" t="s">
        <v>404</v>
      </c>
      <c r="EU42" t="s">
        <v>404</v>
      </c>
      <c r="EV42" t="s">
        <v>404</v>
      </c>
      <c r="EW42" t="s">
        <v>404</v>
      </c>
      <c r="EX42" t="s">
        <v>404</v>
      </c>
      <c r="EY42" t="s">
        <v>404</v>
      </c>
      <c r="EZ42" t="s">
        <v>404</v>
      </c>
      <c r="FA42" t="s">
        <v>404</v>
      </c>
      <c r="FB42" t="s">
        <v>404</v>
      </c>
      <c r="FC42" t="s">
        <v>404</v>
      </c>
      <c r="FD42" t="s">
        <v>404</v>
      </c>
      <c r="FE42" t="s">
        <v>404</v>
      </c>
      <c r="FF42" t="s">
        <v>404</v>
      </c>
      <c r="FG42" t="s">
        <v>404</v>
      </c>
      <c r="FH42" t="s">
        <v>404</v>
      </c>
      <c r="FI42" t="s">
        <v>404</v>
      </c>
      <c r="FJ42" t="s">
        <v>404</v>
      </c>
      <c r="FK42" t="s">
        <v>404</v>
      </c>
      <c r="FL42" t="s">
        <v>404</v>
      </c>
      <c r="FM42" t="s">
        <v>404</v>
      </c>
      <c r="FN42" t="s">
        <v>404</v>
      </c>
      <c r="FO42" t="s">
        <v>404</v>
      </c>
      <c r="FP42" t="s">
        <v>404</v>
      </c>
      <c r="FQ42" t="s">
        <v>404</v>
      </c>
      <c r="FR42" t="s">
        <v>404</v>
      </c>
      <c r="FS42" t="s">
        <v>404</v>
      </c>
      <c r="FT42">
        <v>50</v>
      </c>
      <c r="FZ42">
        <v>50</v>
      </c>
      <c r="GA42">
        <v>300</v>
      </c>
      <c r="GG42">
        <v>300</v>
      </c>
      <c r="GN42">
        <v>0</v>
      </c>
      <c r="GU42">
        <v>0</v>
      </c>
      <c r="HB42">
        <v>0</v>
      </c>
      <c r="HI42">
        <v>0</v>
      </c>
      <c r="HP42">
        <v>0</v>
      </c>
      <c r="HX42">
        <v>0</v>
      </c>
      <c r="HY42">
        <v>350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350</v>
      </c>
      <c r="IF42">
        <v>30</v>
      </c>
      <c r="IL42">
        <v>30</v>
      </c>
      <c r="IM42">
        <v>320</v>
      </c>
      <c r="IS42">
        <v>320</v>
      </c>
      <c r="IZ42">
        <v>0</v>
      </c>
      <c r="JG42">
        <v>0</v>
      </c>
      <c r="JN42">
        <v>0</v>
      </c>
      <c r="JO42">
        <v>350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350</v>
      </c>
      <c r="JX42">
        <v>100</v>
      </c>
      <c r="KA42">
        <v>2</v>
      </c>
      <c r="KB42">
        <v>3</v>
      </c>
      <c r="KC42">
        <v>1</v>
      </c>
      <c r="KD42" t="s">
        <v>407</v>
      </c>
      <c r="OG42" t="s">
        <v>408</v>
      </c>
      <c r="SJ42" t="s">
        <v>409</v>
      </c>
      <c r="WM42" t="s">
        <v>410</v>
      </c>
      <c r="AAP42" t="s">
        <v>411</v>
      </c>
      <c r="AES42" t="s">
        <v>412</v>
      </c>
    </row>
    <row r="43" spans="1:825" x14ac:dyDescent="0.2">
      <c r="A43" t="s">
        <v>729</v>
      </c>
      <c r="B43" t="s">
        <v>396</v>
      </c>
      <c r="C43" t="s">
        <v>730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>
        <v>737</v>
      </c>
      <c r="W43" s="20">
        <v>43514.416666666664</v>
      </c>
      <c r="X43" t="s">
        <v>731</v>
      </c>
      <c r="Y43">
        <v>2019</v>
      </c>
      <c r="Z43" t="s">
        <v>732</v>
      </c>
      <c r="AA43" t="s">
        <v>733</v>
      </c>
      <c r="AB43" t="str">
        <f>VLOOKUP(MID(AD43,SEARCH("@",AD43,1),LEN(AD43)-SEARCH("@",AD43,1)+1),[2]Sheet1!$D:$F,3,FALSE)</f>
        <v>M666</v>
      </c>
      <c r="AC43" t="s">
        <v>734</v>
      </c>
      <c r="AD43" t="s">
        <v>735</v>
      </c>
      <c r="AE43">
        <v>442070420617</v>
      </c>
      <c r="AF43" t="s">
        <v>491</v>
      </c>
      <c r="AG43" t="s">
        <v>492</v>
      </c>
      <c r="AI43">
        <v>1</v>
      </c>
      <c r="AL43">
        <v>488</v>
      </c>
      <c r="AM43">
        <v>488</v>
      </c>
      <c r="AN43">
        <v>135</v>
      </c>
      <c r="AO43">
        <v>135</v>
      </c>
      <c r="AV43">
        <v>0</v>
      </c>
      <c r="BB43">
        <v>488</v>
      </c>
      <c r="BC43">
        <v>488</v>
      </c>
      <c r="BJ43">
        <v>0</v>
      </c>
      <c r="BQ43">
        <v>0</v>
      </c>
      <c r="BX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488</v>
      </c>
      <c r="CL43">
        <v>488</v>
      </c>
      <c r="CS43">
        <v>0</v>
      </c>
      <c r="CY43">
        <v>1</v>
      </c>
      <c r="CZ43">
        <v>1</v>
      </c>
      <c r="DG43">
        <v>0</v>
      </c>
      <c r="DN43">
        <v>0</v>
      </c>
      <c r="DU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1</v>
      </c>
      <c r="EI43">
        <v>1</v>
      </c>
      <c r="EJ43" t="s">
        <v>404</v>
      </c>
      <c r="EK43" t="s">
        <v>404</v>
      </c>
      <c r="EL43" t="s">
        <v>404</v>
      </c>
      <c r="EM43" t="s">
        <v>404</v>
      </c>
      <c r="EN43" t="s">
        <v>404</v>
      </c>
      <c r="EO43" t="s">
        <v>404</v>
      </c>
      <c r="EP43" t="s">
        <v>404</v>
      </c>
      <c r="EQ43" t="s">
        <v>404</v>
      </c>
      <c r="ER43" t="s">
        <v>404</v>
      </c>
      <c r="ES43" t="s">
        <v>404</v>
      </c>
      <c r="ET43" t="s">
        <v>404</v>
      </c>
      <c r="EU43" t="s">
        <v>405</v>
      </c>
      <c r="EV43" t="s">
        <v>404</v>
      </c>
      <c r="EW43" t="s">
        <v>404</v>
      </c>
      <c r="EX43" t="s">
        <v>404</v>
      </c>
      <c r="EY43" t="s">
        <v>404</v>
      </c>
      <c r="EZ43" t="s">
        <v>404</v>
      </c>
      <c r="FA43" t="s">
        <v>404</v>
      </c>
      <c r="FB43" t="s">
        <v>404</v>
      </c>
      <c r="FC43" t="s">
        <v>404</v>
      </c>
      <c r="FD43" t="s">
        <v>404</v>
      </c>
      <c r="FE43" t="s">
        <v>404</v>
      </c>
      <c r="FF43" t="s">
        <v>404</v>
      </c>
      <c r="FG43" t="s">
        <v>404</v>
      </c>
      <c r="FH43" t="s">
        <v>404</v>
      </c>
      <c r="FI43" t="s">
        <v>404</v>
      </c>
      <c r="FJ43" t="s">
        <v>404</v>
      </c>
      <c r="FK43" t="s">
        <v>404</v>
      </c>
      <c r="FL43" t="s">
        <v>404</v>
      </c>
      <c r="FM43" t="s">
        <v>404</v>
      </c>
      <c r="FN43" t="s">
        <v>404</v>
      </c>
      <c r="FO43" t="s">
        <v>404</v>
      </c>
      <c r="FP43" t="s">
        <v>404</v>
      </c>
      <c r="FQ43" t="s">
        <v>404</v>
      </c>
      <c r="FR43" t="s">
        <v>404</v>
      </c>
      <c r="FS43" t="s">
        <v>404</v>
      </c>
      <c r="FY43">
        <v>488</v>
      </c>
      <c r="FZ43">
        <v>488</v>
      </c>
      <c r="GG43">
        <v>0</v>
      </c>
      <c r="GN43">
        <v>0</v>
      </c>
      <c r="GU43">
        <v>0</v>
      </c>
      <c r="HB43">
        <v>0</v>
      </c>
      <c r="HI43">
        <v>0</v>
      </c>
      <c r="HP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488</v>
      </c>
      <c r="IE43">
        <v>488</v>
      </c>
      <c r="IL43">
        <v>0</v>
      </c>
      <c r="IR43">
        <v>488</v>
      </c>
      <c r="IS43">
        <v>488</v>
      </c>
      <c r="IZ43">
        <v>0</v>
      </c>
      <c r="JG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488</v>
      </c>
      <c r="JU43">
        <v>488</v>
      </c>
      <c r="JX43">
        <v>100</v>
      </c>
      <c r="KA43">
        <v>1</v>
      </c>
      <c r="KB43">
        <v>3</v>
      </c>
      <c r="KC43">
        <v>1</v>
      </c>
      <c r="KD43" t="s">
        <v>407</v>
      </c>
      <c r="OG43" t="s">
        <v>408</v>
      </c>
      <c r="SJ43" t="s">
        <v>409</v>
      </c>
      <c r="WM43" t="s">
        <v>410</v>
      </c>
      <c r="AAP43" t="s">
        <v>411</v>
      </c>
      <c r="AES43" t="s">
        <v>412</v>
      </c>
    </row>
    <row r="44" spans="1:825" x14ac:dyDescent="0.2">
      <c r="A44" t="s">
        <v>736</v>
      </c>
      <c r="B44" t="s">
        <v>563</v>
      </c>
      <c r="C44" t="s">
        <v>737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b">
        <v>0</v>
      </c>
      <c r="V44">
        <v>596</v>
      </c>
      <c r="W44" s="20">
        <v>43516.104166666664</v>
      </c>
      <c r="X44" t="s">
        <v>738</v>
      </c>
      <c r="Y44">
        <v>2019</v>
      </c>
      <c r="Z44" t="s">
        <v>739</v>
      </c>
      <c r="AA44" t="s">
        <v>737</v>
      </c>
      <c r="AB44" t="str">
        <f>VLOOKUP(MID(AD44,SEARCH("@",AD44,1),LEN(AD44)-SEARCH("@",AD44,1)+1),[2]Sheet1!$D:$F,3,FALSE)</f>
        <v>NC018</v>
      </c>
      <c r="AC44" t="s">
        <v>740</v>
      </c>
      <c r="AD44" t="s">
        <v>741</v>
      </c>
      <c r="AE44">
        <v>3033176464</v>
      </c>
      <c r="AF44" t="s">
        <v>571</v>
      </c>
      <c r="AG44" t="s">
        <v>538</v>
      </c>
      <c r="AI44">
        <v>1</v>
      </c>
      <c r="AL44">
        <v>221.4</v>
      </c>
      <c r="AM44">
        <v>221.4</v>
      </c>
      <c r="AN44">
        <v>171.4</v>
      </c>
      <c r="AO44">
        <v>171.4</v>
      </c>
      <c r="AV44">
        <v>0</v>
      </c>
      <c r="BC44">
        <v>0</v>
      </c>
      <c r="BD44">
        <v>50</v>
      </c>
      <c r="BE44">
        <v>171.4</v>
      </c>
      <c r="BJ44">
        <v>221.4</v>
      </c>
      <c r="BQ44">
        <v>0</v>
      </c>
      <c r="BX44">
        <v>0</v>
      </c>
      <c r="CE44">
        <v>0</v>
      </c>
      <c r="CF44">
        <v>50</v>
      </c>
      <c r="CG44">
        <v>171.4</v>
      </c>
      <c r="CH44">
        <v>0</v>
      </c>
      <c r="CI44">
        <v>0</v>
      </c>
      <c r="CJ44">
        <v>0</v>
      </c>
      <c r="CK44">
        <v>0</v>
      </c>
      <c r="CL44">
        <v>221.4</v>
      </c>
      <c r="CS44">
        <v>0</v>
      </c>
      <c r="CZ44">
        <v>0</v>
      </c>
      <c r="DA44">
        <v>1</v>
      </c>
      <c r="DB44">
        <v>2</v>
      </c>
      <c r="DG44">
        <v>3</v>
      </c>
      <c r="DN44">
        <v>0</v>
      </c>
      <c r="DU44">
        <v>0</v>
      </c>
      <c r="EB44">
        <v>0</v>
      </c>
      <c r="EC44">
        <v>1</v>
      </c>
      <c r="ED44">
        <v>2</v>
      </c>
      <c r="EE44">
        <v>0</v>
      </c>
      <c r="EF44">
        <v>0</v>
      </c>
      <c r="EG44">
        <v>0</v>
      </c>
      <c r="EH44">
        <v>0</v>
      </c>
      <c r="EI44">
        <v>3</v>
      </c>
      <c r="EJ44" t="s">
        <v>404</v>
      </c>
      <c r="EK44" t="s">
        <v>404</v>
      </c>
      <c r="EL44" t="s">
        <v>404</v>
      </c>
      <c r="EM44" t="s">
        <v>404</v>
      </c>
      <c r="EN44" t="s">
        <v>404</v>
      </c>
      <c r="EO44" t="s">
        <v>404</v>
      </c>
      <c r="EP44" t="s">
        <v>404</v>
      </c>
      <c r="EQ44" t="s">
        <v>404</v>
      </c>
      <c r="ER44" t="s">
        <v>404</v>
      </c>
      <c r="ES44" t="s">
        <v>404</v>
      </c>
      <c r="ET44" t="s">
        <v>404</v>
      </c>
      <c r="EU44" t="s">
        <v>404</v>
      </c>
      <c r="EV44" t="s">
        <v>405</v>
      </c>
      <c r="EW44" t="s">
        <v>405</v>
      </c>
      <c r="EX44" t="s">
        <v>404</v>
      </c>
      <c r="EY44" t="s">
        <v>404</v>
      </c>
      <c r="EZ44" t="s">
        <v>404</v>
      </c>
      <c r="FA44" t="s">
        <v>404</v>
      </c>
      <c r="FB44" t="s">
        <v>404</v>
      </c>
      <c r="FC44" t="s">
        <v>404</v>
      </c>
      <c r="FD44" t="s">
        <v>404</v>
      </c>
      <c r="FE44" t="s">
        <v>404</v>
      </c>
      <c r="FF44" t="s">
        <v>404</v>
      </c>
      <c r="FG44" t="s">
        <v>404</v>
      </c>
      <c r="FH44" t="s">
        <v>404</v>
      </c>
      <c r="FI44" t="s">
        <v>404</v>
      </c>
      <c r="FJ44" t="s">
        <v>404</v>
      </c>
      <c r="FK44" t="s">
        <v>404</v>
      </c>
      <c r="FL44" t="s">
        <v>404</v>
      </c>
      <c r="FM44" t="s">
        <v>404</v>
      </c>
      <c r="FN44" t="s">
        <v>404</v>
      </c>
      <c r="FO44" t="s">
        <v>404</v>
      </c>
      <c r="FP44" t="s">
        <v>404</v>
      </c>
      <c r="FQ44" t="s">
        <v>404</v>
      </c>
      <c r="FR44" t="s">
        <v>404</v>
      </c>
      <c r="FS44" t="s">
        <v>404</v>
      </c>
      <c r="FT44">
        <v>50</v>
      </c>
      <c r="FU44">
        <v>171.4</v>
      </c>
      <c r="FZ44">
        <v>221.4</v>
      </c>
      <c r="GG44">
        <v>0</v>
      </c>
      <c r="GN44">
        <v>0</v>
      </c>
      <c r="GU44">
        <v>0</v>
      </c>
      <c r="HB44">
        <v>0</v>
      </c>
      <c r="HI44">
        <v>0</v>
      </c>
      <c r="HP44">
        <v>0</v>
      </c>
      <c r="HX44">
        <v>0</v>
      </c>
      <c r="HY44">
        <v>50</v>
      </c>
      <c r="HZ44">
        <v>171.4</v>
      </c>
      <c r="IA44">
        <v>0</v>
      </c>
      <c r="IB44">
        <v>0</v>
      </c>
      <c r="IC44">
        <v>0</v>
      </c>
      <c r="ID44">
        <v>0</v>
      </c>
      <c r="IE44">
        <v>221.4</v>
      </c>
      <c r="IL44">
        <v>0</v>
      </c>
      <c r="IS44">
        <v>0</v>
      </c>
      <c r="IT44">
        <v>50</v>
      </c>
      <c r="IU44">
        <v>171.4</v>
      </c>
      <c r="IZ44">
        <v>221.4</v>
      </c>
      <c r="JG44">
        <v>0</v>
      </c>
      <c r="JN44">
        <v>0</v>
      </c>
      <c r="JO44">
        <v>50</v>
      </c>
      <c r="JP44">
        <v>171.4</v>
      </c>
      <c r="JQ44">
        <v>0</v>
      </c>
      <c r="JR44">
        <v>0</v>
      </c>
      <c r="JS44">
        <v>0</v>
      </c>
      <c r="JT44">
        <v>0</v>
      </c>
      <c r="JU44">
        <v>221.4</v>
      </c>
      <c r="JX44">
        <v>100</v>
      </c>
      <c r="KA44">
        <v>1</v>
      </c>
      <c r="KB44">
        <v>3</v>
      </c>
      <c r="KC44">
        <v>1</v>
      </c>
      <c r="KD44" t="s">
        <v>407</v>
      </c>
      <c r="OG44" t="s">
        <v>408</v>
      </c>
      <c r="SJ44" t="s">
        <v>409</v>
      </c>
      <c r="WM44" t="s">
        <v>410</v>
      </c>
      <c r="AAP44" t="s">
        <v>411</v>
      </c>
      <c r="AES44" t="s">
        <v>412</v>
      </c>
    </row>
    <row r="45" spans="1:825" x14ac:dyDescent="0.2">
      <c r="A45" t="s">
        <v>742</v>
      </c>
      <c r="B45" t="s">
        <v>396</v>
      </c>
      <c r="C45" t="s">
        <v>743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>
        <v>621</v>
      </c>
      <c r="W45" s="20">
        <v>43514.932638888888</v>
      </c>
      <c r="X45" t="s">
        <v>744</v>
      </c>
      <c r="Y45">
        <v>2019</v>
      </c>
      <c r="Z45" t="s">
        <v>745</v>
      </c>
      <c r="AA45" t="s">
        <v>743</v>
      </c>
      <c r="AB45" t="str">
        <f>VLOOKUP(MID(AD45,SEARCH("@",AD45,1),LEN(AD45)-SEARCH("@",AD45,1)+1),[2]Sheet1!$D:$F,3,FALSE)</f>
        <v>M03109</v>
      </c>
      <c r="AC45" t="s">
        <v>685</v>
      </c>
      <c r="AD45" t="s">
        <v>746</v>
      </c>
      <c r="AE45">
        <v>7745045077</v>
      </c>
      <c r="AF45" t="s">
        <v>491</v>
      </c>
      <c r="AG45" t="s">
        <v>492</v>
      </c>
      <c r="AI45">
        <v>1</v>
      </c>
      <c r="AL45">
        <v>242</v>
      </c>
      <c r="AM45">
        <v>242</v>
      </c>
      <c r="AN45">
        <v>100</v>
      </c>
      <c r="AO45">
        <v>100</v>
      </c>
      <c r="AV45">
        <v>0</v>
      </c>
      <c r="AX45">
        <v>242</v>
      </c>
      <c r="BC45">
        <v>242</v>
      </c>
      <c r="BJ45">
        <v>0</v>
      </c>
      <c r="BQ45">
        <v>0</v>
      </c>
      <c r="BX45">
        <v>0</v>
      </c>
      <c r="CE45">
        <v>0</v>
      </c>
      <c r="CF45">
        <v>0</v>
      </c>
      <c r="CG45">
        <v>242</v>
      </c>
      <c r="CH45">
        <v>0</v>
      </c>
      <c r="CI45">
        <v>0</v>
      </c>
      <c r="CJ45">
        <v>0</v>
      </c>
      <c r="CK45">
        <v>0</v>
      </c>
      <c r="CL45">
        <v>242</v>
      </c>
      <c r="CS45">
        <v>0</v>
      </c>
      <c r="CU45">
        <v>2</v>
      </c>
      <c r="CZ45">
        <v>2</v>
      </c>
      <c r="DG45">
        <v>0</v>
      </c>
      <c r="DN45">
        <v>0</v>
      </c>
      <c r="DU45">
        <v>0</v>
      </c>
      <c r="EB45">
        <v>0</v>
      </c>
      <c r="EC45">
        <v>0</v>
      </c>
      <c r="ED45">
        <v>2</v>
      </c>
      <c r="EE45">
        <v>0</v>
      </c>
      <c r="EF45">
        <v>0</v>
      </c>
      <c r="EG45">
        <v>0</v>
      </c>
      <c r="EH45">
        <v>0</v>
      </c>
      <c r="EI45">
        <v>2</v>
      </c>
      <c r="EJ45" t="s">
        <v>404</v>
      </c>
      <c r="EK45" t="s">
        <v>404</v>
      </c>
      <c r="EL45" t="s">
        <v>404</v>
      </c>
      <c r="EM45" t="s">
        <v>404</v>
      </c>
      <c r="EN45" t="s">
        <v>404</v>
      </c>
      <c r="EO45" t="s">
        <v>404</v>
      </c>
      <c r="EP45" t="s">
        <v>404</v>
      </c>
      <c r="EQ45" t="s">
        <v>405</v>
      </c>
      <c r="ER45" t="s">
        <v>404</v>
      </c>
      <c r="ES45" t="s">
        <v>404</v>
      </c>
      <c r="ET45" t="s">
        <v>404</v>
      </c>
      <c r="EU45" t="s">
        <v>404</v>
      </c>
      <c r="EV45" t="s">
        <v>404</v>
      </c>
      <c r="EW45" t="s">
        <v>404</v>
      </c>
      <c r="EX45" t="s">
        <v>404</v>
      </c>
      <c r="EY45" t="s">
        <v>404</v>
      </c>
      <c r="EZ45" t="s">
        <v>404</v>
      </c>
      <c r="FA45" t="s">
        <v>404</v>
      </c>
      <c r="FB45" t="s">
        <v>404</v>
      </c>
      <c r="FC45" t="s">
        <v>404</v>
      </c>
      <c r="FD45" t="s">
        <v>404</v>
      </c>
      <c r="FE45" t="s">
        <v>404</v>
      </c>
      <c r="FF45" t="s">
        <v>404</v>
      </c>
      <c r="FG45" t="s">
        <v>404</v>
      </c>
      <c r="FH45" t="s">
        <v>404</v>
      </c>
      <c r="FI45" t="s">
        <v>404</v>
      </c>
      <c r="FJ45" t="s">
        <v>404</v>
      </c>
      <c r="FK45" t="s">
        <v>404</v>
      </c>
      <c r="FL45" t="s">
        <v>404</v>
      </c>
      <c r="FM45" t="s">
        <v>404</v>
      </c>
      <c r="FN45" t="s">
        <v>404</v>
      </c>
      <c r="FO45" t="s">
        <v>404</v>
      </c>
      <c r="FP45" t="s">
        <v>404</v>
      </c>
      <c r="FQ45" t="s">
        <v>404</v>
      </c>
      <c r="FR45" t="s">
        <v>404</v>
      </c>
      <c r="FS45" t="s">
        <v>404</v>
      </c>
      <c r="FU45">
        <v>220</v>
      </c>
      <c r="FZ45">
        <v>220</v>
      </c>
      <c r="GG45">
        <v>0</v>
      </c>
      <c r="GN45">
        <v>0</v>
      </c>
      <c r="GU45">
        <v>0</v>
      </c>
      <c r="HB45">
        <v>0</v>
      </c>
      <c r="HI45">
        <v>0</v>
      </c>
      <c r="HK45">
        <v>22</v>
      </c>
      <c r="HP45">
        <v>22</v>
      </c>
      <c r="HX45">
        <v>0</v>
      </c>
      <c r="HY45">
        <v>0</v>
      </c>
      <c r="HZ45">
        <v>242</v>
      </c>
      <c r="IA45">
        <v>0</v>
      </c>
      <c r="IB45">
        <v>0</v>
      </c>
      <c r="IC45">
        <v>0</v>
      </c>
      <c r="ID45">
        <v>0</v>
      </c>
      <c r="IE45">
        <v>242</v>
      </c>
      <c r="IG45">
        <v>22</v>
      </c>
      <c r="IL45">
        <v>22</v>
      </c>
      <c r="IS45">
        <v>0</v>
      </c>
      <c r="IU45">
        <v>220</v>
      </c>
      <c r="IZ45">
        <v>220</v>
      </c>
      <c r="JG45">
        <v>0</v>
      </c>
      <c r="JN45">
        <v>0</v>
      </c>
      <c r="JO45">
        <v>0</v>
      </c>
      <c r="JP45">
        <v>242</v>
      </c>
      <c r="JQ45">
        <v>0</v>
      </c>
      <c r="JR45">
        <v>0</v>
      </c>
      <c r="JS45">
        <v>0</v>
      </c>
      <c r="JT45">
        <v>0</v>
      </c>
      <c r="JU45">
        <v>242</v>
      </c>
      <c r="JX45">
        <v>100</v>
      </c>
      <c r="KA45">
        <v>1</v>
      </c>
      <c r="KB45">
        <v>3</v>
      </c>
      <c r="KC45">
        <v>1</v>
      </c>
      <c r="KD45" t="s">
        <v>407</v>
      </c>
      <c r="OG45" t="s">
        <v>408</v>
      </c>
      <c r="SJ45" t="s">
        <v>409</v>
      </c>
      <c r="WM45" t="s">
        <v>410</v>
      </c>
      <c r="AAP45" t="s">
        <v>411</v>
      </c>
      <c r="AES45" t="s">
        <v>412</v>
      </c>
    </row>
    <row r="46" spans="1:825" x14ac:dyDescent="0.2">
      <c r="A46" t="s">
        <v>747</v>
      </c>
      <c r="B46" t="s">
        <v>396</v>
      </c>
      <c r="C46" t="s">
        <v>748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>
        <v>805</v>
      </c>
      <c r="W46" s="20">
        <v>43531.674305555556</v>
      </c>
      <c r="X46" t="s">
        <v>749</v>
      </c>
      <c r="Y46">
        <v>2019</v>
      </c>
      <c r="Z46" t="s">
        <v>750</v>
      </c>
      <c r="AA46" t="s">
        <v>751</v>
      </c>
      <c r="AB46" t="str">
        <f>VLOOKUP(MID(AD46,SEARCH("@",AD46,1),LEN(AD46)-SEARCH("@",AD46,1)+1),[2]Sheet1!$D:$F,3,FALSE)</f>
        <v>M300</v>
      </c>
      <c r="AC46" t="s">
        <v>752</v>
      </c>
      <c r="AD46" t="s">
        <v>753</v>
      </c>
      <c r="AF46" t="s">
        <v>444</v>
      </c>
      <c r="AG46" t="s">
        <v>403</v>
      </c>
      <c r="AI46">
        <v>1</v>
      </c>
      <c r="AL46">
        <v>120</v>
      </c>
      <c r="AM46">
        <v>120</v>
      </c>
      <c r="AN46">
        <v>100</v>
      </c>
      <c r="AO46">
        <v>100</v>
      </c>
      <c r="AV46">
        <v>0</v>
      </c>
      <c r="AW46">
        <v>30</v>
      </c>
      <c r="AZ46">
        <v>90</v>
      </c>
      <c r="BC46">
        <v>120</v>
      </c>
      <c r="BJ46">
        <v>0</v>
      </c>
      <c r="BQ46">
        <v>0</v>
      </c>
      <c r="BX46">
        <v>0</v>
      </c>
      <c r="CE46">
        <v>0</v>
      </c>
      <c r="CF46">
        <v>30</v>
      </c>
      <c r="CG46">
        <v>0</v>
      </c>
      <c r="CH46">
        <v>0</v>
      </c>
      <c r="CI46">
        <v>90</v>
      </c>
      <c r="CJ46">
        <v>0</v>
      </c>
      <c r="CK46">
        <v>0</v>
      </c>
      <c r="CL46">
        <v>120</v>
      </c>
      <c r="CS46">
        <v>0</v>
      </c>
      <c r="CT46">
        <v>1</v>
      </c>
      <c r="CW46">
        <v>1</v>
      </c>
      <c r="CZ46">
        <v>2</v>
      </c>
      <c r="DG46">
        <v>0</v>
      </c>
      <c r="DN46">
        <v>0</v>
      </c>
      <c r="DU46">
        <v>0</v>
      </c>
      <c r="EB46">
        <v>0</v>
      </c>
      <c r="EC46">
        <v>1</v>
      </c>
      <c r="ED46">
        <v>0</v>
      </c>
      <c r="EE46">
        <v>0</v>
      </c>
      <c r="EF46">
        <v>1</v>
      </c>
      <c r="EG46">
        <v>0</v>
      </c>
      <c r="EH46">
        <v>0</v>
      </c>
      <c r="EI46">
        <v>2</v>
      </c>
      <c r="EJ46" t="s">
        <v>404</v>
      </c>
      <c r="EK46" t="s">
        <v>404</v>
      </c>
      <c r="EL46" t="s">
        <v>404</v>
      </c>
      <c r="EM46" t="s">
        <v>404</v>
      </c>
      <c r="EN46" t="s">
        <v>404</v>
      </c>
      <c r="EO46" t="s">
        <v>404</v>
      </c>
      <c r="EP46" t="s">
        <v>405</v>
      </c>
      <c r="EQ46" t="s">
        <v>404</v>
      </c>
      <c r="ER46" t="s">
        <v>404</v>
      </c>
      <c r="ES46" t="s">
        <v>405</v>
      </c>
      <c r="ET46" t="s">
        <v>404</v>
      </c>
      <c r="EU46" t="s">
        <v>404</v>
      </c>
      <c r="EV46" t="s">
        <v>404</v>
      </c>
      <c r="EW46" t="s">
        <v>404</v>
      </c>
      <c r="EX46" t="s">
        <v>404</v>
      </c>
      <c r="EY46" t="s">
        <v>404</v>
      </c>
      <c r="EZ46" t="s">
        <v>404</v>
      </c>
      <c r="FA46" t="s">
        <v>404</v>
      </c>
      <c r="FB46" t="s">
        <v>404</v>
      </c>
      <c r="FC46" t="s">
        <v>404</v>
      </c>
      <c r="FD46" t="s">
        <v>404</v>
      </c>
      <c r="FE46" t="s">
        <v>404</v>
      </c>
      <c r="FF46" t="s">
        <v>404</v>
      </c>
      <c r="FG46" t="s">
        <v>404</v>
      </c>
      <c r="FH46" t="s">
        <v>404</v>
      </c>
      <c r="FI46" t="s">
        <v>404</v>
      </c>
      <c r="FJ46" t="s">
        <v>404</v>
      </c>
      <c r="FK46" t="s">
        <v>404</v>
      </c>
      <c r="FL46" t="s">
        <v>404</v>
      </c>
      <c r="FM46" t="s">
        <v>404</v>
      </c>
      <c r="FN46" t="s">
        <v>404</v>
      </c>
      <c r="FO46" t="s">
        <v>404</v>
      </c>
      <c r="FP46" t="s">
        <v>404</v>
      </c>
      <c r="FQ46" t="s">
        <v>404</v>
      </c>
      <c r="FR46" t="s">
        <v>404</v>
      </c>
      <c r="FS46" t="s">
        <v>404</v>
      </c>
      <c r="FT46">
        <v>30</v>
      </c>
      <c r="FZ46">
        <v>30</v>
      </c>
      <c r="GG46">
        <v>0</v>
      </c>
      <c r="GN46">
        <v>0</v>
      </c>
      <c r="GU46">
        <v>0</v>
      </c>
      <c r="HB46">
        <v>0</v>
      </c>
      <c r="HI46">
        <v>0</v>
      </c>
      <c r="HP46">
        <v>0</v>
      </c>
      <c r="HQ46" t="s">
        <v>754</v>
      </c>
      <c r="HU46">
        <v>90</v>
      </c>
      <c r="HX46">
        <v>90</v>
      </c>
      <c r="HY46">
        <v>30</v>
      </c>
      <c r="HZ46">
        <v>0</v>
      </c>
      <c r="IA46">
        <v>0</v>
      </c>
      <c r="IB46">
        <v>90</v>
      </c>
      <c r="IC46">
        <v>0</v>
      </c>
      <c r="ID46">
        <v>0</v>
      </c>
      <c r="IE46">
        <v>120</v>
      </c>
      <c r="IL46">
        <v>0</v>
      </c>
      <c r="IM46">
        <v>30</v>
      </c>
      <c r="IP46">
        <v>90</v>
      </c>
      <c r="IS46">
        <v>120</v>
      </c>
      <c r="IZ46">
        <v>0</v>
      </c>
      <c r="JG46">
        <v>0</v>
      </c>
      <c r="JN46">
        <v>0</v>
      </c>
      <c r="JO46">
        <v>30</v>
      </c>
      <c r="JP46">
        <v>0</v>
      </c>
      <c r="JQ46">
        <v>0</v>
      </c>
      <c r="JR46">
        <v>90</v>
      </c>
      <c r="JS46">
        <v>0</v>
      </c>
      <c r="JT46">
        <v>0</v>
      </c>
      <c r="JU46">
        <v>120</v>
      </c>
      <c r="JV46">
        <v>10</v>
      </c>
      <c r="JX46">
        <v>90</v>
      </c>
      <c r="KA46">
        <v>1</v>
      </c>
      <c r="KB46">
        <v>2</v>
      </c>
      <c r="KC46">
        <v>1</v>
      </c>
      <c r="KD46" t="s">
        <v>407</v>
      </c>
      <c r="OG46" t="s">
        <v>408</v>
      </c>
      <c r="SJ46" t="s">
        <v>409</v>
      </c>
      <c r="WM46" t="s">
        <v>410</v>
      </c>
      <c r="AAP46" t="s">
        <v>411</v>
      </c>
      <c r="AES46" t="s">
        <v>412</v>
      </c>
    </row>
    <row r="47" spans="1:825" x14ac:dyDescent="0.2">
      <c r="A47" t="s">
        <v>755</v>
      </c>
      <c r="B47" t="s">
        <v>563</v>
      </c>
      <c r="C47" t="s">
        <v>756</v>
      </c>
      <c r="P47" t="b">
        <v>1</v>
      </c>
      <c r="Q47" t="b">
        <v>1</v>
      </c>
      <c r="R47" t="b">
        <v>1</v>
      </c>
      <c r="S47" t="b">
        <v>0</v>
      </c>
      <c r="T47" t="b">
        <v>1</v>
      </c>
      <c r="U47" t="b">
        <v>0</v>
      </c>
      <c r="V47">
        <v>612</v>
      </c>
      <c r="W47" s="20">
        <v>43525.885416666664</v>
      </c>
      <c r="X47" t="s">
        <v>757</v>
      </c>
      <c r="Y47">
        <v>2019</v>
      </c>
      <c r="Z47" t="s">
        <v>758</v>
      </c>
      <c r="AA47" t="s">
        <v>759</v>
      </c>
      <c r="AB47" t="str">
        <f>VLOOKUP(MID(AD47,SEARCH("@",AD47,1),LEN(AD47)-SEARCH("@",AD47,1)+1),[2]Sheet1!$D:$F,3,FALSE)</f>
        <v>M03148</v>
      </c>
      <c r="AD47" t="s">
        <v>760</v>
      </c>
      <c r="AE47">
        <v>9733554979</v>
      </c>
      <c r="AF47" t="s">
        <v>571</v>
      </c>
      <c r="AG47" t="s">
        <v>538</v>
      </c>
      <c r="AI47">
        <v>1</v>
      </c>
      <c r="AL47">
        <v>12125</v>
      </c>
      <c r="AN47">
        <v>12125</v>
      </c>
      <c r="AQ47">
        <v>500</v>
      </c>
      <c r="AU47">
        <v>811.7</v>
      </c>
      <c r="AV47">
        <v>1311.7</v>
      </c>
      <c r="BB47">
        <v>32.4</v>
      </c>
      <c r="BC47">
        <v>32.4</v>
      </c>
      <c r="BD47">
        <v>694.8</v>
      </c>
      <c r="BE47">
        <v>493.2</v>
      </c>
      <c r="BG47">
        <v>562.1</v>
      </c>
      <c r="BI47">
        <v>8700</v>
      </c>
      <c r="BJ47">
        <v>10450.1</v>
      </c>
      <c r="BQ47">
        <v>0</v>
      </c>
      <c r="BW47">
        <v>330.4</v>
      </c>
      <c r="BX47">
        <v>330.4</v>
      </c>
      <c r="CE47">
        <v>0</v>
      </c>
      <c r="CF47">
        <v>694.8</v>
      </c>
      <c r="CG47">
        <v>993.2</v>
      </c>
      <c r="CH47">
        <v>0</v>
      </c>
      <c r="CI47">
        <v>562.1</v>
      </c>
      <c r="CJ47">
        <v>0</v>
      </c>
      <c r="CK47">
        <v>9874.5</v>
      </c>
      <c r="CL47">
        <v>12124.6</v>
      </c>
      <c r="CN47">
        <v>1</v>
      </c>
      <c r="CR47">
        <v>1</v>
      </c>
      <c r="CS47">
        <v>2</v>
      </c>
      <c r="CY47">
        <v>1</v>
      </c>
      <c r="CZ47">
        <v>1</v>
      </c>
      <c r="DA47">
        <v>2</v>
      </c>
      <c r="DB47">
        <v>2</v>
      </c>
      <c r="DD47">
        <v>7</v>
      </c>
      <c r="DF47">
        <v>3</v>
      </c>
      <c r="DG47">
        <v>14</v>
      </c>
      <c r="DN47">
        <v>0</v>
      </c>
      <c r="DT47">
        <v>1</v>
      </c>
      <c r="DU47">
        <v>1</v>
      </c>
      <c r="EB47">
        <v>0</v>
      </c>
      <c r="EC47">
        <v>2</v>
      </c>
      <c r="ED47">
        <v>3</v>
      </c>
      <c r="EE47">
        <v>0</v>
      </c>
      <c r="EF47">
        <v>7</v>
      </c>
      <c r="EG47">
        <v>0</v>
      </c>
      <c r="EH47">
        <v>6</v>
      </c>
      <c r="EI47">
        <v>18</v>
      </c>
      <c r="EJ47" t="s">
        <v>404</v>
      </c>
      <c r="EK47" t="s">
        <v>405</v>
      </c>
      <c r="EL47" t="s">
        <v>404</v>
      </c>
      <c r="EM47" t="s">
        <v>404</v>
      </c>
      <c r="EN47" t="s">
        <v>404</v>
      </c>
      <c r="EO47" t="s">
        <v>405</v>
      </c>
      <c r="EP47" t="s">
        <v>404</v>
      </c>
      <c r="EQ47" t="s">
        <v>404</v>
      </c>
      <c r="ER47" t="s">
        <v>404</v>
      </c>
      <c r="ES47" t="s">
        <v>404</v>
      </c>
      <c r="ET47" t="s">
        <v>404</v>
      </c>
      <c r="EU47" t="s">
        <v>405</v>
      </c>
      <c r="EV47" t="s">
        <v>405</v>
      </c>
      <c r="EW47" t="s">
        <v>405</v>
      </c>
      <c r="EX47" t="s">
        <v>404</v>
      </c>
      <c r="EY47" t="s">
        <v>405</v>
      </c>
      <c r="EZ47" t="s">
        <v>404</v>
      </c>
      <c r="FA47" t="s">
        <v>405</v>
      </c>
      <c r="FB47" t="s">
        <v>404</v>
      </c>
      <c r="FC47" t="s">
        <v>404</v>
      </c>
      <c r="FD47" t="s">
        <v>404</v>
      </c>
      <c r="FE47" t="s">
        <v>404</v>
      </c>
      <c r="FF47" t="s">
        <v>404</v>
      </c>
      <c r="FG47" t="s">
        <v>404</v>
      </c>
      <c r="FH47" t="s">
        <v>404</v>
      </c>
      <c r="FI47" t="s">
        <v>404</v>
      </c>
      <c r="FJ47" t="s">
        <v>404</v>
      </c>
      <c r="FK47" t="s">
        <v>404</v>
      </c>
      <c r="FL47" t="s">
        <v>404</v>
      </c>
      <c r="FM47" t="s">
        <v>405</v>
      </c>
      <c r="FN47" t="s">
        <v>404</v>
      </c>
      <c r="FO47" t="s">
        <v>404</v>
      </c>
      <c r="FP47" t="s">
        <v>404</v>
      </c>
      <c r="FQ47" t="s">
        <v>404</v>
      </c>
      <c r="FR47" t="s">
        <v>404</v>
      </c>
      <c r="FS47" t="s">
        <v>404</v>
      </c>
      <c r="FT47">
        <v>25.1</v>
      </c>
      <c r="FZ47">
        <v>25.1</v>
      </c>
      <c r="GA47">
        <v>550.5</v>
      </c>
      <c r="GB47">
        <v>960</v>
      </c>
      <c r="GD47">
        <v>43.9</v>
      </c>
      <c r="GF47">
        <v>9874.5</v>
      </c>
      <c r="GG47">
        <v>11428.9</v>
      </c>
      <c r="GK47">
        <v>314.39999999999998</v>
      </c>
      <c r="GN47">
        <v>314.39999999999998</v>
      </c>
      <c r="GO47">
        <v>90.9</v>
      </c>
      <c r="GP47">
        <v>33.1</v>
      </c>
      <c r="GR47">
        <v>203.9</v>
      </c>
      <c r="GU47">
        <v>327.9</v>
      </c>
      <c r="HB47">
        <v>0</v>
      </c>
      <c r="HC47">
        <v>5.2</v>
      </c>
      <c r="HI47">
        <v>5.2</v>
      </c>
      <c r="HP47">
        <v>0</v>
      </c>
      <c r="HQ47" t="s">
        <v>761</v>
      </c>
      <c r="HR47">
        <v>23.1</v>
      </c>
      <c r="HX47">
        <v>23.1</v>
      </c>
      <c r="HY47">
        <v>694.8</v>
      </c>
      <c r="HZ47">
        <v>993.1</v>
      </c>
      <c r="IA47">
        <v>0</v>
      </c>
      <c r="IB47">
        <v>562.20000000000005</v>
      </c>
      <c r="IC47">
        <v>0</v>
      </c>
      <c r="ID47">
        <v>9874.5</v>
      </c>
      <c r="IE47">
        <v>12124.6</v>
      </c>
      <c r="IF47">
        <v>185.13</v>
      </c>
      <c r="IL47">
        <v>185.13</v>
      </c>
      <c r="IM47">
        <v>15.1</v>
      </c>
      <c r="IP47">
        <v>60.89</v>
      </c>
      <c r="IS47">
        <v>75.989999999999995</v>
      </c>
      <c r="IT47">
        <v>494.6</v>
      </c>
      <c r="IU47">
        <v>993.2</v>
      </c>
      <c r="IW47">
        <v>247.77</v>
      </c>
      <c r="IY47">
        <v>9874.5</v>
      </c>
      <c r="IZ47">
        <v>11610.07</v>
      </c>
      <c r="JG47">
        <v>0</v>
      </c>
      <c r="JK47">
        <v>253.41</v>
      </c>
      <c r="JN47">
        <v>253.41</v>
      </c>
      <c r="JO47">
        <v>694.83</v>
      </c>
      <c r="JP47">
        <v>993.2</v>
      </c>
      <c r="JQ47">
        <v>0</v>
      </c>
      <c r="JR47">
        <v>562.07000000000005</v>
      </c>
      <c r="JS47">
        <v>0</v>
      </c>
      <c r="JT47">
        <v>9874.5</v>
      </c>
      <c r="JU47">
        <v>12124.6</v>
      </c>
      <c r="JX47">
        <v>100</v>
      </c>
      <c r="KA47">
        <v>1</v>
      </c>
      <c r="KB47">
        <v>1</v>
      </c>
      <c r="KC47">
        <v>1</v>
      </c>
      <c r="KD47" t="s">
        <v>407</v>
      </c>
      <c r="OG47" t="s">
        <v>408</v>
      </c>
      <c r="SJ47" t="s">
        <v>409</v>
      </c>
      <c r="WM47" t="s">
        <v>410</v>
      </c>
      <c r="AAP47" t="s">
        <v>411</v>
      </c>
      <c r="AES47" t="s">
        <v>412</v>
      </c>
    </row>
    <row r="48" spans="1:825" x14ac:dyDescent="0.2">
      <c r="A48" t="s">
        <v>762</v>
      </c>
      <c r="B48" t="s">
        <v>396</v>
      </c>
      <c r="C48" t="s">
        <v>763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>
        <v>628</v>
      </c>
      <c r="W48" s="20">
        <v>43522.581944444442</v>
      </c>
      <c r="X48" t="s">
        <v>764</v>
      </c>
      <c r="Y48">
        <v>2019</v>
      </c>
      <c r="Z48" t="s">
        <v>765</v>
      </c>
      <c r="AA48" t="s">
        <v>766</v>
      </c>
      <c r="AB48" t="str">
        <f>VLOOKUP(MID(AD48,SEARCH("@",AD48,1),LEN(AD48)-SEARCH("@",AD48,1)+1),[2]Sheet1!$D:$F,3,FALSE)</f>
        <v>M063</v>
      </c>
      <c r="AC48" t="s">
        <v>767</v>
      </c>
      <c r="AD48" t="s">
        <v>768</v>
      </c>
      <c r="AE48">
        <v>1725255909</v>
      </c>
      <c r="AF48" t="s">
        <v>444</v>
      </c>
      <c r="AG48" t="s">
        <v>403</v>
      </c>
      <c r="AI48">
        <v>1</v>
      </c>
      <c r="AL48">
        <v>350</v>
      </c>
      <c r="AM48">
        <v>350</v>
      </c>
      <c r="AN48">
        <v>210</v>
      </c>
      <c r="AO48">
        <v>210</v>
      </c>
      <c r="AV48">
        <v>0</v>
      </c>
      <c r="AW48">
        <v>350</v>
      </c>
      <c r="BC48">
        <v>350</v>
      </c>
      <c r="BJ48">
        <v>0</v>
      </c>
      <c r="BQ48">
        <v>0</v>
      </c>
      <c r="BX48">
        <v>0</v>
      </c>
      <c r="CE48">
        <v>0</v>
      </c>
      <c r="CF48">
        <v>350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350</v>
      </c>
      <c r="CS48">
        <v>0</v>
      </c>
      <c r="CT48">
        <v>4</v>
      </c>
      <c r="CZ48">
        <v>4</v>
      </c>
      <c r="DG48">
        <v>0</v>
      </c>
      <c r="DN48">
        <v>0</v>
      </c>
      <c r="DU48">
        <v>0</v>
      </c>
      <c r="EB48">
        <v>0</v>
      </c>
      <c r="EC48">
        <v>4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4</v>
      </c>
      <c r="EJ48" t="s">
        <v>404</v>
      </c>
      <c r="EK48" t="s">
        <v>404</v>
      </c>
      <c r="EL48" t="s">
        <v>404</v>
      </c>
      <c r="EM48" t="s">
        <v>404</v>
      </c>
      <c r="EN48" t="s">
        <v>404</v>
      </c>
      <c r="EO48" t="s">
        <v>404</v>
      </c>
      <c r="EP48" t="s">
        <v>405</v>
      </c>
      <c r="EQ48" t="s">
        <v>404</v>
      </c>
      <c r="ER48" t="s">
        <v>404</v>
      </c>
      <c r="ES48" t="s">
        <v>404</v>
      </c>
      <c r="ET48" t="s">
        <v>404</v>
      </c>
      <c r="EU48" t="s">
        <v>404</v>
      </c>
      <c r="EV48" t="s">
        <v>404</v>
      </c>
      <c r="EW48" t="s">
        <v>404</v>
      </c>
      <c r="EX48" t="s">
        <v>404</v>
      </c>
      <c r="EY48" t="s">
        <v>404</v>
      </c>
      <c r="EZ48" t="s">
        <v>404</v>
      </c>
      <c r="FA48" t="s">
        <v>404</v>
      </c>
      <c r="FB48" t="s">
        <v>404</v>
      </c>
      <c r="FC48" t="s">
        <v>404</v>
      </c>
      <c r="FD48" t="s">
        <v>404</v>
      </c>
      <c r="FE48" t="s">
        <v>404</v>
      </c>
      <c r="FF48" t="s">
        <v>404</v>
      </c>
      <c r="FG48" t="s">
        <v>404</v>
      </c>
      <c r="FH48" t="s">
        <v>404</v>
      </c>
      <c r="FI48" t="s">
        <v>404</v>
      </c>
      <c r="FJ48" t="s">
        <v>404</v>
      </c>
      <c r="FK48" t="s">
        <v>404</v>
      </c>
      <c r="FL48" t="s">
        <v>404</v>
      </c>
      <c r="FM48" t="s">
        <v>404</v>
      </c>
      <c r="FN48" t="s">
        <v>404</v>
      </c>
      <c r="FO48" t="s">
        <v>404</v>
      </c>
      <c r="FP48" t="s">
        <v>404</v>
      </c>
      <c r="FQ48" t="s">
        <v>404</v>
      </c>
      <c r="FR48" t="s">
        <v>404</v>
      </c>
      <c r="FS48" t="s">
        <v>404</v>
      </c>
      <c r="FT48">
        <v>140</v>
      </c>
      <c r="FZ48">
        <v>140</v>
      </c>
      <c r="GA48">
        <v>105</v>
      </c>
      <c r="GG48">
        <v>105</v>
      </c>
      <c r="GN48">
        <v>0</v>
      </c>
      <c r="GU48">
        <v>0</v>
      </c>
      <c r="GV48">
        <v>105</v>
      </c>
      <c r="HB48">
        <v>105</v>
      </c>
      <c r="HI48">
        <v>0</v>
      </c>
      <c r="HP48">
        <v>0</v>
      </c>
      <c r="HX48">
        <v>0</v>
      </c>
      <c r="HY48">
        <v>350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350</v>
      </c>
      <c r="IL48">
        <v>0</v>
      </c>
      <c r="IM48">
        <v>350</v>
      </c>
      <c r="IS48">
        <v>350</v>
      </c>
      <c r="IZ48">
        <v>0</v>
      </c>
      <c r="JG48">
        <v>0</v>
      </c>
      <c r="JN48">
        <v>0</v>
      </c>
      <c r="JO48">
        <v>350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350</v>
      </c>
      <c r="JV48">
        <v>10</v>
      </c>
      <c r="JW48">
        <v>10</v>
      </c>
      <c r="JX48">
        <v>80</v>
      </c>
      <c r="KA48">
        <v>1</v>
      </c>
      <c r="KB48">
        <v>2</v>
      </c>
      <c r="KC48">
        <v>1</v>
      </c>
      <c r="KD48" t="s">
        <v>407</v>
      </c>
      <c r="OG48" t="s">
        <v>408</v>
      </c>
      <c r="SJ48" t="s">
        <v>409</v>
      </c>
      <c r="WM48" t="s">
        <v>410</v>
      </c>
      <c r="AAP48" t="s">
        <v>411</v>
      </c>
      <c r="AES48" t="s">
        <v>412</v>
      </c>
    </row>
    <row r="49" spans="1:825" x14ac:dyDescent="0.2">
      <c r="A49" t="s">
        <v>769</v>
      </c>
      <c r="B49" t="s">
        <v>396</v>
      </c>
      <c r="C49" t="s">
        <v>770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>
        <v>630</v>
      </c>
      <c r="W49" s="20">
        <v>43488.647916666669</v>
      </c>
      <c r="X49" t="s">
        <v>771</v>
      </c>
      <c r="Y49">
        <v>2019</v>
      </c>
      <c r="Z49" t="s">
        <v>772</v>
      </c>
      <c r="AA49" t="s">
        <v>773</v>
      </c>
      <c r="AB49" t="str">
        <f>VLOOKUP(MID(AD49,SEARCH("@",AD49,1),LEN(AD49)-SEARCH("@",AD49,1)+1),[2]Sheet1!$D:$F,3,FALSE)</f>
        <v>M346</v>
      </c>
      <c r="AC49" t="s">
        <v>774</v>
      </c>
      <c r="AD49" t="s">
        <v>775</v>
      </c>
      <c r="AE49">
        <v>491721085920</v>
      </c>
      <c r="AF49" t="s">
        <v>444</v>
      </c>
      <c r="AG49" t="s">
        <v>403</v>
      </c>
      <c r="AI49">
        <v>1</v>
      </c>
      <c r="AL49">
        <v>574</v>
      </c>
      <c r="AM49">
        <v>574</v>
      </c>
      <c r="AO49">
        <v>440</v>
      </c>
      <c r="AV49">
        <v>0</v>
      </c>
      <c r="AW49">
        <v>391</v>
      </c>
      <c r="AX49">
        <v>93</v>
      </c>
      <c r="AZ49">
        <v>90</v>
      </c>
      <c r="BC49">
        <v>574</v>
      </c>
      <c r="BJ49">
        <v>0</v>
      </c>
      <c r="BQ49">
        <v>0</v>
      </c>
      <c r="BX49">
        <v>0</v>
      </c>
      <c r="CE49">
        <v>0</v>
      </c>
      <c r="CF49">
        <v>391</v>
      </c>
      <c r="CG49">
        <v>93</v>
      </c>
      <c r="CH49">
        <v>0</v>
      </c>
      <c r="CI49">
        <v>90</v>
      </c>
      <c r="CJ49">
        <v>0</v>
      </c>
      <c r="CK49">
        <v>0</v>
      </c>
      <c r="CL49">
        <v>574</v>
      </c>
      <c r="CS49">
        <v>0</v>
      </c>
      <c r="CT49">
        <v>3</v>
      </c>
      <c r="CU49">
        <v>1</v>
      </c>
      <c r="CW49">
        <v>3</v>
      </c>
      <c r="CZ49">
        <v>7</v>
      </c>
      <c r="DG49">
        <v>0</v>
      </c>
      <c r="DN49">
        <v>0</v>
      </c>
      <c r="DU49">
        <v>0</v>
      </c>
      <c r="EB49">
        <v>0</v>
      </c>
      <c r="EC49">
        <v>3</v>
      </c>
      <c r="ED49">
        <v>1</v>
      </c>
      <c r="EE49">
        <v>0</v>
      </c>
      <c r="EF49">
        <v>3</v>
      </c>
      <c r="EG49">
        <v>0</v>
      </c>
      <c r="EH49">
        <v>0</v>
      </c>
      <c r="EI49">
        <v>7</v>
      </c>
      <c r="EJ49" t="s">
        <v>404</v>
      </c>
      <c r="EK49" t="s">
        <v>404</v>
      </c>
      <c r="EL49" t="s">
        <v>404</v>
      </c>
      <c r="EM49" t="s">
        <v>404</v>
      </c>
      <c r="EN49" t="s">
        <v>404</v>
      </c>
      <c r="EO49" t="s">
        <v>404</v>
      </c>
      <c r="EP49" t="s">
        <v>405</v>
      </c>
      <c r="EQ49" t="s">
        <v>405</v>
      </c>
      <c r="ER49" t="s">
        <v>404</v>
      </c>
      <c r="ES49" t="s">
        <v>405</v>
      </c>
      <c r="ET49" t="s">
        <v>404</v>
      </c>
      <c r="EU49" t="s">
        <v>404</v>
      </c>
      <c r="EV49" t="s">
        <v>404</v>
      </c>
      <c r="EW49" t="s">
        <v>404</v>
      </c>
      <c r="EX49" t="s">
        <v>404</v>
      </c>
      <c r="EY49" t="s">
        <v>404</v>
      </c>
      <c r="EZ49" t="s">
        <v>404</v>
      </c>
      <c r="FA49" t="s">
        <v>404</v>
      </c>
      <c r="FB49" t="s">
        <v>404</v>
      </c>
      <c r="FC49" t="s">
        <v>404</v>
      </c>
      <c r="FD49" t="s">
        <v>404</v>
      </c>
      <c r="FE49" t="s">
        <v>404</v>
      </c>
      <c r="FF49" t="s">
        <v>404</v>
      </c>
      <c r="FG49" t="s">
        <v>404</v>
      </c>
      <c r="FH49" t="s">
        <v>404</v>
      </c>
      <c r="FI49" t="s">
        <v>404</v>
      </c>
      <c r="FJ49" t="s">
        <v>404</v>
      </c>
      <c r="FK49" t="s">
        <v>404</v>
      </c>
      <c r="FL49" t="s">
        <v>404</v>
      </c>
      <c r="FM49" t="s">
        <v>404</v>
      </c>
      <c r="FN49" t="s">
        <v>404</v>
      </c>
      <c r="FO49" t="s">
        <v>404</v>
      </c>
      <c r="FP49" t="s">
        <v>404</v>
      </c>
      <c r="FQ49" t="s">
        <v>404</v>
      </c>
      <c r="FR49" t="s">
        <v>404</v>
      </c>
      <c r="FS49" t="s">
        <v>404</v>
      </c>
      <c r="FT49">
        <v>232</v>
      </c>
      <c r="FU49">
        <v>93</v>
      </c>
      <c r="FW49">
        <v>90</v>
      </c>
      <c r="FZ49">
        <v>415</v>
      </c>
      <c r="GA49">
        <v>159</v>
      </c>
      <c r="GG49">
        <v>159</v>
      </c>
      <c r="GN49">
        <v>0</v>
      </c>
      <c r="GU49">
        <v>0</v>
      </c>
      <c r="HB49">
        <v>0</v>
      </c>
      <c r="HI49">
        <v>0</v>
      </c>
      <c r="HP49">
        <v>0</v>
      </c>
      <c r="HX49">
        <v>0</v>
      </c>
      <c r="HY49">
        <v>391</v>
      </c>
      <c r="HZ49">
        <v>93</v>
      </c>
      <c r="IA49">
        <v>0</v>
      </c>
      <c r="IB49">
        <v>90</v>
      </c>
      <c r="IC49">
        <v>0</v>
      </c>
      <c r="ID49">
        <v>0</v>
      </c>
      <c r="IE49">
        <v>574</v>
      </c>
      <c r="IL49">
        <v>0</v>
      </c>
      <c r="IM49">
        <v>391</v>
      </c>
      <c r="IN49">
        <v>93</v>
      </c>
      <c r="IP49">
        <v>90</v>
      </c>
      <c r="IS49">
        <v>574</v>
      </c>
      <c r="IZ49">
        <v>0</v>
      </c>
      <c r="JG49">
        <v>0</v>
      </c>
      <c r="JN49">
        <v>0</v>
      </c>
      <c r="JO49">
        <v>391</v>
      </c>
      <c r="JP49">
        <v>93</v>
      </c>
      <c r="JQ49">
        <v>0</v>
      </c>
      <c r="JR49">
        <v>90</v>
      </c>
      <c r="JS49">
        <v>0</v>
      </c>
      <c r="JT49">
        <v>0</v>
      </c>
      <c r="JU49">
        <v>574</v>
      </c>
      <c r="JX49">
        <v>100</v>
      </c>
      <c r="KA49">
        <v>3</v>
      </c>
      <c r="KB49">
        <v>3</v>
      </c>
      <c r="KC49">
        <v>1</v>
      </c>
      <c r="KD49" t="s">
        <v>407</v>
      </c>
      <c r="OG49" t="s">
        <v>408</v>
      </c>
      <c r="SJ49" t="s">
        <v>409</v>
      </c>
      <c r="WM49" t="s">
        <v>410</v>
      </c>
      <c r="AAP49" t="s">
        <v>411</v>
      </c>
      <c r="AES49" t="s">
        <v>412</v>
      </c>
    </row>
    <row r="50" spans="1:825" x14ac:dyDescent="0.2">
      <c r="A50" t="s">
        <v>776</v>
      </c>
      <c r="B50" t="s">
        <v>396</v>
      </c>
      <c r="C50" t="s">
        <v>777</v>
      </c>
      <c r="P50" t="b">
        <v>1</v>
      </c>
      <c r="Q50" t="b">
        <v>0</v>
      </c>
      <c r="R50" t="b">
        <v>1</v>
      </c>
      <c r="S50" t="b">
        <v>0</v>
      </c>
      <c r="T50" t="b">
        <v>0</v>
      </c>
      <c r="U50" t="b">
        <v>0</v>
      </c>
      <c r="V50">
        <v>757</v>
      </c>
      <c r="W50" s="20">
        <v>43525.472222222219</v>
      </c>
      <c r="X50" t="s">
        <v>778</v>
      </c>
      <c r="Y50">
        <v>2019</v>
      </c>
      <c r="Z50" t="s">
        <v>779</v>
      </c>
      <c r="AA50" t="s">
        <v>777</v>
      </c>
      <c r="AB50" t="str">
        <f>VLOOKUP(MID(AD50,SEARCH("@",AD50,1),LEN(AD50)-SEARCH("@",AD50,1)+1),[2]Sheet1!$D:$F,3,FALSE)</f>
        <v>M2856</v>
      </c>
      <c r="AC50" t="s">
        <v>774</v>
      </c>
      <c r="AD50" t="s">
        <v>780</v>
      </c>
      <c r="AE50">
        <v>2039280785</v>
      </c>
      <c r="AF50" t="s">
        <v>491</v>
      </c>
      <c r="AG50" t="s">
        <v>538</v>
      </c>
      <c r="AI50">
        <v>1</v>
      </c>
      <c r="AL50">
        <v>1329</v>
      </c>
      <c r="AM50">
        <v>1329</v>
      </c>
      <c r="AN50">
        <v>340</v>
      </c>
      <c r="AO50">
        <v>340</v>
      </c>
      <c r="AV50">
        <v>0</v>
      </c>
      <c r="AX50">
        <v>1115</v>
      </c>
      <c r="AZ50">
        <v>150</v>
      </c>
      <c r="BC50">
        <v>1265</v>
      </c>
      <c r="BD50">
        <v>64</v>
      </c>
      <c r="BJ50">
        <v>64</v>
      </c>
      <c r="BQ50">
        <v>0</v>
      </c>
      <c r="BX50">
        <v>0</v>
      </c>
      <c r="CE50">
        <v>0</v>
      </c>
      <c r="CF50">
        <v>64</v>
      </c>
      <c r="CG50">
        <v>1115</v>
      </c>
      <c r="CH50">
        <v>0</v>
      </c>
      <c r="CI50">
        <v>150</v>
      </c>
      <c r="CJ50">
        <v>0</v>
      </c>
      <c r="CK50">
        <v>0</v>
      </c>
      <c r="CL50">
        <v>1329</v>
      </c>
      <c r="CS50">
        <v>0</v>
      </c>
      <c r="CU50">
        <v>8</v>
      </c>
      <c r="CW50">
        <v>1</v>
      </c>
      <c r="CZ50">
        <v>9</v>
      </c>
      <c r="DA50">
        <v>1</v>
      </c>
      <c r="DG50">
        <v>1</v>
      </c>
      <c r="DN50">
        <v>0</v>
      </c>
      <c r="DU50">
        <v>0</v>
      </c>
      <c r="EB50">
        <v>0</v>
      </c>
      <c r="EC50">
        <v>1</v>
      </c>
      <c r="ED50">
        <v>8</v>
      </c>
      <c r="EE50">
        <v>0</v>
      </c>
      <c r="EF50">
        <v>1</v>
      </c>
      <c r="EG50">
        <v>0</v>
      </c>
      <c r="EH50">
        <v>0</v>
      </c>
      <c r="EI50">
        <v>10</v>
      </c>
      <c r="EJ50" t="s">
        <v>404</v>
      </c>
      <c r="EK50" t="s">
        <v>404</v>
      </c>
      <c r="EL50" t="s">
        <v>404</v>
      </c>
      <c r="EM50" t="s">
        <v>404</v>
      </c>
      <c r="EN50" t="s">
        <v>404</v>
      </c>
      <c r="EO50" t="s">
        <v>404</v>
      </c>
      <c r="EP50" t="s">
        <v>404</v>
      </c>
      <c r="EQ50" t="s">
        <v>405</v>
      </c>
      <c r="ER50" t="s">
        <v>404</v>
      </c>
      <c r="ES50" t="s">
        <v>405</v>
      </c>
      <c r="ET50" t="s">
        <v>404</v>
      </c>
      <c r="EU50" t="s">
        <v>404</v>
      </c>
      <c r="EV50" t="s">
        <v>405</v>
      </c>
      <c r="EW50" t="s">
        <v>404</v>
      </c>
      <c r="EX50" t="s">
        <v>404</v>
      </c>
      <c r="EY50" t="s">
        <v>404</v>
      </c>
      <c r="EZ50" t="s">
        <v>404</v>
      </c>
      <c r="FA50" t="s">
        <v>404</v>
      </c>
      <c r="FB50" t="s">
        <v>404</v>
      </c>
      <c r="FC50" t="s">
        <v>404</v>
      </c>
      <c r="FD50" t="s">
        <v>404</v>
      </c>
      <c r="FE50" t="s">
        <v>404</v>
      </c>
      <c r="FF50" t="s">
        <v>404</v>
      </c>
      <c r="FG50" t="s">
        <v>404</v>
      </c>
      <c r="FH50" t="s">
        <v>404</v>
      </c>
      <c r="FI50" t="s">
        <v>404</v>
      </c>
      <c r="FJ50" t="s">
        <v>404</v>
      </c>
      <c r="FK50" t="s">
        <v>404</v>
      </c>
      <c r="FL50" t="s">
        <v>404</v>
      </c>
      <c r="FM50" t="s">
        <v>404</v>
      </c>
      <c r="FN50" t="s">
        <v>404</v>
      </c>
      <c r="FO50" t="s">
        <v>404</v>
      </c>
      <c r="FP50" t="s">
        <v>404</v>
      </c>
      <c r="FQ50" t="s">
        <v>404</v>
      </c>
      <c r="FR50" t="s">
        <v>404</v>
      </c>
      <c r="FS50" t="s">
        <v>404</v>
      </c>
      <c r="FT50">
        <v>34</v>
      </c>
      <c r="FZ50">
        <v>34</v>
      </c>
      <c r="GG50">
        <v>0</v>
      </c>
      <c r="GN50">
        <v>0</v>
      </c>
      <c r="GU50">
        <v>0</v>
      </c>
      <c r="HB50">
        <v>0</v>
      </c>
      <c r="HI50">
        <v>0</v>
      </c>
      <c r="HJ50">
        <v>30</v>
      </c>
      <c r="HP50">
        <v>30</v>
      </c>
      <c r="HQ50" t="s">
        <v>781</v>
      </c>
      <c r="HS50">
        <v>1115</v>
      </c>
      <c r="HU50">
        <v>150</v>
      </c>
      <c r="HX50">
        <v>1265</v>
      </c>
      <c r="HY50">
        <v>64</v>
      </c>
      <c r="HZ50">
        <v>1115</v>
      </c>
      <c r="IA50">
        <v>0</v>
      </c>
      <c r="IB50">
        <v>150</v>
      </c>
      <c r="IC50">
        <v>0</v>
      </c>
      <c r="ID50">
        <v>0</v>
      </c>
      <c r="IE50">
        <v>1329</v>
      </c>
      <c r="IL50">
        <v>0</v>
      </c>
      <c r="IM50">
        <v>34</v>
      </c>
      <c r="IS50">
        <v>34</v>
      </c>
      <c r="IT50">
        <v>30</v>
      </c>
      <c r="IU50">
        <v>1115</v>
      </c>
      <c r="IW50">
        <v>150</v>
      </c>
      <c r="IZ50">
        <v>1295</v>
      </c>
      <c r="JG50">
        <v>0</v>
      </c>
      <c r="JN50">
        <v>0</v>
      </c>
      <c r="JO50">
        <v>64</v>
      </c>
      <c r="JP50">
        <v>1115</v>
      </c>
      <c r="JQ50">
        <v>0</v>
      </c>
      <c r="JR50">
        <v>150</v>
      </c>
      <c r="JS50">
        <v>0</v>
      </c>
      <c r="JT50">
        <v>0</v>
      </c>
      <c r="JU50">
        <v>1329</v>
      </c>
      <c r="KA50">
        <v>1</v>
      </c>
      <c r="KB50">
        <v>3</v>
      </c>
      <c r="KC50">
        <v>2</v>
      </c>
      <c r="KD50" t="s">
        <v>407</v>
      </c>
      <c r="OG50" t="s">
        <v>408</v>
      </c>
      <c r="SJ50" t="s">
        <v>409</v>
      </c>
      <c r="WM50" t="s">
        <v>410</v>
      </c>
      <c r="AAP50" t="s">
        <v>411</v>
      </c>
      <c r="AES50" t="s">
        <v>412</v>
      </c>
    </row>
    <row r="51" spans="1:825" x14ac:dyDescent="0.2">
      <c r="A51" t="s">
        <v>782</v>
      </c>
      <c r="B51" t="s">
        <v>396</v>
      </c>
      <c r="C51" t="s">
        <v>783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>
        <v>767</v>
      </c>
      <c r="W51" s="20">
        <v>43516.486111111109</v>
      </c>
      <c r="X51" t="s">
        <v>784</v>
      </c>
      <c r="Y51">
        <v>2019</v>
      </c>
      <c r="Z51" t="s">
        <v>785</v>
      </c>
      <c r="AA51" t="s">
        <v>783</v>
      </c>
      <c r="AB51" t="str">
        <f>VLOOKUP(MID(AD51,SEARCH("@",AD51,1),LEN(AD51)-SEARCH("@",AD51,1)+1),[2]Sheet1!$D:$F,3,FALSE)</f>
        <v>M2757</v>
      </c>
      <c r="AC51" t="s">
        <v>786</v>
      </c>
      <c r="AD51" t="s">
        <v>787</v>
      </c>
      <c r="AE51">
        <v>7976103926</v>
      </c>
      <c r="AF51" t="s">
        <v>491</v>
      </c>
      <c r="AG51" t="s">
        <v>492</v>
      </c>
      <c r="AI51">
        <v>1</v>
      </c>
      <c r="AL51">
        <v>21</v>
      </c>
      <c r="AM51">
        <v>21</v>
      </c>
      <c r="AN51">
        <v>7</v>
      </c>
      <c r="AO51">
        <v>7</v>
      </c>
      <c r="AV51">
        <v>0</v>
      </c>
      <c r="AX51">
        <v>1</v>
      </c>
      <c r="AY51">
        <v>20</v>
      </c>
      <c r="BC51">
        <v>21</v>
      </c>
      <c r="BJ51">
        <v>0</v>
      </c>
      <c r="BQ51">
        <v>0</v>
      </c>
      <c r="BX51">
        <v>0</v>
      </c>
      <c r="CE51">
        <v>0</v>
      </c>
      <c r="CF51">
        <v>0</v>
      </c>
      <c r="CG51">
        <v>1</v>
      </c>
      <c r="CH51">
        <v>20</v>
      </c>
      <c r="CI51">
        <v>0</v>
      </c>
      <c r="CJ51">
        <v>0</v>
      </c>
      <c r="CK51">
        <v>0</v>
      </c>
      <c r="CL51">
        <v>21</v>
      </c>
      <c r="CS51">
        <v>0</v>
      </c>
      <c r="CU51">
        <v>1</v>
      </c>
      <c r="CV51">
        <v>1</v>
      </c>
      <c r="CZ51">
        <v>2</v>
      </c>
      <c r="DG51">
        <v>0</v>
      </c>
      <c r="DN51">
        <v>0</v>
      </c>
      <c r="DU51">
        <v>0</v>
      </c>
      <c r="EB51">
        <v>0</v>
      </c>
      <c r="EC51">
        <v>0</v>
      </c>
      <c r="ED51">
        <v>1</v>
      </c>
      <c r="EE51">
        <v>1</v>
      </c>
      <c r="EF51">
        <v>0</v>
      </c>
      <c r="EG51">
        <v>0</v>
      </c>
      <c r="EH51">
        <v>0</v>
      </c>
      <c r="EI51">
        <v>2</v>
      </c>
      <c r="EJ51" t="s">
        <v>404</v>
      </c>
      <c r="EK51" t="s">
        <v>404</v>
      </c>
      <c r="EL51" t="s">
        <v>404</v>
      </c>
      <c r="EM51" t="s">
        <v>404</v>
      </c>
      <c r="EN51" t="s">
        <v>404</v>
      </c>
      <c r="EO51" t="s">
        <v>404</v>
      </c>
      <c r="EP51" t="s">
        <v>404</v>
      </c>
      <c r="EQ51" t="s">
        <v>405</v>
      </c>
      <c r="ER51" t="s">
        <v>405</v>
      </c>
      <c r="ES51" t="s">
        <v>404</v>
      </c>
      <c r="ET51" t="s">
        <v>404</v>
      </c>
      <c r="EU51" t="s">
        <v>404</v>
      </c>
      <c r="EV51" t="s">
        <v>404</v>
      </c>
      <c r="EW51" t="s">
        <v>404</v>
      </c>
      <c r="EX51" t="s">
        <v>404</v>
      </c>
      <c r="EY51" t="s">
        <v>404</v>
      </c>
      <c r="EZ51" t="s">
        <v>404</v>
      </c>
      <c r="FA51" t="s">
        <v>404</v>
      </c>
      <c r="FB51" t="s">
        <v>404</v>
      </c>
      <c r="FC51" t="s">
        <v>404</v>
      </c>
      <c r="FD51" t="s">
        <v>404</v>
      </c>
      <c r="FE51" t="s">
        <v>404</v>
      </c>
      <c r="FF51" t="s">
        <v>404</v>
      </c>
      <c r="FG51" t="s">
        <v>404</v>
      </c>
      <c r="FH51" t="s">
        <v>404</v>
      </c>
      <c r="FI51" t="s">
        <v>404</v>
      </c>
      <c r="FJ51" t="s">
        <v>404</v>
      </c>
      <c r="FK51" t="s">
        <v>404</v>
      </c>
      <c r="FL51" t="s">
        <v>404</v>
      </c>
      <c r="FM51" t="s">
        <v>404</v>
      </c>
      <c r="FN51" t="s">
        <v>404</v>
      </c>
      <c r="FO51" t="s">
        <v>404</v>
      </c>
      <c r="FP51" t="s">
        <v>404</v>
      </c>
      <c r="FQ51" t="s">
        <v>404</v>
      </c>
      <c r="FR51" t="s">
        <v>404</v>
      </c>
      <c r="FS51" t="s">
        <v>404</v>
      </c>
      <c r="FV51">
        <v>20</v>
      </c>
      <c r="FZ51">
        <v>20</v>
      </c>
      <c r="GG51">
        <v>0</v>
      </c>
      <c r="GN51">
        <v>0</v>
      </c>
      <c r="GU51">
        <v>0</v>
      </c>
      <c r="HB51">
        <v>0</v>
      </c>
      <c r="HI51">
        <v>0</v>
      </c>
      <c r="HK51">
        <v>1</v>
      </c>
      <c r="HP51">
        <v>1</v>
      </c>
      <c r="HX51">
        <v>0</v>
      </c>
      <c r="HY51">
        <v>0</v>
      </c>
      <c r="HZ51">
        <v>1</v>
      </c>
      <c r="IA51">
        <v>20</v>
      </c>
      <c r="IB51">
        <v>0</v>
      </c>
      <c r="IC51">
        <v>0</v>
      </c>
      <c r="ID51">
        <v>0</v>
      </c>
      <c r="IE51">
        <v>21</v>
      </c>
      <c r="IL51">
        <v>0</v>
      </c>
      <c r="IN51">
        <v>1</v>
      </c>
      <c r="IO51">
        <v>20</v>
      </c>
      <c r="IS51">
        <v>21</v>
      </c>
      <c r="IZ51">
        <v>0</v>
      </c>
      <c r="JG51">
        <v>0</v>
      </c>
      <c r="JN51">
        <v>0</v>
      </c>
      <c r="JO51">
        <v>0</v>
      </c>
      <c r="JP51">
        <v>1</v>
      </c>
      <c r="JQ51">
        <v>20</v>
      </c>
      <c r="JR51">
        <v>0</v>
      </c>
      <c r="JS51">
        <v>0</v>
      </c>
      <c r="JT51">
        <v>0</v>
      </c>
      <c r="JU51">
        <v>21</v>
      </c>
      <c r="JV51">
        <v>0</v>
      </c>
      <c r="JX51">
        <v>100</v>
      </c>
      <c r="KA51">
        <v>1</v>
      </c>
      <c r="KB51">
        <v>3</v>
      </c>
      <c r="KC51">
        <v>1</v>
      </c>
      <c r="KD51" t="s">
        <v>407</v>
      </c>
      <c r="OG51" t="s">
        <v>408</v>
      </c>
      <c r="SJ51" t="s">
        <v>409</v>
      </c>
      <c r="WM51" t="s">
        <v>410</v>
      </c>
      <c r="AAP51" t="s">
        <v>411</v>
      </c>
      <c r="AES51" t="s">
        <v>412</v>
      </c>
    </row>
    <row r="52" spans="1:825" x14ac:dyDescent="0.2">
      <c r="A52" t="s">
        <v>788</v>
      </c>
      <c r="B52" t="s">
        <v>396</v>
      </c>
      <c r="C52" t="s">
        <v>789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>
        <v>807</v>
      </c>
      <c r="W52" s="20">
        <v>43524.502083333333</v>
      </c>
      <c r="X52" t="s">
        <v>790</v>
      </c>
      <c r="Y52">
        <v>2019</v>
      </c>
      <c r="Z52" t="s">
        <v>791</v>
      </c>
      <c r="AA52" t="s">
        <v>789</v>
      </c>
      <c r="AB52" t="str">
        <f>VLOOKUP(MID(AD52,SEARCH("@",AD52,1),LEN(AD52)-SEARCH("@",AD52,1)+1),[2]Sheet1!$D:$F,3,FALSE)</f>
        <v>M03137</v>
      </c>
      <c r="AD52" t="s">
        <v>792</v>
      </c>
      <c r="AF52" t="s">
        <v>491</v>
      </c>
      <c r="AG52" t="s">
        <v>492</v>
      </c>
      <c r="AI52">
        <v>2</v>
      </c>
      <c r="AV52">
        <v>0</v>
      </c>
      <c r="BC52">
        <v>0</v>
      </c>
      <c r="BJ52">
        <v>0</v>
      </c>
      <c r="BQ52">
        <v>0</v>
      </c>
      <c r="BX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S52">
        <v>0</v>
      </c>
      <c r="CZ52">
        <v>0</v>
      </c>
      <c r="DG52">
        <v>0</v>
      </c>
      <c r="DN52">
        <v>0</v>
      </c>
      <c r="DU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 t="s">
        <v>404</v>
      </c>
      <c r="EK52" t="s">
        <v>404</v>
      </c>
      <c r="EL52" t="s">
        <v>404</v>
      </c>
      <c r="EM52" t="s">
        <v>404</v>
      </c>
      <c r="EN52" t="s">
        <v>404</v>
      </c>
      <c r="EO52" t="s">
        <v>404</v>
      </c>
      <c r="EP52" t="s">
        <v>404</v>
      </c>
      <c r="EQ52" t="s">
        <v>404</v>
      </c>
      <c r="ER52" t="s">
        <v>404</v>
      </c>
      <c r="ES52" t="s">
        <v>404</v>
      </c>
      <c r="ET52" t="s">
        <v>404</v>
      </c>
      <c r="EU52" t="s">
        <v>404</v>
      </c>
      <c r="EV52" t="s">
        <v>404</v>
      </c>
      <c r="EW52" t="s">
        <v>404</v>
      </c>
      <c r="EX52" t="s">
        <v>404</v>
      </c>
      <c r="EY52" t="s">
        <v>404</v>
      </c>
      <c r="EZ52" t="s">
        <v>404</v>
      </c>
      <c r="FA52" t="s">
        <v>404</v>
      </c>
      <c r="FB52" t="s">
        <v>404</v>
      </c>
      <c r="FC52" t="s">
        <v>404</v>
      </c>
      <c r="FD52" t="s">
        <v>404</v>
      </c>
      <c r="FE52" t="s">
        <v>404</v>
      </c>
      <c r="FF52" t="s">
        <v>404</v>
      </c>
      <c r="FG52" t="s">
        <v>404</v>
      </c>
      <c r="FH52" t="s">
        <v>404</v>
      </c>
      <c r="FI52" t="s">
        <v>404</v>
      </c>
      <c r="FJ52" t="s">
        <v>404</v>
      </c>
      <c r="FK52" t="s">
        <v>404</v>
      </c>
      <c r="FL52" t="s">
        <v>404</v>
      </c>
      <c r="FM52" t="s">
        <v>404</v>
      </c>
      <c r="FN52" t="s">
        <v>404</v>
      </c>
      <c r="FO52" t="s">
        <v>404</v>
      </c>
      <c r="FP52" t="s">
        <v>404</v>
      </c>
      <c r="FQ52" t="s">
        <v>404</v>
      </c>
      <c r="FR52" t="s">
        <v>404</v>
      </c>
      <c r="FS52" t="s">
        <v>404</v>
      </c>
      <c r="FZ52">
        <v>0</v>
      </c>
      <c r="GG52">
        <v>0</v>
      </c>
      <c r="GN52">
        <v>0</v>
      </c>
      <c r="GU52">
        <v>0</v>
      </c>
      <c r="HB52">
        <v>0</v>
      </c>
      <c r="HI52">
        <v>0</v>
      </c>
      <c r="HP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L52">
        <v>0</v>
      </c>
      <c r="IS52">
        <v>0</v>
      </c>
      <c r="IZ52">
        <v>0</v>
      </c>
      <c r="JG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KC52">
        <v>2</v>
      </c>
      <c r="KD52" t="s">
        <v>407</v>
      </c>
      <c r="OG52" t="s">
        <v>408</v>
      </c>
      <c r="SJ52" t="s">
        <v>409</v>
      </c>
      <c r="WM52" t="s">
        <v>410</v>
      </c>
      <c r="AAP52" t="s">
        <v>411</v>
      </c>
      <c r="AES52" t="s">
        <v>412</v>
      </c>
    </row>
    <row r="53" spans="1:825" x14ac:dyDescent="0.2">
      <c r="A53" t="s">
        <v>793</v>
      </c>
      <c r="B53" t="s">
        <v>396</v>
      </c>
      <c r="C53" t="s">
        <v>794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>
        <v>804</v>
      </c>
      <c r="W53" s="20">
        <v>43522.436111111114</v>
      </c>
      <c r="X53" t="s">
        <v>795</v>
      </c>
      <c r="Y53">
        <v>2019</v>
      </c>
      <c r="Z53" t="s">
        <v>796</v>
      </c>
      <c r="AA53" t="s">
        <v>797</v>
      </c>
      <c r="AB53" t="str">
        <f>VLOOKUP(MID(AD53,SEARCH("@",AD53,1),LEN(AD53)-SEARCH("@",AD53,1)+1),[2]Sheet1!$D:$F,3,FALSE)</f>
        <v>M769</v>
      </c>
      <c r="AD53" t="s">
        <v>798</v>
      </c>
      <c r="AE53">
        <v>2078943482</v>
      </c>
      <c r="AF53" t="s">
        <v>491</v>
      </c>
      <c r="AG53" t="s">
        <v>403</v>
      </c>
      <c r="AI53">
        <v>1</v>
      </c>
      <c r="AL53">
        <v>568</v>
      </c>
      <c r="AN53">
        <v>130</v>
      </c>
      <c r="AV53">
        <v>0</v>
      </c>
      <c r="AW53">
        <v>550</v>
      </c>
      <c r="AZ53">
        <v>18</v>
      </c>
      <c r="BC53">
        <v>568</v>
      </c>
      <c r="BJ53">
        <v>0</v>
      </c>
      <c r="BQ53">
        <v>0</v>
      </c>
      <c r="BX53">
        <v>0</v>
      </c>
      <c r="CE53">
        <v>0</v>
      </c>
      <c r="CF53">
        <v>550</v>
      </c>
      <c r="CG53">
        <v>0</v>
      </c>
      <c r="CH53">
        <v>0</v>
      </c>
      <c r="CI53">
        <v>18</v>
      </c>
      <c r="CJ53">
        <v>0</v>
      </c>
      <c r="CK53">
        <v>0</v>
      </c>
      <c r="CL53">
        <v>568</v>
      </c>
      <c r="CS53">
        <v>0</v>
      </c>
      <c r="CT53">
        <v>1</v>
      </c>
      <c r="CW53">
        <v>1</v>
      </c>
      <c r="CZ53">
        <v>2</v>
      </c>
      <c r="DG53">
        <v>0</v>
      </c>
      <c r="DN53">
        <v>0</v>
      </c>
      <c r="DU53">
        <v>0</v>
      </c>
      <c r="EB53">
        <v>0</v>
      </c>
      <c r="EC53">
        <v>1</v>
      </c>
      <c r="ED53">
        <v>0</v>
      </c>
      <c r="EE53">
        <v>0</v>
      </c>
      <c r="EF53">
        <v>1</v>
      </c>
      <c r="EG53">
        <v>0</v>
      </c>
      <c r="EH53">
        <v>0</v>
      </c>
      <c r="EI53">
        <v>2</v>
      </c>
      <c r="EJ53" t="s">
        <v>404</v>
      </c>
      <c r="EK53" t="s">
        <v>404</v>
      </c>
      <c r="EL53" t="s">
        <v>404</v>
      </c>
      <c r="EM53" t="s">
        <v>404</v>
      </c>
      <c r="EN53" t="s">
        <v>404</v>
      </c>
      <c r="EO53" t="s">
        <v>404</v>
      </c>
      <c r="EP53" t="s">
        <v>405</v>
      </c>
      <c r="EQ53" t="s">
        <v>404</v>
      </c>
      <c r="ER53" t="s">
        <v>404</v>
      </c>
      <c r="ES53" t="s">
        <v>405</v>
      </c>
      <c r="ET53" t="s">
        <v>404</v>
      </c>
      <c r="EU53" t="s">
        <v>404</v>
      </c>
      <c r="EV53" t="s">
        <v>404</v>
      </c>
      <c r="EW53" t="s">
        <v>404</v>
      </c>
      <c r="EX53" t="s">
        <v>404</v>
      </c>
      <c r="EY53" t="s">
        <v>404</v>
      </c>
      <c r="EZ53" t="s">
        <v>404</v>
      </c>
      <c r="FA53" t="s">
        <v>404</v>
      </c>
      <c r="FB53" t="s">
        <v>404</v>
      </c>
      <c r="FC53" t="s">
        <v>404</v>
      </c>
      <c r="FD53" t="s">
        <v>404</v>
      </c>
      <c r="FE53" t="s">
        <v>404</v>
      </c>
      <c r="FF53" t="s">
        <v>404</v>
      </c>
      <c r="FG53" t="s">
        <v>404</v>
      </c>
      <c r="FH53" t="s">
        <v>404</v>
      </c>
      <c r="FI53" t="s">
        <v>404</v>
      </c>
      <c r="FJ53" t="s">
        <v>404</v>
      </c>
      <c r="FK53" t="s">
        <v>404</v>
      </c>
      <c r="FL53" t="s">
        <v>404</v>
      </c>
      <c r="FM53" t="s">
        <v>404</v>
      </c>
      <c r="FN53" t="s">
        <v>404</v>
      </c>
      <c r="FO53" t="s">
        <v>404</v>
      </c>
      <c r="FP53" t="s">
        <v>404</v>
      </c>
      <c r="FQ53" t="s">
        <v>404</v>
      </c>
      <c r="FR53" t="s">
        <v>404</v>
      </c>
      <c r="FS53" t="s">
        <v>404</v>
      </c>
      <c r="FT53">
        <v>350</v>
      </c>
      <c r="FW53">
        <v>18</v>
      </c>
      <c r="FZ53">
        <v>368</v>
      </c>
      <c r="GA53">
        <v>50</v>
      </c>
      <c r="GG53">
        <v>50</v>
      </c>
      <c r="GN53">
        <v>0</v>
      </c>
      <c r="GO53">
        <v>20</v>
      </c>
      <c r="GU53">
        <v>20</v>
      </c>
      <c r="GV53">
        <v>20</v>
      </c>
      <c r="HB53">
        <v>20</v>
      </c>
      <c r="HC53">
        <v>25</v>
      </c>
      <c r="HI53">
        <v>25</v>
      </c>
      <c r="HJ53">
        <v>35</v>
      </c>
      <c r="HP53">
        <v>35</v>
      </c>
      <c r="HQ53" t="s">
        <v>799</v>
      </c>
      <c r="HR53">
        <v>50</v>
      </c>
      <c r="HX53">
        <v>50</v>
      </c>
      <c r="HY53">
        <v>550</v>
      </c>
      <c r="HZ53">
        <v>0</v>
      </c>
      <c r="IA53">
        <v>0</v>
      </c>
      <c r="IB53">
        <v>18</v>
      </c>
      <c r="IC53">
        <v>0</v>
      </c>
      <c r="ID53">
        <v>0</v>
      </c>
      <c r="IE53">
        <v>568</v>
      </c>
      <c r="IL53">
        <v>0</v>
      </c>
      <c r="IM53">
        <v>390</v>
      </c>
      <c r="IP53">
        <v>18</v>
      </c>
      <c r="IS53">
        <v>408</v>
      </c>
      <c r="IT53">
        <v>135</v>
      </c>
      <c r="IZ53">
        <v>135</v>
      </c>
      <c r="JA53">
        <v>25</v>
      </c>
      <c r="JG53">
        <v>25</v>
      </c>
      <c r="JN53">
        <v>0</v>
      </c>
      <c r="JO53">
        <v>550</v>
      </c>
      <c r="JP53">
        <v>0</v>
      </c>
      <c r="JQ53">
        <v>0</v>
      </c>
      <c r="JR53">
        <v>18</v>
      </c>
      <c r="JS53">
        <v>0</v>
      </c>
      <c r="JT53">
        <v>0</v>
      </c>
      <c r="JU53">
        <v>568</v>
      </c>
      <c r="JV53">
        <v>0</v>
      </c>
      <c r="JX53">
        <v>100</v>
      </c>
      <c r="KA53">
        <v>3</v>
      </c>
      <c r="KB53">
        <v>3</v>
      </c>
      <c r="KC53">
        <v>2</v>
      </c>
      <c r="KD53" t="s">
        <v>407</v>
      </c>
      <c r="OG53" t="s">
        <v>408</v>
      </c>
      <c r="SJ53" t="s">
        <v>409</v>
      </c>
      <c r="WM53" t="s">
        <v>410</v>
      </c>
      <c r="AAP53" t="s">
        <v>411</v>
      </c>
      <c r="AES53" t="s">
        <v>412</v>
      </c>
    </row>
    <row r="54" spans="1:825" x14ac:dyDescent="0.2">
      <c r="A54" t="s">
        <v>800</v>
      </c>
      <c r="B54" t="s">
        <v>414</v>
      </c>
      <c r="C54" t="s">
        <v>801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>
        <v>715</v>
      </c>
      <c r="W54" s="20">
        <v>43515.268750000003</v>
      </c>
      <c r="X54" t="s">
        <v>802</v>
      </c>
      <c r="Y54">
        <v>2019</v>
      </c>
      <c r="Z54" t="s">
        <v>803</v>
      </c>
      <c r="AA54" t="s">
        <v>801</v>
      </c>
      <c r="AB54" t="str">
        <f>VLOOKUP(MID(AD54,SEARCH("@",AD54,1),LEN(AD54)-SEARCH("@",AD54,1)+1),[2]Sheet1!$D:$F,3,FALSE)</f>
        <v>N0298</v>
      </c>
      <c r="AC54" t="s">
        <v>804</v>
      </c>
      <c r="AD54" t="s">
        <v>805</v>
      </c>
      <c r="AE54">
        <v>408638841</v>
      </c>
      <c r="AF54" t="s">
        <v>420</v>
      </c>
      <c r="AG54" t="s">
        <v>421</v>
      </c>
      <c r="AI54">
        <v>2</v>
      </c>
      <c r="AJ54">
        <v>6</v>
      </c>
      <c r="AK54" t="s">
        <v>806</v>
      </c>
      <c r="AV54">
        <v>0</v>
      </c>
      <c r="BC54">
        <v>0</v>
      </c>
      <c r="BJ54">
        <v>0</v>
      </c>
      <c r="BQ54">
        <v>0</v>
      </c>
      <c r="BX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S54">
        <v>0</v>
      </c>
      <c r="CZ54">
        <v>0</v>
      </c>
      <c r="DG54">
        <v>0</v>
      </c>
      <c r="DN54">
        <v>0</v>
      </c>
      <c r="DU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 t="s">
        <v>404</v>
      </c>
      <c r="EK54" t="s">
        <v>404</v>
      </c>
      <c r="EL54" t="s">
        <v>404</v>
      </c>
      <c r="EM54" t="s">
        <v>404</v>
      </c>
      <c r="EN54" t="s">
        <v>404</v>
      </c>
      <c r="EO54" t="s">
        <v>404</v>
      </c>
      <c r="EP54" t="s">
        <v>404</v>
      </c>
      <c r="EQ54" t="s">
        <v>404</v>
      </c>
      <c r="ER54" t="s">
        <v>404</v>
      </c>
      <c r="ES54" t="s">
        <v>404</v>
      </c>
      <c r="ET54" t="s">
        <v>404</v>
      </c>
      <c r="EU54" t="s">
        <v>404</v>
      </c>
      <c r="EV54" t="s">
        <v>404</v>
      </c>
      <c r="EW54" t="s">
        <v>404</v>
      </c>
      <c r="EX54" t="s">
        <v>404</v>
      </c>
      <c r="EY54" t="s">
        <v>404</v>
      </c>
      <c r="EZ54" t="s">
        <v>404</v>
      </c>
      <c r="FA54" t="s">
        <v>404</v>
      </c>
      <c r="FB54" t="s">
        <v>404</v>
      </c>
      <c r="FC54" t="s">
        <v>404</v>
      </c>
      <c r="FD54" t="s">
        <v>404</v>
      </c>
      <c r="FE54" t="s">
        <v>404</v>
      </c>
      <c r="FF54" t="s">
        <v>404</v>
      </c>
      <c r="FG54" t="s">
        <v>404</v>
      </c>
      <c r="FH54" t="s">
        <v>404</v>
      </c>
      <c r="FI54" t="s">
        <v>404</v>
      </c>
      <c r="FJ54" t="s">
        <v>404</v>
      </c>
      <c r="FK54" t="s">
        <v>404</v>
      </c>
      <c r="FL54" t="s">
        <v>404</v>
      </c>
      <c r="FM54" t="s">
        <v>404</v>
      </c>
      <c r="FN54" t="s">
        <v>404</v>
      </c>
      <c r="FO54" t="s">
        <v>404</v>
      </c>
      <c r="FP54" t="s">
        <v>404</v>
      </c>
      <c r="FQ54" t="s">
        <v>404</v>
      </c>
      <c r="FR54" t="s">
        <v>404</v>
      </c>
      <c r="FS54" t="s">
        <v>404</v>
      </c>
      <c r="FZ54">
        <v>0</v>
      </c>
      <c r="GG54">
        <v>0</v>
      </c>
      <c r="GN54">
        <v>0</v>
      </c>
      <c r="GU54">
        <v>0</v>
      </c>
      <c r="HB54">
        <v>0</v>
      </c>
      <c r="HI54">
        <v>0</v>
      </c>
      <c r="HP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L54">
        <v>0</v>
      </c>
      <c r="IS54">
        <v>0</v>
      </c>
      <c r="IZ54">
        <v>0</v>
      </c>
      <c r="JG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KA54">
        <v>1</v>
      </c>
      <c r="KB54">
        <v>3</v>
      </c>
      <c r="KC54">
        <v>1</v>
      </c>
      <c r="KD54" t="s">
        <v>407</v>
      </c>
      <c r="OG54" t="s">
        <v>408</v>
      </c>
      <c r="SJ54" t="s">
        <v>409</v>
      </c>
      <c r="WM54" t="s">
        <v>410</v>
      </c>
      <c r="AAP54" t="s">
        <v>411</v>
      </c>
      <c r="AES54" t="s">
        <v>412</v>
      </c>
    </row>
    <row r="55" spans="1:825" x14ac:dyDescent="0.2">
      <c r="A55" t="s">
        <v>807</v>
      </c>
      <c r="B55" t="s">
        <v>396</v>
      </c>
      <c r="C55" t="s">
        <v>808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>
        <v>775</v>
      </c>
      <c r="W55" s="20">
        <v>43516.661111111112</v>
      </c>
      <c r="X55" t="s">
        <v>809</v>
      </c>
      <c r="Y55">
        <v>2019</v>
      </c>
      <c r="Z55" t="s">
        <v>810</v>
      </c>
      <c r="AA55" t="s">
        <v>811</v>
      </c>
      <c r="AB55" t="str">
        <f>VLOOKUP(MID(AD55,SEARCH("@",AD55,1),LEN(AD55)-SEARCH("@",AD55,1)+1),[2]Sheet1!$D:$F,3,FALSE)</f>
        <v>M655</v>
      </c>
      <c r="AC55" t="s">
        <v>812</v>
      </c>
      <c r="AD55" t="s">
        <v>813</v>
      </c>
      <c r="AE55">
        <v>2073991936</v>
      </c>
      <c r="AF55" t="s">
        <v>491</v>
      </c>
      <c r="AG55" t="s">
        <v>492</v>
      </c>
      <c r="AI55">
        <v>1</v>
      </c>
      <c r="AL55">
        <v>220</v>
      </c>
      <c r="AM55">
        <v>220</v>
      </c>
      <c r="AN55">
        <v>50</v>
      </c>
      <c r="AO55">
        <v>50</v>
      </c>
      <c r="AV55">
        <v>0</v>
      </c>
      <c r="AW55">
        <v>220</v>
      </c>
      <c r="BC55">
        <v>220</v>
      </c>
      <c r="BJ55">
        <v>0</v>
      </c>
      <c r="BQ55">
        <v>0</v>
      </c>
      <c r="BX55">
        <v>0</v>
      </c>
      <c r="CE55">
        <v>0</v>
      </c>
      <c r="CF55">
        <v>220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220</v>
      </c>
      <c r="CS55">
        <v>0</v>
      </c>
      <c r="CT55">
        <v>1</v>
      </c>
      <c r="CZ55">
        <v>1</v>
      </c>
      <c r="DG55">
        <v>0</v>
      </c>
      <c r="DN55">
        <v>0</v>
      </c>
      <c r="DU55">
        <v>0</v>
      </c>
      <c r="EB55">
        <v>0</v>
      </c>
      <c r="EC55">
        <v>1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1</v>
      </c>
      <c r="EJ55" t="s">
        <v>404</v>
      </c>
      <c r="EK55" t="s">
        <v>404</v>
      </c>
      <c r="EL55" t="s">
        <v>404</v>
      </c>
      <c r="EM55" t="s">
        <v>404</v>
      </c>
      <c r="EN55" t="s">
        <v>404</v>
      </c>
      <c r="EO55" t="s">
        <v>404</v>
      </c>
      <c r="EP55" t="s">
        <v>405</v>
      </c>
      <c r="EQ55" t="s">
        <v>404</v>
      </c>
      <c r="ER55" t="s">
        <v>404</v>
      </c>
      <c r="ES55" t="s">
        <v>404</v>
      </c>
      <c r="ET55" t="s">
        <v>404</v>
      </c>
      <c r="EU55" t="s">
        <v>404</v>
      </c>
      <c r="EV55" t="s">
        <v>404</v>
      </c>
      <c r="EW55" t="s">
        <v>404</v>
      </c>
      <c r="EX55" t="s">
        <v>404</v>
      </c>
      <c r="EY55" t="s">
        <v>404</v>
      </c>
      <c r="EZ55" t="s">
        <v>404</v>
      </c>
      <c r="FA55" t="s">
        <v>404</v>
      </c>
      <c r="FB55" t="s">
        <v>404</v>
      </c>
      <c r="FC55" t="s">
        <v>404</v>
      </c>
      <c r="FD55" t="s">
        <v>404</v>
      </c>
      <c r="FE55" t="s">
        <v>404</v>
      </c>
      <c r="FF55" t="s">
        <v>404</v>
      </c>
      <c r="FG55" t="s">
        <v>404</v>
      </c>
      <c r="FH55" t="s">
        <v>404</v>
      </c>
      <c r="FI55" t="s">
        <v>404</v>
      </c>
      <c r="FJ55" t="s">
        <v>404</v>
      </c>
      <c r="FK55" t="s">
        <v>404</v>
      </c>
      <c r="FL55" t="s">
        <v>404</v>
      </c>
      <c r="FM55" t="s">
        <v>404</v>
      </c>
      <c r="FN55" t="s">
        <v>404</v>
      </c>
      <c r="FO55" t="s">
        <v>404</v>
      </c>
      <c r="FP55" t="s">
        <v>404</v>
      </c>
      <c r="FQ55" t="s">
        <v>404</v>
      </c>
      <c r="FR55" t="s">
        <v>404</v>
      </c>
      <c r="FS55" t="s">
        <v>404</v>
      </c>
      <c r="FT55">
        <v>95</v>
      </c>
      <c r="FZ55">
        <v>95</v>
      </c>
      <c r="GG55">
        <v>0</v>
      </c>
      <c r="GH55">
        <v>38</v>
      </c>
      <c r="GN55">
        <v>38</v>
      </c>
      <c r="GU55">
        <v>0</v>
      </c>
      <c r="GV55">
        <v>87</v>
      </c>
      <c r="HB55">
        <v>87</v>
      </c>
      <c r="HI55">
        <v>0</v>
      </c>
      <c r="HP55">
        <v>0</v>
      </c>
      <c r="HX55">
        <v>0</v>
      </c>
      <c r="HY55">
        <v>220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220</v>
      </c>
      <c r="IF55">
        <v>44</v>
      </c>
      <c r="IL55">
        <v>44</v>
      </c>
      <c r="IM55">
        <v>102</v>
      </c>
      <c r="IS55">
        <v>102</v>
      </c>
      <c r="IT55">
        <v>74</v>
      </c>
      <c r="IZ55">
        <v>74</v>
      </c>
      <c r="JG55">
        <v>0</v>
      </c>
      <c r="JN55">
        <v>0</v>
      </c>
      <c r="JO55">
        <v>220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220</v>
      </c>
      <c r="JV55">
        <v>42</v>
      </c>
      <c r="JX55">
        <v>58</v>
      </c>
      <c r="KA55">
        <v>1</v>
      </c>
      <c r="KB55">
        <v>2</v>
      </c>
      <c r="KC55">
        <v>1</v>
      </c>
      <c r="KD55" t="s">
        <v>407</v>
      </c>
      <c r="OG55" t="s">
        <v>408</v>
      </c>
      <c r="SJ55" t="s">
        <v>409</v>
      </c>
      <c r="WM55" t="s">
        <v>410</v>
      </c>
      <c r="AAP55" t="s">
        <v>411</v>
      </c>
      <c r="AES55" t="s">
        <v>412</v>
      </c>
    </row>
    <row r="56" spans="1:825" x14ac:dyDescent="0.2">
      <c r="A56" t="s">
        <v>814</v>
      </c>
      <c r="B56" t="s">
        <v>563</v>
      </c>
      <c r="C56" t="s">
        <v>815</v>
      </c>
      <c r="D56" t="s">
        <v>478</v>
      </c>
      <c r="E56" s="3">
        <v>43518.92291666667</v>
      </c>
      <c r="H56" t="s">
        <v>502</v>
      </c>
      <c r="I56" s="3">
        <v>43518.925694444442</v>
      </c>
      <c r="P56" t="b">
        <v>0</v>
      </c>
      <c r="Q56" t="b">
        <v>1</v>
      </c>
      <c r="R56" t="b">
        <v>1</v>
      </c>
      <c r="S56" t="b">
        <v>0</v>
      </c>
      <c r="T56" t="b">
        <v>0</v>
      </c>
      <c r="U56" t="b">
        <v>0</v>
      </c>
      <c r="V56">
        <v>703</v>
      </c>
      <c r="W56" s="20">
        <v>43518.919444444444</v>
      </c>
      <c r="X56" t="s">
        <v>816</v>
      </c>
      <c r="Y56">
        <v>2019</v>
      </c>
      <c r="Z56" t="s">
        <v>817</v>
      </c>
      <c r="AA56" t="s">
        <v>815</v>
      </c>
      <c r="AB56" t="str">
        <f>VLOOKUP(MID(AD56,SEARCH("@",AD56,1),LEN(AD56)-SEARCH("@",AD56,1)+1),[2]Sheet1!$D:$F,3,FALSE)</f>
        <v>M107</v>
      </c>
      <c r="AC56" t="s">
        <v>818</v>
      </c>
      <c r="AD56" t="s">
        <v>819</v>
      </c>
      <c r="AE56" t="s">
        <v>820</v>
      </c>
      <c r="AF56" t="s">
        <v>571</v>
      </c>
      <c r="AG56" t="s">
        <v>538</v>
      </c>
      <c r="AI56">
        <v>1</v>
      </c>
      <c r="AL56">
        <v>5202</v>
      </c>
      <c r="AM56">
        <v>3514</v>
      </c>
      <c r="AN56">
        <v>3471</v>
      </c>
      <c r="AO56">
        <v>1782</v>
      </c>
      <c r="AP56">
        <v>155</v>
      </c>
      <c r="AQ56">
        <v>28</v>
      </c>
      <c r="AV56">
        <v>183</v>
      </c>
      <c r="BC56">
        <v>0</v>
      </c>
      <c r="BD56">
        <v>1805</v>
      </c>
      <c r="BE56">
        <v>550</v>
      </c>
      <c r="BI56">
        <v>976</v>
      </c>
      <c r="BJ56">
        <v>3331</v>
      </c>
      <c r="BQ56">
        <v>0</v>
      </c>
      <c r="BX56">
        <v>0</v>
      </c>
      <c r="CE56">
        <v>0</v>
      </c>
      <c r="CF56">
        <v>1960</v>
      </c>
      <c r="CG56">
        <v>578</v>
      </c>
      <c r="CH56">
        <v>0</v>
      </c>
      <c r="CI56">
        <v>0</v>
      </c>
      <c r="CJ56">
        <v>0</v>
      </c>
      <c r="CK56">
        <v>976</v>
      </c>
      <c r="CL56">
        <v>3514</v>
      </c>
      <c r="CM56">
        <v>1</v>
      </c>
      <c r="CN56">
        <v>1</v>
      </c>
      <c r="CS56">
        <v>2</v>
      </c>
      <c r="CZ56">
        <v>0</v>
      </c>
      <c r="DA56">
        <v>2</v>
      </c>
      <c r="DB56">
        <v>1</v>
      </c>
      <c r="DF56">
        <v>4</v>
      </c>
      <c r="DG56">
        <v>7</v>
      </c>
      <c r="DN56">
        <v>0</v>
      </c>
      <c r="DU56">
        <v>0</v>
      </c>
      <c r="EB56">
        <v>0</v>
      </c>
      <c r="EC56">
        <v>3</v>
      </c>
      <c r="ED56">
        <v>2</v>
      </c>
      <c r="EE56">
        <v>0</v>
      </c>
      <c r="EF56">
        <v>0</v>
      </c>
      <c r="EG56">
        <v>0</v>
      </c>
      <c r="EH56">
        <v>4</v>
      </c>
      <c r="EI56">
        <v>9</v>
      </c>
      <c r="EJ56" t="s">
        <v>405</v>
      </c>
      <c r="EK56" t="s">
        <v>405</v>
      </c>
      <c r="EL56" t="s">
        <v>404</v>
      </c>
      <c r="EM56" t="s">
        <v>404</v>
      </c>
      <c r="EN56" t="s">
        <v>404</v>
      </c>
      <c r="EO56" t="s">
        <v>404</v>
      </c>
      <c r="EP56" t="s">
        <v>404</v>
      </c>
      <c r="EQ56" t="s">
        <v>404</v>
      </c>
      <c r="ER56" t="s">
        <v>404</v>
      </c>
      <c r="ES56" t="s">
        <v>404</v>
      </c>
      <c r="ET56" t="s">
        <v>404</v>
      </c>
      <c r="EU56" t="s">
        <v>404</v>
      </c>
      <c r="EV56" t="s">
        <v>405</v>
      </c>
      <c r="EW56" t="s">
        <v>405</v>
      </c>
      <c r="EX56" t="s">
        <v>404</v>
      </c>
      <c r="EY56" t="s">
        <v>404</v>
      </c>
      <c r="EZ56" t="s">
        <v>404</v>
      </c>
      <c r="FA56" t="s">
        <v>405</v>
      </c>
      <c r="FB56" t="s">
        <v>404</v>
      </c>
      <c r="FC56" t="s">
        <v>404</v>
      </c>
      <c r="FD56" t="s">
        <v>404</v>
      </c>
      <c r="FE56" t="s">
        <v>404</v>
      </c>
      <c r="FF56" t="s">
        <v>404</v>
      </c>
      <c r="FG56" t="s">
        <v>404</v>
      </c>
      <c r="FH56" t="s">
        <v>404</v>
      </c>
      <c r="FI56" t="s">
        <v>404</v>
      </c>
      <c r="FJ56" t="s">
        <v>404</v>
      </c>
      <c r="FK56" t="s">
        <v>404</v>
      </c>
      <c r="FL56" t="s">
        <v>404</v>
      </c>
      <c r="FM56" t="s">
        <v>404</v>
      </c>
      <c r="FN56" t="s">
        <v>404</v>
      </c>
      <c r="FO56" t="s">
        <v>404</v>
      </c>
      <c r="FP56" t="s">
        <v>404</v>
      </c>
      <c r="FQ56" t="s">
        <v>404</v>
      </c>
      <c r="FR56" t="s">
        <v>404</v>
      </c>
      <c r="FS56" t="s">
        <v>404</v>
      </c>
      <c r="FT56">
        <v>117</v>
      </c>
      <c r="FU56">
        <v>0</v>
      </c>
      <c r="FY56">
        <v>0</v>
      </c>
      <c r="FZ56">
        <v>117</v>
      </c>
      <c r="GA56">
        <v>0</v>
      </c>
      <c r="GB56">
        <v>0</v>
      </c>
      <c r="GF56">
        <v>0</v>
      </c>
      <c r="GG56">
        <v>0</v>
      </c>
      <c r="GH56">
        <v>0</v>
      </c>
      <c r="GI56">
        <v>28</v>
      </c>
      <c r="GM56">
        <v>0</v>
      </c>
      <c r="GN56">
        <v>28</v>
      </c>
      <c r="GO56">
        <v>1333</v>
      </c>
      <c r="GP56">
        <v>550</v>
      </c>
      <c r="GT56">
        <v>916</v>
      </c>
      <c r="GU56">
        <v>2799</v>
      </c>
      <c r="GV56">
        <v>21</v>
      </c>
      <c r="GW56">
        <v>0</v>
      </c>
      <c r="HA56">
        <v>0</v>
      </c>
      <c r="HB56">
        <v>21</v>
      </c>
      <c r="HC56">
        <v>77</v>
      </c>
      <c r="HD56">
        <v>0</v>
      </c>
      <c r="HH56">
        <v>0</v>
      </c>
      <c r="HI56">
        <v>77</v>
      </c>
      <c r="HJ56">
        <v>0</v>
      </c>
      <c r="HK56">
        <v>0</v>
      </c>
      <c r="HO56">
        <v>0</v>
      </c>
      <c r="HP56">
        <v>0</v>
      </c>
      <c r="HQ56" t="s">
        <v>821</v>
      </c>
      <c r="HR56">
        <v>411</v>
      </c>
      <c r="HS56">
        <v>0</v>
      </c>
      <c r="HW56">
        <v>61</v>
      </c>
      <c r="HX56">
        <v>472</v>
      </c>
      <c r="HY56">
        <v>1959</v>
      </c>
      <c r="HZ56">
        <v>578</v>
      </c>
      <c r="IA56">
        <v>0</v>
      </c>
      <c r="IB56">
        <v>0</v>
      </c>
      <c r="IC56">
        <v>0</v>
      </c>
      <c r="ID56">
        <v>977</v>
      </c>
      <c r="IE56">
        <v>3514</v>
      </c>
      <c r="IF56">
        <v>180</v>
      </c>
      <c r="IG56">
        <v>28</v>
      </c>
      <c r="IK56">
        <v>428</v>
      </c>
      <c r="IL56">
        <v>636</v>
      </c>
      <c r="IM56">
        <v>94</v>
      </c>
      <c r="IS56">
        <v>94</v>
      </c>
      <c r="IT56">
        <v>1686</v>
      </c>
      <c r="IU56">
        <v>550</v>
      </c>
      <c r="IY56">
        <v>548</v>
      </c>
      <c r="IZ56">
        <v>2784</v>
      </c>
      <c r="JG56">
        <v>0</v>
      </c>
      <c r="JN56">
        <v>0</v>
      </c>
      <c r="JO56">
        <v>1960</v>
      </c>
      <c r="JP56">
        <v>578</v>
      </c>
      <c r="JQ56">
        <v>0</v>
      </c>
      <c r="JR56">
        <v>0</v>
      </c>
      <c r="JS56">
        <v>0</v>
      </c>
      <c r="JT56">
        <v>976</v>
      </c>
      <c r="JU56">
        <v>3514</v>
      </c>
      <c r="JW56">
        <v>5</v>
      </c>
      <c r="JX56">
        <v>50</v>
      </c>
      <c r="JY56" t="s">
        <v>822</v>
      </c>
      <c r="JZ56">
        <v>45</v>
      </c>
      <c r="KA56">
        <v>3</v>
      </c>
      <c r="KB56">
        <v>1</v>
      </c>
      <c r="KC56">
        <v>1</v>
      </c>
      <c r="KD56" t="s">
        <v>407</v>
      </c>
      <c r="KE56">
        <v>18</v>
      </c>
      <c r="KK56">
        <v>18</v>
      </c>
      <c r="KR56">
        <v>0</v>
      </c>
      <c r="KT56">
        <v>28</v>
      </c>
      <c r="KY56">
        <v>28</v>
      </c>
      <c r="KZ56">
        <v>132</v>
      </c>
      <c r="LF56">
        <v>132</v>
      </c>
      <c r="LM56">
        <v>0</v>
      </c>
      <c r="LT56">
        <v>0</v>
      </c>
      <c r="MA56">
        <v>0</v>
      </c>
      <c r="MB56" t="s">
        <v>823</v>
      </c>
      <c r="MC56">
        <v>5</v>
      </c>
      <c r="MI56">
        <v>5</v>
      </c>
      <c r="MJ56">
        <v>155</v>
      </c>
      <c r="MK56">
        <v>28</v>
      </c>
      <c r="ML56">
        <v>0</v>
      </c>
      <c r="MM56">
        <v>0</v>
      </c>
      <c r="MN56">
        <v>0</v>
      </c>
      <c r="MO56">
        <v>0</v>
      </c>
      <c r="MP56">
        <v>183</v>
      </c>
      <c r="MQ56">
        <v>17</v>
      </c>
      <c r="MW56">
        <v>17</v>
      </c>
      <c r="MY56">
        <v>28</v>
      </c>
      <c r="ND56">
        <v>28</v>
      </c>
      <c r="NE56">
        <v>138</v>
      </c>
      <c r="NK56">
        <v>138</v>
      </c>
      <c r="NR56">
        <v>0</v>
      </c>
      <c r="NY56">
        <v>0</v>
      </c>
      <c r="NZ56">
        <v>155</v>
      </c>
      <c r="OA56">
        <v>28</v>
      </c>
      <c r="OB56">
        <v>0</v>
      </c>
      <c r="OC56">
        <v>0</v>
      </c>
      <c r="OD56">
        <v>0</v>
      </c>
      <c r="OE56">
        <v>0</v>
      </c>
      <c r="OF56">
        <v>183</v>
      </c>
      <c r="OG56" t="s">
        <v>408</v>
      </c>
      <c r="SJ56" t="s">
        <v>409</v>
      </c>
      <c r="SK56">
        <v>99</v>
      </c>
      <c r="SQ56">
        <v>99</v>
      </c>
      <c r="SX56">
        <v>0</v>
      </c>
      <c r="TE56">
        <v>0</v>
      </c>
      <c r="TF56">
        <v>1202</v>
      </c>
      <c r="TG56">
        <v>550</v>
      </c>
      <c r="TK56">
        <v>915</v>
      </c>
      <c r="TL56">
        <v>2667</v>
      </c>
      <c r="TM56">
        <v>21</v>
      </c>
      <c r="TS56">
        <v>21</v>
      </c>
      <c r="TT56">
        <v>77</v>
      </c>
      <c r="TZ56">
        <v>77</v>
      </c>
      <c r="UG56">
        <v>0</v>
      </c>
      <c r="UH56" t="s">
        <v>821</v>
      </c>
      <c r="UI56">
        <v>406</v>
      </c>
      <c r="UN56">
        <v>61</v>
      </c>
      <c r="UO56">
        <v>467</v>
      </c>
      <c r="UP56">
        <v>1805</v>
      </c>
      <c r="UQ56">
        <v>550</v>
      </c>
      <c r="UR56">
        <v>0</v>
      </c>
      <c r="US56">
        <v>0</v>
      </c>
      <c r="UT56">
        <v>0</v>
      </c>
      <c r="UU56">
        <v>976</v>
      </c>
      <c r="UV56">
        <v>3331</v>
      </c>
      <c r="UW56">
        <v>77</v>
      </c>
      <c r="VC56">
        <v>77</v>
      </c>
      <c r="VD56">
        <v>180</v>
      </c>
      <c r="VI56">
        <v>428</v>
      </c>
      <c r="VJ56">
        <v>608</v>
      </c>
      <c r="VK56">
        <v>1548</v>
      </c>
      <c r="VL56">
        <v>550</v>
      </c>
      <c r="VP56">
        <v>548</v>
      </c>
      <c r="VQ56">
        <v>2646</v>
      </c>
      <c r="VX56">
        <v>0</v>
      </c>
      <c r="WE56">
        <v>0</v>
      </c>
      <c r="WF56">
        <v>1805</v>
      </c>
      <c r="WG56">
        <v>550</v>
      </c>
      <c r="WH56">
        <v>0</v>
      </c>
      <c r="WI56">
        <v>0</v>
      </c>
      <c r="WJ56">
        <v>0</v>
      </c>
      <c r="WK56">
        <v>976</v>
      </c>
      <c r="WL56">
        <v>3331</v>
      </c>
      <c r="WM56" t="s">
        <v>410</v>
      </c>
      <c r="AAP56" t="s">
        <v>411</v>
      </c>
      <c r="AES56" t="s">
        <v>412</v>
      </c>
    </row>
    <row r="57" spans="1:825" x14ac:dyDescent="0.2">
      <c r="A57" t="s">
        <v>824</v>
      </c>
      <c r="B57" t="s">
        <v>563</v>
      </c>
      <c r="C57" t="s">
        <v>825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b">
        <v>0</v>
      </c>
      <c r="V57">
        <v>721</v>
      </c>
      <c r="W57" s="20">
        <v>43514.571527777778</v>
      </c>
      <c r="X57" t="s">
        <v>826</v>
      </c>
      <c r="Y57">
        <v>2019</v>
      </c>
      <c r="Z57" t="s">
        <v>827</v>
      </c>
      <c r="AA57" t="s">
        <v>828</v>
      </c>
      <c r="AB57" t="str">
        <f>VLOOKUP(MID(AD57,SEARCH("@",AD57,1),LEN(AD57)-SEARCH("@",AD57,1)+1),[2]Sheet1!$D:$F,3,FALSE)</f>
        <v>NC019</v>
      </c>
      <c r="AC57" t="s">
        <v>713</v>
      </c>
      <c r="AD57" t="s">
        <v>829</v>
      </c>
      <c r="AE57" t="s">
        <v>830</v>
      </c>
      <c r="AF57" t="s">
        <v>571</v>
      </c>
      <c r="AG57" t="s">
        <v>538</v>
      </c>
      <c r="AI57">
        <v>1</v>
      </c>
      <c r="AL57">
        <v>7400</v>
      </c>
      <c r="AM57">
        <v>7400</v>
      </c>
      <c r="AN57">
        <v>7400</v>
      </c>
      <c r="AO57">
        <v>7400</v>
      </c>
      <c r="AV57">
        <v>0</v>
      </c>
      <c r="BC57">
        <v>0</v>
      </c>
      <c r="BE57">
        <v>1700</v>
      </c>
      <c r="BI57">
        <v>5700</v>
      </c>
      <c r="BJ57">
        <v>7400</v>
      </c>
      <c r="BQ57">
        <v>0</v>
      </c>
      <c r="BX57">
        <v>0</v>
      </c>
      <c r="CE57">
        <v>0</v>
      </c>
      <c r="CF57">
        <v>0</v>
      </c>
      <c r="CG57">
        <v>1700</v>
      </c>
      <c r="CH57">
        <v>0</v>
      </c>
      <c r="CI57">
        <v>0</v>
      </c>
      <c r="CJ57">
        <v>0</v>
      </c>
      <c r="CK57">
        <v>5700</v>
      </c>
      <c r="CL57">
        <v>7400</v>
      </c>
      <c r="CS57">
        <v>0</v>
      </c>
      <c r="CZ57">
        <v>0</v>
      </c>
      <c r="DB57">
        <v>1</v>
      </c>
      <c r="DF57">
        <v>1</v>
      </c>
      <c r="DG57">
        <v>2</v>
      </c>
      <c r="DN57">
        <v>0</v>
      </c>
      <c r="DU57">
        <v>0</v>
      </c>
      <c r="EB57">
        <v>0</v>
      </c>
      <c r="EC57">
        <v>0</v>
      </c>
      <c r="ED57">
        <v>1</v>
      </c>
      <c r="EE57">
        <v>0</v>
      </c>
      <c r="EF57">
        <v>0</v>
      </c>
      <c r="EG57">
        <v>0</v>
      </c>
      <c r="EH57">
        <v>1</v>
      </c>
      <c r="EI57">
        <v>2</v>
      </c>
      <c r="EJ57" t="s">
        <v>404</v>
      </c>
      <c r="EK57" t="s">
        <v>404</v>
      </c>
      <c r="EL57" t="s">
        <v>404</v>
      </c>
      <c r="EM57" t="s">
        <v>404</v>
      </c>
      <c r="EN57" t="s">
        <v>404</v>
      </c>
      <c r="EO57" t="s">
        <v>404</v>
      </c>
      <c r="EP57" t="s">
        <v>404</v>
      </c>
      <c r="EQ57" t="s">
        <v>404</v>
      </c>
      <c r="ER57" t="s">
        <v>404</v>
      </c>
      <c r="ES57" t="s">
        <v>404</v>
      </c>
      <c r="ET57" t="s">
        <v>404</v>
      </c>
      <c r="EU57" t="s">
        <v>404</v>
      </c>
      <c r="EV57" t="s">
        <v>404</v>
      </c>
      <c r="EW57" t="s">
        <v>405</v>
      </c>
      <c r="EX57" t="s">
        <v>404</v>
      </c>
      <c r="EY57" t="s">
        <v>404</v>
      </c>
      <c r="EZ57" t="s">
        <v>404</v>
      </c>
      <c r="FA57" t="s">
        <v>405</v>
      </c>
      <c r="FB57" t="s">
        <v>404</v>
      </c>
      <c r="FC57" t="s">
        <v>404</v>
      </c>
      <c r="FD57" t="s">
        <v>404</v>
      </c>
      <c r="FE57" t="s">
        <v>404</v>
      </c>
      <c r="FF57" t="s">
        <v>404</v>
      </c>
      <c r="FG57" t="s">
        <v>404</v>
      </c>
      <c r="FH57" t="s">
        <v>404</v>
      </c>
      <c r="FI57" t="s">
        <v>404</v>
      </c>
      <c r="FJ57" t="s">
        <v>404</v>
      </c>
      <c r="FK57" t="s">
        <v>404</v>
      </c>
      <c r="FL57" t="s">
        <v>404</v>
      </c>
      <c r="FM57" t="s">
        <v>404</v>
      </c>
      <c r="FN57" t="s">
        <v>404</v>
      </c>
      <c r="FO57" t="s">
        <v>404</v>
      </c>
      <c r="FP57" t="s">
        <v>404</v>
      </c>
      <c r="FQ57" t="s">
        <v>404</v>
      </c>
      <c r="FR57" t="s">
        <v>404</v>
      </c>
      <c r="FS57" t="s">
        <v>404</v>
      </c>
      <c r="FZ57">
        <v>0</v>
      </c>
      <c r="GB57">
        <v>1700</v>
      </c>
      <c r="GF57">
        <v>5700</v>
      </c>
      <c r="GG57">
        <v>7400</v>
      </c>
      <c r="GN57">
        <v>0</v>
      </c>
      <c r="GU57">
        <v>0</v>
      </c>
      <c r="HB57">
        <v>0</v>
      </c>
      <c r="HI57">
        <v>0</v>
      </c>
      <c r="HP57">
        <v>0</v>
      </c>
      <c r="HX57">
        <v>0</v>
      </c>
      <c r="HY57">
        <v>0</v>
      </c>
      <c r="HZ57">
        <v>1700</v>
      </c>
      <c r="IA57">
        <v>0</v>
      </c>
      <c r="IB57">
        <v>0</v>
      </c>
      <c r="IC57">
        <v>0</v>
      </c>
      <c r="ID57">
        <v>5700</v>
      </c>
      <c r="IE57">
        <v>7400</v>
      </c>
      <c r="IL57">
        <v>0</v>
      </c>
      <c r="IS57">
        <v>0</v>
      </c>
      <c r="IU57">
        <v>1700</v>
      </c>
      <c r="IY57">
        <v>5700</v>
      </c>
      <c r="IZ57">
        <v>7400</v>
      </c>
      <c r="JG57">
        <v>0</v>
      </c>
      <c r="JN57">
        <v>0</v>
      </c>
      <c r="JO57">
        <v>0</v>
      </c>
      <c r="JP57">
        <v>1700</v>
      </c>
      <c r="JQ57">
        <v>0</v>
      </c>
      <c r="JR57">
        <v>0</v>
      </c>
      <c r="JS57">
        <v>0</v>
      </c>
      <c r="JT57">
        <v>5700</v>
      </c>
      <c r="JU57">
        <v>7400</v>
      </c>
      <c r="JY57" t="s">
        <v>831</v>
      </c>
      <c r="JZ57">
        <v>100</v>
      </c>
      <c r="KA57">
        <v>2</v>
      </c>
      <c r="KB57">
        <v>3</v>
      </c>
      <c r="KC57">
        <v>2</v>
      </c>
      <c r="KD57" t="s">
        <v>407</v>
      </c>
      <c r="OG57" t="s">
        <v>408</v>
      </c>
      <c r="SJ57" t="s">
        <v>409</v>
      </c>
      <c r="WM57" t="s">
        <v>410</v>
      </c>
      <c r="AAP57" t="s">
        <v>411</v>
      </c>
      <c r="AES57" t="s">
        <v>412</v>
      </c>
    </row>
    <row r="58" spans="1:825" x14ac:dyDescent="0.2">
      <c r="A58" t="s">
        <v>832</v>
      </c>
      <c r="B58" t="s">
        <v>396</v>
      </c>
      <c r="C58" t="s">
        <v>833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>
        <v>576</v>
      </c>
      <c r="W58" s="20">
        <v>43486.443749999999</v>
      </c>
      <c r="X58" t="s">
        <v>834</v>
      </c>
      <c r="Y58">
        <v>2019</v>
      </c>
      <c r="Z58" t="s">
        <v>835</v>
      </c>
      <c r="AA58" t="s">
        <v>833</v>
      </c>
      <c r="AB58" t="str">
        <f>VLOOKUP(MID(AD58,SEARCH("@",AD58,1),LEN(AD58)-SEARCH("@",AD58,1)+1),[2]Sheet1!$D:$F,3,FALSE)</f>
        <v>M617</v>
      </c>
      <c r="AC58" t="s">
        <v>836</v>
      </c>
      <c r="AD58" t="s">
        <v>837</v>
      </c>
      <c r="AF58" t="s">
        <v>444</v>
      </c>
      <c r="AG58" t="s">
        <v>403</v>
      </c>
      <c r="AI58">
        <v>1</v>
      </c>
      <c r="AL58">
        <v>182</v>
      </c>
      <c r="AM58">
        <v>182</v>
      </c>
      <c r="AN58">
        <v>182</v>
      </c>
      <c r="AO58">
        <v>182</v>
      </c>
      <c r="AV58">
        <v>0</v>
      </c>
      <c r="AW58">
        <v>182</v>
      </c>
      <c r="BC58">
        <v>182</v>
      </c>
      <c r="BJ58">
        <v>0</v>
      </c>
      <c r="BQ58">
        <v>0</v>
      </c>
      <c r="BX58">
        <v>0</v>
      </c>
      <c r="CE58">
        <v>0</v>
      </c>
      <c r="CF58">
        <v>182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182</v>
      </c>
      <c r="CS58">
        <v>0</v>
      </c>
      <c r="CT58">
        <v>2</v>
      </c>
      <c r="CZ58">
        <v>2</v>
      </c>
      <c r="DG58">
        <v>0</v>
      </c>
      <c r="DN58">
        <v>0</v>
      </c>
      <c r="DU58">
        <v>0</v>
      </c>
      <c r="EB58">
        <v>0</v>
      </c>
      <c r="EC58">
        <v>2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2</v>
      </c>
      <c r="EJ58" t="s">
        <v>404</v>
      </c>
      <c r="EK58" t="s">
        <v>404</v>
      </c>
      <c r="EL58" t="s">
        <v>404</v>
      </c>
      <c r="EM58" t="s">
        <v>404</v>
      </c>
      <c r="EN58" t="s">
        <v>404</v>
      </c>
      <c r="EO58" t="s">
        <v>404</v>
      </c>
      <c r="EP58" t="s">
        <v>405</v>
      </c>
      <c r="EQ58" t="s">
        <v>404</v>
      </c>
      <c r="ER58" t="s">
        <v>404</v>
      </c>
      <c r="ES58" t="s">
        <v>404</v>
      </c>
      <c r="ET58" t="s">
        <v>404</v>
      </c>
      <c r="EU58" t="s">
        <v>404</v>
      </c>
      <c r="EV58" t="s">
        <v>404</v>
      </c>
      <c r="EW58" t="s">
        <v>404</v>
      </c>
      <c r="EX58" t="s">
        <v>404</v>
      </c>
      <c r="EY58" t="s">
        <v>404</v>
      </c>
      <c r="EZ58" t="s">
        <v>404</v>
      </c>
      <c r="FA58" t="s">
        <v>404</v>
      </c>
      <c r="FB58" t="s">
        <v>404</v>
      </c>
      <c r="FC58" t="s">
        <v>404</v>
      </c>
      <c r="FD58" t="s">
        <v>404</v>
      </c>
      <c r="FE58" t="s">
        <v>404</v>
      </c>
      <c r="FF58" t="s">
        <v>404</v>
      </c>
      <c r="FG58" t="s">
        <v>404</v>
      </c>
      <c r="FH58" t="s">
        <v>404</v>
      </c>
      <c r="FI58" t="s">
        <v>404</v>
      </c>
      <c r="FJ58" t="s">
        <v>404</v>
      </c>
      <c r="FK58" t="s">
        <v>404</v>
      </c>
      <c r="FL58" t="s">
        <v>404</v>
      </c>
      <c r="FM58" t="s">
        <v>404</v>
      </c>
      <c r="FN58" t="s">
        <v>404</v>
      </c>
      <c r="FO58" t="s">
        <v>404</v>
      </c>
      <c r="FP58" t="s">
        <v>404</v>
      </c>
      <c r="FQ58" t="s">
        <v>404</v>
      </c>
      <c r="FR58" t="s">
        <v>404</v>
      </c>
      <c r="FS58" t="s">
        <v>404</v>
      </c>
      <c r="FT58">
        <v>35.299999999999997</v>
      </c>
      <c r="FZ58">
        <v>35.299999999999997</v>
      </c>
      <c r="GA58">
        <v>11.3</v>
      </c>
      <c r="GG58">
        <v>11.3</v>
      </c>
      <c r="GN58">
        <v>0</v>
      </c>
      <c r="GU58">
        <v>0</v>
      </c>
      <c r="GV58">
        <v>1.3</v>
      </c>
      <c r="HB58">
        <v>1.3</v>
      </c>
      <c r="HC58">
        <v>118.7</v>
      </c>
      <c r="HI58">
        <v>118.7</v>
      </c>
      <c r="HP58">
        <v>0</v>
      </c>
      <c r="HQ58" t="s">
        <v>838</v>
      </c>
      <c r="HR58">
        <v>15.4</v>
      </c>
      <c r="HX58">
        <v>15.4</v>
      </c>
      <c r="HY58">
        <v>182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182</v>
      </c>
      <c r="IL58">
        <v>0</v>
      </c>
      <c r="IM58">
        <v>182</v>
      </c>
      <c r="IS58">
        <v>182</v>
      </c>
      <c r="IZ58">
        <v>0</v>
      </c>
      <c r="JG58">
        <v>0</v>
      </c>
      <c r="JN58">
        <v>0</v>
      </c>
      <c r="JO58">
        <v>182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182</v>
      </c>
      <c r="JX58">
        <v>100</v>
      </c>
      <c r="KA58">
        <v>1</v>
      </c>
      <c r="KB58">
        <v>3</v>
      </c>
      <c r="KC58">
        <v>1</v>
      </c>
      <c r="KD58" t="s">
        <v>407</v>
      </c>
      <c r="OG58" t="s">
        <v>408</v>
      </c>
      <c r="SJ58" t="s">
        <v>409</v>
      </c>
      <c r="WM58" t="s">
        <v>410</v>
      </c>
      <c r="AAP58" t="s">
        <v>411</v>
      </c>
      <c r="AES58" t="s">
        <v>412</v>
      </c>
    </row>
    <row r="59" spans="1:825" x14ac:dyDescent="0.2">
      <c r="A59" t="s">
        <v>839</v>
      </c>
      <c r="B59" t="s">
        <v>396</v>
      </c>
      <c r="C59" t="s">
        <v>840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>
        <v>620</v>
      </c>
      <c r="W59" s="20">
        <v>43490.441666666666</v>
      </c>
      <c r="X59" t="s">
        <v>841</v>
      </c>
      <c r="Y59">
        <v>2019</v>
      </c>
      <c r="Z59" t="s">
        <v>842</v>
      </c>
      <c r="AA59" t="s">
        <v>843</v>
      </c>
      <c r="AB59" t="str">
        <f>VLOOKUP(MID(AD59,SEARCH("@",AD59,1),LEN(AD59)-SEARCH("@",AD59,1)+1),[2]Sheet1!$D:$F,3,FALSE)</f>
        <v>M637</v>
      </c>
      <c r="AC59" t="s">
        <v>844</v>
      </c>
      <c r="AD59" t="s">
        <v>845</v>
      </c>
      <c r="AE59" t="s">
        <v>846</v>
      </c>
      <c r="AF59" t="s">
        <v>444</v>
      </c>
      <c r="AG59" t="s">
        <v>403</v>
      </c>
      <c r="AI59">
        <v>1</v>
      </c>
      <c r="AM59">
        <v>100</v>
      </c>
      <c r="AO59">
        <v>92.3</v>
      </c>
      <c r="AV59">
        <v>0</v>
      </c>
      <c r="AW59">
        <v>100</v>
      </c>
      <c r="BC59">
        <v>100</v>
      </c>
      <c r="BJ59">
        <v>0</v>
      </c>
      <c r="BQ59">
        <v>0</v>
      </c>
      <c r="BX59">
        <v>0</v>
      </c>
      <c r="CE59">
        <v>0</v>
      </c>
      <c r="CF59">
        <v>100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100</v>
      </c>
      <c r="CS59">
        <v>0</v>
      </c>
      <c r="CT59">
        <v>1</v>
      </c>
      <c r="CZ59">
        <v>1</v>
      </c>
      <c r="DG59">
        <v>0</v>
      </c>
      <c r="DN59">
        <v>0</v>
      </c>
      <c r="DU59">
        <v>0</v>
      </c>
      <c r="EB59">
        <v>0</v>
      </c>
      <c r="EC59">
        <v>1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1</v>
      </c>
      <c r="EJ59" t="s">
        <v>404</v>
      </c>
      <c r="EK59" t="s">
        <v>404</v>
      </c>
      <c r="EL59" t="s">
        <v>404</v>
      </c>
      <c r="EM59" t="s">
        <v>404</v>
      </c>
      <c r="EN59" t="s">
        <v>404</v>
      </c>
      <c r="EO59" t="s">
        <v>404</v>
      </c>
      <c r="EP59" t="s">
        <v>405</v>
      </c>
      <c r="EQ59" t="s">
        <v>404</v>
      </c>
      <c r="ER59" t="s">
        <v>404</v>
      </c>
      <c r="ES59" t="s">
        <v>404</v>
      </c>
      <c r="ET59" t="s">
        <v>404</v>
      </c>
      <c r="EU59" t="s">
        <v>404</v>
      </c>
      <c r="EV59" t="s">
        <v>404</v>
      </c>
      <c r="EW59" t="s">
        <v>404</v>
      </c>
      <c r="EX59" t="s">
        <v>404</v>
      </c>
      <c r="EY59" t="s">
        <v>404</v>
      </c>
      <c r="EZ59" t="s">
        <v>404</v>
      </c>
      <c r="FA59" t="s">
        <v>404</v>
      </c>
      <c r="FB59" t="s">
        <v>404</v>
      </c>
      <c r="FC59" t="s">
        <v>404</v>
      </c>
      <c r="FD59" t="s">
        <v>404</v>
      </c>
      <c r="FE59" t="s">
        <v>404</v>
      </c>
      <c r="FF59" t="s">
        <v>404</v>
      </c>
      <c r="FG59" t="s">
        <v>404</v>
      </c>
      <c r="FH59" t="s">
        <v>404</v>
      </c>
      <c r="FI59" t="s">
        <v>404</v>
      </c>
      <c r="FJ59" t="s">
        <v>404</v>
      </c>
      <c r="FK59" t="s">
        <v>404</v>
      </c>
      <c r="FL59" t="s">
        <v>404</v>
      </c>
      <c r="FM59" t="s">
        <v>404</v>
      </c>
      <c r="FN59" t="s">
        <v>404</v>
      </c>
      <c r="FO59" t="s">
        <v>404</v>
      </c>
      <c r="FP59" t="s">
        <v>404</v>
      </c>
      <c r="FQ59" t="s">
        <v>404</v>
      </c>
      <c r="FR59" t="s">
        <v>404</v>
      </c>
      <c r="FS59" t="s">
        <v>404</v>
      </c>
      <c r="FZ59">
        <v>0</v>
      </c>
      <c r="GG59">
        <v>0</v>
      </c>
      <c r="GN59">
        <v>0</v>
      </c>
      <c r="GU59">
        <v>0</v>
      </c>
      <c r="HB59">
        <v>0</v>
      </c>
      <c r="HI59">
        <v>0</v>
      </c>
      <c r="HP59">
        <v>0</v>
      </c>
      <c r="HQ59" t="s">
        <v>847</v>
      </c>
      <c r="HR59">
        <v>100</v>
      </c>
      <c r="HX59">
        <v>100</v>
      </c>
      <c r="HY59">
        <v>100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100</v>
      </c>
      <c r="IL59">
        <v>0</v>
      </c>
      <c r="IM59">
        <v>100</v>
      </c>
      <c r="IS59">
        <v>100</v>
      </c>
      <c r="IZ59">
        <v>0</v>
      </c>
      <c r="JG59">
        <v>0</v>
      </c>
      <c r="JN59">
        <v>0</v>
      </c>
      <c r="JO59">
        <v>100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100</v>
      </c>
      <c r="JX59">
        <v>100</v>
      </c>
      <c r="KA59">
        <v>1</v>
      </c>
      <c r="KB59">
        <v>3</v>
      </c>
      <c r="KC59">
        <v>1</v>
      </c>
      <c r="KD59" t="s">
        <v>407</v>
      </c>
      <c r="OG59" t="s">
        <v>408</v>
      </c>
      <c r="SJ59" t="s">
        <v>409</v>
      </c>
      <c r="WM59" t="s">
        <v>410</v>
      </c>
      <c r="AAP59" t="s">
        <v>411</v>
      </c>
      <c r="AES59" t="s">
        <v>412</v>
      </c>
    </row>
    <row r="60" spans="1:825" x14ac:dyDescent="0.2">
      <c r="A60" t="s">
        <v>848</v>
      </c>
      <c r="B60" t="s">
        <v>396</v>
      </c>
      <c r="C60" t="s">
        <v>849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>
        <v>640</v>
      </c>
      <c r="W60" s="20">
        <v>43509.538888888892</v>
      </c>
      <c r="X60" t="s">
        <v>850</v>
      </c>
      <c r="Y60">
        <v>2019</v>
      </c>
      <c r="Z60" t="s">
        <v>851</v>
      </c>
      <c r="AA60" t="s">
        <v>849</v>
      </c>
      <c r="AB60" t="str">
        <f>VLOOKUP(MID(AD60,SEARCH("@",AD60,1),LEN(AD60)-SEARCH("@",AD60,1)+1),[2]Sheet1!$D:$F,3,FALSE)</f>
        <v>M305</v>
      </c>
      <c r="AC60" t="s">
        <v>852</v>
      </c>
      <c r="AD60" t="s">
        <v>853</v>
      </c>
      <c r="AE60" t="s">
        <v>854</v>
      </c>
      <c r="AF60" t="s">
        <v>402</v>
      </c>
      <c r="AG60" t="s">
        <v>403</v>
      </c>
      <c r="AI60">
        <v>1</v>
      </c>
      <c r="AL60">
        <v>675</v>
      </c>
      <c r="AM60">
        <v>675</v>
      </c>
      <c r="AN60">
        <v>307</v>
      </c>
      <c r="AO60">
        <v>307</v>
      </c>
      <c r="AV60">
        <v>0</v>
      </c>
      <c r="AW60">
        <v>675</v>
      </c>
      <c r="BC60">
        <v>675</v>
      </c>
      <c r="BJ60">
        <v>0</v>
      </c>
      <c r="BQ60">
        <v>0</v>
      </c>
      <c r="BX60">
        <v>0</v>
      </c>
      <c r="CE60">
        <v>0</v>
      </c>
      <c r="CF60">
        <v>675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675</v>
      </c>
      <c r="CS60">
        <v>0</v>
      </c>
      <c r="CT60">
        <v>1</v>
      </c>
      <c r="CZ60">
        <v>1</v>
      </c>
      <c r="DG60">
        <v>0</v>
      </c>
      <c r="DN60">
        <v>0</v>
      </c>
      <c r="DU60">
        <v>0</v>
      </c>
      <c r="EB60">
        <v>0</v>
      </c>
      <c r="EC60">
        <v>1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1</v>
      </c>
      <c r="EJ60" t="s">
        <v>404</v>
      </c>
      <c r="EK60" t="s">
        <v>404</v>
      </c>
      <c r="EL60" t="s">
        <v>404</v>
      </c>
      <c r="EM60" t="s">
        <v>404</v>
      </c>
      <c r="EN60" t="s">
        <v>404</v>
      </c>
      <c r="EO60" t="s">
        <v>404</v>
      </c>
      <c r="EP60" t="s">
        <v>405</v>
      </c>
      <c r="EQ60" t="s">
        <v>404</v>
      </c>
      <c r="ER60" t="s">
        <v>404</v>
      </c>
      <c r="ES60" t="s">
        <v>404</v>
      </c>
      <c r="ET60" t="s">
        <v>404</v>
      </c>
      <c r="EU60" t="s">
        <v>404</v>
      </c>
      <c r="EV60" t="s">
        <v>404</v>
      </c>
      <c r="EW60" t="s">
        <v>404</v>
      </c>
      <c r="EX60" t="s">
        <v>404</v>
      </c>
      <c r="EY60" t="s">
        <v>404</v>
      </c>
      <c r="EZ60" t="s">
        <v>404</v>
      </c>
      <c r="FA60" t="s">
        <v>404</v>
      </c>
      <c r="FB60" t="s">
        <v>404</v>
      </c>
      <c r="FC60" t="s">
        <v>404</v>
      </c>
      <c r="FD60" t="s">
        <v>404</v>
      </c>
      <c r="FE60" t="s">
        <v>404</v>
      </c>
      <c r="FF60" t="s">
        <v>404</v>
      </c>
      <c r="FG60" t="s">
        <v>404</v>
      </c>
      <c r="FH60" t="s">
        <v>404</v>
      </c>
      <c r="FI60" t="s">
        <v>404</v>
      </c>
      <c r="FJ60" t="s">
        <v>404</v>
      </c>
      <c r="FK60" t="s">
        <v>404</v>
      </c>
      <c r="FL60" t="s">
        <v>404</v>
      </c>
      <c r="FM60" t="s">
        <v>404</v>
      </c>
      <c r="FN60" t="s">
        <v>404</v>
      </c>
      <c r="FO60" t="s">
        <v>404</v>
      </c>
      <c r="FP60" t="s">
        <v>404</v>
      </c>
      <c r="FQ60" t="s">
        <v>404</v>
      </c>
      <c r="FR60" t="s">
        <v>404</v>
      </c>
      <c r="FS60" t="s">
        <v>404</v>
      </c>
      <c r="FT60">
        <v>212</v>
      </c>
      <c r="FZ60">
        <v>212</v>
      </c>
      <c r="GA60">
        <v>153</v>
      </c>
      <c r="GG60">
        <v>153</v>
      </c>
      <c r="GH60">
        <v>0</v>
      </c>
      <c r="GN60">
        <v>0</v>
      </c>
      <c r="GO60">
        <v>0</v>
      </c>
      <c r="GU60">
        <v>0</v>
      </c>
      <c r="GV60">
        <v>90</v>
      </c>
      <c r="HB60">
        <v>90</v>
      </c>
      <c r="HC60">
        <v>0</v>
      </c>
      <c r="HI60">
        <v>0</v>
      </c>
      <c r="HJ60">
        <v>14</v>
      </c>
      <c r="HP60">
        <v>14</v>
      </c>
      <c r="HQ60" t="s">
        <v>855</v>
      </c>
      <c r="HR60">
        <v>206</v>
      </c>
      <c r="HX60">
        <v>206</v>
      </c>
      <c r="HY60">
        <v>675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675</v>
      </c>
      <c r="IF60">
        <v>120</v>
      </c>
      <c r="IL60">
        <v>120</v>
      </c>
      <c r="IM60">
        <v>390</v>
      </c>
      <c r="IS60">
        <v>390</v>
      </c>
      <c r="IT60">
        <v>165</v>
      </c>
      <c r="IZ60">
        <v>165</v>
      </c>
      <c r="JG60">
        <v>0</v>
      </c>
      <c r="JN60">
        <v>0</v>
      </c>
      <c r="JO60">
        <v>675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675</v>
      </c>
      <c r="JV60">
        <v>0</v>
      </c>
      <c r="JW60">
        <v>25</v>
      </c>
      <c r="JX60">
        <v>75</v>
      </c>
      <c r="KA60">
        <v>1</v>
      </c>
      <c r="KB60">
        <v>3</v>
      </c>
      <c r="KC60">
        <v>2</v>
      </c>
      <c r="KD60" t="s">
        <v>407</v>
      </c>
      <c r="OG60" t="s">
        <v>408</v>
      </c>
      <c r="SJ60" t="s">
        <v>409</v>
      </c>
      <c r="WM60" t="s">
        <v>410</v>
      </c>
      <c r="AAP60" t="s">
        <v>411</v>
      </c>
      <c r="AES60" t="s">
        <v>412</v>
      </c>
    </row>
    <row r="61" spans="1:825" x14ac:dyDescent="0.2">
      <c r="A61" t="s">
        <v>856</v>
      </c>
      <c r="B61" t="s">
        <v>563</v>
      </c>
      <c r="C61" t="s">
        <v>857</v>
      </c>
      <c r="P61" t="b">
        <v>0</v>
      </c>
      <c r="Q61" t="b">
        <v>0</v>
      </c>
      <c r="R61" t="b">
        <v>1</v>
      </c>
      <c r="S61" t="b">
        <v>0</v>
      </c>
      <c r="T61" t="b">
        <v>0</v>
      </c>
      <c r="U61" t="b">
        <v>0</v>
      </c>
      <c r="V61">
        <v>693</v>
      </c>
      <c r="W61" s="20">
        <v>43500.869444444441</v>
      </c>
      <c r="X61" t="s">
        <v>858</v>
      </c>
      <c r="Y61">
        <v>2019</v>
      </c>
      <c r="Z61" t="s">
        <v>859</v>
      </c>
      <c r="AA61" t="s">
        <v>857</v>
      </c>
      <c r="AB61" t="str">
        <f>VLOOKUP(MID(AD61,SEARCH("@",AD61,1),LEN(AD61)-SEARCH("@",AD61,1)+1),[2]Sheet1!$D:$F,3,FALSE)</f>
        <v>NC008</v>
      </c>
      <c r="AC61" t="s">
        <v>860</v>
      </c>
      <c r="AD61" t="s">
        <v>861</v>
      </c>
      <c r="AF61" t="s">
        <v>571</v>
      </c>
      <c r="AG61" t="s">
        <v>538</v>
      </c>
      <c r="AI61">
        <v>1</v>
      </c>
      <c r="AL61">
        <v>220</v>
      </c>
      <c r="AM61">
        <v>220</v>
      </c>
      <c r="AN61">
        <v>175</v>
      </c>
      <c r="AO61">
        <v>175</v>
      </c>
      <c r="AV61">
        <v>0</v>
      </c>
      <c r="BC61">
        <v>0</v>
      </c>
      <c r="BE61">
        <v>220</v>
      </c>
      <c r="BJ61">
        <v>220</v>
      </c>
      <c r="BQ61">
        <v>0</v>
      </c>
      <c r="BX61">
        <v>0</v>
      </c>
      <c r="CE61">
        <v>0</v>
      </c>
      <c r="CF61">
        <v>0</v>
      </c>
      <c r="CG61">
        <v>220</v>
      </c>
      <c r="CH61">
        <v>0</v>
      </c>
      <c r="CI61">
        <v>0</v>
      </c>
      <c r="CJ61">
        <v>0</v>
      </c>
      <c r="CK61">
        <v>0</v>
      </c>
      <c r="CL61">
        <v>220</v>
      </c>
      <c r="CS61">
        <v>0</v>
      </c>
      <c r="CZ61">
        <v>0</v>
      </c>
      <c r="DB61">
        <v>2</v>
      </c>
      <c r="DG61">
        <v>2</v>
      </c>
      <c r="DN61">
        <v>0</v>
      </c>
      <c r="DU61">
        <v>0</v>
      </c>
      <c r="EB61">
        <v>0</v>
      </c>
      <c r="EC61">
        <v>0</v>
      </c>
      <c r="ED61">
        <v>2</v>
      </c>
      <c r="EE61">
        <v>0</v>
      </c>
      <c r="EF61">
        <v>0</v>
      </c>
      <c r="EG61">
        <v>0</v>
      </c>
      <c r="EH61">
        <v>0</v>
      </c>
      <c r="EI61">
        <v>2</v>
      </c>
      <c r="EJ61" t="s">
        <v>404</v>
      </c>
      <c r="EK61" t="s">
        <v>404</v>
      </c>
      <c r="EL61" t="s">
        <v>404</v>
      </c>
      <c r="EM61" t="s">
        <v>404</v>
      </c>
      <c r="EN61" t="s">
        <v>404</v>
      </c>
      <c r="EO61" t="s">
        <v>404</v>
      </c>
      <c r="EP61" t="s">
        <v>404</v>
      </c>
      <c r="EQ61" t="s">
        <v>404</v>
      </c>
      <c r="ER61" t="s">
        <v>404</v>
      </c>
      <c r="ES61" t="s">
        <v>404</v>
      </c>
      <c r="ET61" t="s">
        <v>404</v>
      </c>
      <c r="EU61" t="s">
        <v>404</v>
      </c>
      <c r="EV61" t="s">
        <v>404</v>
      </c>
      <c r="EW61" t="s">
        <v>405</v>
      </c>
      <c r="EX61" t="s">
        <v>404</v>
      </c>
      <c r="EY61" t="s">
        <v>404</v>
      </c>
      <c r="EZ61" t="s">
        <v>404</v>
      </c>
      <c r="FA61" t="s">
        <v>404</v>
      </c>
      <c r="FB61" t="s">
        <v>404</v>
      </c>
      <c r="FC61" t="s">
        <v>404</v>
      </c>
      <c r="FD61" t="s">
        <v>404</v>
      </c>
      <c r="FE61" t="s">
        <v>404</v>
      </c>
      <c r="FF61" t="s">
        <v>404</v>
      </c>
      <c r="FG61" t="s">
        <v>404</v>
      </c>
      <c r="FH61" t="s">
        <v>404</v>
      </c>
      <c r="FI61" t="s">
        <v>404</v>
      </c>
      <c r="FJ61" t="s">
        <v>404</v>
      </c>
      <c r="FK61" t="s">
        <v>404</v>
      </c>
      <c r="FL61" t="s">
        <v>404</v>
      </c>
      <c r="FM61" t="s">
        <v>404</v>
      </c>
      <c r="FN61" t="s">
        <v>404</v>
      </c>
      <c r="FO61" t="s">
        <v>404</v>
      </c>
      <c r="FP61" t="s">
        <v>404</v>
      </c>
      <c r="FQ61" t="s">
        <v>404</v>
      </c>
      <c r="FR61" t="s">
        <v>404</v>
      </c>
      <c r="FS61" t="s">
        <v>404</v>
      </c>
      <c r="FU61">
        <v>220</v>
      </c>
      <c r="FZ61">
        <v>220</v>
      </c>
      <c r="GG61">
        <v>0</v>
      </c>
      <c r="GN61">
        <v>0</v>
      </c>
      <c r="GU61">
        <v>0</v>
      </c>
      <c r="HB61">
        <v>0</v>
      </c>
      <c r="HI61">
        <v>0</v>
      </c>
      <c r="HP61">
        <v>0</v>
      </c>
      <c r="HX61">
        <v>0</v>
      </c>
      <c r="HY61">
        <v>0</v>
      </c>
      <c r="HZ61">
        <v>220</v>
      </c>
      <c r="IA61">
        <v>0</v>
      </c>
      <c r="IB61">
        <v>0</v>
      </c>
      <c r="IC61">
        <v>0</v>
      </c>
      <c r="ID61">
        <v>0</v>
      </c>
      <c r="IE61">
        <v>220</v>
      </c>
      <c r="IL61">
        <v>0</v>
      </c>
      <c r="IS61">
        <v>0</v>
      </c>
      <c r="IU61">
        <v>220</v>
      </c>
      <c r="IZ61">
        <v>220</v>
      </c>
      <c r="JG61">
        <v>0</v>
      </c>
      <c r="JN61">
        <v>0</v>
      </c>
      <c r="JO61">
        <v>0</v>
      </c>
      <c r="JP61">
        <v>220</v>
      </c>
      <c r="JQ61">
        <v>0</v>
      </c>
      <c r="JR61">
        <v>0</v>
      </c>
      <c r="JS61">
        <v>0</v>
      </c>
      <c r="JT61">
        <v>0</v>
      </c>
      <c r="JU61">
        <v>220</v>
      </c>
      <c r="JX61">
        <v>100</v>
      </c>
      <c r="KA61">
        <v>1</v>
      </c>
      <c r="KB61">
        <v>3</v>
      </c>
      <c r="KC61">
        <v>2</v>
      </c>
      <c r="KD61" t="s">
        <v>407</v>
      </c>
      <c r="OG61" t="s">
        <v>408</v>
      </c>
      <c r="SJ61" t="s">
        <v>409</v>
      </c>
      <c r="WM61" t="s">
        <v>410</v>
      </c>
      <c r="AAP61" t="s">
        <v>411</v>
      </c>
      <c r="AES61" t="s">
        <v>412</v>
      </c>
    </row>
    <row r="62" spans="1:825" x14ac:dyDescent="0.2">
      <c r="A62" t="s">
        <v>862</v>
      </c>
      <c r="B62" t="s">
        <v>414</v>
      </c>
      <c r="C62" t="s">
        <v>863</v>
      </c>
      <c r="P62" t="b">
        <v>0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>
        <v>541</v>
      </c>
      <c r="W62" s="20">
        <v>43517.325694444444</v>
      </c>
      <c r="X62" t="s">
        <v>864</v>
      </c>
      <c r="Y62">
        <v>2019</v>
      </c>
      <c r="Z62" t="s">
        <v>865</v>
      </c>
      <c r="AA62" t="s">
        <v>866</v>
      </c>
      <c r="AB62" t="str">
        <f>VLOOKUP(MID(AD62,SEARCH("@",AD62,1),LEN(AD62)-SEARCH("@",AD62,1)+1),[2]Sheet1!$D:$F,3,FALSE)</f>
        <v>M0230</v>
      </c>
      <c r="AC62" t="s">
        <v>867</v>
      </c>
      <c r="AD62" t="s">
        <v>868</v>
      </c>
      <c r="AE62" t="s">
        <v>869</v>
      </c>
      <c r="AF62" t="s">
        <v>703</v>
      </c>
      <c r="AG62" t="s">
        <v>704</v>
      </c>
      <c r="AI62">
        <v>1</v>
      </c>
      <c r="AL62">
        <v>100000</v>
      </c>
      <c r="AM62">
        <v>50000</v>
      </c>
      <c r="AN62">
        <v>40000</v>
      </c>
      <c r="AO62">
        <v>40000</v>
      </c>
      <c r="AQ62">
        <v>50000</v>
      </c>
      <c r="AV62">
        <v>50000</v>
      </c>
      <c r="BC62">
        <v>0</v>
      </c>
      <c r="BJ62">
        <v>0</v>
      </c>
      <c r="BQ62">
        <v>0</v>
      </c>
      <c r="BX62">
        <v>0</v>
      </c>
      <c r="CE62">
        <v>0</v>
      </c>
      <c r="CF62">
        <v>0</v>
      </c>
      <c r="CG62">
        <v>50000</v>
      </c>
      <c r="CH62">
        <v>0</v>
      </c>
      <c r="CI62">
        <v>0</v>
      </c>
      <c r="CJ62">
        <v>0</v>
      </c>
      <c r="CK62">
        <v>0</v>
      </c>
      <c r="CL62">
        <v>50000</v>
      </c>
      <c r="CN62">
        <v>60</v>
      </c>
      <c r="CS62">
        <v>60</v>
      </c>
      <c r="CZ62">
        <v>0</v>
      </c>
      <c r="DG62">
        <v>0</v>
      </c>
      <c r="DN62">
        <v>0</v>
      </c>
      <c r="DU62">
        <v>0</v>
      </c>
      <c r="EB62">
        <v>0</v>
      </c>
      <c r="EC62">
        <v>0</v>
      </c>
      <c r="ED62">
        <v>60</v>
      </c>
      <c r="EE62">
        <v>0</v>
      </c>
      <c r="EF62">
        <v>0</v>
      </c>
      <c r="EG62">
        <v>0</v>
      </c>
      <c r="EH62">
        <v>0</v>
      </c>
      <c r="EI62">
        <v>60</v>
      </c>
      <c r="EJ62" t="s">
        <v>404</v>
      </c>
      <c r="EK62" t="s">
        <v>405</v>
      </c>
      <c r="EL62" t="s">
        <v>404</v>
      </c>
      <c r="EM62" t="s">
        <v>404</v>
      </c>
      <c r="EN62" t="s">
        <v>404</v>
      </c>
      <c r="EO62" t="s">
        <v>404</v>
      </c>
      <c r="EP62" t="s">
        <v>404</v>
      </c>
      <c r="EQ62" t="s">
        <v>404</v>
      </c>
      <c r="ER62" t="s">
        <v>404</v>
      </c>
      <c r="ES62" t="s">
        <v>404</v>
      </c>
      <c r="ET62" t="s">
        <v>404</v>
      </c>
      <c r="EU62" t="s">
        <v>404</v>
      </c>
      <c r="EV62" t="s">
        <v>404</v>
      </c>
      <c r="EW62" t="s">
        <v>404</v>
      </c>
      <c r="EX62" t="s">
        <v>404</v>
      </c>
      <c r="EY62" t="s">
        <v>404</v>
      </c>
      <c r="EZ62" t="s">
        <v>404</v>
      </c>
      <c r="FA62" t="s">
        <v>404</v>
      </c>
      <c r="FB62" t="s">
        <v>404</v>
      </c>
      <c r="FC62" t="s">
        <v>404</v>
      </c>
      <c r="FD62" t="s">
        <v>404</v>
      </c>
      <c r="FE62" t="s">
        <v>404</v>
      </c>
      <c r="FF62" t="s">
        <v>404</v>
      </c>
      <c r="FG62" t="s">
        <v>404</v>
      </c>
      <c r="FH62" t="s">
        <v>404</v>
      </c>
      <c r="FI62" t="s">
        <v>404</v>
      </c>
      <c r="FJ62" t="s">
        <v>404</v>
      </c>
      <c r="FK62" t="s">
        <v>404</v>
      </c>
      <c r="FL62" t="s">
        <v>404</v>
      </c>
      <c r="FM62" t="s">
        <v>404</v>
      </c>
      <c r="FN62" t="s">
        <v>404</v>
      </c>
      <c r="FO62" t="s">
        <v>404</v>
      </c>
      <c r="FP62" t="s">
        <v>404</v>
      </c>
      <c r="FQ62" t="s">
        <v>404</v>
      </c>
      <c r="FR62" t="s">
        <v>404</v>
      </c>
      <c r="FS62" t="s">
        <v>404</v>
      </c>
      <c r="FU62">
        <v>25000</v>
      </c>
      <c r="FZ62">
        <v>25000</v>
      </c>
      <c r="GB62">
        <v>25000</v>
      </c>
      <c r="GG62">
        <v>25000</v>
      </c>
      <c r="GN62">
        <v>0</v>
      </c>
      <c r="GU62">
        <v>0</v>
      </c>
      <c r="HB62">
        <v>0</v>
      </c>
      <c r="HI62">
        <v>0</v>
      </c>
      <c r="HP62">
        <v>0</v>
      </c>
      <c r="HX62">
        <v>0</v>
      </c>
      <c r="HY62">
        <v>0</v>
      </c>
      <c r="HZ62">
        <v>50000</v>
      </c>
      <c r="IA62">
        <v>0</v>
      </c>
      <c r="IB62">
        <v>0</v>
      </c>
      <c r="IC62">
        <v>0</v>
      </c>
      <c r="ID62">
        <v>0</v>
      </c>
      <c r="IE62">
        <v>50000</v>
      </c>
      <c r="IG62">
        <v>50000</v>
      </c>
      <c r="IL62">
        <v>50000</v>
      </c>
      <c r="IS62">
        <v>0</v>
      </c>
      <c r="IZ62">
        <v>0</v>
      </c>
      <c r="JG62">
        <v>0</v>
      </c>
      <c r="JN62">
        <v>0</v>
      </c>
      <c r="JO62">
        <v>0</v>
      </c>
      <c r="JP62">
        <v>50000</v>
      </c>
      <c r="JQ62">
        <v>0</v>
      </c>
      <c r="JR62">
        <v>0</v>
      </c>
      <c r="JS62">
        <v>0</v>
      </c>
      <c r="JT62">
        <v>0</v>
      </c>
      <c r="JU62">
        <v>50000</v>
      </c>
      <c r="JW62">
        <v>100</v>
      </c>
      <c r="KA62">
        <v>3</v>
      </c>
      <c r="KB62">
        <v>3</v>
      </c>
      <c r="KC62">
        <v>2</v>
      </c>
      <c r="KD62" t="s">
        <v>407</v>
      </c>
      <c r="OG62" t="s">
        <v>408</v>
      </c>
      <c r="SJ62" t="s">
        <v>409</v>
      </c>
      <c r="WM62" t="s">
        <v>410</v>
      </c>
      <c r="AAP62" t="s">
        <v>411</v>
      </c>
      <c r="AES62" t="s">
        <v>412</v>
      </c>
    </row>
    <row r="63" spans="1:825" x14ac:dyDescent="0.2">
      <c r="A63" t="s">
        <v>870</v>
      </c>
      <c r="B63" t="s">
        <v>563</v>
      </c>
      <c r="C63" t="s">
        <v>871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b">
        <v>0</v>
      </c>
      <c r="V63">
        <v>604</v>
      </c>
      <c r="W63" s="20">
        <v>43518.063194444447</v>
      </c>
      <c r="X63" t="s">
        <v>872</v>
      </c>
      <c r="Y63">
        <v>2019</v>
      </c>
      <c r="Z63" t="s">
        <v>873</v>
      </c>
      <c r="AA63" t="s">
        <v>874</v>
      </c>
      <c r="AB63" t="str">
        <f>VLOOKUP(MID(AD63,SEARCH("@",AD63,1),LEN(AD63)-SEARCH("@",AD63,1)+1),[2]Sheet1!$D:$F,3,FALSE)</f>
        <v>M05120</v>
      </c>
      <c r="AC63" t="s">
        <v>774</v>
      </c>
      <c r="AD63" t="s">
        <v>875</v>
      </c>
      <c r="AE63" t="s">
        <v>876</v>
      </c>
      <c r="AF63" t="s">
        <v>571</v>
      </c>
      <c r="AG63" t="s">
        <v>538</v>
      </c>
      <c r="AI63">
        <v>1</v>
      </c>
      <c r="AL63">
        <v>2594</v>
      </c>
      <c r="AM63">
        <v>2594</v>
      </c>
      <c r="AN63">
        <v>1053</v>
      </c>
      <c r="AO63">
        <v>1053</v>
      </c>
      <c r="AV63">
        <v>0</v>
      </c>
      <c r="BC63">
        <v>0</v>
      </c>
      <c r="BD63">
        <v>627</v>
      </c>
      <c r="BE63">
        <v>115</v>
      </c>
      <c r="BF63">
        <v>0</v>
      </c>
      <c r="BG63">
        <v>850</v>
      </c>
      <c r="BH63">
        <v>0</v>
      </c>
      <c r="BI63">
        <v>1002</v>
      </c>
      <c r="BJ63">
        <v>2594</v>
      </c>
      <c r="BQ63">
        <v>0</v>
      </c>
      <c r="BX63">
        <v>0</v>
      </c>
      <c r="CE63">
        <v>0</v>
      </c>
      <c r="CF63">
        <v>627</v>
      </c>
      <c r="CG63">
        <v>115</v>
      </c>
      <c r="CH63">
        <v>0</v>
      </c>
      <c r="CI63">
        <v>850</v>
      </c>
      <c r="CJ63">
        <v>0</v>
      </c>
      <c r="CK63">
        <v>1002</v>
      </c>
      <c r="CL63">
        <v>2594</v>
      </c>
      <c r="CS63">
        <v>0</v>
      </c>
      <c r="CZ63">
        <v>0</v>
      </c>
      <c r="DA63">
        <v>2</v>
      </c>
      <c r="DB63">
        <v>1</v>
      </c>
      <c r="DD63">
        <v>3</v>
      </c>
      <c r="DF63">
        <v>1</v>
      </c>
      <c r="DG63">
        <v>7</v>
      </c>
      <c r="DN63">
        <v>0</v>
      </c>
      <c r="DU63">
        <v>0</v>
      </c>
      <c r="EB63">
        <v>0</v>
      </c>
      <c r="EC63">
        <v>2</v>
      </c>
      <c r="ED63">
        <v>1</v>
      </c>
      <c r="EE63">
        <v>0</v>
      </c>
      <c r="EF63">
        <v>3</v>
      </c>
      <c r="EG63">
        <v>0</v>
      </c>
      <c r="EH63">
        <v>1</v>
      </c>
      <c r="EI63">
        <v>7</v>
      </c>
      <c r="EJ63" t="s">
        <v>404</v>
      </c>
      <c r="EK63" t="s">
        <v>404</v>
      </c>
      <c r="EL63" t="s">
        <v>404</v>
      </c>
      <c r="EM63" t="s">
        <v>404</v>
      </c>
      <c r="EN63" t="s">
        <v>404</v>
      </c>
      <c r="EO63" t="s">
        <v>404</v>
      </c>
      <c r="EP63" t="s">
        <v>404</v>
      </c>
      <c r="EQ63" t="s">
        <v>404</v>
      </c>
      <c r="ER63" t="s">
        <v>404</v>
      </c>
      <c r="ES63" t="s">
        <v>404</v>
      </c>
      <c r="ET63" t="s">
        <v>404</v>
      </c>
      <c r="EU63" t="s">
        <v>404</v>
      </c>
      <c r="EV63" t="s">
        <v>405</v>
      </c>
      <c r="EW63" t="s">
        <v>405</v>
      </c>
      <c r="EX63" t="s">
        <v>404</v>
      </c>
      <c r="EY63" t="s">
        <v>405</v>
      </c>
      <c r="EZ63" t="s">
        <v>404</v>
      </c>
      <c r="FA63" t="s">
        <v>405</v>
      </c>
      <c r="FB63" t="s">
        <v>404</v>
      </c>
      <c r="FC63" t="s">
        <v>404</v>
      </c>
      <c r="FD63" t="s">
        <v>404</v>
      </c>
      <c r="FE63" t="s">
        <v>404</v>
      </c>
      <c r="FF63" t="s">
        <v>404</v>
      </c>
      <c r="FG63" t="s">
        <v>404</v>
      </c>
      <c r="FH63" t="s">
        <v>404</v>
      </c>
      <c r="FI63" t="s">
        <v>404</v>
      </c>
      <c r="FJ63" t="s">
        <v>404</v>
      </c>
      <c r="FK63" t="s">
        <v>404</v>
      </c>
      <c r="FL63" t="s">
        <v>404</v>
      </c>
      <c r="FM63" t="s">
        <v>404</v>
      </c>
      <c r="FN63" t="s">
        <v>404</v>
      </c>
      <c r="FO63" t="s">
        <v>404</v>
      </c>
      <c r="FP63" t="s">
        <v>404</v>
      </c>
      <c r="FQ63" t="s">
        <v>404</v>
      </c>
      <c r="FR63" t="s">
        <v>404</v>
      </c>
      <c r="FS63" t="s">
        <v>404</v>
      </c>
      <c r="FT63">
        <v>365</v>
      </c>
      <c r="FU63">
        <v>115</v>
      </c>
      <c r="FW63">
        <v>840</v>
      </c>
      <c r="FY63">
        <v>364</v>
      </c>
      <c r="FZ63">
        <v>1684</v>
      </c>
      <c r="GA63">
        <v>110</v>
      </c>
      <c r="GF63">
        <v>275</v>
      </c>
      <c r="GG63">
        <v>385</v>
      </c>
      <c r="GM63">
        <v>100</v>
      </c>
      <c r="GN63">
        <v>100</v>
      </c>
      <c r="GT63">
        <v>4</v>
      </c>
      <c r="GU63">
        <v>4</v>
      </c>
      <c r="GV63">
        <v>10</v>
      </c>
      <c r="HB63">
        <v>10</v>
      </c>
      <c r="HH63">
        <v>20</v>
      </c>
      <c r="HI63">
        <v>20</v>
      </c>
      <c r="HO63">
        <v>10</v>
      </c>
      <c r="HP63">
        <v>10</v>
      </c>
      <c r="HQ63" t="s">
        <v>877</v>
      </c>
      <c r="HR63">
        <v>142</v>
      </c>
      <c r="HU63">
        <v>10</v>
      </c>
      <c r="HW63">
        <v>229</v>
      </c>
      <c r="HX63">
        <v>381</v>
      </c>
      <c r="HY63">
        <v>627</v>
      </c>
      <c r="HZ63">
        <v>115</v>
      </c>
      <c r="IA63">
        <v>0</v>
      </c>
      <c r="IB63">
        <v>850</v>
      </c>
      <c r="IC63">
        <v>0</v>
      </c>
      <c r="ID63">
        <v>1002</v>
      </c>
      <c r="IE63">
        <v>2594</v>
      </c>
      <c r="IL63">
        <v>0</v>
      </c>
      <c r="IS63">
        <v>0</v>
      </c>
      <c r="IT63">
        <v>627</v>
      </c>
      <c r="IU63">
        <v>115</v>
      </c>
      <c r="IW63">
        <v>850</v>
      </c>
      <c r="IY63" s="2">
        <f>1002</f>
        <v>1002</v>
      </c>
      <c r="IZ63">
        <f>2594</f>
        <v>2594</v>
      </c>
      <c r="JG63">
        <v>0</v>
      </c>
      <c r="JN63">
        <v>0</v>
      </c>
      <c r="JO63">
        <v>627</v>
      </c>
      <c r="JP63">
        <v>115</v>
      </c>
      <c r="JQ63">
        <v>0</v>
      </c>
      <c r="JR63">
        <v>850</v>
      </c>
      <c r="JS63">
        <v>0</v>
      </c>
      <c r="JT63">
        <v>1002</v>
      </c>
      <c r="JU63">
        <v>2594</v>
      </c>
      <c r="KA63">
        <v>1</v>
      </c>
      <c r="KB63">
        <v>3</v>
      </c>
      <c r="KC63">
        <v>2</v>
      </c>
      <c r="KD63" t="s">
        <v>407</v>
      </c>
      <c r="OG63" t="s">
        <v>408</v>
      </c>
      <c r="SJ63" t="s">
        <v>409</v>
      </c>
      <c r="WM63" t="s">
        <v>410</v>
      </c>
      <c r="AAP63" t="s">
        <v>411</v>
      </c>
      <c r="AES63" t="s">
        <v>412</v>
      </c>
    </row>
    <row r="64" spans="1:825" x14ac:dyDescent="0.2">
      <c r="A64" t="s">
        <v>878</v>
      </c>
      <c r="B64" t="s">
        <v>414</v>
      </c>
      <c r="C64" t="s">
        <v>879</v>
      </c>
      <c r="D64" t="s">
        <v>478</v>
      </c>
      <c r="E64" s="3">
        <v>43521.151388888888</v>
      </c>
      <c r="F64" t="s">
        <v>479</v>
      </c>
      <c r="G64" s="3">
        <v>43521.152083333334</v>
      </c>
      <c r="P64" t="b">
        <v>1</v>
      </c>
      <c r="Q64" t="b">
        <v>1</v>
      </c>
      <c r="R64" t="b">
        <v>0</v>
      </c>
      <c r="S64" t="b">
        <v>0</v>
      </c>
      <c r="T64" t="b">
        <v>0</v>
      </c>
      <c r="U64" t="b">
        <v>0</v>
      </c>
      <c r="V64">
        <v>534</v>
      </c>
      <c r="W64" s="20">
        <v>43521.150694444441</v>
      </c>
      <c r="X64" t="s">
        <v>425</v>
      </c>
      <c r="Y64">
        <v>2019</v>
      </c>
      <c r="Z64" t="s">
        <v>880</v>
      </c>
      <c r="AA64" t="s">
        <v>881</v>
      </c>
      <c r="AB64" t="str">
        <f>VLOOKUP(MID(AD64,SEARCH("@",AD64,1),LEN(AD64)-SEARCH("@",AD64,1)+1),[2]Sheet1!$D:$F,3,FALSE)</f>
        <v>M0291</v>
      </c>
      <c r="AC64" t="s">
        <v>882</v>
      </c>
      <c r="AD64" t="s">
        <v>883</v>
      </c>
      <c r="AE64">
        <v>65572220</v>
      </c>
      <c r="AF64" t="s">
        <v>884</v>
      </c>
      <c r="AG64" t="s">
        <v>538</v>
      </c>
      <c r="AI64">
        <v>1</v>
      </c>
      <c r="AL64">
        <v>57</v>
      </c>
      <c r="AP64">
        <v>28.5</v>
      </c>
      <c r="AV64">
        <v>28.5</v>
      </c>
      <c r="AW64">
        <v>28.5</v>
      </c>
      <c r="BC64">
        <v>28.5</v>
      </c>
      <c r="BJ64">
        <v>0</v>
      </c>
      <c r="BQ64">
        <v>0</v>
      </c>
      <c r="BX64">
        <v>0</v>
      </c>
      <c r="CE64">
        <v>0</v>
      </c>
      <c r="CF64">
        <v>57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57</v>
      </c>
      <c r="CM64">
        <v>1</v>
      </c>
      <c r="CS64">
        <v>1</v>
      </c>
      <c r="CT64">
        <v>1</v>
      </c>
      <c r="CZ64">
        <v>1</v>
      </c>
      <c r="DG64">
        <v>0</v>
      </c>
      <c r="DN64">
        <v>0</v>
      </c>
      <c r="DU64">
        <v>0</v>
      </c>
      <c r="EB64">
        <v>0</v>
      </c>
      <c r="EC64">
        <v>2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2</v>
      </c>
      <c r="EJ64" t="s">
        <v>405</v>
      </c>
      <c r="EK64" t="s">
        <v>404</v>
      </c>
      <c r="EL64" t="s">
        <v>404</v>
      </c>
      <c r="EM64" t="s">
        <v>404</v>
      </c>
      <c r="EN64" t="s">
        <v>404</v>
      </c>
      <c r="EO64" t="s">
        <v>404</v>
      </c>
      <c r="EP64" t="s">
        <v>405</v>
      </c>
      <c r="EQ64" t="s">
        <v>404</v>
      </c>
      <c r="ER64" t="s">
        <v>404</v>
      </c>
      <c r="ES64" t="s">
        <v>404</v>
      </c>
      <c r="ET64" t="s">
        <v>404</v>
      </c>
      <c r="EU64" t="s">
        <v>404</v>
      </c>
      <c r="EV64" t="s">
        <v>404</v>
      </c>
      <c r="EW64" t="s">
        <v>404</v>
      </c>
      <c r="EX64" t="s">
        <v>404</v>
      </c>
      <c r="EY64" t="s">
        <v>404</v>
      </c>
      <c r="EZ64" t="s">
        <v>404</v>
      </c>
      <c r="FA64" t="s">
        <v>404</v>
      </c>
      <c r="FB64" t="s">
        <v>404</v>
      </c>
      <c r="FC64" t="s">
        <v>404</v>
      </c>
      <c r="FD64" t="s">
        <v>404</v>
      </c>
      <c r="FE64" t="s">
        <v>404</v>
      </c>
      <c r="FF64" t="s">
        <v>404</v>
      </c>
      <c r="FG64" t="s">
        <v>404</v>
      </c>
      <c r="FH64" t="s">
        <v>404</v>
      </c>
      <c r="FI64" t="s">
        <v>404</v>
      </c>
      <c r="FJ64" t="s">
        <v>404</v>
      </c>
      <c r="FK64" t="s">
        <v>404</v>
      </c>
      <c r="FL64" t="s">
        <v>404</v>
      </c>
      <c r="FM64" t="s">
        <v>404</v>
      </c>
      <c r="FN64" t="s">
        <v>404</v>
      </c>
      <c r="FO64" t="s">
        <v>404</v>
      </c>
      <c r="FP64" t="s">
        <v>404</v>
      </c>
      <c r="FQ64" t="s">
        <v>404</v>
      </c>
      <c r="FR64" t="s">
        <v>404</v>
      </c>
      <c r="FS64" t="s">
        <v>404</v>
      </c>
      <c r="FZ64">
        <v>0</v>
      </c>
      <c r="GA64">
        <v>4</v>
      </c>
      <c r="GG64">
        <v>4</v>
      </c>
      <c r="GN64">
        <v>0</v>
      </c>
      <c r="GO64">
        <v>24.5</v>
      </c>
      <c r="GU64">
        <v>24.5</v>
      </c>
      <c r="HB64">
        <v>0</v>
      </c>
      <c r="HI64">
        <v>0</v>
      </c>
      <c r="HJ64">
        <v>28.5</v>
      </c>
      <c r="HP64">
        <v>28.5</v>
      </c>
      <c r="HX64">
        <v>0</v>
      </c>
      <c r="HY64">
        <v>57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57</v>
      </c>
      <c r="IF64">
        <v>28.5</v>
      </c>
      <c r="IL64">
        <v>28.5</v>
      </c>
      <c r="IS64">
        <v>0</v>
      </c>
      <c r="IZ64">
        <v>0</v>
      </c>
      <c r="JG64">
        <v>0</v>
      </c>
      <c r="JH64">
        <v>28.5</v>
      </c>
      <c r="JN64">
        <v>28.5</v>
      </c>
      <c r="JO64">
        <v>57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57</v>
      </c>
      <c r="JX64">
        <v>100</v>
      </c>
      <c r="KA64">
        <v>1</v>
      </c>
      <c r="KB64">
        <v>3</v>
      </c>
      <c r="KC64">
        <v>1</v>
      </c>
      <c r="KD64" t="s">
        <v>407</v>
      </c>
      <c r="KK64">
        <v>0</v>
      </c>
      <c r="KL64">
        <v>2</v>
      </c>
      <c r="KR64">
        <v>2</v>
      </c>
      <c r="KY64">
        <v>0</v>
      </c>
      <c r="KZ64">
        <v>12.25</v>
      </c>
      <c r="LF64">
        <v>12.25</v>
      </c>
      <c r="LM64">
        <v>0</v>
      </c>
      <c r="LT64">
        <v>0</v>
      </c>
      <c r="LU64">
        <v>14.25</v>
      </c>
      <c r="MA64">
        <v>14.25</v>
      </c>
      <c r="MI64">
        <v>0</v>
      </c>
      <c r="MJ64">
        <v>28.5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28.5</v>
      </c>
      <c r="MW64">
        <v>0</v>
      </c>
      <c r="MX64">
        <v>14.25</v>
      </c>
      <c r="ND64">
        <v>14.25</v>
      </c>
      <c r="NK64">
        <v>0</v>
      </c>
      <c r="NR64">
        <v>0</v>
      </c>
      <c r="NS64">
        <v>14.25</v>
      </c>
      <c r="NY64">
        <v>14.25</v>
      </c>
      <c r="NZ64">
        <v>28.5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28.5</v>
      </c>
      <c r="OG64" t="s">
        <v>408</v>
      </c>
      <c r="ON64">
        <v>0</v>
      </c>
      <c r="OO64">
        <v>2</v>
      </c>
      <c r="OU64">
        <v>2</v>
      </c>
      <c r="PB64">
        <v>0</v>
      </c>
      <c r="PC64">
        <v>12.25</v>
      </c>
      <c r="PI64">
        <v>12.25</v>
      </c>
      <c r="PP64">
        <v>0</v>
      </c>
      <c r="PW64">
        <v>0</v>
      </c>
      <c r="PX64">
        <v>14.25</v>
      </c>
      <c r="QD64">
        <v>14.25</v>
      </c>
      <c r="QL64">
        <v>0</v>
      </c>
      <c r="QM64">
        <v>28.5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28.5</v>
      </c>
      <c r="QZ64">
        <v>0</v>
      </c>
      <c r="RA64">
        <v>14.25</v>
      </c>
      <c r="RG64">
        <v>14.25</v>
      </c>
      <c r="RN64">
        <v>0</v>
      </c>
      <c r="RU64">
        <v>0</v>
      </c>
      <c r="RV64">
        <v>14.25</v>
      </c>
      <c r="SB64">
        <v>14.25</v>
      </c>
      <c r="SC64">
        <v>28.5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28.5</v>
      </c>
      <c r="SJ64" t="s">
        <v>409</v>
      </c>
      <c r="WM64" t="s">
        <v>410</v>
      </c>
      <c r="AAP64" t="s">
        <v>411</v>
      </c>
      <c r="AES64" t="s">
        <v>412</v>
      </c>
    </row>
    <row r="65" spans="1:825" x14ac:dyDescent="0.2">
      <c r="A65" t="s">
        <v>885</v>
      </c>
      <c r="B65" t="s">
        <v>396</v>
      </c>
      <c r="C65" t="s">
        <v>886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>
        <v>574</v>
      </c>
      <c r="W65" s="20">
        <v>43529.662499999999</v>
      </c>
      <c r="X65" t="s">
        <v>887</v>
      </c>
      <c r="Y65">
        <v>2019</v>
      </c>
      <c r="Z65" t="s">
        <v>396</v>
      </c>
      <c r="AA65" t="s">
        <v>886</v>
      </c>
      <c r="AB65" t="str">
        <f>VLOOKUP(MID(AD65,SEARCH("@",AD65,1),LEN(AD65)-SEARCH("@",AD65,1)+1),[2]Sheet1!$D:$F,3,FALSE)</f>
        <v>M636</v>
      </c>
      <c r="AD65" t="s">
        <v>888</v>
      </c>
      <c r="AF65" t="s">
        <v>571</v>
      </c>
      <c r="AG65" t="s">
        <v>538</v>
      </c>
      <c r="AI65">
        <v>1</v>
      </c>
      <c r="AL65">
        <v>2283</v>
      </c>
      <c r="AV65">
        <v>0</v>
      </c>
      <c r="BC65">
        <v>0</v>
      </c>
      <c r="BJ65">
        <v>0</v>
      </c>
      <c r="BQ65">
        <v>0</v>
      </c>
      <c r="BX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S65">
        <v>0</v>
      </c>
      <c r="CZ65">
        <v>0</v>
      </c>
      <c r="DG65">
        <v>0</v>
      </c>
      <c r="DN65">
        <v>0</v>
      </c>
      <c r="DU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 t="s">
        <v>404</v>
      </c>
      <c r="EK65" t="s">
        <v>404</v>
      </c>
      <c r="EL65" t="s">
        <v>404</v>
      </c>
      <c r="EM65" t="s">
        <v>404</v>
      </c>
      <c r="EN65" t="s">
        <v>404</v>
      </c>
      <c r="EO65" t="s">
        <v>404</v>
      </c>
      <c r="EP65" t="s">
        <v>404</v>
      </c>
      <c r="EQ65" t="s">
        <v>404</v>
      </c>
      <c r="ER65" t="s">
        <v>404</v>
      </c>
      <c r="ES65" t="s">
        <v>404</v>
      </c>
      <c r="ET65" t="s">
        <v>404</v>
      </c>
      <c r="EU65" t="s">
        <v>404</v>
      </c>
      <c r="EV65" t="s">
        <v>404</v>
      </c>
      <c r="EW65" t="s">
        <v>404</v>
      </c>
      <c r="EX65" t="s">
        <v>404</v>
      </c>
      <c r="EY65" t="s">
        <v>404</v>
      </c>
      <c r="EZ65" t="s">
        <v>404</v>
      </c>
      <c r="FA65" t="s">
        <v>404</v>
      </c>
      <c r="FB65" t="s">
        <v>404</v>
      </c>
      <c r="FC65" t="s">
        <v>404</v>
      </c>
      <c r="FD65" t="s">
        <v>404</v>
      </c>
      <c r="FE65" t="s">
        <v>404</v>
      </c>
      <c r="FF65" t="s">
        <v>404</v>
      </c>
      <c r="FG65" t="s">
        <v>404</v>
      </c>
      <c r="FH65" t="s">
        <v>404</v>
      </c>
      <c r="FI65" t="s">
        <v>404</v>
      </c>
      <c r="FJ65" t="s">
        <v>404</v>
      </c>
      <c r="FK65" t="s">
        <v>404</v>
      </c>
      <c r="FL65" t="s">
        <v>404</v>
      </c>
      <c r="FM65" t="s">
        <v>404</v>
      </c>
      <c r="FN65" t="s">
        <v>404</v>
      </c>
      <c r="FO65" t="s">
        <v>404</v>
      </c>
      <c r="FP65" t="s">
        <v>404</v>
      </c>
      <c r="FQ65" t="s">
        <v>404</v>
      </c>
      <c r="FR65" t="s">
        <v>404</v>
      </c>
      <c r="FS65" t="s">
        <v>404</v>
      </c>
      <c r="FZ65">
        <v>0</v>
      </c>
      <c r="GG65">
        <v>0</v>
      </c>
      <c r="GN65">
        <v>0</v>
      </c>
      <c r="GU65">
        <v>0</v>
      </c>
      <c r="HB65">
        <v>0</v>
      </c>
      <c r="HI65">
        <v>0</v>
      </c>
      <c r="HP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L65">
        <v>0</v>
      </c>
      <c r="IS65">
        <v>0</v>
      </c>
      <c r="IZ65">
        <v>0</v>
      </c>
      <c r="JG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KC65">
        <v>1</v>
      </c>
      <c r="KD65" t="s">
        <v>407</v>
      </c>
      <c r="OG65" t="s">
        <v>408</v>
      </c>
      <c r="SJ65" t="s">
        <v>409</v>
      </c>
      <c r="WM65" t="s">
        <v>410</v>
      </c>
      <c r="AAP65" t="s">
        <v>411</v>
      </c>
      <c r="AES65" t="s">
        <v>412</v>
      </c>
    </row>
    <row r="66" spans="1:825" x14ac:dyDescent="0.2">
      <c r="A66" t="s">
        <v>889</v>
      </c>
      <c r="B66" t="s">
        <v>396</v>
      </c>
      <c r="C66" t="s">
        <v>890</v>
      </c>
      <c r="D66" t="s">
        <v>697</v>
      </c>
      <c r="E66" s="3">
        <v>43529.64166666667</v>
      </c>
      <c r="F66" t="s">
        <v>479</v>
      </c>
      <c r="G66" s="3">
        <v>43529.647916666669</v>
      </c>
      <c r="H66" t="s">
        <v>502</v>
      </c>
      <c r="I66" s="3">
        <v>43529.64166666667</v>
      </c>
      <c r="P66" t="b">
        <v>1</v>
      </c>
      <c r="Q66" t="b">
        <v>1</v>
      </c>
      <c r="R66" t="b">
        <v>1</v>
      </c>
      <c r="S66" t="b">
        <v>0</v>
      </c>
      <c r="T66" t="b">
        <v>0</v>
      </c>
      <c r="U66" t="b">
        <v>0</v>
      </c>
      <c r="V66">
        <v>585</v>
      </c>
      <c r="W66" s="20">
        <v>43531.674305555556</v>
      </c>
      <c r="X66" t="s">
        <v>891</v>
      </c>
      <c r="Y66">
        <v>2019</v>
      </c>
      <c r="Z66" t="s">
        <v>892</v>
      </c>
      <c r="AA66" t="s">
        <v>893</v>
      </c>
      <c r="AB66" t="str">
        <f>VLOOKUP(MID(AD66,SEARCH("@",AD66,1),LEN(AD66)-SEARCH("@",AD66,1)+1),[2]Sheet1!$D:$F,3,FALSE)</f>
        <v>M710</v>
      </c>
      <c r="AC66" t="s">
        <v>894</v>
      </c>
      <c r="AD66" t="s">
        <v>895</v>
      </c>
      <c r="AE66" t="s">
        <v>896</v>
      </c>
      <c r="AF66" t="s">
        <v>611</v>
      </c>
      <c r="AG66" t="s">
        <v>403</v>
      </c>
      <c r="AI66">
        <v>1</v>
      </c>
      <c r="AL66">
        <v>1952</v>
      </c>
      <c r="AM66">
        <v>272</v>
      </c>
      <c r="AP66">
        <v>0</v>
      </c>
      <c r="AQ66">
        <v>0</v>
      </c>
      <c r="AR66">
        <v>16</v>
      </c>
      <c r="AT66">
        <v>0</v>
      </c>
      <c r="AU66">
        <v>0</v>
      </c>
      <c r="AV66">
        <v>16</v>
      </c>
      <c r="AW66">
        <v>272.10000000000002</v>
      </c>
      <c r="AX66">
        <v>816</v>
      </c>
      <c r="AY66">
        <v>24</v>
      </c>
      <c r="BA66">
        <v>0</v>
      </c>
      <c r="BB66">
        <v>799.9</v>
      </c>
      <c r="BC66">
        <v>1912</v>
      </c>
      <c r="BD66">
        <v>0</v>
      </c>
      <c r="BE66">
        <v>0</v>
      </c>
      <c r="BF66">
        <v>24</v>
      </c>
      <c r="BH66">
        <v>0</v>
      </c>
      <c r="BI66">
        <v>0</v>
      </c>
      <c r="BJ66">
        <v>24</v>
      </c>
      <c r="BQ66">
        <v>0</v>
      </c>
      <c r="BX66">
        <v>0</v>
      </c>
      <c r="CE66">
        <v>0</v>
      </c>
      <c r="CF66">
        <v>272.10000000000002</v>
      </c>
      <c r="CG66">
        <v>816</v>
      </c>
      <c r="CH66">
        <v>64</v>
      </c>
      <c r="CI66">
        <v>0</v>
      </c>
      <c r="CJ66">
        <v>0</v>
      </c>
      <c r="CK66">
        <v>799.9</v>
      </c>
      <c r="CL66">
        <v>1952</v>
      </c>
      <c r="CO66">
        <v>1</v>
      </c>
      <c r="CS66">
        <v>1</v>
      </c>
      <c r="CT66">
        <v>6</v>
      </c>
      <c r="CU66">
        <v>5</v>
      </c>
      <c r="CV66">
        <v>0</v>
      </c>
      <c r="CY66">
        <v>3</v>
      </c>
      <c r="CZ66">
        <v>14</v>
      </c>
      <c r="DC66">
        <v>1</v>
      </c>
      <c r="DG66">
        <v>1</v>
      </c>
      <c r="DN66">
        <v>0</v>
      </c>
      <c r="DU66">
        <v>0</v>
      </c>
      <c r="EB66">
        <v>0</v>
      </c>
      <c r="EC66">
        <v>6</v>
      </c>
      <c r="ED66">
        <v>5</v>
      </c>
      <c r="EE66">
        <v>2</v>
      </c>
      <c r="EF66">
        <v>0</v>
      </c>
      <c r="EG66">
        <v>0</v>
      </c>
      <c r="EH66">
        <v>3</v>
      </c>
      <c r="EI66">
        <v>16</v>
      </c>
      <c r="EJ66" t="s">
        <v>404</v>
      </c>
      <c r="EK66" t="s">
        <v>404</v>
      </c>
      <c r="EL66" t="s">
        <v>405</v>
      </c>
      <c r="EM66" t="s">
        <v>404</v>
      </c>
      <c r="EN66" t="s">
        <v>404</v>
      </c>
      <c r="EO66" t="s">
        <v>404</v>
      </c>
      <c r="EP66" t="s">
        <v>405</v>
      </c>
      <c r="EQ66" t="s">
        <v>405</v>
      </c>
      <c r="ER66" t="s">
        <v>405</v>
      </c>
      <c r="ES66" t="s">
        <v>404</v>
      </c>
      <c r="ET66" t="s">
        <v>404</v>
      </c>
      <c r="EU66" t="s">
        <v>405</v>
      </c>
      <c r="EV66" t="s">
        <v>404</v>
      </c>
      <c r="EW66" t="s">
        <v>404</v>
      </c>
      <c r="EX66" t="s">
        <v>405</v>
      </c>
      <c r="EY66" t="s">
        <v>404</v>
      </c>
      <c r="EZ66" t="s">
        <v>404</v>
      </c>
      <c r="FA66" t="s">
        <v>404</v>
      </c>
      <c r="FB66" t="s">
        <v>404</v>
      </c>
      <c r="FC66" t="s">
        <v>404</v>
      </c>
      <c r="FD66" t="s">
        <v>404</v>
      </c>
      <c r="FE66" t="s">
        <v>404</v>
      </c>
      <c r="FF66" t="s">
        <v>404</v>
      </c>
      <c r="FG66" t="s">
        <v>404</v>
      </c>
      <c r="FH66" t="s">
        <v>404</v>
      </c>
      <c r="FI66" t="s">
        <v>404</v>
      </c>
      <c r="FJ66" t="s">
        <v>404</v>
      </c>
      <c r="FK66" t="s">
        <v>404</v>
      </c>
      <c r="FL66" t="s">
        <v>404</v>
      </c>
      <c r="FM66" t="s">
        <v>404</v>
      </c>
      <c r="FN66" t="s">
        <v>404</v>
      </c>
      <c r="FO66" t="s">
        <v>404</v>
      </c>
      <c r="FP66" t="s">
        <v>404</v>
      </c>
      <c r="FQ66" t="s">
        <v>404</v>
      </c>
      <c r="FR66" t="s">
        <v>404</v>
      </c>
      <c r="FS66" t="s">
        <v>404</v>
      </c>
      <c r="FT66">
        <v>110.6</v>
      </c>
      <c r="FU66">
        <v>816</v>
      </c>
      <c r="FV66">
        <v>64</v>
      </c>
      <c r="FY66">
        <v>713.8</v>
      </c>
      <c r="FZ66">
        <v>1704.4</v>
      </c>
      <c r="GA66">
        <v>136.5</v>
      </c>
      <c r="GB66">
        <v>0</v>
      </c>
      <c r="GC66">
        <v>0</v>
      </c>
      <c r="GF66">
        <v>86.1</v>
      </c>
      <c r="GG66">
        <v>222.6</v>
      </c>
      <c r="GN66">
        <v>0</v>
      </c>
      <c r="GU66">
        <v>0</v>
      </c>
      <c r="HB66">
        <v>0</v>
      </c>
      <c r="HI66">
        <v>0</v>
      </c>
      <c r="HP66">
        <v>0</v>
      </c>
      <c r="HQ66" t="s">
        <v>897</v>
      </c>
      <c r="HR66">
        <v>25</v>
      </c>
      <c r="HX66">
        <v>25</v>
      </c>
      <c r="HY66">
        <v>272.10000000000002</v>
      </c>
      <c r="HZ66">
        <v>816</v>
      </c>
      <c r="IA66">
        <v>64</v>
      </c>
      <c r="IB66">
        <v>0</v>
      </c>
      <c r="IC66">
        <v>0</v>
      </c>
      <c r="ID66">
        <v>799.9</v>
      </c>
      <c r="IE66">
        <v>1952</v>
      </c>
      <c r="IF66">
        <v>0</v>
      </c>
      <c r="IG66">
        <v>0</v>
      </c>
      <c r="IH66">
        <v>0</v>
      </c>
      <c r="IK66">
        <v>0</v>
      </c>
      <c r="IL66">
        <v>0</v>
      </c>
      <c r="IM66">
        <v>272.10000000000002</v>
      </c>
      <c r="IN66">
        <v>816</v>
      </c>
      <c r="IO66">
        <v>64</v>
      </c>
      <c r="IR66">
        <v>799.9</v>
      </c>
      <c r="IS66">
        <v>1952</v>
      </c>
      <c r="IT66">
        <v>0</v>
      </c>
      <c r="IU66">
        <v>0</v>
      </c>
      <c r="IV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M66">
        <v>0</v>
      </c>
      <c r="JN66">
        <v>0</v>
      </c>
      <c r="JO66">
        <v>272.10000000000002</v>
      </c>
      <c r="JP66">
        <v>816</v>
      </c>
      <c r="JQ66">
        <v>64</v>
      </c>
      <c r="JR66">
        <v>0</v>
      </c>
      <c r="JS66">
        <v>0</v>
      </c>
      <c r="JT66">
        <v>799.9</v>
      </c>
      <c r="JU66">
        <v>1952</v>
      </c>
      <c r="JV66">
        <v>0</v>
      </c>
      <c r="JW66">
        <v>0</v>
      </c>
      <c r="JX66">
        <v>100</v>
      </c>
      <c r="JZ66">
        <v>0</v>
      </c>
      <c r="KA66">
        <v>1</v>
      </c>
      <c r="KB66">
        <v>3</v>
      </c>
      <c r="KC66">
        <v>1</v>
      </c>
      <c r="KD66" t="s">
        <v>407</v>
      </c>
      <c r="KE66">
        <v>0</v>
      </c>
      <c r="KF66">
        <v>0</v>
      </c>
      <c r="KG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L66">
        <v>0</v>
      </c>
      <c r="LM66">
        <v>0</v>
      </c>
      <c r="LN66">
        <v>0</v>
      </c>
      <c r="LO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Z66">
        <v>0</v>
      </c>
      <c r="MA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V66">
        <v>0</v>
      </c>
      <c r="MW66">
        <v>0</v>
      </c>
      <c r="MX66">
        <v>0</v>
      </c>
      <c r="MY66">
        <v>0</v>
      </c>
      <c r="MZ66">
        <v>16</v>
      </c>
      <c r="NC66">
        <v>0</v>
      </c>
      <c r="ND66">
        <v>16</v>
      </c>
      <c r="NE66">
        <v>0</v>
      </c>
      <c r="NF66">
        <v>0</v>
      </c>
      <c r="NG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X66">
        <v>0</v>
      </c>
      <c r="NY66">
        <v>0</v>
      </c>
      <c r="NZ66">
        <v>0</v>
      </c>
      <c r="OA66">
        <v>0</v>
      </c>
      <c r="OB66">
        <v>16</v>
      </c>
      <c r="OC66">
        <v>0</v>
      </c>
      <c r="OD66">
        <v>0</v>
      </c>
      <c r="OE66">
        <v>0</v>
      </c>
      <c r="OF66">
        <v>16</v>
      </c>
      <c r="OG66" t="s">
        <v>408</v>
      </c>
      <c r="ON66">
        <v>0</v>
      </c>
      <c r="OU66">
        <v>0</v>
      </c>
      <c r="PB66">
        <v>0</v>
      </c>
      <c r="PI66">
        <v>0</v>
      </c>
      <c r="PP66">
        <v>0</v>
      </c>
      <c r="PW66">
        <v>0</v>
      </c>
      <c r="QD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V66">
        <v>24</v>
      </c>
      <c r="QZ66">
        <v>24</v>
      </c>
      <c r="RG66">
        <v>0</v>
      </c>
      <c r="RN66">
        <v>0</v>
      </c>
      <c r="RU66">
        <v>0</v>
      </c>
      <c r="SB66">
        <v>0</v>
      </c>
      <c r="SC66">
        <v>0</v>
      </c>
      <c r="SD66">
        <v>0</v>
      </c>
      <c r="SE66">
        <v>24</v>
      </c>
      <c r="SF66">
        <v>0</v>
      </c>
      <c r="SG66">
        <v>0</v>
      </c>
      <c r="SH66">
        <v>0</v>
      </c>
      <c r="SI66">
        <v>24</v>
      </c>
      <c r="SJ66" t="s">
        <v>409</v>
      </c>
      <c r="SQ66">
        <v>0</v>
      </c>
      <c r="SX66">
        <v>0</v>
      </c>
      <c r="TE66">
        <v>0</v>
      </c>
      <c r="TL66">
        <v>0</v>
      </c>
      <c r="TS66">
        <v>0</v>
      </c>
      <c r="TZ66">
        <v>0</v>
      </c>
      <c r="UG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VC66">
        <v>0</v>
      </c>
      <c r="VJ66">
        <v>0</v>
      </c>
      <c r="VM66">
        <v>24</v>
      </c>
      <c r="VQ66">
        <v>24</v>
      </c>
      <c r="VX66">
        <v>0</v>
      </c>
      <c r="WE66">
        <v>0</v>
      </c>
      <c r="WF66">
        <v>0</v>
      </c>
      <c r="WG66">
        <v>0</v>
      </c>
      <c r="WH66">
        <v>24</v>
      </c>
      <c r="WI66">
        <v>0</v>
      </c>
      <c r="WJ66">
        <v>0</v>
      </c>
      <c r="WK66">
        <v>0</v>
      </c>
      <c r="WL66">
        <v>24</v>
      </c>
      <c r="WM66" t="s">
        <v>410</v>
      </c>
      <c r="AAP66" t="s">
        <v>411</v>
      </c>
      <c r="AES66" t="s">
        <v>412</v>
      </c>
    </row>
    <row r="67" spans="1:825" x14ac:dyDescent="0.2">
      <c r="A67" t="s">
        <v>898</v>
      </c>
      <c r="B67" t="s">
        <v>396</v>
      </c>
      <c r="C67" t="s">
        <v>899</v>
      </c>
      <c r="P67" t="b">
        <v>1</v>
      </c>
      <c r="Q67" t="b">
        <v>1</v>
      </c>
      <c r="R67" t="b">
        <v>1</v>
      </c>
      <c r="S67" t="b">
        <v>0</v>
      </c>
      <c r="T67" t="b">
        <v>0</v>
      </c>
      <c r="U67" t="b">
        <v>0</v>
      </c>
      <c r="V67">
        <v>639</v>
      </c>
      <c r="W67" s="20">
        <v>43528.554166666669</v>
      </c>
      <c r="X67" t="s">
        <v>891</v>
      </c>
      <c r="Y67">
        <v>2019</v>
      </c>
      <c r="Z67" t="s">
        <v>900</v>
      </c>
      <c r="AA67" t="s">
        <v>893</v>
      </c>
      <c r="AB67" t="s">
        <v>5638</v>
      </c>
      <c r="AC67" t="s">
        <v>894</v>
      </c>
      <c r="AD67" t="s">
        <v>901</v>
      </c>
      <c r="AE67" t="s">
        <v>902</v>
      </c>
      <c r="AF67" t="s">
        <v>611</v>
      </c>
      <c r="AG67" t="s">
        <v>403</v>
      </c>
      <c r="AI67">
        <v>1</v>
      </c>
      <c r="AL67">
        <v>179</v>
      </c>
      <c r="AT67">
        <v>26</v>
      </c>
      <c r="AV67">
        <v>26</v>
      </c>
      <c r="BA67">
        <v>110</v>
      </c>
      <c r="BC67">
        <v>110</v>
      </c>
      <c r="BH67">
        <v>43</v>
      </c>
      <c r="BJ67">
        <v>43</v>
      </c>
      <c r="BQ67">
        <v>0</v>
      </c>
      <c r="BX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179</v>
      </c>
      <c r="CK67">
        <v>0</v>
      </c>
      <c r="CL67">
        <v>179</v>
      </c>
      <c r="CQ67">
        <v>1</v>
      </c>
      <c r="CS67">
        <v>1</v>
      </c>
      <c r="CX67">
        <v>1</v>
      </c>
      <c r="CZ67">
        <v>1</v>
      </c>
      <c r="DE67">
        <v>1</v>
      </c>
      <c r="DG67">
        <v>1</v>
      </c>
      <c r="DN67">
        <v>0</v>
      </c>
      <c r="DU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3</v>
      </c>
      <c r="EH67">
        <v>0</v>
      </c>
      <c r="EI67">
        <v>3</v>
      </c>
      <c r="EJ67" t="s">
        <v>404</v>
      </c>
      <c r="EK67" t="s">
        <v>404</v>
      </c>
      <c r="EL67" t="s">
        <v>404</v>
      </c>
      <c r="EM67" t="s">
        <v>404</v>
      </c>
      <c r="EN67" t="s">
        <v>405</v>
      </c>
      <c r="EO67" t="s">
        <v>404</v>
      </c>
      <c r="EP67" t="s">
        <v>404</v>
      </c>
      <c r="EQ67" t="s">
        <v>404</v>
      </c>
      <c r="ER67" t="s">
        <v>404</v>
      </c>
      <c r="ES67" t="s">
        <v>404</v>
      </c>
      <c r="ET67" t="s">
        <v>405</v>
      </c>
      <c r="EU67" t="s">
        <v>404</v>
      </c>
      <c r="EV67" t="s">
        <v>404</v>
      </c>
      <c r="EW67" t="s">
        <v>404</v>
      </c>
      <c r="EX67" t="s">
        <v>404</v>
      </c>
      <c r="EY67" t="s">
        <v>404</v>
      </c>
      <c r="EZ67" t="s">
        <v>405</v>
      </c>
      <c r="FA67" t="s">
        <v>404</v>
      </c>
      <c r="FB67" t="s">
        <v>404</v>
      </c>
      <c r="FC67" t="s">
        <v>404</v>
      </c>
      <c r="FD67" t="s">
        <v>404</v>
      </c>
      <c r="FE67" t="s">
        <v>404</v>
      </c>
      <c r="FF67" t="s">
        <v>404</v>
      </c>
      <c r="FG67" t="s">
        <v>404</v>
      </c>
      <c r="FH67" t="s">
        <v>404</v>
      </c>
      <c r="FI67" t="s">
        <v>404</v>
      </c>
      <c r="FJ67" t="s">
        <v>404</v>
      </c>
      <c r="FK67" t="s">
        <v>404</v>
      </c>
      <c r="FL67" t="s">
        <v>404</v>
      </c>
      <c r="FM67" t="s">
        <v>404</v>
      </c>
      <c r="FN67" t="s">
        <v>404</v>
      </c>
      <c r="FO67" t="s">
        <v>404</v>
      </c>
      <c r="FP67" t="s">
        <v>404</v>
      </c>
      <c r="FQ67" t="s">
        <v>404</v>
      </c>
      <c r="FR67" t="s">
        <v>404</v>
      </c>
      <c r="FS67" t="s">
        <v>404</v>
      </c>
      <c r="FZ67">
        <v>0</v>
      </c>
      <c r="GG67">
        <v>0</v>
      </c>
      <c r="GN67">
        <v>0</v>
      </c>
      <c r="GU67">
        <v>0</v>
      </c>
      <c r="HB67">
        <v>0</v>
      </c>
      <c r="HI67">
        <v>0</v>
      </c>
      <c r="HP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L67">
        <v>0</v>
      </c>
      <c r="IS67">
        <v>0</v>
      </c>
      <c r="IZ67">
        <v>0</v>
      </c>
      <c r="JG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X67">
        <v>100</v>
      </c>
      <c r="KA67">
        <v>1</v>
      </c>
      <c r="KB67">
        <v>3</v>
      </c>
      <c r="KC67">
        <v>1</v>
      </c>
      <c r="KD67" t="s">
        <v>407</v>
      </c>
      <c r="OG67" t="s">
        <v>408</v>
      </c>
      <c r="SJ67" t="s">
        <v>409</v>
      </c>
      <c r="WM67" t="s">
        <v>410</v>
      </c>
      <c r="AAP67" t="s">
        <v>411</v>
      </c>
      <c r="AES67" t="s">
        <v>412</v>
      </c>
    </row>
    <row r="68" spans="1:825" x14ac:dyDescent="0.2">
      <c r="A68" t="s">
        <v>903</v>
      </c>
      <c r="B68" t="s">
        <v>563</v>
      </c>
      <c r="C68" t="s">
        <v>904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b">
        <v>0</v>
      </c>
      <c r="V68">
        <v>777</v>
      </c>
      <c r="W68" s="20">
        <v>43516.829861111109</v>
      </c>
      <c r="X68" t="s">
        <v>905</v>
      </c>
      <c r="Y68">
        <v>2019</v>
      </c>
      <c r="Z68" t="s">
        <v>906</v>
      </c>
      <c r="AA68" t="s">
        <v>907</v>
      </c>
      <c r="AB68" t="str">
        <f>VLOOKUP(MID(AD68,SEARCH("@",AD68,1),LEN(AD68)-SEARCH("@",AD68,1)+1),[2]Sheet1!$D:$F,3,FALSE)</f>
        <v>NC003</v>
      </c>
      <c r="AC68" t="s">
        <v>908</v>
      </c>
      <c r="AD68" t="s">
        <v>909</v>
      </c>
      <c r="AE68" t="s">
        <v>910</v>
      </c>
      <c r="AF68" t="s">
        <v>571</v>
      </c>
      <c r="AG68" t="s">
        <v>538</v>
      </c>
      <c r="AI68">
        <v>1</v>
      </c>
      <c r="AL68">
        <v>350</v>
      </c>
      <c r="AM68">
        <v>350</v>
      </c>
      <c r="AN68">
        <v>10.6</v>
      </c>
      <c r="AO68">
        <v>10.6</v>
      </c>
      <c r="AV68">
        <v>0</v>
      </c>
      <c r="BC68">
        <v>0</v>
      </c>
      <c r="BE68">
        <v>350</v>
      </c>
      <c r="BJ68">
        <v>350</v>
      </c>
      <c r="BQ68">
        <v>0</v>
      </c>
      <c r="BX68">
        <v>0</v>
      </c>
      <c r="CE68">
        <v>0</v>
      </c>
      <c r="CF68">
        <v>0</v>
      </c>
      <c r="CG68">
        <v>350</v>
      </c>
      <c r="CH68">
        <v>0</v>
      </c>
      <c r="CI68">
        <v>0</v>
      </c>
      <c r="CJ68">
        <v>0</v>
      </c>
      <c r="CK68">
        <v>0</v>
      </c>
      <c r="CL68">
        <v>350</v>
      </c>
      <c r="CS68">
        <v>0</v>
      </c>
      <c r="CZ68">
        <v>0</v>
      </c>
      <c r="DB68">
        <v>2</v>
      </c>
      <c r="DG68">
        <v>2</v>
      </c>
      <c r="DN68">
        <v>0</v>
      </c>
      <c r="DU68">
        <v>0</v>
      </c>
      <c r="EB68">
        <v>0</v>
      </c>
      <c r="EC68">
        <v>0</v>
      </c>
      <c r="ED68">
        <v>2</v>
      </c>
      <c r="EE68">
        <v>0</v>
      </c>
      <c r="EF68">
        <v>0</v>
      </c>
      <c r="EG68">
        <v>0</v>
      </c>
      <c r="EH68">
        <v>0</v>
      </c>
      <c r="EI68">
        <v>2</v>
      </c>
      <c r="EJ68" t="s">
        <v>404</v>
      </c>
      <c r="EK68" t="s">
        <v>404</v>
      </c>
      <c r="EL68" t="s">
        <v>404</v>
      </c>
      <c r="EM68" t="s">
        <v>404</v>
      </c>
      <c r="EN68" t="s">
        <v>404</v>
      </c>
      <c r="EO68" t="s">
        <v>404</v>
      </c>
      <c r="EP68" t="s">
        <v>404</v>
      </c>
      <c r="EQ68" t="s">
        <v>404</v>
      </c>
      <c r="ER68" t="s">
        <v>404</v>
      </c>
      <c r="ES68" t="s">
        <v>404</v>
      </c>
      <c r="ET68" t="s">
        <v>404</v>
      </c>
      <c r="EU68" t="s">
        <v>404</v>
      </c>
      <c r="EV68" t="s">
        <v>404</v>
      </c>
      <c r="EW68" t="s">
        <v>405</v>
      </c>
      <c r="EX68" t="s">
        <v>404</v>
      </c>
      <c r="EY68" t="s">
        <v>404</v>
      </c>
      <c r="EZ68" t="s">
        <v>404</v>
      </c>
      <c r="FA68" t="s">
        <v>404</v>
      </c>
      <c r="FB68" t="s">
        <v>404</v>
      </c>
      <c r="FC68" t="s">
        <v>404</v>
      </c>
      <c r="FD68" t="s">
        <v>404</v>
      </c>
      <c r="FE68" t="s">
        <v>404</v>
      </c>
      <c r="FF68" t="s">
        <v>404</v>
      </c>
      <c r="FG68" t="s">
        <v>404</v>
      </c>
      <c r="FH68" t="s">
        <v>404</v>
      </c>
      <c r="FI68" t="s">
        <v>404</v>
      </c>
      <c r="FJ68" t="s">
        <v>404</v>
      </c>
      <c r="FK68" t="s">
        <v>404</v>
      </c>
      <c r="FL68" t="s">
        <v>404</v>
      </c>
      <c r="FM68" t="s">
        <v>404</v>
      </c>
      <c r="FN68" t="s">
        <v>404</v>
      </c>
      <c r="FO68" t="s">
        <v>404</v>
      </c>
      <c r="FP68" t="s">
        <v>404</v>
      </c>
      <c r="FQ68" t="s">
        <v>404</v>
      </c>
      <c r="FR68" t="s">
        <v>404</v>
      </c>
      <c r="FS68" t="s">
        <v>404</v>
      </c>
      <c r="FU68">
        <v>100</v>
      </c>
      <c r="FZ68">
        <v>100</v>
      </c>
      <c r="GG68">
        <v>0</v>
      </c>
      <c r="GN68">
        <v>0</v>
      </c>
      <c r="GP68">
        <v>250</v>
      </c>
      <c r="GU68">
        <v>250</v>
      </c>
      <c r="HB68">
        <v>0</v>
      </c>
      <c r="HI68">
        <v>0</v>
      </c>
      <c r="HP68">
        <v>0</v>
      </c>
      <c r="HX68">
        <v>0</v>
      </c>
      <c r="HY68">
        <v>0</v>
      </c>
      <c r="HZ68">
        <v>350</v>
      </c>
      <c r="IA68">
        <v>0</v>
      </c>
      <c r="IB68">
        <v>0</v>
      </c>
      <c r="IC68">
        <v>0</v>
      </c>
      <c r="ID68">
        <v>0</v>
      </c>
      <c r="IE68">
        <v>350</v>
      </c>
      <c r="IL68">
        <v>0</v>
      </c>
      <c r="IS68">
        <v>0</v>
      </c>
      <c r="IU68">
        <v>350</v>
      </c>
      <c r="IZ68">
        <v>350</v>
      </c>
      <c r="JG68">
        <v>0</v>
      </c>
      <c r="JN68">
        <v>0</v>
      </c>
      <c r="JO68">
        <v>0</v>
      </c>
      <c r="JP68">
        <v>350</v>
      </c>
      <c r="JQ68">
        <v>0</v>
      </c>
      <c r="JR68">
        <v>0</v>
      </c>
      <c r="JS68">
        <v>0</v>
      </c>
      <c r="JT68">
        <v>0</v>
      </c>
      <c r="JU68">
        <v>350</v>
      </c>
      <c r="JX68">
        <v>100</v>
      </c>
      <c r="KA68">
        <v>1</v>
      </c>
      <c r="KB68">
        <v>3</v>
      </c>
      <c r="KC68">
        <v>1</v>
      </c>
      <c r="KD68" t="s">
        <v>407</v>
      </c>
      <c r="OG68" t="s">
        <v>408</v>
      </c>
      <c r="SJ68" t="s">
        <v>409</v>
      </c>
      <c r="WM68" t="s">
        <v>410</v>
      </c>
      <c r="AAP68" t="s">
        <v>411</v>
      </c>
      <c r="AES68" t="s">
        <v>412</v>
      </c>
    </row>
    <row r="69" spans="1:825" x14ac:dyDescent="0.2">
      <c r="A69" t="s">
        <v>911</v>
      </c>
      <c r="B69" t="s">
        <v>414</v>
      </c>
      <c r="C69" t="s">
        <v>912</v>
      </c>
      <c r="P69" t="b">
        <v>0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>
        <v>646</v>
      </c>
      <c r="W69" s="20">
        <v>43489.978472222225</v>
      </c>
      <c r="X69" t="s">
        <v>913</v>
      </c>
      <c r="Y69">
        <v>2019</v>
      </c>
      <c r="Z69" t="s">
        <v>914</v>
      </c>
      <c r="AA69" t="s">
        <v>915</v>
      </c>
      <c r="AB69" t="str">
        <f>VLOOKUP(MID(AD69,SEARCH("@",AD69,1),LEN(AD69)-SEARCH("@",AD69,1)+1),[2]Sheet1!$D:$F,3,FALSE)</f>
        <v>M0235</v>
      </c>
      <c r="AD69" t="s">
        <v>916</v>
      </c>
      <c r="AE69" t="s">
        <v>917</v>
      </c>
      <c r="AF69" t="s">
        <v>703</v>
      </c>
      <c r="AG69" t="s">
        <v>704</v>
      </c>
      <c r="AI69">
        <v>1</v>
      </c>
      <c r="AL69">
        <v>10000</v>
      </c>
      <c r="AM69">
        <v>10000</v>
      </c>
      <c r="AN69">
        <v>10000</v>
      </c>
      <c r="AO69">
        <v>10000</v>
      </c>
      <c r="AQ69">
        <v>10000</v>
      </c>
      <c r="AV69">
        <v>10000</v>
      </c>
      <c r="BC69">
        <v>0</v>
      </c>
      <c r="BJ69">
        <v>0</v>
      </c>
      <c r="BQ69">
        <v>0</v>
      </c>
      <c r="BX69">
        <v>0</v>
      </c>
      <c r="CE69">
        <v>0</v>
      </c>
      <c r="CF69">
        <v>0</v>
      </c>
      <c r="CG69">
        <v>10000</v>
      </c>
      <c r="CH69">
        <v>0</v>
      </c>
      <c r="CI69">
        <v>0</v>
      </c>
      <c r="CJ69">
        <v>0</v>
      </c>
      <c r="CK69">
        <v>0</v>
      </c>
      <c r="CL69">
        <v>10000</v>
      </c>
      <c r="CN69">
        <v>3</v>
      </c>
      <c r="CS69">
        <v>3</v>
      </c>
      <c r="CZ69">
        <v>0</v>
      </c>
      <c r="DG69">
        <v>0</v>
      </c>
      <c r="DN69">
        <v>0</v>
      </c>
      <c r="DU69">
        <v>0</v>
      </c>
      <c r="EB69">
        <v>0</v>
      </c>
      <c r="EC69">
        <v>0</v>
      </c>
      <c r="ED69">
        <v>3</v>
      </c>
      <c r="EE69">
        <v>0</v>
      </c>
      <c r="EF69">
        <v>0</v>
      </c>
      <c r="EG69">
        <v>0</v>
      </c>
      <c r="EH69">
        <v>0</v>
      </c>
      <c r="EI69">
        <v>3</v>
      </c>
      <c r="EJ69" t="s">
        <v>404</v>
      </c>
      <c r="EK69" t="s">
        <v>405</v>
      </c>
      <c r="EL69" t="s">
        <v>404</v>
      </c>
      <c r="EM69" t="s">
        <v>404</v>
      </c>
      <c r="EN69" t="s">
        <v>404</v>
      </c>
      <c r="EO69" t="s">
        <v>404</v>
      </c>
      <c r="EP69" t="s">
        <v>404</v>
      </c>
      <c r="EQ69" t="s">
        <v>404</v>
      </c>
      <c r="ER69" t="s">
        <v>404</v>
      </c>
      <c r="ES69" t="s">
        <v>404</v>
      </c>
      <c r="ET69" t="s">
        <v>404</v>
      </c>
      <c r="EU69" t="s">
        <v>404</v>
      </c>
      <c r="EV69" t="s">
        <v>404</v>
      </c>
      <c r="EW69" t="s">
        <v>404</v>
      </c>
      <c r="EX69" t="s">
        <v>404</v>
      </c>
      <c r="EY69" t="s">
        <v>404</v>
      </c>
      <c r="EZ69" t="s">
        <v>404</v>
      </c>
      <c r="FA69" t="s">
        <v>404</v>
      </c>
      <c r="FB69" t="s">
        <v>404</v>
      </c>
      <c r="FC69" t="s">
        <v>404</v>
      </c>
      <c r="FD69" t="s">
        <v>404</v>
      </c>
      <c r="FE69" t="s">
        <v>404</v>
      </c>
      <c r="FF69" t="s">
        <v>404</v>
      </c>
      <c r="FG69" t="s">
        <v>404</v>
      </c>
      <c r="FH69" t="s">
        <v>404</v>
      </c>
      <c r="FI69" t="s">
        <v>404</v>
      </c>
      <c r="FJ69" t="s">
        <v>404</v>
      </c>
      <c r="FK69" t="s">
        <v>404</v>
      </c>
      <c r="FL69" t="s">
        <v>404</v>
      </c>
      <c r="FM69" t="s">
        <v>404</v>
      </c>
      <c r="FN69" t="s">
        <v>404</v>
      </c>
      <c r="FO69" t="s">
        <v>404</v>
      </c>
      <c r="FP69" t="s">
        <v>404</v>
      </c>
      <c r="FQ69" t="s">
        <v>404</v>
      </c>
      <c r="FR69" t="s">
        <v>404</v>
      </c>
      <c r="FS69" t="s">
        <v>404</v>
      </c>
      <c r="FZ69">
        <v>0</v>
      </c>
      <c r="GG69">
        <v>0</v>
      </c>
      <c r="GN69">
        <v>0</v>
      </c>
      <c r="GU69">
        <v>0</v>
      </c>
      <c r="HB69">
        <v>0</v>
      </c>
      <c r="HD69">
        <v>10000</v>
      </c>
      <c r="HI69">
        <v>10000</v>
      </c>
      <c r="HP69">
        <v>0</v>
      </c>
      <c r="HX69">
        <v>0</v>
      </c>
      <c r="HY69">
        <v>0</v>
      </c>
      <c r="HZ69">
        <v>10000</v>
      </c>
      <c r="IA69">
        <v>0</v>
      </c>
      <c r="IB69">
        <v>0</v>
      </c>
      <c r="IC69">
        <v>0</v>
      </c>
      <c r="ID69">
        <v>0</v>
      </c>
      <c r="IE69">
        <v>10000</v>
      </c>
      <c r="IG69">
        <v>10000</v>
      </c>
      <c r="IL69">
        <v>10000</v>
      </c>
      <c r="IS69">
        <v>0</v>
      </c>
      <c r="IZ69">
        <v>0</v>
      </c>
      <c r="JG69">
        <v>0</v>
      </c>
      <c r="JN69">
        <v>0</v>
      </c>
      <c r="JO69">
        <v>0</v>
      </c>
      <c r="JP69">
        <v>10000</v>
      </c>
      <c r="JQ69">
        <v>0</v>
      </c>
      <c r="JR69">
        <v>0</v>
      </c>
      <c r="JS69">
        <v>0</v>
      </c>
      <c r="JT69">
        <v>0</v>
      </c>
      <c r="JU69">
        <v>10000</v>
      </c>
      <c r="JX69">
        <v>100</v>
      </c>
      <c r="KA69">
        <v>1</v>
      </c>
      <c r="KB69">
        <v>3</v>
      </c>
      <c r="KC69">
        <v>2</v>
      </c>
      <c r="KD69" t="s">
        <v>407</v>
      </c>
      <c r="OG69" t="s">
        <v>408</v>
      </c>
      <c r="SJ69" t="s">
        <v>409</v>
      </c>
      <c r="WM69" t="s">
        <v>410</v>
      </c>
      <c r="AAP69" t="s">
        <v>411</v>
      </c>
      <c r="AES69" t="s">
        <v>412</v>
      </c>
    </row>
    <row r="70" spans="1:825" x14ac:dyDescent="0.2">
      <c r="A70" t="s">
        <v>918</v>
      </c>
      <c r="B70" t="s">
        <v>396</v>
      </c>
      <c r="C70" t="s">
        <v>919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>
        <v>589</v>
      </c>
      <c r="W70" s="20">
        <v>43517.594444444447</v>
      </c>
      <c r="X70" t="s">
        <v>920</v>
      </c>
      <c r="Y70">
        <v>2019</v>
      </c>
      <c r="Z70" t="s">
        <v>921</v>
      </c>
      <c r="AA70" t="s">
        <v>919</v>
      </c>
      <c r="AB70" t="str">
        <f>VLOOKUP(MID(AD70,SEARCH("@",AD70,1),LEN(AD70)-SEARCH("@",AD70,1)+1),[2]Sheet1!$D:$F,3,FALSE)</f>
        <v>M660</v>
      </c>
      <c r="AC70" t="s">
        <v>922</v>
      </c>
      <c r="AD70" t="s">
        <v>923</v>
      </c>
      <c r="AE70" t="s">
        <v>924</v>
      </c>
      <c r="AF70" t="s">
        <v>611</v>
      </c>
      <c r="AG70" t="s">
        <v>403</v>
      </c>
      <c r="AI70">
        <v>1</v>
      </c>
      <c r="AL70">
        <v>759</v>
      </c>
      <c r="AM70">
        <v>759</v>
      </c>
      <c r="AN70">
        <v>469</v>
      </c>
      <c r="AO70">
        <v>469</v>
      </c>
      <c r="AV70">
        <v>0</v>
      </c>
      <c r="BC70">
        <v>0</v>
      </c>
      <c r="BJ70">
        <v>0</v>
      </c>
      <c r="BK70">
        <v>561</v>
      </c>
      <c r="BL70">
        <v>198</v>
      </c>
      <c r="BQ70">
        <v>759</v>
      </c>
      <c r="BX70">
        <v>0</v>
      </c>
      <c r="CE70">
        <v>0</v>
      </c>
      <c r="CF70">
        <v>561</v>
      </c>
      <c r="CG70">
        <v>198</v>
      </c>
      <c r="CH70">
        <v>0</v>
      </c>
      <c r="CI70">
        <v>0</v>
      </c>
      <c r="CJ70">
        <v>0</v>
      </c>
      <c r="CK70">
        <v>0</v>
      </c>
      <c r="CL70">
        <v>759</v>
      </c>
      <c r="CS70">
        <v>0</v>
      </c>
      <c r="CZ70">
        <v>0</v>
      </c>
      <c r="DG70">
        <v>0</v>
      </c>
      <c r="DH70">
        <v>3</v>
      </c>
      <c r="DI70">
        <v>1</v>
      </c>
      <c r="DN70">
        <v>4</v>
      </c>
      <c r="DU70">
        <v>0</v>
      </c>
      <c r="EB70">
        <v>0</v>
      </c>
      <c r="EC70">
        <v>3</v>
      </c>
      <c r="ED70">
        <v>1</v>
      </c>
      <c r="EE70">
        <v>0</v>
      </c>
      <c r="EF70">
        <v>0</v>
      </c>
      <c r="EG70">
        <v>0</v>
      </c>
      <c r="EH70">
        <v>0</v>
      </c>
      <c r="EI70">
        <v>4</v>
      </c>
      <c r="EJ70" t="s">
        <v>404</v>
      </c>
      <c r="EK70" t="s">
        <v>404</v>
      </c>
      <c r="EL70" t="s">
        <v>404</v>
      </c>
      <c r="EM70" t="s">
        <v>404</v>
      </c>
      <c r="EN70" t="s">
        <v>404</v>
      </c>
      <c r="EO70" t="s">
        <v>404</v>
      </c>
      <c r="EP70" t="s">
        <v>404</v>
      </c>
      <c r="EQ70" t="s">
        <v>404</v>
      </c>
      <c r="ER70" t="s">
        <v>404</v>
      </c>
      <c r="ES70" t="s">
        <v>404</v>
      </c>
      <c r="ET70" t="s">
        <v>404</v>
      </c>
      <c r="EU70" t="s">
        <v>404</v>
      </c>
      <c r="EV70" t="s">
        <v>404</v>
      </c>
      <c r="EW70" t="s">
        <v>404</v>
      </c>
      <c r="EX70" t="s">
        <v>404</v>
      </c>
      <c r="EY70" t="s">
        <v>404</v>
      </c>
      <c r="EZ70" t="s">
        <v>404</v>
      </c>
      <c r="FA70" t="s">
        <v>404</v>
      </c>
      <c r="FB70" t="s">
        <v>405</v>
      </c>
      <c r="FC70" t="s">
        <v>405</v>
      </c>
      <c r="FD70" t="s">
        <v>404</v>
      </c>
      <c r="FE70" t="s">
        <v>404</v>
      </c>
      <c r="FF70" t="s">
        <v>404</v>
      </c>
      <c r="FG70" t="s">
        <v>404</v>
      </c>
      <c r="FH70" t="s">
        <v>404</v>
      </c>
      <c r="FI70" t="s">
        <v>404</v>
      </c>
      <c r="FJ70" t="s">
        <v>404</v>
      </c>
      <c r="FK70" t="s">
        <v>404</v>
      </c>
      <c r="FL70" t="s">
        <v>404</v>
      </c>
      <c r="FM70" t="s">
        <v>404</v>
      </c>
      <c r="FN70" t="s">
        <v>404</v>
      </c>
      <c r="FO70" t="s">
        <v>404</v>
      </c>
      <c r="FP70" t="s">
        <v>404</v>
      </c>
      <c r="FQ70" t="s">
        <v>404</v>
      </c>
      <c r="FR70" t="s">
        <v>404</v>
      </c>
      <c r="FS70" t="s">
        <v>404</v>
      </c>
      <c r="FT70">
        <v>536</v>
      </c>
      <c r="FU70">
        <v>198</v>
      </c>
      <c r="FZ70">
        <v>734</v>
      </c>
      <c r="GA70">
        <v>25</v>
      </c>
      <c r="GG70">
        <v>25</v>
      </c>
      <c r="GN70">
        <v>0</v>
      </c>
      <c r="GU70">
        <v>0</v>
      </c>
      <c r="HB70">
        <v>0</v>
      </c>
      <c r="HI70">
        <v>0</v>
      </c>
      <c r="HP70">
        <v>0</v>
      </c>
      <c r="HX70">
        <v>0</v>
      </c>
      <c r="HY70">
        <v>561</v>
      </c>
      <c r="HZ70">
        <v>198</v>
      </c>
      <c r="IA70">
        <v>0</v>
      </c>
      <c r="IB70">
        <v>0</v>
      </c>
      <c r="IC70">
        <v>0</v>
      </c>
      <c r="ID70">
        <v>0</v>
      </c>
      <c r="IE70">
        <v>759</v>
      </c>
      <c r="IL70">
        <v>0</v>
      </c>
      <c r="IM70">
        <v>561</v>
      </c>
      <c r="IN70">
        <v>198</v>
      </c>
      <c r="IS70">
        <v>759</v>
      </c>
      <c r="IZ70">
        <v>0</v>
      </c>
      <c r="JG70">
        <v>0</v>
      </c>
      <c r="JN70">
        <v>0</v>
      </c>
      <c r="JO70">
        <v>561</v>
      </c>
      <c r="JP70">
        <v>198</v>
      </c>
      <c r="JQ70">
        <v>0</v>
      </c>
      <c r="JR70">
        <v>0</v>
      </c>
      <c r="JS70">
        <v>0</v>
      </c>
      <c r="JT70">
        <v>0</v>
      </c>
      <c r="JU70">
        <v>759</v>
      </c>
      <c r="JX70">
        <v>100</v>
      </c>
      <c r="KA70">
        <v>2</v>
      </c>
      <c r="KB70">
        <v>3</v>
      </c>
      <c r="KC70">
        <v>1</v>
      </c>
      <c r="KD70" t="s">
        <v>407</v>
      </c>
      <c r="OG70" t="s">
        <v>408</v>
      </c>
      <c r="SJ70" t="s">
        <v>409</v>
      </c>
      <c r="WM70" t="s">
        <v>410</v>
      </c>
      <c r="AAP70" t="s">
        <v>411</v>
      </c>
      <c r="AES70" t="s">
        <v>412</v>
      </c>
    </row>
    <row r="71" spans="1:825" x14ac:dyDescent="0.2">
      <c r="A71" t="s">
        <v>925</v>
      </c>
      <c r="B71" t="s">
        <v>396</v>
      </c>
      <c r="C71" t="s">
        <v>926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>
        <v>821</v>
      </c>
      <c r="W71" s="20">
        <v>43531.402777777781</v>
      </c>
      <c r="X71" t="s">
        <v>927</v>
      </c>
      <c r="Y71">
        <v>2019</v>
      </c>
      <c r="Z71" t="s">
        <v>928</v>
      </c>
      <c r="AA71" t="s">
        <v>929</v>
      </c>
      <c r="AB71" t="str">
        <f>VLOOKUP(MID(AD71,SEARCH("@",AD71,1),LEN(AD71)-SEARCH("@",AD71,1)+1),[2]Sheet1!$D:$F,3,FALSE)</f>
        <v>M136</v>
      </c>
      <c r="AC71" t="s">
        <v>930</v>
      </c>
      <c r="AD71" t="s">
        <v>931</v>
      </c>
      <c r="AF71" t="s">
        <v>491</v>
      </c>
      <c r="AG71" t="s">
        <v>492</v>
      </c>
      <c r="AI71">
        <v>1</v>
      </c>
      <c r="AL71">
        <v>7.6</v>
      </c>
      <c r="AM71">
        <v>7.6</v>
      </c>
      <c r="AN71">
        <v>7.6</v>
      </c>
      <c r="AO71">
        <v>7.6</v>
      </c>
      <c r="AV71">
        <v>0</v>
      </c>
      <c r="AW71">
        <v>7.6</v>
      </c>
      <c r="BC71">
        <v>7.6</v>
      </c>
      <c r="BJ71">
        <v>0</v>
      </c>
      <c r="BQ71">
        <v>0</v>
      </c>
      <c r="BX71">
        <v>0</v>
      </c>
      <c r="CE71">
        <v>0</v>
      </c>
      <c r="CF71">
        <v>7.6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7.6</v>
      </c>
      <c r="CS71">
        <v>0</v>
      </c>
      <c r="CT71">
        <v>1</v>
      </c>
      <c r="CZ71">
        <v>1</v>
      </c>
      <c r="DG71">
        <v>0</v>
      </c>
      <c r="DN71">
        <v>0</v>
      </c>
      <c r="DU71">
        <v>0</v>
      </c>
      <c r="EB71">
        <v>0</v>
      </c>
      <c r="EC71">
        <v>1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1</v>
      </c>
      <c r="EJ71" t="s">
        <v>404</v>
      </c>
      <c r="EK71" t="s">
        <v>404</v>
      </c>
      <c r="EL71" t="s">
        <v>404</v>
      </c>
      <c r="EM71" t="s">
        <v>404</v>
      </c>
      <c r="EN71" t="s">
        <v>404</v>
      </c>
      <c r="EO71" t="s">
        <v>404</v>
      </c>
      <c r="EP71" t="s">
        <v>405</v>
      </c>
      <c r="EQ71" t="s">
        <v>404</v>
      </c>
      <c r="ER71" t="s">
        <v>404</v>
      </c>
      <c r="ES71" t="s">
        <v>404</v>
      </c>
      <c r="ET71" t="s">
        <v>404</v>
      </c>
      <c r="EU71" t="s">
        <v>404</v>
      </c>
      <c r="EV71" t="s">
        <v>404</v>
      </c>
      <c r="EW71" t="s">
        <v>404</v>
      </c>
      <c r="EX71" t="s">
        <v>404</v>
      </c>
      <c r="EY71" t="s">
        <v>404</v>
      </c>
      <c r="EZ71" t="s">
        <v>404</v>
      </c>
      <c r="FA71" t="s">
        <v>404</v>
      </c>
      <c r="FB71" t="s">
        <v>404</v>
      </c>
      <c r="FC71" t="s">
        <v>404</v>
      </c>
      <c r="FD71" t="s">
        <v>404</v>
      </c>
      <c r="FE71" t="s">
        <v>404</v>
      </c>
      <c r="FF71" t="s">
        <v>404</v>
      </c>
      <c r="FG71" t="s">
        <v>404</v>
      </c>
      <c r="FH71" t="s">
        <v>404</v>
      </c>
      <c r="FI71" t="s">
        <v>404</v>
      </c>
      <c r="FJ71" t="s">
        <v>404</v>
      </c>
      <c r="FK71" t="s">
        <v>404</v>
      </c>
      <c r="FL71" t="s">
        <v>404</v>
      </c>
      <c r="FM71" t="s">
        <v>404</v>
      </c>
      <c r="FN71" t="s">
        <v>404</v>
      </c>
      <c r="FO71" t="s">
        <v>404</v>
      </c>
      <c r="FP71" t="s">
        <v>404</v>
      </c>
      <c r="FQ71" t="s">
        <v>404</v>
      </c>
      <c r="FR71" t="s">
        <v>404</v>
      </c>
      <c r="FS71" t="s">
        <v>404</v>
      </c>
      <c r="FT71">
        <v>7.6</v>
      </c>
      <c r="FZ71">
        <v>7.6</v>
      </c>
      <c r="GG71">
        <v>0</v>
      </c>
      <c r="GN71">
        <v>0</v>
      </c>
      <c r="GU71">
        <v>0</v>
      </c>
      <c r="HB71">
        <v>0</v>
      </c>
      <c r="HI71">
        <v>0</v>
      </c>
      <c r="HP71">
        <v>0</v>
      </c>
      <c r="HX71">
        <v>0</v>
      </c>
      <c r="HY71">
        <v>7.6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7.6</v>
      </c>
      <c r="IL71">
        <v>0</v>
      </c>
      <c r="IM71">
        <v>7.6</v>
      </c>
      <c r="IS71">
        <v>7.6</v>
      </c>
      <c r="IZ71">
        <v>0</v>
      </c>
      <c r="JG71">
        <v>0</v>
      </c>
      <c r="JN71">
        <v>0</v>
      </c>
      <c r="JO71">
        <v>7.6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7.6</v>
      </c>
      <c r="JX71">
        <v>60</v>
      </c>
      <c r="JY71" t="s">
        <v>932</v>
      </c>
      <c r="JZ71">
        <v>40</v>
      </c>
      <c r="KA71">
        <v>3</v>
      </c>
      <c r="KB71">
        <v>3</v>
      </c>
      <c r="KC71">
        <v>2</v>
      </c>
      <c r="KD71" t="s">
        <v>407</v>
      </c>
      <c r="OG71" t="s">
        <v>408</v>
      </c>
      <c r="SJ71" t="s">
        <v>409</v>
      </c>
      <c r="WM71" t="s">
        <v>410</v>
      </c>
      <c r="AAP71" t="s">
        <v>411</v>
      </c>
      <c r="AES71" t="s">
        <v>412</v>
      </c>
    </row>
    <row r="72" spans="1:825" x14ac:dyDescent="0.2">
      <c r="A72" t="s">
        <v>933</v>
      </c>
      <c r="B72" t="s">
        <v>414</v>
      </c>
      <c r="C72" t="s">
        <v>934</v>
      </c>
      <c r="P72" t="b">
        <v>0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>
        <v>536</v>
      </c>
      <c r="W72" s="20">
        <v>43510.068749999999</v>
      </c>
      <c r="X72" t="s">
        <v>935</v>
      </c>
      <c r="Y72">
        <v>2019</v>
      </c>
      <c r="Z72" t="s">
        <v>936</v>
      </c>
      <c r="AA72" t="s">
        <v>937</v>
      </c>
      <c r="AB72" t="str">
        <f>VLOOKUP(MID(AD72,SEARCH("@",AD72,1),LEN(AD72)-SEARCH("@",AD72,1)+1),[2]Sheet1!$D:$F,3,FALSE)</f>
        <v>M0239</v>
      </c>
      <c r="AC72" t="s">
        <v>938</v>
      </c>
      <c r="AD72" t="s">
        <v>939</v>
      </c>
      <c r="AE72">
        <f>81-3-3548-3351</f>
        <v>-6821</v>
      </c>
      <c r="AF72" t="s">
        <v>703</v>
      </c>
      <c r="AG72" t="s">
        <v>704</v>
      </c>
      <c r="AI72">
        <v>1</v>
      </c>
      <c r="AM72">
        <v>3413</v>
      </c>
      <c r="AO72">
        <v>3413</v>
      </c>
      <c r="AP72">
        <v>3413</v>
      </c>
      <c r="AV72">
        <v>3413</v>
      </c>
      <c r="BC72">
        <v>0</v>
      </c>
      <c r="BJ72">
        <v>0</v>
      </c>
      <c r="BQ72">
        <v>0</v>
      </c>
      <c r="BX72">
        <v>0</v>
      </c>
      <c r="CE72">
        <v>0</v>
      </c>
      <c r="CF72">
        <v>3413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3413</v>
      </c>
      <c r="CM72">
        <v>1</v>
      </c>
      <c r="CS72">
        <v>1</v>
      </c>
      <c r="CZ72">
        <v>0</v>
      </c>
      <c r="DG72">
        <v>0</v>
      </c>
      <c r="DN72">
        <v>0</v>
      </c>
      <c r="DU72">
        <v>0</v>
      </c>
      <c r="EB72">
        <v>0</v>
      </c>
      <c r="EC72">
        <v>1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1</v>
      </c>
      <c r="EJ72" t="s">
        <v>405</v>
      </c>
      <c r="EK72" t="s">
        <v>404</v>
      </c>
      <c r="EL72" t="s">
        <v>404</v>
      </c>
      <c r="EM72" t="s">
        <v>404</v>
      </c>
      <c r="EN72" t="s">
        <v>404</v>
      </c>
      <c r="EO72" t="s">
        <v>404</v>
      </c>
      <c r="EP72" t="s">
        <v>404</v>
      </c>
      <c r="EQ72" t="s">
        <v>404</v>
      </c>
      <c r="ER72" t="s">
        <v>404</v>
      </c>
      <c r="ES72" t="s">
        <v>404</v>
      </c>
      <c r="ET72" t="s">
        <v>404</v>
      </c>
      <c r="EU72" t="s">
        <v>404</v>
      </c>
      <c r="EV72" t="s">
        <v>404</v>
      </c>
      <c r="EW72" t="s">
        <v>404</v>
      </c>
      <c r="EX72" t="s">
        <v>404</v>
      </c>
      <c r="EY72" t="s">
        <v>404</v>
      </c>
      <c r="EZ72" t="s">
        <v>404</v>
      </c>
      <c r="FA72" t="s">
        <v>404</v>
      </c>
      <c r="FB72" t="s">
        <v>404</v>
      </c>
      <c r="FC72" t="s">
        <v>404</v>
      </c>
      <c r="FD72" t="s">
        <v>404</v>
      </c>
      <c r="FE72" t="s">
        <v>404</v>
      </c>
      <c r="FF72" t="s">
        <v>404</v>
      </c>
      <c r="FG72" t="s">
        <v>404</v>
      </c>
      <c r="FH72" t="s">
        <v>404</v>
      </c>
      <c r="FI72" t="s">
        <v>404</v>
      </c>
      <c r="FJ72" t="s">
        <v>404</v>
      </c>
      <c r="FK72" t="s">
        <v>404</v>
      </c>
      <c r="FL72" t="s">
        <v>404</v>
      </c>
      <c r="FM72" t="s">
        <v>404</v>
      </c>
      <c r="FN72" t="s">
        <v>404</v>
      </c>
      <c r="FO72" t="s">
        <v>404</v>
      </c>
      <c r="FP72" t="s">
        <v>404</v>
      </c>
      <c r="FQ72" t="s">
        <v>404</v>
      </c>
      <c r="FR72" t="s">
        <v>404</v>
      </c>
      <c r="FS72" t="s">
        <v>404</v>
      </c>
      <c r="FT72">
        <v>519</v>
      </c>
      <c r="FZ72">
        <v>519</v>
      </c>
      <c r="GG72">
        <v>0</v>
      </c>
      <c r="GN72">
        <v>0</v>
      </c>
      <c r="GU72">
        <v>0</v>
      </c>
      <c r="HB72">
        <v>0</v>
      </c>
      <c r="HI72">
        <v>0</v>
      </c>
      <c r="HP72">
        <v>0</v>
      </c>
      <c r="HQ72" t="s">
        <v>940</v>
      </c>
      <c r="HR72">
        <v>2894</v>
      </c>
      <c r="HX72">
        <v>2894</v>
      </c>
      <c r="HY72">
        <v>3413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3413</v>
      </c>
      <c r="IF72">
        <v>3413</v>
      </c>
      <c r="IL72">
        <v>3413</v>
      </c>
      <c r="IS72">
        <v>0</v>
      </c>
      <c r="IZ72">
        <v>0</v>
      </c>
      <c r="JG72">
        <v>0</v>
      </c>
      <c r="JN72">
        <v>0</v>
      </c>
      <c r="JO72">
        <v>3413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3413</v>
      </c>
      <c r="JV72">
        <v>100</v>
      </c>
      <c r="KA72">
        <v>1</v>
      </c>
      <c r="KB72">
        <v>1</v>
      </c>
      <c r="KC72">
        <v>2</v>
      </c>
      <c r="KD72" t="s">
        <v>407</v>
      </c>
      <c r="OG72" t="s">
        <v>408</v>
      </c>
      <c r="SJ72" t="s">
        <v>409</v>
      </c>
      <c r="WM72" t="s">
        <v>410</v>
      </c>
      <c r="AAP72" t="s">
        <v>411</v>
      </c>
      <c r="AES72" t="s">
        <v>412</v>
      </c>
    </row>
    <row r="73" spans="1:825" x14ac:dyDescent="0.2">
      <c r="A73" t="s">
        <v>941</v>
      </c>
      <c r="B73" t="s">
        <v>396</v>
      </c>
      <c r="C73" t="s">
        <v>942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>
        <v>824</v>
      </c>
      <c r="W73" s="20">
        <v>43529.736111111109</v>
      </c>
      <c r="X73" t="s">
        <v>943</v>
      </c>
      <c r="Y73">
        <v>2019</v>
      </c>
      <c r="Z73" t="s">
        <v>944</v>
      </c>
      <c r="AA73" t="s">
        <v>945</v>
      </c>
      <c r="AB73" t="str">
        <f>VLOOKUP(MID(AD73,SEARCH("@",AD73,1),LEN(AD73)-SEARCH("@",AD73,1)+1),[2]Sheet1!$D:$F,3,FALSE)</f>
        <v>M168</v>
      </c>
      <c r="AC73" t="s">
        <v>450</v>
      </c>
      <c r="AD73" t="s">
        <v>946</v>
      </c>
      <c r="AE73">
        <v>7796853569</v>
      </c>
      <c r="AF73" t="s">
        <v>516</v>
      </c>
      <c r="AG73" t="s">
        <v>403</v>
      </c>
      <c r="AI73">
        <v>1</v>
      </c>
      <c r="AL73">
        <v>260</v>
      </c>
      <c r="AM73">
        <v>260</v>
      </c>
      <c r="AN73">
        <v>240</v>
      </c>
      <c r="AO73">
        <v>240</v>
      </c>
      <c r="AV73">
        <v>0</v>
      </c>
      <c r="AW73">
        <v>50</v>
      </c>
      <c r="AX73">
        <v>210</v>
      </c>
      <c r="BC73">
        <v>260</v>
      </c>
      <c r="BJ73">
        <v>0</v>
      </c>
      <c r="BQ73">
        <v>0</v>
      </c>
      <c r="BX73">
        <v>0</v>
      </c>
      <c r="CE73">
        <v>0</v>
      </c>
      <c r="CF73">
        <v>50</v>
      </c>
      <c r="CG73">
        <v>210</v>
      </c>
      <c r="CH73">
        <v>0</v>
      </c>
      <c r="CI73">
        <v>0</v>
      </c>
      <c r="CJ73">
        <v>0</v>
      </c>
      <c r="CK73">
        <v>0</v>
      </c>
      <c r="CL73">
        <v>260</v>
      </c>
      <c r="CS73">
        <v>0</v>
      </c>
      <c r="CT73">
        <v>1</v>
      </c>
      <c r="CU73">
        <v>1</v>
      </c>
      <c r="CZ73">
        <v>2</v>
      </c>
      <c r="DG73">
        <v>0</v>
      </c>
      <c r="DN73">
        <v>0</v>
      </c>
      <c r="DU73">
        <v>0</v>
      </c>
      <c r="EB73">
        <v>0</v>
      </c>
      <c r="EC73">
        <v>1</v>
      </c>
      <c r="ED73">
        <v>1</v>
      </c>
      <c r="EE73">
        <v>0</v>
      </c>
      <c r="EF73">
        <v>0</v>
      </c>
      <c r="EG73">
        <v>0</v>
      </c>
      <c r="EH73">
        <v>0</v>
      </c>
      <c r="EI73">
        <v>2</v>
      </c>
      <c r="EJ73" t="s">
        <v>404</v>
      </c>
      <c r="EK73" t="s">
        <v>404</v>
      </c>
      <c r="EL73" t="s">
        <v>404</v>
      </c>
      <c r="EM73" t="s">
        <v>404</v>
      </c>
      <c r="EN73" t="s">
        <v>404</v>
      </c>
      <c r="EO73" t="s">
        <v>404</v>
      </c>
      <c r="EP73" t="s">
        <v>405</v>
      </c>
      <c r="EQ73" t="s">
        <v>405</v>
      </c>
      <c r="ER73" t="s">
        <v>404</v>
      </c>
      <c r="ES73" t="s">
        <v>404</v>
      </c>
      <c r="ET73" t="s">
        <v>404</v>
      </c>
      <c r="EU73" t="s">
        <v>404</v>
      </c>
      <c r="EV73" t="s">
        <v>404</v>
      </c>
      <c r="EW73" t="s">
        <v>404</v>
      </c>
      <c r="EX73" t="s">
        <v>404</v>
      </c>
      <c r="EY73" t="s">
        <v>404</v>
      </c>
      <c r="EZ73" t="s">
        <v>404</v>
      </c>
      <c r="FA73" t="s">
        <v>404</v>
      </c>
      <c r="FB73" t="s">
        <v>404</v>
      </c>
      <c r="FC73" t="s">
        <v>404</v>
      </c>
      <c r="FD73" t="s">
        <v>404</v>
      </c>
      <c r="FE73" t="s">
        <v>404</v>
      </c>
      <c r="FF73" t="s">
        <v>404</v>
      </c>
      <c r="FG73" t="s">
        <v>404</v>
      </c>
      <c r="FH73" t="s">
        <v>404</v>
      </c>
      <c r="FI73" t="s">
        <v>404</v>
      </c>
      <c r="FJ73" t="s">
        <v>404</v>
      </c>
      <c r="FK73" t="s">
        <v>404</v>
      </c>
      <c r="FL73" t="s">
        <v>404</v>
      </c>
      <c r="FM73" t="s">
        <v>404</v>
      </c>
      <c r="FN73" t="s">
        <v>404</v>
      </c>
      <c r="FO73" t="s">
        <v>404</v>
      </c>
      <c r="FP73" t="s">
        <v>404</v>
      </c>
      <c r="FQ73" t="s">
        <v>404</v>
      </c>
      <c r="FR73" t="s">
        <v>404</v>
      </c>
      <c r="FS73" t="s">
        <v>404</v>
      </c>
      <c r="FU73">
        <v>210</v>
      </c>
      <c r="FZ73">
        <v>210</v>
      </c>
      <c r="GG73">
        <v>0</v>
      </c>
      <c r="GN73">
        <v>0</v>
      </c>
      <c r="GU73">
        <v>0</v>
      </c>
      <c r="GV73">
        <v>50</v>
      </c>
      <c r="HB73">
        <v>50</v>
      </c>
      <c r="HI73">
        <v>0</v>
      </c>
      <c r="HP73">
        <v>0</v>
      </c>
      <c r="HX73">
        <v>0</v>
      </c>
      <c r="HY73">
        <v>50</v>
      </c>
      <c r="HZ73">
        <v>210</v>
      </c>
      <c r="IA73">
        <v>0</v>
      </c>
      <c r="IB73">
        <v>0</v>
      </c>
      <c r="IC73">
        <v>0</v>
      </c>
      <c r="ID73">
        <v>0</v>
      </c>
      <c r="IE73">
        <v>260</v>
      </c>
      <c r="IL73">
        <v>0</v>
      </c>
      <c r="IM73">
        <v>50</v>
      </c>
      <c r="IN73">
        <v>210</v>
      </c>
      <c r="IS73">
        <v>260</v>
      </c>
      <c r="IZ73">
        <v>0</v>
      </c>
      <c r="JG73">
        <v>0</v>
      </c>
      <c r="JN73">
        <v>0</v>
      </c>
      <c r="JO73">
        <v>50</v>
      </c>
      <c r="JP73">
        <v>210</v>
      </c>
      <c r="JQ73">
        <v>0</v>
      </c>
      <c r="JR73">
        <v>0</v>
      </c>
      <c r="JS73">
        <v>0</v>
      </c>
      <c r="JT73">
        <v>0</v>
      </c>
      <c r="JU73">
        <v>260</v>
      </c>
      <c r="JV73">
        <v>0</v>
      </c>
      <c r="JW73">
        <v>0</v>
      </c>
      <c r="JX73">
        <v>100</v>
      </c>
      <c r="KA73">
        <v>1</v>
      </c>
      <c r="KB73">
        <v>2</v>
      </c>
      <c r="KC73">
        <v>1</v>
      </c>
      <c r="KD73" t="s">
        <v>407</v>
      </c>
      <c r="OG73" t="s">
        <v>408</v>
      </c>
      <c r="SJ73" t="s">
        <v>409</v>
      </c>
      <c r="WM73" t="s">
        <v>410</v>
      </c>
      <c r="AAP73" t="s">
        <v>411</v>
      </c>
      <c r="AES73" t="s">
        <v>412</v>
      </c>
    </row>
    <row r="74" spans="1:825" x14ac:dyDescent="0.2">
      <c r="A74" t="s">
        <v>947</v>
      </c>
      <c r="B74" t="s">
        <v>396</v>
      </c>
      <c r="C74" t="s">
        <v>948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>
        <v>800</v>
      </c>
      <c r="W74" s="20">
        <v>43523.367361111108</v>
      </c>
      <c r="X74" t="s">
        <v>949</v>
      </c>
      <c r="Y74">
        <v>2019</v>
      </c>
      <c r="Z74" t="s">
        <v>950</v>
      </c>
      <c r="AA74" t="s">
        <v>951</v>
      </c>
      <c r="AB74" t="str">
        <f>VLOOKUP(MID(AD74,SEARCH("@",AD74,1),LEN(AD74)-SEARCH("@",AD74,1)+1),[2]Sheet1!$D:$F,3,FALSE)</f>
        <v>M451</v>
      </c>
      <c r="AC74" t="s">
        <v>952</v>
      </c>
      <c r="AD74" t="s">
        <v>953</v>
      </c>
      <c r="AE74">
        <v>69247515150</v>
      </c>
      <c r="AF74" t="s">
        <v>444</v>
      </c>
      <c r="AG74" t="s">
        <v>403</v>
      </c>
      <c r="AI74">
        <v>1</v>
      </c>
      <c r="AL74">
        <v>217.5</v>
      </c>
      <c r="AM74">
        <v>217.5</v>
      </c>
      <c r="AN74">
        <v>203.9</v>
      </c>
      <c r="AO74">
        <v>203.9</v>
      </c>
      <c r="AV74">
        <v>0</v>
      </c>
      <c r="AW74">
        <v>57</v>
      </c>
      <c r="AX74">
        <v>160.5</v>
      </c>
      <c r="BC74">
        <v>217.5</v>
      </c>
      <c r="BJ74">
        <v>0</v>
      </c>
      <c r="BQ74">
        <v>0</v>
      </c>
      <c r="BX74">
        <v>0</v>
      </c>
      <c r="CE74">
        <v>0</v>
      </c>
      <c r="CF74">
        <v>57</v>
      </c>
      <c r="CG74">
        <v>160.5</v>
      </c>
      <c r="CH74">
        <v>0</v>
      </c>
      <c r="CI74">
        <v>0</v>
      </c>
      <c r="CJ74">
        <v>0</v>
      </c>
      <c r="CK74">
        <v>0</v>
      </c>
      <c r="CL74">
        <v>217.5</v>
      </c>
      <c r="CS74">
        <v>0</v>
      </c>
      <c r="CT74">
        <v>1</v>
      </c>
      <c r="CU74">
        <v>1</v>
      </c>
      <c r="CZ74">
        <v>2</v>
      </c>
      <c r="DG74">
        <v>0</v>
      </c>
      <c r="DN74">
        <v>0</v>
      </c>
      <c r="DU74">
        <v>0</v>
      </c>
      <c r="EB74">
        <v>0</v>
      </c>
      <c r="EC74">
        <v>1</v>
      </c>
      <c r="ED74">
        <v>1</v>
      </c>
      <c r="EE74">
        <v>0</v>
      </c>
      <c r="EF74">
        <v>0</v>
      </c>
      <c r="EG74">
        <v>0</v>
      </c>
      <c r="EH74">
        <v>0</v>
      </c>
      <c r="EI74">
        <v>2</v>
      </c>
      <c r="EJ74" t="s">
        <v>404</v>
      </c>
      <c r="EK74" t="s">
        <v>404</v>
      </c>
      <c r="EL74" t="s">
        <v>404</v>
      </c>
      <c r="EM74" t="s">
        <v>404</v>
      </c>
      <c r="EN74" t="s">
        <v>404</v>
      </c>
      <c r="EO74" t="s">
        <v>404</v>
      </c>
      <c r="EP74" t="s">
        <v>405</v>
      </c>
      <c r="EQ74" t="s">
        <v>405</v>
      </c>
      <c r="ER74" t="s">
        <v>404</v>
      </c>
      <c r="ES74" t="s">
        <v>404</v>
      </c>
      <c r="ET74" t="s">
        <v>404</v>
      </c>
      <c r="EU74" t="s">
        <v>404</v>
      </c>
      <c r="EV74" t="s">
        <v>404</v>
      </c>
      <c r="EW74" t="s">
        <v>404</v>
      </c>
      <c r="EX74" t="s">
        <v>404</v>
      </c>
      <c r="EY74" t="s">
        <v>404</v>
      </c>
      <c r="EZ74" t="s">
        <v>404</v>
      </c>
      <c r="FA74" t="s">
        <v>404</v>
      </c>
      <c r="FB74" t="s">
        <v>404</v>
      </c>
      <c r="FC74" t="s">
        <v>404</v>
      </c>
      <c r="FD74" t="s">
        <v>404</v>
      </c>
      <c r="FE74" t="s">
        <v>404</v>
      </c>
      <c r="FF74" t="s">
        <v>404</v>
      </c>
      <c r="FG74" t="s">
        <v>404</v>
      </c>
      <c r="FH74" t="s">
        <v>404</v>
      </c>
      <c r="FI74" t="s">
        <v>404</v>
      </c>
      <c r="FJ74" t="s">
        <v>404</v>
      </c>
      <c r="FK74" t="s">
        <v>404</v>
      </c>
      <c r="FL74" t="s">
        <v>404</v>
      </c>
      <c r="FM74" t="s">
        <v>404</v>
      </c>
      <c r="FN74" t="s">
        <v>404</v>
      </c>
      <c r="FO74" t="s">
        <v>404</v>
      </c>
      <c r="FP74" t="s">
        <v>404</v>
      </c>
      <c r="FQ74" t="s">
        <v>404</v>
      </c>
      <c r="FR74" t="s">
        <v>404</v>
      </c>
      <c r="FS74" t="s">
        <v>404</v>
      </c>
      <c r="FU74">
        <v>160.5</v>
      </c>
      <c r="FZ74">
        <v>160.5</v>
      </c>
      <c r="GA74">
        <v>57</v>
      </c>
      <c r="GG74">
        <v>57</v>
      </c>
      <c r="GN74">
        <v>0</v>
      </c>
      <c r="GU74">
        <v>0</v>
      </c>
      <c r="HB74">
        <v>0</v>
      </c>
      <c r="HI74">
        <v>0</v>
      </c>
      <c r="HP74">
        <v>0</v>
      </c>
      <c r="HX74">
        <v>0</v>
      </c>
      <c r="HY74">
        <v>57</v>
      </c>
      <c r="HZ74">
        <v>160.5</v>
      </c>
      <c r="IA74">
        <v>0</v>
      </c>
      <c r="IB74">
        <v>0</v>
      </c>
      <c r="IC74">
        <v>0</v>
      </c>
      <c r="ID74">
        <v>0</v>
      </c>
      <c r="IE74">
        <v>217.5</v>
      </c>
      <c r="IL74">
        <v>0</v>
      </c>
      <c r="IM74">
        <v>57</v>
      </c>
      <c r="IN74">
        <v>160.5</v>
      </c>
      <c r="IS74">
        <v>217.5</v>
      </c>
      <c r="IZ74">
        <v>0</v>
      </c>
      <c r="JG74">
        <v>0</v>
      </c>
      <c r="JN74">
        <v>0</v>
      </c>
      <c r="JO74">
        <v>57</v>
      </c>
      <c r="JP74">
        <v>160.5</v>
      </c>
      <c r="JQ74">
        <v>0</v>
      </c>
      <c r="JR74">
        <v>0</v>
      </c>
      <c r="JS74">
        <v>0</v>
      </c>
      <c r="JT74">
        <v>0</v>
      </c>
      <c r="JU74">
        <v>217.5</v>
      </c>
      <c r="JX74">
        <v>100</v>
      </c>
      <c r="KA74">
        <v>1</v>
      </c>
      <c r="KB74">
        <v>1</v>
      </c>
      <c r="KC74">
        <v>1</v>
      </c>
      <c r="KD74" t="s">
        <v>407</v>
      </c>
      <c r="OG74" t="s">
        <v>408</v>
      </c>
      <c r="SJ74" t="s">
        <v>409</v>
      </c>
      <c r="WM74" t="s">
        <v>410</v>
      </c>
      <c r="AAP74" t="s">
        <v>411</v>
      </c>
      <c r="AES74" t="s">
        <v>412</v>
      </c>
    </row>
    <row r="75" spans="1:825" x14ac:dyDescent="0.2">
      <c r="A75" t="s">
        <v>954</v>
      </c>
      <c r="B75" t="s">
        <v>414</v>
      </c>
      <c r="C75" t="s">
        <v>955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>
        <v>645</v>
      </c>
      <c r="W75" s="20">
        <v>43516.46875</v>
      </c>
      <c r="X75" t="s">
        <v>956</v>
      </c>
      <c r="Y75">
        <v>2019</v>
      </c>
      <c r="Z75" t="s">
        <v>957</v>
      </c>
      <c r="AA75" t="s">
        <v>958</v>
      </c>
      <c r="AB75" t="str">
        <f>VLOOKUP(MID(AD75,SEARCH("@",AD75,1),LEN(AD75)-SEARCH("@",AD75,1)+1),[2]Sheet1!$D:$F,3,FALSE)</f>
        <v>M0263</v>
      </c>
      <c r="AC75" t="s">
        <v>959</v>
      </c>
      <c r="AD75" t="s">
        <v>960</v>
      </c>
      <c r="AE75" t="s">
        <v>961</v>
      </c>
      <c r="AF75" t="s">
        <v>420</v>
      </c>
      <c r="AG75" t="s">
        <v>421</v>
      </c>
      <c r="AI75">
        <v>1</v>
      </c>
      <c r="AV75">
        <v>0</v>
      </c>
      <c r="BC75">
        <v>0</v>
      </c>
      <c r="BJ75">
        <v>0</v>
      </c>
      <c r="BQ75">
        <v>0</v>
      </c>
      <c r="BX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S75">
        <v>0</v>
      </c>
      <c r="CZ75">
        <v>0</v>
      </c>
      <c r="DG75">
        <v>0</v>
      </c>
      <c r="DN75">
        <v>0</v>
      </c>
      <c r="DU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 t="s">
        <v>404</v>
      </c>
      <c r="EK75" t="s">
        <v>404</v>
      </c>
      <c r="EL75" t="s">
        <v>404</v>
      </c>
      <c r="EM75" t="s">
        <v>404</v>
      </c>
      <c r="EN75" t="s">
        <v>404</v>
      </c>
      <c r="EO75" t="s">
        <v>404</v>
      </c>
      <c r="EP75" t="s">
        <v>404</v>
      </c>
      <c r="EQ75" t="s">
        <v>404</v>
      </c>
      <c r="ER75" t="s">
        <v>404</v>
      </c>
      <c r="ES75" t="s">
        <v>404</v>
      </c>
      <c r="ET75" t="s">
        <v>404</v>
      </c>
      <c r="EU75" t="s">
        <v>404</v>
      </c>
      <c r="EV75" t="s">
        <v>404</v>
      </c>
      <c r="EW75" t="s">
        <v>404</v>
      </c>
      <c r="EX75" t="s">
        <v>404</v>
      </c>
      <c r="EY75" t="s">
        <v>404</v>
      </c>
      <c r="EZ75" t="s">
        <v>404</v>
      </c>
      <c r="FA75" t="s">
        <v>404</v>
      </c>
      <c r="FB75" t="s">
        <v>404</v>
      </c>
      <c r="FC75" t="s">
        <v>404</v>
      </c>
      <c r="FD75" t="s">
        <v>404</v>
      </c>
      <c r="FE75" t="s">
        <v>404</v>
      </c>
      <c r="FF75" t="s">
        <v>404</v>
      </c>
      <c r="FG75" t="s">
        <v>404</v>
      </c>
      <c r="FH75" t="s">
        <v>404</v>
      </c>
      <c r="FI75" t="s">
        <v>404</v>
      </c>
      <c r="FJ75" t="s">
        <v>404</v>
      </c>
      <c r="FK75" t="s">
        <v>404</v>
      </c>
      <c r="FL75" t="s">
        <v>404</v>
      </c>
      <c r="FM75" t="s">
        <v>404</v>
      </c>
      <c r="FN75" t="s">
        <v>404</v>
      </c>
      <c r="FO75" t="s">
        <v>404</v>
      </c>
      <c r="FP75" t="s">
        <v>404</v>
      </c>
      <c r="FQ75" t="s">
        <v>404</v>
      </c>
      <c r="FR75" t="s">
        <v>404</v>
      </c>
      <c r="FS75" t="s">
        <v>404</v>
      </c>
      <c r="FZ75">
        <v>0</v>
      </c>
      <c r="GG75">
        <v>0</v>
      </c>
      <c r="GN75">
        <v>0</v>
      </c>
      <c r="GU75">
        <v>0</v>
      </c>
      <c r="HB75">
        <v>0</v>
      </c>
      <c r="HI75">
        <v>0</v>
      </c>
      <c r="HP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L75">
        <v>0</v>
      </c>
      <c r="IS75">
        <v>0</v>
      </c>
      <c r="IZ75">
        <v>0</v>
      </c>
      <c r="JG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50</v>
      </c>
      <c r="JX75">
        <v>50</v>
      </c>
      <c r="KA75">
        <v>1</v>
      </c>
      <c r="KB75">
        <v>1</v>
      </c>
      <c r="KC75">
        <v>1</v>
      </c>
      <c r="KD75" t="s">
        <v>407</v>
      </c>
      <c r="OG75" t="s">
        <v>408</v>
      </c>
      <c r="SJ75" t="s">
        <v>409</v>
      </c>
      <c r="WM75" t="s">
        <v>410</v>
      </c>
      <c r="AAP75" t="s">
        <v>411</v>
      </c>
      <c r="AES75" t="s">
        <v>412</v>
      </c>
    </row>
    <row r="76" spans="1:825" x14ac:dyDescent="0.2">
      <c r="A76" t="s">
        <v>962</v>
      </c>
      <c r="B76" t="s">
        <v>414</v>
      </c>
      <c r="C76" t="s">
        <v>963</v>
      </c>
      <c r="P76" t="b">
        <v>0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>
        <v>586</v>
      </c>
      <c r="W76" s="20">
        <v>43515.34097222222</v>
      </c>
      <c r="X76" t="s">
        <v>964</v>
      </c>
      <c r="Y76">
        <v>2019</v>
      </c>
      <c r="Z76" t="s">
        <v>965</v>
      </c>
      <c r="AA76" t="s">
        <v>963</v>
      </c>
      <c r="AB76" t="str">
        <f>VLOOKUP(MID(AD76,SEARCH("@",AD76,1),LEN(AD76)-SEARCH("@",AD76,1)+1),[2]Sheet1!$D:$F,3,FALSE)</f>
        <v>M0232</v>
      </c>
      <c r="AC76" t="s">
        <v>966</v>
      </c>
      <c r="AD76" t="s">
        <v>967</v>
      </c>
      <c r="AE76">
        <f>81-3-6250-4616</f>
        <v>-10788</v>
      </c>
      <c r="AF76" t="s">
        <v>703</v>
      </c>
      <c r="AG76" t="s">
        <v>704</v>
      </c>
      <c r="AI76">
        <v>1</v>
      </c>
      <c r="AL76">
        <v>107913</v>
      </c>
      <c r="AM76">
        <v>107913</v>
      </c>
      <c r="AN76">
        <v>107913</v>
      </c>
      <c r="AO76">
        <v>107913</v>
      </c>
      <c r="AQ76">
        <v>107913</v>
      </c>
      <c r="AV76">
        <v>107913</v>
      </c>
      <c r="BC76">
        <v>0</v>
      </c>
      <c r="BJ76">
        <v>0</v>
      </c>
      <c r="BQ76">
        <v>0</v>
      </c>
      <c r="BX76">
        <v>0</v>
      </c>
      <c r="CE76">
        <v>0</v>
      </c>
      <c r="CF76">
        <v>0</v>
      </c>
      <c r="CG76">
        <v>107913</v>
      </c>
      <c r="CH76">
        <v>0</v>
      </c>
      <c r="CI76">
        <v>0</v>
      </c>
      <c r="CJ76">
        <v>0</v>
      </c>
      <c r="CK76">
        <v>0</v>
      </c>
      <c r="CL76">
        <v>107913</v>
      </c>
      <c r="CN76">
        <v>6</v>
      </c>
      <c r="CS76">
        <v>6</v>
      </c>
      <c r="CZ76">
        <v>0</v>
      </c>
      <c r="DG76">
        <v>0</v>
      </c>
      <c r="DN76">
        <v>0</v>
      </c>
      <c r="DU76">
        <v>0</v>
      </c>
      <c r="EB76">
        <v>0</v>
      </c>
      <c r="EC76">
        <v>0</v>
      </c>
      <c r="ED76">
        <v>6</v>
      </c>
      <c r="EE76">
        <v>0</v>
      </c>
      <c r="EF76">
        <v>0</v>
      </c>
      <c r="EG76">
        <v>0</v>
      </c>
      <c r="EH76">
        <v>0</v>
      </c>
      <c r="EI76">
        <v>6</v>
      </c>
      <c r="EJ76" t="s">
        <v>404</v>
      </c>
      <c r="EK76" t="s">
        <v>405</v>
      </c>
      <c r="EL76" t="s">
        <v>404</v>
      </c>
      <c r="EM76" t="s">
        <v>404</v>
      </c>
      <c r="EN76" t="s">
        <v>404</v>
      </c>
      <c r="EO76" t="s">
        <v>404</v>
      </c>
      <c r="EP76" t="s">
        <v>404</v>
      </c>
      <c r="EQ76" t="s">
        <v>404</v>
      </c>
      <c r="ER76" t="s">
        <v>404</v>
      </c>
      <c r="ES76" t="s">
        <v>404</v>
      </c>
      <c r="ET76" t="s">
        <v>404</v>
      </c>
      <c r="EU76" t="s">
        <v>404</v>
      </c>
      <c r="EV76" t="s">
        <v>404</v>
      </c>
      <c r="EW76" t="s">
        <v>404</v>
      </c>
      <c r="EX76" t="s">
        <v>404</v>
      </c>
      <c r="EY76" t="s">
        <v>404</v>
      </c>
      <c r="EZ76" t="s">
        <v>404</v>
      </c>
      <c r="FA76" t="s">
        <v>404</v>
      </c>
      <c r="FB76" t="s">
        <v>404</v>
      </c>
      <c r="FC76" t="s">
        <v>404</v>
      </c>
      <c r="FD76" t="s">
        <v>404</v>
      </c>
      <c r="FE76" t="s">
        <v>404</v>
      </c>
      <c r="FF76" t="s">
        <v>404</v>
      </c>
      <c r="FG76" t="s">
        <v>404</v>
      </c>
      <c r="FH76" t="s">
        <v>404</v>
      </c>
      <c r="FI76" t="s">
        <v>404</v>
      </c>
      <c r="FJ76" t="s">
        <v>404</v>
      </c>
      <c r="FK76" t="s">
        <v>404</v>
      </c>
      <c r="FL76" t="s">
        <v>404</v>
      </c>
      <c r="FM76" t="s">
        <v>404</v>
      </c>
      <c r="FN76" t="s">
        <v>404</v>
      </c>
      <c r="FO76" t="s">
        <v>404</v>
      </c>
      <c r="FP76" t="s">
        <v>404</v>
      </c>
      <c r="FQ76" t="s">
        <v>404</v>
      </c>
      <c r="FR76" t="s">
        <v>404</v>
      </c>
      <c r="FS76" t="s">
        <v>404</v>
      </c>
      <c r="FU76">
        <v>6380</v>
      </c>
      <c r="FZ76">
        <v>6380</v>
      </c>
      <c r="GB76">
        <v>86148</v>
      </c>
      <c r="GG76">
        <v>86148</v>
      </c>
      <c r="GN76">
        <v>0</v>
      </c>
      <c r="GU76">
        <v>0</v>
      </c>
      <c r="HB76">
        <v>0</v>
      </c>
      <c r="HI76">
        <v>0</v>
      </c>
      <c r="HP76">
        <v>0</v>
      </c>
      <c r="HQ76" t="s">
        <v>968</v>
      </c>
      <c r="HS76">
        <v>15385</v>
      </c>
      <c r="HX76">
        <v>15385</v>
      </c>
      <c r="HY76">
        <v>0</v>
      </c>
      <c r="HZ76">
        <v>107913</v>
      </c>
      <c r="IA76">
        <v>0</v>
      </c>
      <c r="IB76">
        <v>0</v>
      </c>
      <c r="IC76">
        <v>0</v>
      </c>
      <c r="ID76">
        <v>0</v>
      </c>
      <c r="IE76">
        <v>107913</v>
      </c>
      <c r="IG76">
        <v>107913</v>
      </c>
      <c r="IL76">
        <v>107913</v>
      </c>
      <c r="IS76">
        <v>0</v>
      </c>
      <c r="IZ76">
        <v>0</v>
      </c>
      <c r="JG76">
        <v>0</v>
      </c>
      <c r="JN76">
        <v>0</v>
      </c>
      <c r="JO76">
        <v>0</v>
      </c>
      <c r="JP76">
        <v>107913</v>
      </c>
      <c r="JQ76">
        <v>0</v>
      </c>
      <c r="JR76">
        <v>0</v>
      </c>
      <c r="JS76">
        <v>0</v>
      </c>
      <c r="JT76">
        <v>0</v>
      </c>
      <c r="JU76">
        <v>107913</v>
      </c>
      <c r="JX76">
        <v>100</v>
      </c>
      <c r="KA76">
        <v>2</v>
      </c>
      <c r="KB76">
        <v>3</v>
      </c>
      <c r="KC76">
        <v>1</v>
      </c>
      <c r="KD76" t="s">
        <v>407</v>
      </c>
      <c r="OG76" t="s">
        <v>408</v>
      </c>
      <c r="SJ76" t="s">
        <v>409</v>
      </c>
      <c r="WM76" t="s">
        <v>410</v>
      </c>
      <c r="AAP76" t="s">
        <v>411</v>
      </c>
      <c r="AES76" t="s">
        <v>412</v>
      </c>
    </row>
    <row r="77" spans="1:825" x14ac:dyDescent="0.2">
      <c r="A77" t="s">
        <v>969</v>
      </c>
      <c r="B77" t="s">
        <v>396</v>
      </c>
      <c r="C77" t="s">
        <v>970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>
        <v>781</v>
      </c>
      <c r="W77" s="20">
        <v>43517.410416666666</v>
      </c>
      <c r="X77" t="s">
        <v>971</v>
      </c>
      <c r="Y77">
        <v>2019</v>
      </c>
      <c r="Z77" t="s">
        <v>972</v>
      </c>
      <c r="AA77" t="s">
        <v>973</v>
      </c>
      <c r="AB77" t="str">
        <f>VLOOKUP(MID(AD77,SEARCH("@",AD77,1),LEN(AD77)-SEARCH("@",AD77,1)+1),[2]Sheet1!$D:$F,3,FALSE)</f>
        <v>M551</v>
      </c>
      <c r="AC77" t="s">
        <v>974</v>
      </c>
      <c r="AD77" t="s">
        <v>975</v>
      </c>
      <c r="AE77">
        <v>1622040521</v>
      </c>
      <c r="AF77" t="s">
        <v>571</v>
      </c>
      <c r="AG77" t="s">
        <v>538</v>
      </c>
      <c r="AI77">
        <v>1</v>
      </c>
      <c r="AL77">
        <v>250</v>
      </c>
      <c r="AM77">
        <v>250</v>
      </c>
      <c r="AN77">
        <v>0</v>
      </c>
      <c r="AO77">
        <v>0</v>
      </c>
      <c r="AV77">
        <v>0</v>
      </c>
      <c r="BC77">
        <v>0</v>
      </c>
      <c r="BD77">
        <v>100</v>
      </c>
      <c r="BE77">
        <v>150</v>
      </c>
      <c r="BJ77">
        <v>250</v>
      </c>
      <c r="BQ77">
        <v>0</v>
      </c>
      <c r="BX77">
        <v>0</v>
      </c>
      <c r="CE77">
        <v>0</v>
      </c>
      <c r="CF77">
        <v>100</v>
      </c>
      <c r="CG77">
        <v>150</v>
      </c>
      <c r="CH77">
        <v>0</v>
      </c>
      <c r="CI77">
        <v>0</v>
      </c>
      <c r="CJ77">
        <v>0</v>
      </c>
      <c r="CK77">
        <v>0</v>
      </c>
      <c r="CL77">
        <v>250</v>
      </c>
      <c r="CS77">
        <v>0</v>
      </c>
      <c r="CZ77">
        <v>0</v>
      </c>
      <c r="DA77">
        <v>1</v>
      </c>
      <c r="DB77">
        <v>1</v>
      </c>
      <c r="DG77">
        <v>2</v>
      </c>
      <c r="DN77">
        <v>0</v>
      </c>
      <c r="DU77">
        <v>0</v>
      </c>
      <c r="EB77">
        <v>0</v>
      </c>
      <c r="EC77">
        <v>1</v>
      </c>
      <c r="ED77">
        <v>1</v>
      </c>
      <c r="EE77">
        <v>0</v>
      </c>
      <c r="EF77">
        <v>0</v>
      </c>
      <c r="EG77">
        <v>0</v>
      </c>
      <c r="EH77">
        <v>0</v>
      </c>
      <c r="EI77">
        <v>2</v>
      </c>
      <c r="EJ77" t="s">
        <v>404</v>
      </c>
      <c r="EK77" t="s">
        <v>404</v>
      </c>
      <c r="EL77" t="s">
        <v>404</v>
      </c>
      <c r="EM77" t="s">
        <v>404</v>
      </c>
      <c r="EN77" t="s">
        <v>404</v>
      </c>
      <c r="EO77" t="s">
        <v>404</v>
      </c>
      <c r="EP77" t="s">
        <v>404</v>
      </c>
      <c r="EQ77" t="s">
        <v>404</v>
      </c>
      <c r="ER77" t="s">
        <v>404</v>
      </c>
      <c r="ES77" t="s">
        <v>404</v>
      </c>
      <c r="ET77" t="s">
        <v>404</v>
      </c>
      <c r="EU77" t="s">
        <v>404</v>
      </c>
      <c r="EV77" t="s">
        <v>405</v>
      </c>
      <c r="EW77" t="s">
        <v>405</v>
      </c>
      <c r="EX77" t="s">
        <v>404</v>
      </c>
      <c r="EY77" t="s">
        <v>404</v>
      </c>
      <c r="EZ77" t="s">
        <v>404</v>
      </c>
      <c r="FA77" t="s">
        <v>404</v>
      </c>
      <c r="FB77" t="s">
        <v>404</v>
      </c>
      <c r="FC77" t="s">
        <v>404</v>
      </c>
      <c r="FD77" t="s">
        <v>404</v>
      </c>
      <c r="FE77" t="s">
        <v>404</v>
      </c>
      <c r="FF77" t="s">
        <v>404</v>
      </c>
      <c r="FG77" t="s">
        <v>404</v>
      </c>
      <c r="FH77" t="s">
        <v>404</v>
      </c>
      <c r="FI77" t="s">
        <v>404</v>
      </c>
      <c r="FJ77" t="s">
        <v>404</v>
      </c>
      <c r="FK77" t="s">
        <v>404</v>
      </c>
      <c r="FL77" t="s">
        <v>404</v>
      </c>
      <c r="FM77" t="s">
        <v>404</v>
      </c>
      <c r="FN77" t="s">
        <v>404</v>
      </c>
      <c r="FO77" t="s">
        <v>404</v>
      </c>
      <c r="FP77" t="s">
        <v>404</v>
      </c>
      <c r="FQ77" t="s">
        <v>404</v>
      </c>
      <c r="FR77" t="s">
        <v>404</v>
      </c>
      <c r="FS77" t="s">
        <v>404</v>
      </c>
      <c r="FT77">
        <v>100</v>
      </c>
      <c r="FU77">
        <v>150</v>
      </c>
      <c r="FZ77">
        <v>250</v>
      </c>
      <c r="GG77">
        <v>0</v>
      </c>
      <c r="GN77">
        <v>0</v>
      </c>
      <c r="GU77">
        <v>0</v>
      </c>
      <c r="HB77">
        <v>0</v>
      </c>
      <c r="HI77">
        <v>0</v>
      </c>
      <c r="HP77">
        <v>0</v>
      </c>
      <c r="HX77">
        <v>0</v>
      </c>
      <c r="HY77">
        <v>100</v>
      </c>
      <c r="HZ77">
        <v>150</v>
      </c>
      <c r="IA77">
        <v>0</v>
      </c>
      <c r="IB77">
        <v>0</v>
      </c>
      <c r="IC77">
        <v>0</v>
      </c>
      <c r="ID77">
        <v>0</v>
      </c>
      <c r="IE77">
        <v>250</v>
      </c>
      <c r="IL77">
        <v>0</v>
      </c>
      <c r="IN77">
        <v>150</v>
      </c>
      <c r="IS77">
        <v>150</v>
      </c>
      <c r="IT77">
        <v>100</v>
      </c>
      <c r="IZ77">
        <v>100</v>
      </c>
      <c r="JG77">
        <v>0</v>
      </c>
      <c r="JN77">
        <v>0</v>
      </c>
      <c r="JO77">
        <v>100</v>
      </c>
      <c r="JP77">
        <v>150</v>
      </c>
      <c r="JQ77">
        <v>0</v>
      </c>
      <c r="JR77">
        <v>0</v>
      </c>
      <c r="JS77">
        <v>0</v>
      </c>
      <c r="JT77">
        <v>0</v>
      </c>
      <c r="JU77">
        <v>250</v>
      </c>
      <c r="JW77">
        <v>100</v>
      </c>
      <c r="KA77">
        <v>1</v>
      </c>
      <c r="KB77">
        <v>3</v>
      </c>
      <c r="KC77">
        <v>1</v>
      </c>
      <c r="KD77" t="s">
        <v>407</v>
      </c>
      <c r="OG77" t="s">
        <v>408</v>
      </c>
      <c r="SJ77" t="s">
        <v>409</v>
      </c>
      <c r="WM77" t="s">
        <v>410</v>
      </c>
      <c r="AAP77" t="s">
        <v>411</v>
      </c>
      <c r="AES77" t="s">
        <v>412</v>
      </c>
    </row>
    <row r="78" spans="1:825" x14ac:dyDescent="0.2">
      <c r="A78" t="s">
        <v>976</v>
      </c>
      <c r="B78" t="s">
        <v>414</v>
      </c>
      <c r="C78" t="s">
        <v>977</v>
      </c>
      <c r="P78" t="b">
        <v>0</v>
      </c>
      <c r="Q78" t="b">
        <v>1</v>
      </c>
      <c r="R78" t="b">
        <v>0</v>
      </c>
      <c r="S78" t="b">
        <v>0</v>
      </c>
      <c r="T78" t="b">
        <v>0</v>
      </c>
      <c r="U78" t="b">
        <v>0</v>
      </c>
      <c r="V78">
        <v>658</v>
      </c>
      <c r="W78" s="20">
        <v>43529.129166666666</v>
      </c>
      <c r="X78" t="s">
        <v>978</v>
      </c>
      <c r="Y78">
        <v>2019</v>
      </c>
      <c r="Z78" t="s">
        <v>979</v>
      </c>
      <c r="AA78" t="s">
        <v>977</v>
      </c>
      <c r="AB78" t="str">
        <f>VLOOKUP(MID(AD78,SEARCH("@",AD78,1),LEN(AD78)-SEARCH("@",AD78,1)+1),[2]Sheet1!$D:$F,3,FALSE)</f>
        <v>M421</v>
      </c>
      <c r="AC78" t="s">
        <v>980</v>
      </c>
      <c r="AD78" t="s">
        <v>981</v>
      </c>
      <c r="AF78" t="s">
        <v>537</v>
      </c>
      <c r="AG78" t="s">
        <v>538</v>
      </c>
      <c r="AI78">
        <v>1</v>
      </c>
      <c r="AL78">
        <v>170</v>
      </c>
      <c r="AM78">
        <v>170</v>
      </c>
      <c r="AN78">
        <v>110</v>
      </c>
      <c r="AO78">
        <v>110</v>
      </c>
      <c r="AP78">
        <v>170</v>
      </c>
      <c r="AV78">
        <v>170</v>
      </c>
      <c r="BC78">
        <v>0</v>
      </c>
      <c r="BJ78">
        <v>0</v>
      </c>
      <c r="BQ78">
        <v>0</v>
      </c>
      <c r="BX78">
        <v>0</v>
      </c>
      <c r="CE78">
        <v>0</v>
      </c>
      <c r="CF78">
        <v>170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170</v>
      </c>
      <c r="CM78">
        <v>1</v>
      </c>
      <c r="CS78">
        <v>1</v>
      </c>
      <c r="CZ78">
        <v>0</v>
      </c>
      <c r="DG78">
        <v>0</v>
      </c>
      <c r="DN78">
        <v>0</v>
      </c>
      <c r="DU78">
        <v>0</v>
      </c>
      <c r="EB78">
        <v>0</v>
      </c>
      <c r="EC78">
        <v>1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1</v>
      </c>
      <c r="EJ78" t="s">
        <v>405</v>
      </c>
      <c r="EK78" t="s">
        <v>404</v>
      </c>
      <c r="EL78" t="s">
        <v>404</v>
      </c>
      <c r="EM78" t="s">
        <v>404</v>
      </c>
      <c r="EN78" t="s">
        <v>404</v>
      </c>
      <c r="EO78" t="s">
        <v>404</v>
      </c>
      <c r="EP78" t="s">
        <v>404</v>
      </c>
      <c r="EQ78" t="s">
        <v>404</v>
      </c>
      <c r="ER78" t="s">
        <v>404</v>
      </c>
      <c r="ES78" t="s">
        <v>404</v>
      </c>
      <c r="ET78" t="s">
        <v>404</v>
      </c>
      <c r="EU78" t="s">
        <v>404</v>
      </c>
      <c r="EV78" t="s">
        <v>404</v>
      </c>
      <c r="EW78" t="s">
        <v>404</v>
      </c>
      <c r="EX78" t="s">
        <v>404</v>
      </c>
      <c r="EY78" t="s">
        <v>404</v>
      </c>
      <c r="EZ78" t="s">
        <v>404</v>
      </c>
      <c r="FA78" t="s">
        <v>404</v>
      </c>
      <c r="FB78" t="s">
        <v>404</v>
      </c>
      <c r="FC78" t="s">
        <v>404</v>
      </c>
      <c r="FD78" t="s">
        <v>404</v>
      </c>
      <c r="FE78" t="s">
        <v>404</v>
      </c>
      <c r="FF78" t="s">
        <v>404</v>
      </c>
      <c r="FG78" t="s">
        <v>404</v>
      </c>
      <c r="FH78" t="s">
        <v>404</v>
      </c>
      <c r="FI78" t="s">
        <v>404</v>
      </c>
      <c r="FJ78" t="s">
        <v>404</v>
      </c>
      <c r="FK78" t="s">
        <v>404</v>
      </c>
      <c r="FL78" t="s">
        <v>404</v>
      </c>
      <c r="FM78" t="s">
        <v>404</v>
      </c>
      <c r="FN78" t="s">
        <v>404</v>
      </c>
      <c r="FO78" t="s">
        <v>404</v>
      </c>
      <c r="FP78" t="s">
        <v>404</v>
      </c>
      <c r="FQ78" t="s">
        <v>404</v>
      </c>
      <c r="FR78" t="s">
        <v>404</v>
      </c>
      <c r="FS78" t="s">
        <v>404</v>
      </c>
      <c r="FT78">
        <v>51</v>
      </c>
      <c r="FZ78">
        <v>51</v>
      </c>
      <c r="GG78">
        <v>0</v>
      </c>
      <c r="GN78">
        <v>0</v>
      </c>
      <c r="GU78">
        <v>0</v>
      </c>
      <c r="HB78">
        <v>0</v>
      </c>
      <c r="HI78">
        <v>0</v>
      </c>
      <c r="HJ78">
        <v>15</v>
      </c>
      <c r="HP78">
        <v>15</v>
      </c>
      <c r="HQ78" t="s">
        <v>982</v>
      </c>
      <c r="HR78">
        <v>104</v>
      </c>
      <c r="HX78">
        <v>104</v>
      </c>
      <c r="HY78">
        <v>170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170</v>
      </c>
      <c r="IF78">
        <v>119</v>
      </c>
      <c r="IL78">
        <v>119</v>
      </c>
      <c r="IS78">
        <v>0</v>
      </c>
      <c r="IT78">
        <v>51</v>
      </c>
      <c r="IZ78">
        <v>51</v>
      </c>
      <c r="JG78">
        <v>0</v>
      </c>
      <c r="JN78">
        <v>0</v>
      </c>
      <c r="JO78">
        <v>170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170</v>
      </c>
      <c r="JX78">
        <v>100</v>
      </c>
      <c r="KA78">
        <v>3</v>
      </c>
      <c r="KB78">
        <v>3</v>
      </c>
      <c r="KC78">
        <v>2</v>
      </c>
      <c r="KD78" t="s">
        <v>407</v>
      </c>
      <c r="OG78" t="s">
        <v>408</v>
      </c>
      <c r="SJ78" t="s">
        <v>409</v>
      </c>
      <c r="WM78" t="s">
        <v>410</v>
      </c>
      <c r="AAP78" t="s">
        <v>411</v>
      </c>
      <c r="AES78" t="s">
        <v>412</v>
      </c>
    </row>
    <row r="79" spans="1:825" x14ac:dyDescent="0.2">
      <c r="A79" t="s">
        <v>983</v>
      </c>
      <c r="B79" t="s">
        <v>396</v>
      </c>
      <c r="C79" t="s">
        <v>984</v>
      </c>
      <c r="P79" t="b">
        <v>1</v>
      </c>
      <c r="Q79" t="b">
        <v>1</v>
      </c>
      <c r="R79" t="b">
        <v>1</v>
      </c>
      <c r="S79" t="b">
        <v>0</v>
      </c>
      <c r="T79" t="b">
        <v>0</v>
      </c>
      <c r="U79" t="b">
        <v>0</v>
      </c>
      <c r="V79">
        <v>795</v>
      </c>
      <c r="W79" s="20">
        <v>43521.459027777775</v>
      </c>
      <c r="X79" t="s">
        <v>985</v>
      </c>
      <c r="Y79">
        <v>2019</v>
      </c>
      <c r="Z79" t="s">
        <v>986</v>
      </c>
      <c r="AA79" t="s">
        <v>984</v>
      </c>
      <c r="AB79" t="str">
        <f>VLOOKUP(MID(AD79,SEARCH("@",AD79,1),LEN(AD79)-SEARCH("@",AD79,1)+1),[2]Sheet1!$D:$F,3,FALSE)</f>
        <v>M03114</v>
      </c>
      <c r="AC79" t="s">
        <v>987</v>
      </c>
      <c r="AD79" t="s">
        <v>988</v>
      </c>
      <c r="AE79" t="s">
        <v>989</v>
      </c>
      <c r="AF79" t="s">
        <v>437</v>
      </c>
      <c r="AG79" t="s">
        <v>990</v>
      </c>
      <c r="AI79">
        <v>1</v>
      </c>
      <c r="AL79">
        <v>1011.1</v>
      </c>
      <c r="AM79">
        <v>55.5</v>
      </c>
      <c r="AN79">
        <v>900</v>
      </c>
      <c r="AO79">
        <v>40</v>
      </c>
      <c r="AP79">
        <v>10</v>
      </c>
      <c r="AV79">
        <v>10</v>
      </c>
      <c r="AW79">
        <v>20</v>
      </c>
      <c r="AX79">
        <v>1011</v>
      </c>
      <c r="BC79">
        <v>1031</v>
      </c>
      <c r="BD79">
        <v>20</v>
      </c>
      <c r="BJ79">
        <v>20</v>
      </c>
      <c r="BQ79">
        <v>0</v>
      </c>
      <c r="BX79">
        <v>0</v>
      </c>
      <c r="CE79">
        <v>0</v>
      </c>
      <c r="CF79">
        <v>50</v>
      </c>
      <c r="CG79">
        <v>1011</v>
      </c>
      <c r="CH79">
        <v>0</v>
      </c>
      <c r="CI79">
        <v>0</v>
      </c>
      <c r="CJ79">
        <v>0</v>
      </c>
      <c r="CK79">
        <v>0</v>
      </c>
      <c r="CL79">
        <v>1061</v>
      </c>
      <c r="CM79">
        <v>3</v>
      </c>
      <c r="CS79">
        <v>3</v>
      </c>
      <c r="CT79">
        <v>5</v>
      </c>
      <c r="CU79">
        <v>6</v>
      </c>
      <c r="CZ79">
        <v>11</v>
      </c>
      <c r="DA79">
        <v>4</v>
      </c>
      <c r="DG79">
        <v>4</v>
      </c>
      <c r="DN79">
        <v>0</v>
      </c>
      <c r="DU79">
        <v>0</v>
      </c>
      <c r="EB79">
        <v>0</v>
      </c>
      <c r="EC79">
        <v>12</v>
      </c>
      <c r="ED79">
        <v>6</v>
      </c>
      <c r="EE79">
        <v>0</v>
      </c>
      <c r="EF79">
        <v>0</v>
      </c>
      <c r="EG79">
        <v>0</v>
      </c>
      <c r="EH79">
        <v>0</v>
      </c>
      <c r="EI79">
        <v>18</v>
      </c>
      <c r="EJ79" t="s">
        <v>405</v>
      </c>
      <c r="EK79" t="s">
        <v>404</v>
      </c>
      <c r="EL79" t="s">
        <v>404</v>
      </c>
      <c r="EM79" t="s">
        <v>404</v>
      </c>
      <c r="EN79" t="s">
        <v>404</v>
      </c>
      <c r="EO79" t="s">
        <v>404</v>
      </c>
      <c r="EP79" t="s">
        <v>405</v>
      </c>
      <c r="EQ79" t="s">
        <v>405</v>
      </c>
      <c r="ER79" t="s">
        <v>404</v>
      </c>
      <c r="ES79" t="s">
        <v>404</v>
      </c>
      <c r="ET79" t="s">
        <v>404</v>
      </c>
      <c r="EU79" t="s">
        <v>404</v>
      </c>
      <c r="EV79" t="s">
        <v>405</v>
      </c>
      <c r="EW79" t="s">
        <v>404</v>
      </c>
      <c r="EX79" t="s">
        <v>404</v>
      </c>
      <c r="EY79" t="s">
        <v>404</v>
      </c>
      <c r="EZ79" t="s">
        <v>404</v>
      </c>
      <c r="FA79" t="s">
        <v>404</v>
      </c>
      <c r="FB79" t="s">
        <v>404</v>
      </c>
      <c r="FC79" t="s">
        <v>404</v>
      </c>
      <c r="FD79" t="s">
        <v>404</v>
      </c>
      <c r="FE79" t="s">
        <v>404</v>
      </c>
      <c r="FF79" t="s">
        <v>404</v>
      </c>
      <c r="FG79" t="s">
        <v>404</v>
      </c>
      <c r="FH79" t="s">
        <v>404</v>
      </c>
      <c r="FI79" t="s">
        <v>404</v>
      </c>
      <c r="FJ79" t="s">
        <v>404</v>
      </c>
      <c r="FK79" t="s">
        <v>404</v>
      </c>
      <c r="FL79" t="s">
        <v>404</v>
      </c>
      <c r="FM79" t="s">
        <v>404</v>
      </c>
      <c r="FN79" t="s">
        <v>404</v>
      </c>
      <c r="FO79" t="s">
        <v>404</v>
      </c>
      <c r="FP79" t="s">
        <v>404</v>
      </c>
      <c r="FQ79" t="s">
        <v>404</v>
      </c>
      <c r="FR79" t="s">
        <v>404</v>
      </c>
      <c r="FS79" t="s">
        <v>404</v>
      </c>
      <c r="FT79">
        <v>50</v>
      </c>
      <c r="FU79">
        <v>700</v>
      </c>
      <c r="FZ79">
        <v>750</v>
      </c>
      <c r="GB79">
        <v>300</v>
      </c>
      <c r="GG79">
        <v>300</v>
      </c>
      <c r="GN79">
        <v>0</v>
      </c>
      <c r="GU79">
        <v>0</v>
      </c>
      <c r="HB79">
        <v>0</v>
      </c>
      <c r="HD79">
        <v>11</v>
      </c>
      <c r="HI79">
        <v>11</v>
      </c>
      <c r="HP79">
        <v>0</v>
      </c>
      <c r="HX79">
        <v>0</v>
      </c>
      <c r="HY79">
        <v>50</v>
      </c>
      <c r="HZ79">
        <v>1011</v>
      </c>
      <c r="IA79">
        <v>0</v>
      </c>
      <c r="IB79">
        <v>0</v>
      </c>
      <c r="IC79">
        <v>0</v>
      </c>
      <c r="ID79">
        <v>0</v>
      </c>
      <c r="IE79">
        <v>1061</v>
      </c>
      <c r="IL79">
        <v>0</v>
      </c>
      <c r="IM79">
        <v>50</v>
      </c>
      <c r="IN79">
        <v>1011</v>
      </c>
      <c r="IS79">
        <v>1061</v>
      </c>
      <c r="IZ79">
        <v>0</v>
      </c>
      <c r="JG79">
        <v>0</v>
      </c>
      <c r="JN79">
        <v>0</v>
      </c>
      <c r="JO79">
        <v>50</v>
      </c>
      <c r="JP79">
        <v>1011</v>
      </c>
      <c r="JQ79">
        <v>0</v>
      </c>
      <c r="JR79">
        <v>0</v>
      </c>
      <c r="JS79">
        <v>0</v>
      </c>
      <c r="JT79">
        <v>0</v>
      </c>
      <c r="JU79">
        <v>1061</v>
      </c>
      <c r="JV79">
        <v>0</v>
      </c>
      <c r="JW79">
        <v>0</v>
      </c>
      <c r="JX79">
        <v>100</v>
      </c>
      <c r="KA79">
        <v>1</v>
      </c>
      <c r="KB79">
        <v>3</v>
      </c>
      <c r="KC79">
        <v>2</v>
      </c>
      <c r="KD79" t="s">
        <v>407</v>
      </c>
      <c r="OG79" t="s">
        <v>408</v>
      </c>
      <c r="SJ79" t="s">
        <v>409</v>
      </c>
      <c r="WM79" t="s">
        <v>410</v>
      </c>
      <c r="AAP79" t="s">
        <v>411</v>
      </c>
      <c r="AES79" t="s">
        <v>412</v>
      </c>
    </row>
    <row r="80" spans="1:825" x14ac:dyDescent="0.2">
      <c r="A80" t="s">
        <v>991</v>
      </c>
      <c r="B80" t="s">
        <v>396</v>
      </c>
      <c r="C80" t="s">
        <v>992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>
        <v>731</v>
      </c>
      <c r="W80" s="20">
        <v>43517.638888888891</v>
      </c>
      <c r="X80" t="s">
        <v>993</v>
      </c>
      <c r="Y80">
        <v>2019</v>
      </c>
      <c r="Z80" t="s">
        <v>994</v>
      </c>
      <c r="AA80" t="s">
        <v>995</v>
      </c>
      <c r="AB80" t="str">
        <f>VLOOKUP(MID(AD80,SEARCH("@",AD80,1),LEN(AD80)-SEARCH("@",AD80,1)+1),[2]Sheet1!$D:$F,3,FALSE)</f>
        <v>M776</v>
      </c>
      <c r="AC80" t="s">
        <v>996</v>
      </c>
      <c r="AD80" t="s">
        <v>997</v>
      </c>
      <c r="AE80">
        <v>393483806762</v>
      </c>
      <c r="AF80" t="s">
        <v>998</v>
      </c>
      <c r="AG80" t="s">
        <v>403</v>
      </c>
      <c r="AI80">
        <v>1</v>
      </c>
      <c r="AL80">
        <v>400</v>
      </c>
      <c r="AM80">
        <v>400</v>
      </c>
      <c r="AN80">
        <v>400</v>
      </c>
      <c r="AO80">
        <v>400</v>
      </c>
      <c r="AV80">
        <v>0</v>
      </c>
      <c r="AW80">
        <v>400</v>
      </c>
      <c r="BC80">
        <v>400</v>
      </c>
      <c r="BJ80">
        <v>0</v>
      </c>
      <c r="BQ80">
        <v>0</v>
      </c>
      <c r="BX80">
        <v>0</v>
      </c>
      <c r="CE80">
        <v>0</v>
      </c>
      <c r="CF80">
        <v>400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400</v>
      </c>
      <c r="CS80">
        <v>0</v>
      </c>
      <c r="CT80">
        <v>2</v>
      </c>
      <c r="CZ80">
        <v>2</v>
      </c>
      <c r="DG80">
        <v>0</v>
      </c>
      <c r="DN80">
        <v>0</v>
      </c>
      <c r="DU80">
        <v>0</v>
      </c>
      <c r="EB80">
        <v>0</v>
      </c>
      <c r="EC80">
        <v>2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2</v>
      </c>
      <c r="EJ80" t="s">
        <v>404</v>
      </c>
      <c r="EK80" t="s">
        <v>404</v>
      </c>
      <c r="EL80" t="s">
        <v>404</v>
      </c>
      <c r="EM80" t="s">
        <v>404</v>
      </c>
      <c r="EN80" t="s">
        <v>404</v>
      </c>
      <c r="EO80" t="s">
        <v>404</v>
      </c>
      <c r="EP80" t="s">
        <v>405</v>
      </c>
      <c r="EQ80" t="s">
        <v>404</v>
      </c>
      <c r="ER80" t="s">
        <v>404</v>
      </c>
      <c r="ES80" t="s">
        <v>404</v>
      </c>
      <c r="ET80" t="s">
        <v>404</v>
      </c>
      <c r="EU80" t="s">
        <v>404</v>
      </c>
      <c r="EV80" t="s">
        <v>404</v>
      </c>
      <c r="EW80" t="s">
        <v>404</v>
      </c>
      <c r="EX80" t="s">
        <v>404</v>
      </c>
      <c r="EY80" t="s">
        <v>404</v>
      </c>
      <c r="EZ80" t="s">
        <v>404</v>
      </c>
      <c r="FA80" t="s">
        <v>404</v>
      </c>
      <c r="FB80" t="s">
        <v>404</v>
      </c>
      <c r="FC80" t="s">
        <v>404</v>
      </c>
      <c r="FD80" t="s">
        <v>404</v>
      </c>
      <c r="FE80" t="s">
        <v>404</v>
      </c>
      <c r="FF80" t="s">
        <v>404</v>
      </c>
      <c r="FG80" t="s">
        <v>404</v>
      </c>
      <c r="FH80" t="s">
        <v>404</v>
      </c>
      <c r="FI80" t="s">
        <v>404</v>
      </c>
      <c r="FJ80" t="s">
        <v>404</v>
      </c>
      <c r="FK80" t="s">
        <v>404</v>
      </c>
      <c r="FL80" t="s">
        <v>404</v>
      </c>
      <c r="FM80" t="s">
        <v>404</v>
      </c>
      <c r="FN80" t="s">
        <v>404</v>
      </c>
      <c r="FO80" t="s">
        <v>404</v>
      </c>
      <c r="FP80" t="s">
        <v>404</v>
      </c>
      <c r="FQ80" t="s">
        <v>404</v>
      </c>
      <c r="FR80" t="s">
        <v>404</v>
      </c>
      <c r="FS80" t="s">
        <v>404</v>
      </c>
      <c r="FT80">
        <v>300</v>
      </c>
      <c r="FZ80">
        <v>300</v>
      </c>
      <c r="GG80">
        <v>0</v>
      </c>
      <c r="GN80">
        <v>0</v>
      </c>
      <c r="GU80">
        <v>0</v>
      </c>
      <c r="HB80">
        <v>0</v>
      </c>
      <c r="HC80">
        <v>100</v>
      </c>
      <c r="HI80">
        <v>100</v>
      </c>
      <c r="HP80">
        <v>0</v>
      </c>
      <c r="HX80">
        <v>0</v>
      </c>
      <c r="HY80">
        <v>400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400</v>
      </c>
      <c r="IL80">
        <v>0</v>
      </c>
      <c r="IM80">
        <v>400</v>
      </c>
      <c r="IS80">
        <v>400</v>
      </c>
      <c r="IZ80">
        <v>0</v>
      </c>
      <c r="JG80">
        <v>0</v>
      </c>
      <c r="JN80">
        <v>0</v>
      </c>
      <c r="JO80">
        <v>400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400</v>
      </c>
      <c r="JX80">
        <v>100</v>
      </c>
      <c r="KA80">
        <v>1</v>
      </c>
      <c r="KB80">
        <v>3</v>
      </c>
      <c r="KC80">
        <v>1</v>
      </c>
      <c r="KD80" t="s">
        <v>407</v>
      </c>
      <c r="OG80" t="s">
        <v>408</v>
      </c>
      <c r="SJ80" t="s">
        <v>409</v>
      </c>
      <c r="WM80" t="s">
        <v>410</v>
      </c>
      <c r="AAP80" t="s">
        <v>411</v>
      </c>
      <c r="AES80" t="s">
        <v>412</v>
      </c>
    </row>
    <row r="81" spans="1:825" x14ac:dyDescent="0.2">
      <c r="A81" t="s">
        <v>999</v>
      </c>
      <c r="B81" t="s">
        <v>563</v>
      </c>
      <c r="C81" t="s">
        <v>1000</v>
      </c>
      <c r="P81" t="b">
        <v>0</v>
      </c>
      <c r="Q81" t="b">
        <v>0</v>
      </c>
      <c r="R81" t="b">
        <v>1</v>
      </c>
      <c r="S81" t="b">
        <v>0</v>
      </c>
      <c r="T81" t="b">
        <v>0</v>
      </c>
      <c r="U81" t="b">
        <v>0</v>
      </c>
      <c r="V81">
        <v>595</v>
      </c>
      <c r="W81" s="20">
        <v>43517.771527777775</v>
      </c>
      <c r="X81" t="s">
        <v>1001</v>
      </c>
      <c r="Y81">
        <v>2019</v>
      </c>
      <c r="Z81" t="s">
        <v>1002</v>
      </c>
      <c r="AA81" t="s">
        <v>1000</v>
      </c>
      <c r="AB81" t="str">
        <f>VLOOKUP(MID(AD81,SEARCH("@",AD81,1),LEN(AD81)-SEARCH("@",AD81,1)+1),[2]Sheet1!$D:$F,3,FALSE)</f>
        <v>NC011</v>
      </c>
      <c r="AC81" t="s">
        <v>1003</v>
      </c>
      <c r="AD81" t="s">
        <v>1004</v>
      </c>
      <c r="AE81">
        <v>2132335743</v>
      </c>
      <c r="AF81" t="s">
        <v>571</v>
      </c>
      <c r="AG81" t="s">
        <v>538</v>
      </c>
      <c r="AI81">
        <v>1</v>
      </c>
      <c r="AL81">
        <v>350</v>
      </c>
      <c r="AM81">
        <v>350</v>
      </c>
      <c r="AN81">
        <v>200</v>
      </c>
      <c r="AO81">
        <v>200</v>
      </c>
      <c r="AV81">
        <v>0</v>
      </c>
      <c r="BC81">
        <v>0</v>
      </c>
      <c r="BD81">
        <v>350</v>
      </c>
      <c r="BJ81">
        <v>350</v>
      </c>
      <c r="BQ81">
        <v>0</v>
      </c>
      <c r="BX81">
        <v>0</v>
      </c>
      <c r="CE81">
        <v>0</v>
      </c>
      <c r="CF81">
        <v>350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350</v>
      </c>
      <c r="CS81">
        <v>0</v>
      </c>
      <c r="CZ81">
        <v>0</v>
      </c>
      <c r="DA81">
        <v>2</v>
      </c>
      <c r="DG81">
        <v>2</v>
      </c>
      <c r="DN81">
        <v>0</v>
      </c>
      <c r="DU81">
        <v>0</v>
      </c>
      <c r="EB81">
        <v>0</v>
      </c>
      <c r="EC81">
        <v>2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2</v>
      </c>
      <c r="EJ81" t="s">
        <v>404</v>
      </c>
      <c r="EK81" t="s">
        <v>404</v>
      </c>
      <c r="EL81" t="s">
        <v>404</v>
      </c>
      <c r="EM81" t="s">
        <v>404</v>
      </c>
      <c r="EN81" t="s">
        <v>404</v>
      </c>
      <c r="EO81" t="s">
        <v>404</v>
      </c>
      <c r="EP81" t="s">
        <v>404</v>
      </c>
      <c r="EQ81" t="s">
        <v>404</v>
      </c>
      <c r="ER81" t="s">
        <v>404</v>
      </c>
      <c r="ES81" t="s">
        <v>404</v>
      </c>
      <c r="ET81" t="s">
        <v>404</v>
      </c>
      <c r="EU81" t="s">
        <v>404</v>
      </c>
      <c r="EV81" t="s">
        <v>405</v>
      </c>
      <c r="EW81" t="s">
        <v>404</v>
      </c>
      <c r="EX81" t="s">
        <v>404</v>
      </c>
      <c r="EY81" t="s">
        <v>404</v>
      </c>
      <c r="EZ81" t="s">
        <v>404</v>
      </c>
      <c r="FA81" t="s">
        <v>404</v>
      </c>
      <c r="FB81" t="s">
        <v>404</v>
      </c>
      <c r="FC81" t="s">
        <v>404</v>
      </c>
      <c r="FD81" t="s">
        <v>404</v>
      </c>
      <c r="FE81" t="s">
        <v>404</v>
      </c>
      <c r="FF81" t="s">
        <v>404</v>
      </c>
      <c r="FG81" t="s">
        <v>404</v>
      </c>
      <c r="FH81" t="s">
        <v>404</v>
      </c>
      <c r="FI81" t="s">
        <v>404</v>
      </c>
      <c r="FJ81" t="s">
        <v>404</v>
      </c>
      <c r="FK81" t="s">
        <v>404</v>
      </c>
      <c r="FL81" t="s">
        <v>404</v>
      </c>
      <c r="FM81" t="s">
        <v>404</v>
      </c>
      <c r="FN81" t="s">
        <v>404</v>
      </c>
      <c r="FO81" t="s">
        <v>404</v>
      </c>
      <c r="FP81" t="s">
        <v>404</v>
      </c>
      <c r="FQ81" t="s">
        <v>404</v>
      </c>
      <c r="FR81" t="s">
        <v>404</v>
      </c>
      <c r="FS81" t="s">
        <v>404</v>
      </c>
      <c r="FT81">
        <v>125</v>
      </c>
      <c r="FZ81">
        <v>125</v>
      </c>
      <c r="GG81">
        <v>0</v>
      </c>
      <c r="GN81">
        <v>0</v>
      </c>
      <c r="GO81">
        <v>125</v>
      </c>
      <c r="GU81">
        <v>125</v>
      </c>
      <c r="GV81">
        <v>66</v>
      </c>
      <c r="HB81">
        <v>66</v>
      </c>
      <c r="HI81">
        <v>0</v>
      </c>
      <c r="HJ81">
        <v>1</v>
      </c>
      <c r="HP81">
        <v>1</v>
      </c>
      <c r="HQ81" t="s">
        <v>1005</v>
      </c>
      <c r="HR81">
        <v>33</v>
      </c>
      <c r="HX81">
        <v>33</v>
      </c>
      <c r="HY81">
        <v>350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350</v>
      </c>
      <c r="IL81">
        <v>0</v>
      </c>
      <c r="IS81">
        <v>0</v>
      </c>
      <c r="IT81">
        <v>350</v>
      </c>
      <c r="IZ81">
        <v>350</v>
      </c>
      <c r="JG81">
        <v>0</v>
      </c>
      <c r="JN81">
        <v>0</v>
      </c>
      <c r="JO81">
        <v>350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350</v>
      </c>
      <c r="JV81">
        <v>0</v>
      </c>
      <c r="JW81">
        <v>0</v>
      </c>
      <c r="JX81">
        <v>47</v>
      </c>
      <c r="JY81" t="s">
        <v>1006</v>
      </c>
      <c r="JZ81">
        <v>53</v>
      </c>
      <c r="KA81">
        <v>1</v>
      </c>
      <c r="KB81">
        <v>3</v>
      </c>
      <c r="KC81">
        <v>1</v>
      </c>
      <c r="KD81" t="s">
        <v>407</v>
      </c>
      <c r="OG81" t="s">
        <v>408</v>
      </c>
      <c r="SJ81" t="s">
        <v>409</v>
      </c>
      <c r="WM81" t="s">
        <v>410</v>
      </c>
      <c r="AAP81" t="s">
        <v>411</v>
      </c>
      <c r="AES81" t="s">
        <v>412</v>
      </c>
    </row>
    <row r="82" spans="1:825" x14ac:dyDescent="0.2">
      <c r="A82" t="s">
        <v>1007</v>
      </c>
      <c r="B82" t="s">
        <v>396</v>
      </c>
      <c r="C82" t="s">
        <v>1008</v>
      </c>
      <c r="P82" t="b">
        <v>0</v>
      </c>
      <c r="Q82" t="b">
        <v>0</v>
      </c>
      <c r="R82" t="b">
        <v>1</v>
      </c>
      <c r="S82" t="b">
        <v>0</v>
      </c>
      <c r="T82" t="b">
        <v>1</v>
      </c>
      <c r="U82" t="b">
        <v>0</v>
      </c>
      <c r="V82">
        <v>798</v>
      </c>
      <c r="W82" s="20">
        <v>43524.979861111111</v>
      </c>
      <c r="X82" t="s">
        <v>1009</v>
      </c>
      <c r="Y82">
        <v>2019</v>
      </c>
      <c r="Z82" t="s">
        <v>1010</v>
      </c>
      <c r="AA82" t="s">
        <v>1008</v>
      </c>
      <c r="AB82" t="str">
        <f>VLOOKUP(MID(AD82,SEARCH("@",AD82,1),LEN(AD82)-SEARCH("@",AD82,1)+1),[2]Sheet1!$D:$F,3,FALSE)</f>
        <v>M401</v>
      </c>
      <c r="AC82" t="s">
        <v>1011</v>
      </c>
      <c r="AD82" t="s">
        <v>1012</v>
      </c>
      <c r="AE82" t="s">
        <v>1013</v>
      </c>
      <c r="AF82" t="s">
        <v>571</v>
      </c>
      <c r="AG82" t="s">
        <v>538</v>
      </c>
      <c r="AI82">
        <v>1</v>
      </c>
      <c r="AL82">
        <v>80.099999999999994</v>
      </c>
      <c r="AM82">
        <v>80.099999999999994</v>
      </c>
      <c r="AN82">
        <v>69.400000000000006</v>
      </c>
      <c r="AO82">
        <v>69.400000000000006</v>
      </c>
      <c r="AV82">
        <v>0</v>
      </c>
      <c r="BC82">
        <v>0</v>
      </c>
      <c r="BD82">
        <v>20</v>
      </c>
      <c r="BI82">
        <v>46</v>
      </c>
      <c r="BJ82">
        <v>66</v>
      </c>
      <c r="BQ82">
        <v>0</v>
      </c>
      <c r="BR82">
        <v>14.1</v>
      </c>
      <c r="BX82">
        <v>14.1</v>
      </c>
      <c r="CE82">
        <v>0</v>
      </c>
      <c r="CF82">
        <v>34.1</v>
      </c>
      <c r="CG82">
        <v>0</v>
      </c>
      <c r="CH82">
        <v>0</v>
      </c>
      <c r="CI82">
        <v>0</v>
      </c>
      <c r="CJ82">
        <v>0</v>
      </c>
      <c r="CK82">
        <v>46</v>
      </c>
      <c r="CL82">
        <v>80.099999999999994</v>
      </c>
      <c r="CS82">
        <v>0</v>
      </c>
      <c r="CZ82">
        <v>0</v>
      </c>
      <c r="DA82">
        <v>1</v>
      </c>
      <c r="DF82">
        <v>1</v>
      </c>
      <c r="DG82">
        <v>2</v>
      </c>
      <c r="DN82">
        <v>0</v>
      </c>
      <c r="DO82">
        <v>1</v>
      </c>
      <c r="DU82">
        <v>1</v>
      </c>
      <c r="EB82">
        <v>0</v>
      </c>
      <c r="EC82">
        <v>2</v>
      </c>
      <c r="ED82">
        <v>0</v>
      </c>
      <c r="EE82">
        <v>0</v>
      </c>
      <c r="EF82">
        <v>0</v>
      </c>
      <c r="EG82">
        <v>0</v>
      </c>
      <c r="EH82">
        <v>1</v>
      </c>
      <c r="EI82">
        <v>3</v>
      </c>
      <c r="EJ82" t="s">
        <v>404</v>
      </c>
      <c r="EK82" t="s">
        <v>404</v>
      </c>
      <c r="EL82" t="s">
        <v>404</v>
      </c>
      <c r="EM82" t="s">
        <v>404</v>
      </c>
      <c r="EN82" t="s">
        <v>404</v>
      </c>
      <c r="EO82" t="s">
        <v>404</v>
      </c>
      <c r="EP82" t="s">
        <v>404</v>
      </c>
      <c r="EQ82" t="s">
        <v>404</v>
      </c>
      <c r="ER82" t="s">
        <v>404</v>
      </c>
      <c r="ES82" t="s">
        <v>404</v>
      </c>
      <c r="ET82" t="s">
        <v>404</v>
      </c>
      <c r="EU82" t="s">
        <v>404</v>
      </c>
      <c r="EV82" t="s">
        <v>405</v>
      </c>
      <c r="EW82" t="s">
        <v>404</v>
      </c>
      <c r="EX82" t="s">
        <v>404</v>
      </c>
      <c r="EY82" t="s">
        <v>404</v>
      </c>
      <c r="EZ82" t="s">
        <v>404</v>
      </c>
      <c r="FA82" t="s">
        <v>405</v>
      </c>
      <c r="FB82" t="s">
        <v>404</v>
      </c>
      <c r="FC82" t="s">
        <v>404</v>
      </c>
      <c r="FD82" t="s">
        <v>404</v>
      </c>
      <c r="FE82" t="s">
        <v>404</v>
      </c>
      <c r="FF82" t="s">
        <v>404</v>
      </c>
      <c r="FG82" t="s">
        <v>404</v>
      </c>
      <c r="FH82" t="s">
        <v>405</v>
      </c>
      <c r="FI82" t="s">
        <v>404</v>
      </c>
      <c r="FJ82" t="s">
        <v>404</v>
      </c>
      <c r="FK82" t="s">
        <v>404</v>
      </c>
      <c r="FL82" t="s">
        <v>404</v>
      </c>
      <c r="FM82" t="s">
        <v>404</v>
      </c>
      <c r="FN82" t="s">
        <v>404</v>
      </c>
      <c r="FO82" t="s">
        <v>404</v>
      </c>
      <c r="FP82" t="s">
        <v>404</v>
      </c>
      <c r="FQ82" t="s">
        <v>404</v>
      </c>
      <c r="FR82" t="s">
        <v>404</v>
      </c>
      <c r="FS82" t="s">
        <v>404</v>
      </c>
      <c r="FZ82">
        <v>0</v>
      </c>
      <c r="GA82">
        <v>20</v>
      </c>
      <c r="GG82">
        <v>20</v>
      </c>
      <c r="GN82">
        <v>0</v>
      </c>
      <c r="GU82">
        <v>0</v>
      </c>
      <c r="HB82">
        <v>0</v>
      </c>
      <c r="HC82">
        <v>13.4</v>
      </c>
      <c r="HH82">
        <v>46</v>
      </c>
      <c r="HI82">
        <v>59.4</v>
      </c>
      <c r="HJ82">
        <v>0.7</v>
      </c>
      <c r="HP82">
        <v>0.7</v>
      </c>
      <c r="HX82">
        <v>0</v>
      </c>
      <c r="HY82">
        <v>34.1</v>
      </c>
      <c r="HZ82">
        <v>0</v>
      </c>
      <c r="IA82">
        <v>0</v>
      </c>
      <c r="IB82">
        <v>0</v>
      </c>
      <c r="IC82">
        <v>0</v>
      </c>
      <c r="ID82">
        <v>46</v>
      </c>
      <c r="IE82">
        <v>80.099999999999994</v>
      </c>
      <c r="IL82">
        <v>0</v>
      </c>
      <c r="IM82">
        <v>20</v>
      </c>
      <c r="IS82">
        <v>20</v>
      </c>
      <c r="IT82">
        <v>14.1</v>
      </c>
      <c r="IY82">
        <v>46</v>
      </c>
      <c r="IZ82">
        <v>60.1</v>
      </c>
      <c r="JG82">
        <v>0</v>
      </c>
      <c r="JN82">
        <v>0</v>
      </c>
      <c r="JO82">
        <v>34.1</v>
      </c>
      <c r="JP82">
        <v>0</v>
      </c>
      <c r="JQ82">
        <v>0</v>
      </c>
      <c r="JR82">
        <v>0</v>
      </c>
      <c r="JS82">
        <v>0</v>
      </c>
      <c r="JT82">
        <v>46</v>
      </c>
      <c r="JU82">
        <v>80.099999999999994</v>
      </c>
      <c r="JX82">
        <v>100</v>
      </c>
      <c r="KA82">
        <v>1</v>
      </c>
      <c r="KB82">
        <v>1</v>
      </c>
      <c r="KC82">
        <v>1</v>
      </c>
      <c r="KD82" t="s">
        <v>407</v>
      </c>
      <c r="OG82" t="s">
        <v>408</v>
      </c>
      <c r="SJ82" t="s">
        <v>409</v>
      </c>
      <c r="WM82" t="s">
        <v>410</v>
      </c>
      <c r="AAP82" t="s">
        <v>411</v>
      </c>
      <c r="AES82" t="s">
        <v>412</v>
      </c>
    </row>
    <row r="83" spans="1:825" x14ac:dyDescent="0.2">
      <c r="A83" t="s">
        <v>1014</v>
      </c>
      <c r="B83" t="s">
        <v>396</v>
      </c>
      <c r="C83" t="s">
        <v>1015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>
        <v>547</v>
      </c>
      <c r="W83" s="20">
        <v>43514.552083333336</v>
      </c>
      <c r="X83" t="s">
        <v>1016</v>
      </c>
      <c r="Y83">
        <v>2019</v>
      </c>
      <c r="Z83" t="s">
        <v>1017</v>
      </c>
      <c r="AA83" t="s">
        <v>1018</v>
      </c>
      <c r="AB83" t="str">
        <f>VLOOKUP(MID(AD83,SEARCH("@",AD83,1),LEN(AD83)-SEARCH("@",AD83,1)+1),[2]Sheet1!$D:$F,3,FALSE)</f>
        <v>M365</v>
      </c>
      <c r="AC83" t="s">
        <v>1019</v>
      </c>
      <c r="AD83" t="s">
        <v>1020</v>
      </c>
      <c r="AE83">
        <v>33176321505</v>
      </c>
      <c r="AF83" t="s">
        <v>592</v>
      </c>
      <c r="AG83" t="s">
        <v>403</v>
      </c>
      <c r="AI83">
        <v>1</v>
      </c>
      <c r="AL83">
        <v>2086.41</v>
      </c>
      <c r="AM83">
        <v>0</v>
      </c>
      <c r="AN83">
        <v>2086.41</v>
      </c>
      <c r="AV83">
        <v>0</v>
      </c>
      <c r="AX83">
        <v>1008.92</v>
      </c>
      <c r="AY83">
        <v>25.24</v>
      </c>
      <c r="AZ83">
        <v>1052.25</v>
      </c>
      <c r="BC83">
        <v>2086.41</v>
      </c>
      <c r="BJ83">
        <v>0</v>
      </c>
      <c r="BQ83">
        <v>0</v>
      </c>
      <c r="BX83">
        <v>0</v>
      </c>
      <c r="CE83">
        <v>0</v>
      </c>
      <c r="CF83">
        <v>0</v>
      </c>
      <c r="CG83">
        <v>1008.92</v>
      </c>
      <c r="CH83">
        <v>25.24</v>
      </c>
      <c r="CI83">
        <v>1052.25</v>
      </c>
      <c r="CJ83">
        <v>0</v>
      </c>
      <c r="CK83">
        <v>0</v>
      </c>
      <c r="CL83">
        <v>2086.41</v>
      </c>
      <c r="CS83">
        <v>0</v>
      </c>
      <c r="CU83">
        <v>8</v>
      </c>
      <c r="CV83">
        <v>2</v>
      </c>
      <c r="CW83">
        <v>8</v>
      </c>
      <c r="CZ83">
        <v>18</v>
      </c>
      <c r="DG83">
        <v>0</v>
      </c>
      <c r="DN83">
        <v>0</v>
      </c>
      <c r="DU83">
        <v>0</v>
      </c>
      <c r="EB83">
        <v>0</v>
      </c>
      <c r="EC83">
        <v>0</v>
      </c>
      <c r="ED83">
        <v>8</v>
      </c>
      <c r="EE83">
        <v>2</v>
      </c>
      <c r="EF83">
        <v>8</v>
      </c>
      <c r="EG83">
        <v>0</v>
      </c>
      <c r="EH83">
        <v>0</v>
      </c>
      <c r="EI83">
        <v>18</v>
      </c>
      <c r="EJ83" t="s">
        <v>404</v>
      </c>
      <c r="EK83" t="s">
        <v>404</v>
      </c>
      <c r="EL83" t="s">
        <v>404</v>
      </c>
      <c r="EM83" t="s">
        <v>404</v>
      </c>
      <c r="EN83" t="s">
        <v>404</v>
      </c>
      <c r="EO83" t="s">
        <v>404</v>
      </c>
      <c r="EP83" t="s">
        <v>404</v>
      </c>
      <c r="EQ83" t="s">
        <v>405</v>
      </c>
      <c r="ER83" t="s">
        <v>405</v>
      </c>
      <c r="ES83" t="s">
        <v>405</v>
      </c>
      <c r="ET83" t="s">
        <v>404</v>
      </c>
      <c r="EU83" t="s">
        <v>404</v>
      </c>
      <c r="EV83" t="s">
        <v>404</v>
      </c>
      <c r="EW83" t="s">
        <v>404</v>
      </c>
      <c r="EX83" t="s">
        <v>404</v>
      </c>
      <c r="EY83" t="s">
        <v>404</v>
      </c>
      <c r="EZ83" t="s">
        <v>404</v>
      </c>
      <c r="FA83" t="s">
        <v>404</v>
      </c>
      <c r="FB83" t="s">
        <v>404</v>
      </c>
      <c r="FC83" t="s">
        <v>404</v>
      </c>
      <c r="FD83" t="s">
        <v>404</v>
      </c>
      <c r="FE83" t="s">
        <v>404</v>
      </c>
      <c r="FF83" t="s">
        <v>404</v>
      </c>
      <c r="FG83" t="s">
        <v>404</v>
      </c>
      <c r="FH83" t="s">
        <v>404</v>
      </c>
      <c r="FI83" t="s">
        <v>404</v>
      </c>
      <c r="FJ83" t="s">
        <v>404</v>
      </c>
      <c r="FK83" t="s">
        <v>404</v>
      </c>
      <c r="FL83" t="s">
        <v>404</v>
      </c>
      <c r="FM83" t="s">
        <v>404</v>
      </c>
      <c r="FN83" t="s">
        <v>404</v>
      </c>
      <c r="FO83" t="s">
        <v>404</v>
      </c>
      <c r="FP83" t="s">
        <v>404</v>
      </c>
      <c r="FQ83" t="s">
        <v>404</v>
      </c>
      <c r="FR83" t="s">
        <v>404</v>
      </c>
      <c r="FS83" t="s">
        <v>404</v>
      </c>
      <c r="FU83">
        <v>90</v>
      </c>
      <c r="FZ83">
        <v>90</v>
      </c>
      <c r="GB83">
        <v>522.26</v>
      </c>
      <c r="GC83">
        <v>25.24</v>
      </c>
      <c r="GD83">
        <v>38.08</v>
      </c>
      <c r="GG83">
        <v>585.58000000000004</v>
      </c>
      <c r="GN83">
        <v>0</v>
      </c>
      <c r="GR83">
        <v>166.21</v>
      </c>
      <c r="GU83">
        <v>166.21</v>
      </c>
      <c r="HB83">
        <v>0</v>
      </c>
      <c r="HI83">
        <v>0</v>
      </c>
      <c r="HK83">
        <v>3</v>
      </c>
      <c r="HM83">
        <v>29.98</v>
      </c>
      <c r="HP83">
        <v>32.979999999999997</v>
      </c>
      <c r="HQ83" t="s">
        <v>1021</v>
      </c>
      <c r="HS83">
        <v>393.66</v>
      </c>
      <c r="HU83">
        <v>817.98</v>
      </c>
      <c r="HX83">
        <v>1211.6400000000001</v>
      </c>
      <c r="HY83">
        <v>0</v>
      </c>
      <c r="HZ83">
        <v>1008.92</v>
      </c>
      <c r="IA83">
        <v>25.24</v>
      </c>
      <c r="IB83">
        <v>1052.25</v>
      </c>
      <c r="IC83">
        <v>0</v>
      </c>
      <c r="ID83">
        <v>0</v>
      </c>
      <c r="IE83">
        <v>2086.41</v>
      </c>
      <c r="IL83">
        <v>0</v>
      </c>
      <c r="IN83">
        <v>1008.92</v>
      </c>
      <c r="IO83">
        <v>25.24</v>
      </c>
      <c r="IP83">
        <v>1052.25</v>
      </c>
      <c r="IS83">
        <v>2086.41</v>
      </c>
      <c r="IZ83">
        <v>0</v>
      </c>
      <c r="JG83">
        <v>0</v>
      </c>
      <c r="JN83">
        <v>0</v>
      </c>
      <c r="JO83">
        <v>0</v>
      </c>
      <c r="JP83">
        <v>1008.92</v>
      </c>
      <c r="JQ83">
        <v>25.24</v>
      </c>
      <c r="JR83">
        <v>1052.25</v>
      </c>
      <c r="JS83">
        <v>0</v>
      </c>
      <c r="JT83">
        <v>0</v>
      </c>
      <c r="JU83">
        <v>2086.41</v>
      </c>
      <c r="JW83">
        <v>59</v>
      </c>
      <c r="JX83">
        <v>41</v>
      </c>
      <c r="KA83">
        <v>1</v>
      </c>
      <c r="KB83">
        <v>3</v>
      </c>
      <c r="KC83">
        <v>1</v>
      </c>
      <c r="KD83" t="s">
        <v>407</v>
      </c>
      <c r="OG83" t="s">
        <v>408</v>
      </c>
      <c r="SJ83" t="s">
        <v>409</v>
      </c>
      <c r="WM83" t="s">
        <v>410</v>
      </c>
      <c r="AAP83" t="s">
        <v>411</v>
      </c>
      <c r="AES83" t="s">
        <v>412</v>
      </c>
    </row>
    <row r="84" spans="1:825" x14ac:dyDescent="0.2">
      <c r="A84" t="s">
        <v>1022</v>
      </c>
      <c r="B84" t="s">
        <v>414</v>
      </c>
      <c r="C84" t="s">
        <v>1023</v>
      </c>
      <c r="P84" t="b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V84">
        <v>647</v>
      </c>
      <c r="W84" s="20">
        <v>43500.109027777777</v>
      </c>
      <c r="X84" t="s">
        <v>1024</v>
      </c>
      <c r="Y84">
        <v>2019</v>
      </c>
      <c r="Z84" t="s">
        <v>1025</v>
      </c>
      <c r="AA84" t="s">
        <v>1026</v>
      </c>
      <c r="AB84" t="str">
        <f>VLOOKUP(MID(AD84,SEARCH("@",AD84,1),LEN(AD84)-SEARCH("@",AD84,1)+1),[2]Sheet1!$D:$F,3,FALSE)</f>
        <v>M0325</v>
      </c>
      <c r="AC84" t="s">
        <v>1027</v>
      </c>
      <c r="AD84" t="s">
        <v>1028</v>
      </c>
      <c r="AE84">
        <v>450976797</v>
      </c>
      <c r="AF84" t="s">
        <v>420</v>
      </c>
      <c r="AG84" t="s">
        <v>421</v>
      </c>
      <c r="AI84">
        <v>1</v>
      </c>
      <c r="AL84">
        <v>200</v>
      </c>
      <c r="AM84">
        <v>200</v>
      </c>
      <c r="AN84">
        <v>200</v>
      </c>
      <c r="AO84">
        <v>200</v>
      </c>
      <c r="AU84">
        <v>200</v>
      </c>
      <c r="AV84">
        <v>200</v>
      </c>
      <c r="BC84">
        <v>0</v>
      </c>
      <c r="BJ84">
        <v>0</v>
      </c>
      <c r="BQ84">
        <v>0</v>
      </c>
      <c r="BX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200</v>
      </c>
      <c r="CL84">
        <v>200</v>
      </c>
      <c r="CR84">
        <v>1</v>
      </c>
      <c r="CS84">
        <v>1</v>
      </c>
      <c r="CZ84">
        <v>0</v>
      </c>
      <c r="DG84">
        <v>0</v>
      </c>
      <c r="DN84">
        <v>0</v>
      </c>
      <c r="DU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1</v>
      </c>
      <c r="EI84">
        <v>1</v>
      </c>
      <c r="EJ84" t="s">
        <v>404</v>
      </c>
      <c r="EK84" t="s">
        <v>404</v>
      </c>
      <c r="EL84" t="s">
        <v>404</v>
      </c>
      <c r="EM84" t="s">
        <v>404</v>
      </c>
      <c r="EN84" t="s">
        <v>404</v>
      </c>
      <c r="EO84" t="s">
        <v>405</v>
      </c>
      <c r="EP84" t="s">
        <v>404</v>
      </c>
      <c r="EQ84" t="s">
        <v>404</v>
      </c>
      <c r="ER84" t="s">
        <v>404</v>
      </c>
      <c r="ES84" t="s">
        <v>404</v>
      </c>
      <c r="ET84" t="s">
        <v>404</v>
      </c>
      <c r="EU84" t="s">
        <v>404</v>
      </c>
      <c r="EV84" t="s">
        <v>404</v>
      </c>
      <c r="EW84" t="s">
        <v>404</v>
      </c>
      <c r="EX84" t="s">
        <v>404</v>
      </c>
      <c r="EY84" t="s">
        <v>404</v>
      </c>
      <c r="EZ84" t="s">
        <v>404</v>
      </c>
      <c r="FA84" t="s">
        <v>404</v>
      </c>
      <c r="FB84" t="s">
        <v>404</v>
      </c>
      <c r="FC84" t="s">
        <v>404</v>
      </c>
      <c r="FD84" t="s">
        <v>404</v>
      </c>
      <c r="FE84" t="s">
        <v>404</v>
      </c>
      <c r="FF84" t="s">
        <v>404</v>
      </c>
      <c r="FG84" t="s">
        <v>404</v>
      </c>
      <c r="FH84" t="s">
        <v>404</v>
      </c>
      <c r="FI84" t="s">
        <v>404</v>
      </c>
      <c r="FJ84" t="s">
        <v>404</v>
      </c>
      <c r="FK84" t="s">
        <v>404</v>
      </c>
      <c r="FL84" t="s">
        <v>404</v>
      </c>
      <c r="FM84" t="s">
        <v>404</v>
      </c>
      <c r="FN84" t="s">
        <v>404</v>
      </c>
      <c r="FO84" t="s">
        <v>404</v>
      </c>
      <c r="FP84" t="s">
        <v>404</v>
      </c>
      <c r="FQ84" t="s">
        <v>404</v>
      </c>
      <c r="FR84" t="s">
        <v>404</v>
      </c>
      <c r="FS84" t="s">
        <v>404</v>
      </c>
      <c r="FY84">
        <v>200</v>
      </c>
      <c r="FZ84">
        <v>200</v>
      </c>
      <c r="GG84">
        <v>0</v>
      </c>
      <c r="GN84">
        <v>0</v>
      </c>
      <c r="GU84">
        <v>0</v>
      </c>
      <c r="HB84">
        <v>0</v>
      </c>
      <c r="HI84">
        <v>0</v>
      </c>
      <c r="HP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200</v>
      </c>
      <c r="IE84">
        <v>200</v>
      </c>
      <c r="IK84">
        <v>200</v>
      </c>
      <c r="IL84">
        <v>200</v>
      </c>
      <c r="IS84">
        <v>0</v>
      </c>
      <c r="IZ84">
        <v>0</v>
      </c>
      <c r="JG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200</v>
      </c>
      <c r="JU84">
        <v>200</v>
      </c>
      <c r="JX84">
        <v>100</v>
      </c>
      <c r="KA84">
        <v>1</v>
      </c>
      <c r="KB84">
        <v>3</v>
      </c>
      <c r="KC84">
        <v>1</v>
      </c>
      <c r="KD84" t="s">
        <v>407</v>
      </c>
      <c r="OG84" t="s">
        <v>408</v>
      </c>
      <c r="SJ84" t="s">
        <v>409</v>
      </c>
      <c r="WM84" t="s">
        <v>410</v>
      </c>
      <c r="AAP84" t="s">
        <v>411</v>
      </c>
      <c r="AES84" t="s">
        <v>412</v>
      </c>
    </row>
    <row r="85" spans="1:825" x14ac:dyDescent="0.2">
      <c r="A85" t="s">
        <v>1029</v>
      </c>
      <c r="B85" t="s">
        <v>396</v>
      </c>
      <c r="C85" t="s">
        <v>1030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>
        <v>578</v>
      </c>
      <c r="W85" s="20">
        <v>43475.754166666666</v>
      </c>
      <c r="X85" t="s">
        <v>1031</v>
      </c>
      <c r="Y85">
        <v>2019</v>
      </c>
      <c r="Z85" t="s">
        <v>1032</v>
      </c>
      <c r="AA85" t="s">
        <v>1033</v>
      </c>
      <c r="AB85" t="str">
        <f>VLOOKUP(MID(AD85,SEARCH("@",AD85,1),LEN(AD85)-SEARCH("@",AD85,1)+1),[2]Sheet1!$D:$F,3,FALSE)</f>
        <v>M369</v>
      </c>
      <c r="AC85" t="s">
        <v>1034</v>
      </c>
      <c r="AD85" t="s">
        <v>1035</v>
      </c>
      <c r="AE85">
        <f>4922049490-135</f>
        <v>4922049355</v>
      </c>
      <c r="AF85" t="s">
        <v>444</v>
      </c>
      <c r="AG85" t="s">
        <v>403</v>
      </c>
      <c r="AI85">
        <v>1</v>
      </c>
      <c r="AL85">
        <v>50</v>
      </c>
      <c r="AM85">
        <v>50</v>
      </c>
      <c r="AN85">
        <v>50</v>
      </c>
      <c r="AO85">
        <v>50</v>
      </c>
      <c r="AV85">
        <v>0</v>
      </c>
      <c r="AW85">
        <v>50</v>
      </c>
      <c r="BC85">
        <v>50</v>
      </c>
      <c r="BJ85">
        <v>0</v>
      </c>
      <c r="BQ85">
        <v>0</v>
      </c>
      <c r="BX85">
        <v>0</v>
      </c>
      <c r="CE85">
        <v>0</v>
      </c>
      <c r="CF85">
        <v>50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50</v>
      </c>
      <c r="CS85">
        <v>0</v>
      </c>
      <c r="CT85">
        <v>1</v>
      </c>
      <c r="CZ85">
        <v>1</v>
      </c>
      <c r="DG85">
        <v>0</v>
      </c>
      <c r="DN85">
        <v>0</v>
      </c>
      <c r="DU85">
        <v>0</v>
      </c>
      <c r="EB85">
        <v>0</v>
      </c>
      <c r="EC85">
        <v>1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1</v>
      </c>
      <c r="EJ85" t="s">
        <v>404</v>
      </c>
      <c r="EK85" t="s">
        <v>404</v>
      </c>
      <c r="EL85" t="s">
        <v>404</v>
      </c>
      <c r="EM85" t="s">
        <v>404</v>
      </c>
      <c r="EN85" t="s">
        <v>404</v>
      </c>
      <c r="EO85" t="s">
        <v>404</v>
      </c>
      <c r="EP85" t="s">
        <v>405</v>
      </c>
      <c r="EQ85" t="s">
        <v>404</v>
      </c>
      <c r="ER85" t="s">
        <v>404</v>
      </c>
      <c r="ES85" t="s">
        <v>404</v>
      </c>
      <c r="ET85" t="s">
        <v>404</v>
      </c>
      <c r="EU85" t="s">
        <v>404</v>
      </c>
      <c r="EV85" t="s">
        <v>404</v>
      </c>
      <c r="EW85" t="s">
        <v>404</v>
      </c>
      <c r="EX85" t="s">
        <v>404</v>
      </c>
      <c r="EY85" t="s">
        <v>404</v>
      </c>
      <c r="EZ85" t="s">
        <v>404</v>
      </c>
      <c r="FA85" t="s">
        <v>404</v>
      </c>
      <c r="FB85" t="s">
        <v>404</v>
      </c>
      <c r="FC85" t="s">
        <v>404</v>
      </c>
      <c r="FD85" t="s">
        <v>404</v>
      </c>
      <c r="FE85" t="s">
        <v>404</v>
      </c>
      <c r="FF85" t="s">
        <v>404</v>
      </c>
      <c r="FG85" t="s">
        <v>404</v>
      </c>
      <c r="FH85" t="s">
        <v>404</v>
      </c>
      <c r="FI85" t="s">
        <v>404</v>
      </c>
      <c r="FJ85" t="s">
        <v>404</v>
      </c>
      <c r="FK85" t="s">
        <v>404</v>
      </c>
      <c r="FL85" t="s">
        <v>404</v>
      </c>
      <c r="FM85" t="s">
        <v>404</v>
      </c>
      <c r="FN85" t="s">
        <v>404</v>
      </c>
      <c r="FO85" t="s">
        <v>404</v>
      </c>
      <c r="FP85" t="s">
        <v>404</v>
      </c>
      <c r="FQ85" t="s">
        <v>404</v>
      </c>
      <c r="FR85" t="s">
        <v>404</v>
      </c>
      <c r="FS85" t="s">
        <v>404</v>
      </c>
      <c r="FT85">
        <v>25</v>
      </c>
      <c r="FZ85">
        <v>25</v>
      </c>
      <c r="GG85">
        <v>0</v>
      </c>
      <c r="GN85">
        <v>0</v>
      </c>
      <c r="GU85">
        <v>0</v>
      </c>
      <c r="GV85">
        <v>25</v>
      </c>
      <c r="HB85">
        <v>25</v>
      </c>
      <c r="HI85">
        <v>0</v>
      </c>
      <c r="HP85">
        <v>0</v>
      </c>
      <c r="HX85">
        <v>0</v>
      </c>
      <c r="HY85">
        <v>50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50</v>
      </c>
      <c r="IL85">
        <v>0</v>
      </c>
      <c r="IM85">
        <v>50</v>
      </c>
      <c r="IS85">
        <v>50</v>
      </c>
      <c r="IZ85">
        <v>0</v>
      </c>
      <c r="JG85">
        <v>0</v>
      </c>
      <c r="JN85">
        <v>0</v>
      </c>
      <c r="JO85">
        <v>50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50</v>
      </c>
      <c r="JV85">
        <v>50</v>
      </c>
      <c r="JX85">
        <v>50</v>
      </c>
      <c r="KA85">
        <v>2</v>
      </c>
      <c r="KB85">
        <v>3</v>
      </c>
      <c r="KC85">
        <v>1</v>
      </c>
      <c r="KD85" t="s">
        <v>407</v>
      </c>
      <c r="OG85" t="s">
        <v>408</v>
      </c>
      <c r="SJ85" t="s">
        <v>409</v>
      </c>
      <c r="WM85" t="s">
        <v>410</v>
      </c>
      <c r="AAP85" t="s">
        <v>411</v>
      </c>
      <c r="AES85" t="s">
        <v>412</v>
      </c>
    </row>
    <row r="86" spans="1:825" x14ac:dyDescent="0.2">
      <c r="A86" t="s">
        <v>1036</v>
      </c>
      <c r="B86" t="s">
        <v>396</v>
      </c>
      <c r="C86" t="s">
        <v>1037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>
        <v>670</v>
      </c>
      <c r="W86" s="20">
        <v>43495.442361111112</v>
      </c>
      <c r="X86" t="s">
        <v>993</v>
      </c>
      <c r="Y86">
        <v>2019</v>
      </c>
      <c r="Z86" t="s">
        <v>1038</v>
      </c>
      <c r="AA86" t="s">
        <v>1039</v>
      </c>
      <c r="AB86" t="str">
        <f>VLOOKUP(MID(AD86,SEARCH("@",AD86,1),LEN(AD86)-SEARCH("@",AD86,1)+1),[2]Sheet1!$D:$F,3,FALSE)</f>
        <v>M2656</v>
      </c>
      <c r="AD86" t="s">
        <v>1040</v>
      </c>
      <c r="AF86" t="s">
        <v>516</v>
      </c>
      <c r="AG86" t="s">
        <v>403</v>
      </c>
      <c r="AI86">
        <v>2</v>
      </c>
      <c r="AJ86">
        <v>6</v>
      </c>
      <c r="AK86" t="s">
        <v>1041</v>
      </c>
      <c r="AV86">
        <v>0</v>
      </c>
      <c r="BC86">
        <v>0</v>
      </c>
      <c r="BJ86">
        <v>0</v>
      </c>
      <c r="BQ86">
        <v>0</v>
      </c>
      <c r="BX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S86">
        <v>0</v>
      </c>
      <c r="CZ86">
        <v>0</v>
      </c>
      <c r="DG86">
        <v>0</v>
      </c>
      <c r="DN86">
        <v>0</v>
      </c>
      <c r="DU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 t="s">
        <v>404</v>
      </c>
      <c r="EK86" t="s">
        <v>404</v>
      </c>
      <c r="EL86" t="s">
        <v>404</v>
      </c>
      <c r="EM86" t="s">
        <v>404</v>
      </c>
      <c r="EN86" t="s">
        <v>404</v>
      </c>
      <c r="EO86" t="s">
        <v>404</v>
      </c>
      <c r="EP86" t="s">
        <v>404</v>
      </c>
      <c r="EQ86" t="s">
        <v>404</v>
      </c>
      <c r="ER86" t="s">
        <v>404</v>
      </c>
      <c r="ES86" t="s">
        <v>404</v>
      </c>
      <c r="ET86" t="s">
        <v>404</v>
      </c>
      <c r="EU86" t="s">
        <v>404</v>
      </c>
      <c r="EV86" t="s">
        <v>404</v>
      </c>
      <c r="EW86" t="s">
        <v>404</v>
      </c>
      <c r="EX86" t="s">
        <v>404</v>
      </c>
      <c r="EY86" t="s">
        <v>404</v>
      </c>
      <c r="EZ86" t="s">
        <v>404</v>
      </c>
      <c r="FA86" t="s">
        <v>404</v>
      </c>
      <c r="FB86" t="s">
        <v>404</v>
      </c>
      <c r="FC86" t="s">
        <v>404</v>
      </c>
      <c r="FD86" t="s">
        <v>404</v>
      </c>
      <c r="FE86" t="s">
        <v>404</v>
      </c>
      <c r="FF86" t="s">
        <v>404</v>
      </c>
      <c r="FG86" t="s">
        <v>404</v>
      </c>
      <c r="FH86" t="s">
        <v>404</v>
      </c>
      <c r="FI86" t="s">
        <v>404</v>
      </c>
      <c r="FJ86" t="s">
        <v>404</v>
      </c>
      <c r="FK86" t="s">
        <v>404</v>
      </c>
      <c r="FL86" t="s">
        <v>404</v>
      </c>
      <c r="FM86" t="s">
        <v>404</v>
      </c>
      <c r="FN86" t="s">
        <v>404</v>
      </c>
      <c r="FO86" t="s">
        <v>404</v>
      </c>
      <c r="FP86" t="s">
        <v>404</v>
      </c>
      <c r="FQ86" t="s">
        <v>404</v>
      </c>
      <c r="FR86" t="s">
        <v>404</v>
      </c>
      <c r="FS86" t="s">
        <v>404</v>
      </c>
      <c r="FZ86">
        <v>0</v>
      </c>
      <c r="GG86">
        <v>0</v>
      </c>
      <c r="GN86">
        <v>0</v>
      </c>
      <c r="GU86">
        <v>0</v>
      </c>
      <c r="HB86">
        <v>0</v>
      </c>
      <c r="HI86">
        <v>0</v>
      </c>
      <c r="HP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L86">
        <v>0</v>
      </c>
      <c r="IS86">
        <v>0</v>
      </c>
      <c r="IZ86">
        <v>0</v>
      </c>
      <c r="JG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KA86">
        <v>3</v>
      </c>
      <c r="KB86">
        <v>2</v>
      </c>
      <c r="KC86">
        <v>2</v>
      </c>
      <c r="KD86" t="s">
        <v>407</v>
      </c>
      <c r="OG86" t="s">
        <v>408</v>
      </c>
      <c r="SJ86" t="s">
        <v>409</v>
      </c>
      <c r="WM86" t="s">
        <v>410</v>
      </c>
      <c r="AAP86" t="s">
        <v>411</v>
      </c>
      <c r="AES86" t="s">
        <v>412</v>
      </c>
    </row>
    <row r="87" spans="1:825" x14ac:dyDescent="0.2">
      <c r="A87" t="s">
        <v>1042</v>
      </c>
      <c r="B87" t="s">
        <v>563</v>
      </c>
      <c r="C87" t="s">
        <v>1043</v>
      </c>
      <c r="D87" t="s">
        <v>478</v>
      </c>
      <c r="E87" s="3">
        <v>43528.85</v>
      </c>
      <c r="F87" t="s">
        <v>479</v>
      </c>
      <c r="G87" s="3">
        <v>43528.852083333331</v>
      </c>
      <c r="H87" t="s">
        <v>502</v>
      </c>
      <c r="I87" s="3">
        <v>43528.854166666664</v>
      </c>
      <c r="P87" t="b">
        <v>1</v>
      </c>
      <c r="Q87" t="b">
        <v>1</v>
      </c>
      <c r="R87" t="b">
        <v>1</v>
      </c>
      <c r="S87" t="b">
        <v>0</v>
      </c>
      <c r="T87" t="b">
        <v>0</v>
      </c>
      <c r="U87" t="b">
        <v>0</v>
      </c>
      <c r="V87">
        <v>705</v>
      </c>
      <c r="W87" s="20">
        <v>43528.849305555559</v>
      </c>
      <c r="X87" t="s">
        <v>1044</v>
      </c>
      <c r="Y87">
        <v>2019</v>
      </c>
      <c r="Z87" t="s">
        <v>1045</v>
      </c>
      <c r="AA87" t="s">
        <v>1043</v>
      </c>
      <c r="AB87" t="str">
        <f>VLOOKUP(MID(AD87,SEARCH("@",AD87,1),LEN(AD87)-SEARCH("@",AD87,1)+1),[2]Sheet1!$D:$F,3,FALSE)</f>
        <v>M073</v>
      </c>
      <c r="AC87" t="s">
        <v>1046</v>
      </c>
      <c r="AD87" t="s">
        <v>1047</v>
      </c>
      <c r="AE87">
        <v>7139665373</v>
      </c>
      <c r="AF87" t="s">
        <v>571</v>
      </c>
      <c r="AG87" t="s">
        <v>538</v>
      </c>
      <c r="AI87">
        <v>1</v>
      </c>
      <c r="AL87">
        <v>3373.6742610000001</v>
      </c>
      <c r="AM87">
        <v>3373.6742610000001</v>
      </c>
      <c r="AS87">
        <v>81.040000000000006</v>
      </c>
      <c r="AV87">
        <v>81.040000000000006</v>
      </c>
      <c r="AW87">
        <v>412.44</v>
      </c>
      <c r="AZ87">
        <v>1344.13</v>
      </c>
      <c r="BC87">
        <v>1756.57</v>
      </c>
      <c r="BE87">
        <v>23.08</v>
      </c>
      <c r="BG87">
        <v>1512.98</v>
      </c>
      <c r="BJ87">
        <v>1536.06</v>
      </c>
      <c r="BQ87">
        <v>0</v>
      </c>
      <c r="BX87">
        <v>0</v>
      </c>
      <c r="CE87">
        <v>0</v>
      </c>
      <c r="CF87">
        <v>412.44</v>
      </c>
      <c r="CG87">
        <v>23.08</v>
      </c>
      <c r="CH87">
        <v>0</v>
      </c>
      <c r="CI87">
        <v>2938.15</v>
      </c>
      <c r="CJ87">
        <v>0</v>
      </c>
      <c r="CK87">
        <v>0</v>
      </c>
      <c r="CL87">
        <v>3373.67</v>
      </c>
      <c r="CP87">
        <v>1</v>
      </c>
      <c r="CS87">
        <v>1</v>
      </c>
      <c r="CT87">
        <v>2</v>
      </c>
      <c r="CW87">
        <v>12</v>
      </c>
      <c r="CZ87">
        <v>14</v>
      </c>
      <c r="DB87">
        <v>1</v>
      </c>
      <c r="DD87">
        <v>27</v>
      </c>
      <c r="DG87">
        <v>28</v>
      </c>
      <c r="DN87">
        <v>0</v>
      </c>
      <c r="DU87">
        <v>0</v>
      </c>
      <c r="EB87">
        <v>0</v>
      </c>
      <c r="EC87">
        <v>2</v>
      </c>
      <c r="ED87">
        <v>1</v>
      </c>
      <c r="EE87">
        <v>0</v>
      </c>
      <c r="EF87">
        <v>40</v>
      </c>
      <c r="EG87">
        <v>0</v>
      </c>
      <c r="EH87">
        <v>0</v>
      </c>
      <c r="EI87">
        <v>43</v>
      </c>
      <c r="EJ87" t="s">
        <v>404</v>
      </c>
      <c r="EK87" t="s">
        <v>404</v>
      </c>
      <c r="EL87" t="s">
        <v>404</v>
      </c>
      <c r="EM87" t="s">
        <v>405</v>
      </c>
      <c r="EN87" t="s">
        <v>404</v>
      </c>
      <c r="EO87" t="s">
        <v>404</v>
      </c>
      <c r="EP87" t="s">
        <v>405</v>
      </c>
      <c r="EQ87" t="s">
        <v>404</v>
      </c>
      <c r="ER87" t="s">
        <v>404</v>
      </c>
      <c r="ES87" t="s">
        <v>405</v>
      </c>
      <c r="ET87" t="s">
        <v>404</v>
      </c>
      <c r="EU87" t="s">
        <v>404</v>
      </c>
      <c r="EV87" t="s">
        <v>404</v>
      </c>
      <c r="EW87" t="s">
        <v>405</v>
      </c>
      <c r="EX87" t="s">
        <v>404</v>
      </c>
      <c r="EY87" t="s">
        <v>405</v>
      </c>
      <c r="EZ87" t="s">
        <v>404</v>
      </c>
      <c r="FA87" t="s">
        <v>404</v>
      </c>
      <c r="FB87" t="s">
        <v>404</v>
      </c>
      <c r="FC87" t="s">
        <v>404</v>
      </c>
      <c r="FD87" t="s">
        <v>404</v>
      </c>
      <c r="FE87" t="s">
        <v>404</v>
      </c>
      <c r="FF87" t="s">
        <v>404</v>
      </c>
      <c r="FG87" t="s">
        <v>404</v>
      </c>
      <c r="FH87" t="s">
        <v>404</v>
      </c>
      <c r="FI87" t="s">
        <v>404</v>
      </c>
      <c r="FJ87" t="s">
        <v>404</v>
      </c>
      <c r="FK87" t="s">
        <v>404</v>
      </c>
      <c r="FL87" t="s">
        <v>404</v>
      </c>
      <c r="FM87" t="s">
        <v>404</v>
      </c>
      <c r="FN87" t="s">
        <v>404</v>
      </c>
      <c r="FO87" t="s">
        <v>404</v>
      </c>
      <c r="FP87" t="s">
        <v>404</v>
      </c>
      <c r="FQ87" t="s">
        <v>404</v>
      </c>
      <c r="FR87" t="s">
        <v>404</v>
      </c>
      <c r="FS87" t="s">
        <v>404</v>
      </c>
      <c r="FT87">
        <v>346.16800000000001</v>
      </c>
      <c r="FW87">
        <v>1084.4276</v>
      </c>
      <c r="FZ87">
        <v>1430.6</v>
      </c>
      <c r="GA87">
        <v>24.828199999999999</v>
      </c>
      <c r="GD87">
        <v>140.94264999999999</v>
      </c>
      <c r="GG87">
        <v>165.77</v>
      </c>
      <c r="GH87">
        <v>17.149000000000001</v>
      </c>
      <c r="GK87">
        <v>25.348500000000001</v>
      </c>
      <c r="GN87">
        <v>42.5</v>
      </c>
      <c r="GU87">
        <v>0</v>
      </c>
      <c r="HB87">
        <v>0</v>
      </c>
      <c r="HC87">
        <v>24.299499999999998</v>
      </c>
      <c r="HF87">
        <v>569.07667000000004</v>
      </c>
      <c r="HI87">
        <v>593.38</v>
      </c>
      <c r="HM87">
        <v>159.02529999999999</v>
      </c>
      <c r="HP87">
        <v>159.03</v>
      </c>
      <c r="HQ87" t="s">
        <v>1048</v>
      </c>
      <c r="HS87">
        <v>23.083200000000001</v>
      </c>
      <c r="HU87">
        <v>959.32563000000005</v>
      </c>
      <c r="HX87">
        <v>982.41</v>
      </c>
      <c r="HY87">
        <v>412.44</v>
      </c>
      <c r="HZ87">
        <v>23.08</v>
      </c>
      <c r="IA87">
        <v>0</v>
      </c>
      <c r="IB87">
        <v>2938.15</v>
      </c>
      <c r="IC87">
        <v>0</v>
      </c>
      <c r="ID87">
        <v>0</v>
      </c>
      <c r="IE87">
        <v>3373.67</v>
      </c>
      <c r="IF87">
        <v>171.06780000000001</v>
      </c>
      <c r="II87">
        <v>412.99425000000002</v>
      </c>
      <c r="IL87">
        <v>584.05999999999995</v>
      </c>
      <c r="IM87">
        <v>241.37690000000001</v>
      </c>
      <c r="IP87">
        <v>1116.0858000000001</v>
      </c>
      <c r="IS87">
        <v>1357.46</v>
      </c>
      <c r="IU87">
        <v>23.08</v>
      </c>
      <c r="IW87">
        <v>1267.5428999999999</v>
      </c>
      <c r="IZ87">
        <v>1290.6199999999999</v>
      </c>
      <c r="JD87">
        <v>116.1748</v>
      </c>
      <c r="JG87">
        <v>116.17</v>
      </c>
      <c r="JK87">
        <v>25.348500000000001</v>
      </c>
      <c r="JN87">
        <v>25.35</v>
      </c>
      <c r="JO87">
        <v>412.44</v>
      </c>
      <c r="JP87">
        <v>23.08</v>
      </c>
      <c r="JQ87">
        <v>0</v>
      </c>
      <c r="JR87">
        <v>2938.15</v>
      </c>
      <c r="JS87">
        <v>0</v>
      </c>
      <c r="JT87">
        <v>0</v>
      </c>
      <c r="JU87">
        <v>3373.67</v>
      </c>
      <c r="JX87">
        <v>100</v>
      </c>
      <c r="KA87">
        <v>3</v>
      </c>
      <c r="KB87">
        <v>2</v>
      </c>
      <c r="KC87">
        <v>1</v>
      </c>
      <c r="KD87" t="s">
        <v>407</v>
      </c>
      <c r="KK87">
        <v>0</v>
      </c>
      <c r="KR87">
        <v>0</v>
      </c>
      <c r="KY87">
        <v>0</v>
      </c>
      <c r="LF87">
        <v>0</v>
      </c>
      <c r="LM87">
        <v>0</v>
      </c>
      <c r="LT87">
        <v>0</v>
      </c>
      <c r="MA87">
        <v>0</v>
      </c>
      <c r="MB87" t="s">
        <v>1048</v>
      </c>
      <c r="MF87">
        <v>81.039100000000005</v>
      </c>
      <c r="MI87">
        <v>81.040000000000006</v>
      </c>
      <c r="MJ87">
        <v>0</v>
      </c>
      <c r="MK87">
        <v>0</v>
      </c>
      <c r="ML87">
        <v>0</v>
      </c>
      <c r="MM87">
        <v>81.040000000000006</v>
      </c>
      <c r="MN87">
        <v>0</v>
      </c>
      <c r="MO87">
        <v>0</v>
      </c>
      <c r="MP87">
        <v>81.040000000000006</v>
      </c>
      <c r="MW87">
        <v>0</v>
      </c>
      <c r="ND87">
        <v>0</v>
      </c>
      <c r="NH87">
        <v>81.040000000000006</v>
      </c>
      <c r="NK87">
        <v>81.040000000000006</v>
      </c>
      <c r="NR87">
        <v>0</v>
      </c>
      <c r="NY87">
        <v>0</v>
      </c>
      <c r="NZ87">
        <v>0</v>
      </c>
      <c r="OA87">
        <v>0</v>
      </c>
      <c r="OB87">
        <v>0</v>
      </c>
      <c r="OC87">
        <v>81.040000000000006</v>
      </c>
      <c r="OD87">
        <v>0</v>
      </c>
      <c r="OE87">
        <v>0</v>
      </c>
      <c r="OF87">
        <v>81.040000000000006</v>
      </c>
      <c r="OG87" t="s">
        <v>408</v>
      </c>
      <c r="OH87">
        <v>346.16800000000001</v>
      </c>
      <c r="OK87">
        <v>924.72749999999996</v>
      </c>
      <c r="ON87">
        <v>1270.9000000000001</v>
      </c>
      <c r="OO87">
        <v>24.828199999999999</v>
      </c>
      <c r="OR87">
        <v>49.063000000000002</v>
      </c>
      <c r="OU87">
        <v>73.89</v>
      </c>
      <c r="OV87">
        <v>17.149000000000001</v>
      </c>
      <c r="PB87">
        <v>17.149999999999999</v>
      </c>
      <c r="PI87">
        <v>0</v>
      </c>
      <c r="PP87">
        <v>0</v>
      </c>
      <c r="PQ87">
        <v>24.299499999999998</v>
      </c>
      <c r="PT87">
        <v>27.438400000000001</v>
      </c>
      <c r="PW87">
        <v>51.74</v>
      </c>
      <c r="QA87">
        <v>39.425699999999999</v>
      </c>
      <c r="QD87">
        <v>39.43</v>
      </c>
      <c r="QE87" t="s">
        <v>1048</v>
      </c>
      <c r="QI87">
        <v>303.47129000000001</v>
      </c>
      <c r="QL87">
        <v>303.47000000000003</v>
      </c>
      <c r="QM87">
        <v>412.44</v>
      </c>
      <c r="QN87">
        <v>0</v>
      </c>
      <c r="QO87">
        <v>0</v>
      </c>
      <c r="QP87">
        <v>1344.13</v>
      </c>
      <c r="QQ87">
        <v>0</v>
      </c>
      <c r="QR87">
        <v>0</v>
      </c>
      <c r="QS87">
        <v>1756.57</v>
      </c>
      <c r="QT87">
        <v>241.37690000000001</v>
      </c>
      <c r="QW87">
        <v>1116.0858000000001</v>
      </c>
      <c r="QZ87">
        <v>1357.46</v>
      </c>
      <c r="RA87">
        <v>171.06780000000001</v>
      </c>
      <c r="RD87">
        <v>182.27164999999999</v>
      </c>
      <c r="RG87">
        <v>353.34</v>
      </c>
      <c r="RK87">
        <v>45.7684</v>
      </c>
      <c r="RN87">
        <v>45.77</v>
      </c>
      <c r="RU87">
        <v>0</v>
      </c>
      <c r="SB87">
        <v>0</v>
      </c>
      <c r="SC87">
        <v>412.44</v>
      </c>
      <c r="SD87">
        <v>0</v>
      </c>
      <c r="SE87">
        <v>0</v>
      </c>
      <c r="SF87">
        <v>1344.13</v>
      </c>
      <c r="SG87">
        <v>0</v>
      </c>
      <c r="SH87">
        <v>0</v>
      </c>
      <c r="SI87">
        <v>1756.57</v>
      </c>
      <c r="SJ87" t="s">
        <v>409</v>
      </c>
      <c r="SN87">
        <v>159.70009999999999</v>
      </c>
      <c r="SQ87">
        <v>159.69999999999999</v>
      </c>
      <c r="SU87">
        <v>91.879649999999998</v>
      </c>
      <c r="SX87">
        <v>91.88</v>
      </c>
      <c r="TB87">
        <v>25.348500000000001</v>
      </c>
      <c r="TE87">
        <v>25.35</v>
      </c>
      <c r="TL87">
        <v>0</v>
      </c>
      <c r="TS87">
        <v>0</v>
      </c>
      <c r="TW87">
        <v>541.63827000000003</v>
      </c>
      <c r="TZ87">
        <v>541.64</v>
      </c>
      <c r="UD87">
        <v>119.5996</v>
      </c>
      <c r="UG87">
        <v>119.6</v>
      </c>
      <c r="UH87" t="s">
        <v>1048</v>
      </c>
      <c r="UJ87">
        <v>23.083200000000001</v>
      </c>
      <c r="UL87">
        <v>574.81524000000002</v>
      </c>
      <c r="UO87">
        <v>597.9</v>
      </c>
      <c r="UP87">
        <v>0</v>
      </c>
      <c r="UQ87">
        <v>23.08</v>
      </c>
      <c r="UR87">
        <v>0</v>
      </c>
      <c r="US87">
        <v>1512.98</v>
      </c>
      <c r="UT87">
        <v>0</v>
      </c>
      <c r="UU87">
        <v>0</v>
      </c>
      <c r="UV87">
        <v>1536.06</v>
      </c>
      <c r="VC87">
        <v>0</v>
      </c>
      <c r="VG87">
        <v>230.7226</v>
      </c>
      <c r="VJ87">
        <v>230.72</v>
      </c>
      <c r="VL87">
        <v>23.083200000000001</v>
      </c>
      <c r="VN87">
        <v>1140.7354</v>
      </c>
      <c r="VQ87">
        <v>1163.82</v>
      </c>
      <c r="VU87">
        <v>116.1748</v>
      </c>
      <c r="VX87">
        <v>116.17</v>
      </c>
      <c r="WB87">
        <v>25.348500000000001</v>
      </c>
      <c r="WE87">
        <v>25.35</v>
      </c>
      <c r="WF87">
        <v>0</v>
      </c>
      <c r="WG87">
        <v>23.08</v>
      </c>
      <c r="WH87">
        <v>0</v>
      </c>
      <c r="WI87">
        <v>1512.98</v>
      </c>
      <c r="WJ87">
        <v>0</v>
      </c>
      <c r="WK87">
        <v>0</v>
      </c>
      <c r="WL87">
        <v>1536.06</v>
      </c>
      <c r="WM87" t="s">
        <v>410</v>
      </c>
      <c r="AAP87" t="s">
        <v>411</v>
      </c>
      <c r="AES87" t="s">
        <v>412</v>
      </c>
    </row>
    <row r="88" spans="1:825" x14ac:dyDescent="0.2">
      <c r="A88" t="s">
        <v>1049</v>
      </c>
      <c r="B88" t="s">
        <v>563</v>
      </c>
      <c r="C88" t="s">
        <v>1050</v>
      </c>
      <c r="F88" t="s">
        <v>479</v>
      </c>
      <c r="G88" s="3">
        <v>43519.154166666667</v>
      </c>
      <c r="H88" t="s">
        <v>502</v>
      </c>
      <c r="I88" s="3">
        <v>43519.17083333333</v>
      </c>
      <c r="L88" t="s">
        <v>1051</v>
      </c>
      <c r="M88" s="3">
        <v>43519.176388888889</v>
      </c>
      <c r="P88" t="b">
        <v>1</v>
      </c>
      <c r="Q88" t="b">
        <v>0</v>
      </c>
      <c r="R88" t="b">
        <v>1</v>
      </c>
      <c r="S88" t="b">
        <v>0</v>
      </c>
      <c r="T88" t="b">
        <v>1</v>
      </c>
      <c r="U88" t="b">
        <v>0</v>
      </c>
      <c r="V88">
        <v>608</v>
      </c>
      <c r="W88" s="20">
        <v>43519.135416666664</v>
      </c>
      <c r="X88" t="s">
        <v>1052</v>
      </c>
      <c r="Y88">
        <v>2019</v>
      </c>
      <c r="Z88" t="s">
        <v>1053</v>
      </c>
      <c r="AA88" t="s">
        <v>1054</v>
      </c>
      <c r="AB88" t="str">
        <f>VLOOKUP(MID(AD88,SEARCH("@",AD88,1),LEN(AD88)-SEARCH("@",AD88,1)+1),[2]Sheet1!$D:$F,3,FALSE)</f>
        <v>M718</v>
      </c>
      <c r="AC88" t="s">
        <v>1055</v>
      </c>
      <c r="AD88" t="s">
        <v>1056</v>
      </c>
      <c r="AE88">
        <v>8437142306</v>
      </c>
      <c r="AF88" t="s">
        <v>571</v>
      </c>
      <c r="AG88" t="s">
        <v>538</v>
      </c>
      <c r="AI88">
        <v>1</v>
      </c>
      <c r="AL88">
        <v>4190.8999999999996</v>
      </c>
      <c r="AM88">
        <v>4190.8999999999996</v>
      </c>
      <c r="AN88">
        <v>2964</v>
      </c>
      <c r="AO88">
        <v>2964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572</v>
      </c>
      <c r="AY88">
        <v>0</v>
      </c>
      <c r="AZ88">
        <v>233.7</v>
      </c>
      <c r="BA88">
        <v>0</v>
      </c>
      <c r="BB88">
        <v>0</v>
      </c>
      <c r="BC88">
        <v>805.7</v>
      </c>
      <c r="BD88">
        <v>2436.3000000000002</v>
      </c>
      <c r="BE88">
        <v>131.6</v>
      </c>
      <c r="BF88">
        <v>0</v>
      </c>
      <c r="BG88">
        <v>221.4</v>
      </c>
      <c r="BH88">
        <v>0</v>
      </c>
      <c r="BI88">
        <v>505</v>
      </c>
      <c r="BJ88">
        <v>3294.3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91</v>
      </c>
      <c r="BT88">
        <v>0</v>
      </c>
      <c r="BU88">
        <v>0</v>
      </c>
      <c r="BV88">
        <v>0</v>
      </c>
      <c r="BW88">
        <v>0</v>
      </c>
      <c r="BX88">
        <v>91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2436.3000000000002</v>
      </c>
      <c r="CG88">
        <v>794.6</v>
      </c>
      <c r="CH88">
        <v>0</v>
      </c>
      <c r="CI88">
        <v>455.1</v>
      </c>
      <c r="CJ88">
        <v>0</v>
      </c>
      <c r="CK88">
        <v>505</v>
      </c>
      <c r="CL88">
        <v>4191</v>
      </c>
      <c r="CS88">
        <v>0</v>
      </c>
      <c r="CU88">
        <v>4</v>
      </c>
      <c r="CW88">
        <v>4</v>
      </c>
      <c r="CZ88">
        <v>8</v>
      </c>
      <c r="DA88">
        <v>5</v>
      </c>
      <c r="DB88">
        <v>11</v>
      </c>
      <c r="DD88">
        <v>12</v>
      </c>
      <c r="DF88">
        <v>1</v>
      </c>
      <c r="DG88">
        <v>29</v>
      </c>
      <c r="DN88">
        <v>0</v>
      </c>
      <c r="DP88">
        <v>3</v>
      </c>
      <c r="DU88">
        <v>3</v>
      </c>
      <c r="EB88">
        <v>0</v>
      </c>
      <c r="EC88">
        <v>5</v>
      </c>
      <c r="ED88">
        <v>18</v>
      </c>
      <c r="EE88">
        <v>0</v>
      </c>
      <c r="EF88">
        <v>16</v>
      </c>
      <c r="EG88">
        <v>0</v>
      </c>
      <c r="EH88">
        <v>1</v>
      </c>
      <c r="EI88">
        <v>40</v>
      </c>
      <c r="EJ88" t="s">
        <v>404</v>
      </c>
      <c r="EK88" t="s">
        <v>404</v>
      </c>
      <c r="EL88" t="s">
        <v>404</v>
      </c>
      <c r="EM88" t="s">
        <v>404</v>
      </c>
      <c r="EN88" t="s">
        <v>404</v>
      </c>
      <c r="EO88" t="s">
        <v>404</v>
      </c>
      <c r="EP88" t="s">
        <v>404</v>
      </c>
      <c r="EQ88" t="s">
        <v>405</v>
      </c>
      <c r="ER88" t="s">
        <v>404</v>
      </c>
      <c r="ES88" t="s">
        <v>405</v>
      </c>
      <c r="ET88" t="s">
        <v>404</v>
      </c>
      <c r="EU88" t="s">
        <v>404</v>
      </c>
      <c r="EV88" t="s">
        <v>405</v>
      </c>
      <c r="EW88" t="s">
        <v>405</v>
      </c>
      <c r="EX88" t="s">
        <v>404</v>
      </c>
      <c r="EY88" t="s">
        <v>405</v>
      </c>
      <c r="EZ88" t="s">
        <v>404</v>
      </c>
      <c r="FA88" t="s">
        <v>405</v>
      </c>
      <c r="FB88" t="s">
        <v>404</v>
      </c>
      <c r="FC88" t="s">
        <v>404</v>
      </c>
      <c r="FD88" t="s">
        <v>404</v>
      </c>
      <c r="FE88" t="s">
        <v>404</v>
      </c>
      <c r="FF88" t="s">
        <v>404</v>
      </c>
      <c r="FG88" t="s">
        <v>404</v>
      </c>
      <c r="FH88" t="s">
        <v>404</v>
      </c>
      <c r="FI88" t="s">
        <v>405</v>
      </c>
      <c r="FJ88" t="s">
        <v>404</v>
      </c>
      <c r="FK88" t="s">
        <v>404</v>
      </c>
      <c r="FL88" t="s">
        <v>404</v>
      </c>
      <c r="FM88" t="s">
        <v>404</v>
      </c>
      <c r="FN88" t="s">
        <v>404</v>
      </c>
      <c r="FO88" t="s">
        <v>404</v>
      </c>
      <c r="FP88" t="s">
        <v>404</v>
      </c>
      <c r="FQ88" t="s">
        <v>404</v>
      </c>
      <c r="FR88" t="s">
        <v>404</v>
      </c>
      <c r="FS88" t="s">
        <v>404</v>
      </c>
      <c r="FT88">
        <v>1013</v>
      </c>
      <c r="FU88">
        <v>522.29999999999995</v>
      </c>
      <c r="FW88">
        <v>234.1</v>
      </c>
      <c r="FY88">
        <v>0</v>
      </c>
      <c r="FZ88">
        <v>1769.4</v>
      </c>
      <c r="GA88">
        <v>45.6</v>
      </c>
      <c r="GB88">
        <v>30.3</v>
      </c>
      <c r="GD88">
        <v>125.7</v>
      </c>
      <c r="GF88">
        <v>0</v>
      </c>
      <c r="GG88">
        <v>201.6</v>
      </c>
      <c r="GH88">
        <v>131.5</v>
      </c>
      <c r="GI88">
        <v>164.8</v>
      </c>
      <c r="GK88">
        <v>25.6</v>
      </c>
      <c r="GM88">
        <v>119.7</v>
      </c>
      <c r="GN88">
        <v>441.6</v>
      </c>
      <c r="GO88">
        <v>0</v>
      </c>
      <c r="GP88">
        <v>0</v>
      </c>
      <c r="GR88">
        <v>0</v>
      </c>
      <c r="GT88">
        <v>0</v>
      </c>
      <c r="GU88">
        <v>0</v>
      </c>
      <c r="GV88">
        <v>14.4</v>
      </c>
      <c r="GW88">
        <v>0</v>
      </c>
      <c r="GY88">
        <v>0</v>
      </c>
      <c r="HA88">
        <v>0</v>
      </c>
      <c r="HB88">
        <v>14.4</v>
      </c>
      <c r="HC88">
        <v>0</v>
      </c>
      <c r="HD88">
        <v>0</v>
      </c>
      <c r="HF88">
        <v>0</v>
      </c>
      <c r="HH88">
        <v>0</v>
      </c>
      <c r="HI88">
        <v>0</v>
      </c>
      <c r="HJ88">
        <v>2.4</v>
      </c>
      <c r="HK88">
        <v>0</v>
      </c>
      <c r="HM88">
        <v>0</v>
      </c>
      <c r="HO88">
        <v>0</v>
      </c>
      <c r="HP88">
        <v>2.4</v>
      </c>
      <c r="HQ88" t="s">
        <v>1057</v>
      </c>
      <c r="HR88">
        <v>453</v>
      </c>
      <c r="HS88">
        <v>537.5</v>
      </c>
      <c r="HU88">
        <v>769.9</v>
      </c>
      <c r="HW88">
        <v>1.2</v>
      </c>
      <c r="HX88">
        <v>1761.6</v>
      </c>
      <c r="HY88">
        <v>1659.9</v>
      </c>
      <c r="HZ88">
        <v>1254.9000000000001</v>
      </c>
      <c r="IA88">
        <v>0</v>
      </c>
      <c r="IB88">
        <v>1155.3</v>
      </c>
      <c r="IC88">
        <v>0</v>
      </c>
      <c r="ID88">
        <v>120.9</v>
      </c>
      <c r="IE88">
        <v>4191</v>
      </c>
      <c r="IF88">
        <v>0</v>
      </c>
      <c r="IG88">
        <v>0</v>
      </c>
      <c r="II88">
        <v>0</v>
      </c>
      <c r="IK88">
        <v>0</v>
      </c>
      <c r="IL88">
        <v>0</v>
      </c>
      <c r="IM88">
        <v>0</v>
      </c>
      <c r="IN88">
        <v>572</v>
      </c>
      <c r="IP88">
        <v>233.7</v>
      </c>
      <c r="IR88">
        <v>0</v>
      </c>
      <c r="IS88">
        <v>805.7</v>
      </c>
      <c r="IT88">
        <v>2436.3000000000002</v>
      </c>
      <c r="IU88">
        <v>131.6</v>
      </c>
      <c r="IW88">
        <v>221.4</v>
      </c>
      <c r="IY88">
        <v>505</v>
      </c>
      <c r="IZ88">
        <v>3294.3</v>
      </c>
      <c r="JA88">
        <v>0</v>
      </c>
      <c r="JB88">
        <v>91</v>
      </c>
      <c r="JD88">
        <v>0</v>
      </c>
      <c r="JF88">
        <v>0</v>
      </c>
      <c r="JG88">
        <v>91</v>
      </c>
      <c r="JH88">
        <v>0</v>
      </c>
      <c r="JI88">
        <v>0</v>
      </c>
      <c r="JK88">
        <v>0</v>
      </c>
      <c r="JM88">
        <v>0</v>
      </c>
      <c r="JN88">
        <v>0</v>
      </c>
      <c r="JO88">
        <v>2436.3000000000002</v>
      </c>
      <c r="JP88">
        <v>794.6</v>
      </c>
      <c r="JQ88">
        <v>0</v>
      </c>
      <c r="JR88">
        <v>455.1</v>
      </c>
      <c r="JS88">
        <v>0</v>
      </c>
      <c r="JT88">
        <v>505</v>
      </c>
      <c r="JU88">
        <v>4191</v>
      </c>
      <c r="JV88">
        <v>0</v>
      </c>
      <c r="JW88">
        <v>10</v>
      </c>
      <c r="JX88">
        <v>90</v>
      </c>
      <c r="KA88">
        <v>1</v>
      </c>
      <c r="KB88">
        <v>3</v>
      </c>
      <c r="KC88">
        <v>1</v>
      </c>
      <c r="KD88" t="s">
        <v>407</v>
      </c>
      <c r="OG88" t="s">
        <v>408</v>
      </c>
      <c r="OH88">
        <v>0</v>
      </c>
      <c r="OI88">
        <v>112</v>
      </c>
      <c r="OK88">
        <v>135</v>
      </c>
      <c r="OM88">
        <v>0</v>
      </c>
      <c r="ON88">
        <v>247</v>
      </c>
      <c r="OO88">
        <v>0</v>
      </c>
      <c r="OP88">
        <v>0</v>
      </c>
      <c r="OR88">
        <v>50</v>
      </c>
      <c r="OT88">
        <v>0</v>
      </c>
      <c r="OU88">
        <v>50</v>
      </c>
      <c r="OV88">
        <v>0</v>
      </c>
      <c r="OW88">
        <v>113</v>
      </c>
      <c r="OY88">
        <v>21</v>
      </c>
      <c r="PA88">
        <v>0</v>
      </c>
      <c r="PB88">
        <v>134</v>
      </c>
      <c r="PC88">
        <v>0</v>
      </c>
      <c r="PD88">
        <v>0</v>
      </c>
      <c r="PF88">
        <v>0</v>
      </c>
      <c r="PH88">
        <v>0</v>
      </c>
      <c r="PI88">
        <v>0</v>
      </c>
      <c r="PJ88">
        <v>0</v>
      </c>
      <c r="PK88">
        <v>0</v>
      </c>
      <c r="PM88">
        <v>0</v>
      </c>
      <c r="PO88">
        <v>0</v>
      </c>
      <c r="PP88">
        <v>0</v>
      </c>
      <c r="PQ88">
        <v>0</v>
      </c>
      <c r="PR88">
        <v>0</v>
      </c>
      <c r="PT88">
        <v>0</v>
      </c>
      <c r="PV88">
        <v>0</v>
      </c>
      <c r="PW88">
        <v>0</v>
      </c>
      <c r="PX88">
        <v>0</v>
      </c>
      <c r="PY88">
        <v>0</v>
      </c>
      <c r="QA88">
        <v>0</v>
      </c>
      <c r="QC88">
        <v>0</v>
      </c>
      <c r="QD88">
        <v>0</v>
      </c>
      <c r="QE88" t="s">
        <v>1057</v>
      </c>
      <c r="QF88">
        <v>0</v>
      </c>
      <c r="QG88">
        <v>324</v>
      </c>
      <c r="QI88">
        <v>51</v>
      </c>
      <c r="QK88">
        <v>0</v>
      </c>
      <c r="QL88">
        <v>375</v>
      </c>
      <c r="QM88">
        <v>0</v>
      </c>
      <c r="QN88">
        <v>549</v>
      </c>
      <c r="QO88">
        <v>0</v>
      </c>
      <c r="QP88">
        <v>257</v>
      </c>
      <c r="QQ88">
        <v>0</v>
      </c>
      <c r="QR88">
        <v>0</v>
      </c>
      <c r="QS88">
        <v>806</v>
      </c>
      <c r="QT88">
        <v>0</v>
      </c>
      <c r="QU88">
        <v>224.2</v>
      </c>
      <c r="QW88">
        <v>168.8</v>
      </c>
      <c r="QY88">
        <v>0</v>
      </c>
      <c r="QZ88">
        <v>393</v>
      </c>
      <c r="RA88">
        <v>0</v>
      </c>
      <c r="RB88">
        <v>0</v>
      </c>
      <c r="RD88">
        <v>0</v>
      </c>
      <c r="RF88">
        <v>0</v>
      </c>
      <c r="RG88">
        <v>0</v>
      </c>
      <c r="RH88">
        <v>0</v>
      </c>
      <c r="RI88">
        <v>324.39999999999998</v>
      </c>
      <c r="RK88">
        <v>88.4</v>
      </c>
      <c r="RM88">
        <v>0</v>
      </c>
      <c r="RN88">
        <v>412.8</v>
      </c>
      <c r="RO88">
        <v>0</v>
      </c>
      <c r="RP88">
        <v>0</v>
      </c>
      <c r="RR88">
        <v>0</v>
      </c>
      <c r="RT88">
        <v>0</v>
      </c>
      <c r="RU88">
        <v>0</v>
      </c>
      <c r="RV88">
        <v>0</v>
      </c>
      <c r="RW88">
        <v>0</v>
      </c>
      <c r="RY88">
        <v>0</v>
      </c>
      <c r="SA88">
        <v>0</v>
      </c>
      <c r="SB88">
        <v>0</v>
      </c>
      <c r="SC88">
        <v>0</v>
      </c>
      <c r="SD88">
        <v>548.6</v>
      </c>
      <c r="SE88">
        <v>0</v>
      </c>
      <c r="SF88">
        <v>257.2</v>
      </c>
      <c r="SG88">
        <v>0</v>
      </c>
      <c r="SH88">
        <v>0</v>
      </c>
      <c r="SI88">
        <v>805.8</v>
      </c>
      <c r="SJ88" t="s">
        <v>409</v>
      </c>
      <c r="SK88">
        <v>1045.9000000000001</v>
      </c>
      <c r="SL88">
        <v>400.8</v>
      </c>
      <c r="SN88">
        <v>74.7</v>
      </c>
      <c r="SQ88">
        <v>1521.4</v>
      </c>
      <c r="SR88">
        <v>47.1</v>
      </c>
      <c r="SU88">
        <v>67.900000000000006</v>
      </c>
      <c r="SX88">
        <v>115</v>
      </c>
      <c r="SY88">
        <v>135.69999999999999</v>
      </c>
      <c r="SZ88">
        <v>30.2</v>
      </c>
      <c r="TD88">
        <v>123.5</v>
      </c>
      <c r="TE88">
        <v>289.39999999999998</v>
      </c>
      <c r="TL88">
        <v>0</v>
      </c>
      <c r="TM88">
        <v>14.8</v>
      </c>
      <c r="TS88">
        <v>14.8</v>
      </c>
      <c r="TZ88">
        <v>0</v>
      </c>
      <c r="UA88">
        <v>2.5</v>
      </c>
      <c r="UG88">
        <v>2.5</v>
      </c>
      <c r="UH88" t="s">
        <v>1057</v>
      </c>
      <c r="UI88">
        <v>467.7</v>
      </c>
      <c r="UJ88">
        <v>151.1</v>
      </c>
      <c r="UL88">
        <v>731.1</v>
      </c>
      <c r="UN88">
        <v>1.2</v>
      </c>
      <c r="UO88">
        <v>1351.1</v>
      </c>
      <c r="UP88">
        <v>1713.7</v>
      </c>
      <c r="UQ88">
        <v>582.1</v>
      </c>
      <c r="UR88">
        <v>0</v>
      </c>
      <c r="US88">
        <v>873.7</v>
      </c>
      <c r="UT88">
        <v>0</v>
      </c>
      <c r="UU88">
        <v>124.7</v>
      </c>
      <c r="UV88">
        <v>3294.2</v>
      </c>
      <c r="UW88">
        <v>460</v>
      </c>
      <c r="UX88">
        <v>69</v>
      </c>
      <c r="VC88">
        <v>529</v>
      </c>
      <c r="VD88">
        <v>251</v>
      </c>
      <c r="VE88">
        <v>180</v>
      </c>
      <c r="VI88">
        <v>108</v>
      </c>
      <c r="VJ88">
        <v>539</v>
      </c>
      <c r="VK88">
        <v>790</v>
      </c>
      <c r="VL88">
        <v>618</v>
      </c>
      <c r="VN88">
        <v>817</v>
      </c>
      <c r="VP88">
        <v>1</v>
      </c>
      <c r="VQ88">
        <v>2226</v>
      </c>
      <c r="VX88">
        <v>0</v>
      </c>
      <c r="WE88">
        <v>0</v>
      </c>
      <c r="WF88">
        <v>1501</v>
      </c>
      <c r="WG88">
        <v>867</v>
      </c>
      <c r="WH88">
        <v>0</v>
      </c>
      <c r="WI88">
        <v>817</v>
      </c>
      <c r="WJ88">
        <v>0</v>
      </c>
      <c r="WK88">
        <v>109</v>
      </c>
      <c r="WL88">
        <v>3294</v>
      </c>
      <c r="WM88" t="s">
        <v>410</v>
      </c>
      <c r="AAP88" t="s">
        <v>411</v>
      </c>
      <c r="AAW88">
        <v>0</v>
      </c>
      <c r="AAY88">
        <v>87.8</v>
      </c>
      <c r="ABD88">
        <v>87.8</v>
      </c>
      <c r="ABK88">
        <v>0</v>
      </c>
      <c r="ABR88">
        <v>0</v>
      </c>
      <c r="ABY88">
        <v>0</v>
      </c>
      <c r="ACF88">
        <v>0</v>
      </c>
      <c r="ACM88">
        <v>0</v>
      </c>
      <c r="ACN88" t="s">
        <v>1058</v>
      </c>
      <c r="ACP88">
        <v>3.2</v>
      </c>
      <c r="ACU88">
        <v>3.2</v>
      </c>
      <c r="ACV88">
        <v>0</v>
      </c>
      <c r="ACW88">
        <v>91</v>
      </c>
      <c r="ACX88">
        <v>0</v>
      </c>
      <c r="ACY88">
        <v>0</v>
      </c>
      <c r="ACZ88">
        <v>0</v>
      </c>
      <c r="ADA88">
        <v>0</v>
      </c>
      <c r="ADB88">
        <v>91</v>
      </c>
      <c r="ADI88">
        <v>0</v>
      </c>
      <c r="ADP88">
        <v>0</v>
      </c>
      <c r="ADR88">
        <v>91</v>
      </c>
      <c r="ADW88">
        <v>91</v>
      </c>
      <c r="AED88">
        <v>0</v>
      </c>
      <c r="AEK88">
        <v>0</v>
      </c>
      <c r="AEL88">
        <v>0</v>
      </c>
      <c r="AEM88">
        <v>91</v>
      </c>
      <c r="AEN88">
        <v>0</v>
      </c>
      <c r="AEO88">
        <v>0</v>
      </c>
      <c r="AEP88">
        <v>0</v>
      </c>
      <c r="AEQ88">
        <v>0</v>
      </c>
      <c r="AER88">
        <v>91</v>
      </c>
      <c r="AES88" t="s">
        <v>412</v>
      </c>
    </row>
    <row r="89" spans="1:825" x14ac:dyDescent="0.2">
      <c r="A89" t="s">
        <v>1059</v>
      </c>
      <c r="B89" t="s">
        <v>396</v>
      </c>
      <c r="C89" t="s">
        <v>1060</v>
      </c>
      <c r="D89" t="s">
        <v>478</v>
      </c>
      <c r="E89" s="3">
        <v>43524.671527777777</v>
      </c>
      <c r="F89" t="s">
        <v>479</v>
      </c>
      <c r="G89" s="3">
        <v>43524.673611111109</v>
      </c>
      <c r="H89" t="s">
        <v>502</v>
      </c>
      <c r="I89" s="3">
        <v>43524.675694444442</v>
      </c>
      <c r="P89" t="b">
        <v>1</v>
      </c>
      <c r="Q89" t="b">
        <v>1</v>
      </c>
      <c r="R89" t="b">
        <v>1</v>
      </c>
      <c r="S89" t="b">
        <v>0</v>
      </c>
      <c r="T89" t="b">
        <v>0</v>
      </c>
      <c r="U89" t="b">
        <v>0</v>
      </c>
      <c r="V89">
        <v>659</v>
      </c>
      <c r="W89" s="20">
        <v>43524.666666666664</v>
      </c>
      <c r="X89" t="s">
        <v>1061</v>
      </c>
      <c r="Y89">
        <v>2019</v>
      </c>
      <c r="Z89" t="s">
        <v>1062</v>
      </c>
      <c r="AA89" t="s">
        <v>1063</v>
      </c>
      <c r="AB89" t="str">
        <f>VLOOKUP(MID(AD89,SEARCH("@",AD89,1),LEN(AD89)-SEARCH("@",AD89,1)+1),[2]Sheet1!$D:$F,3,FALSE)</f>
        <v>M085</v>
      </c>
      <c r="AC89" t="s">
        <v>1064</v>
      </c>
      <c r="AD89" t="s">
        <v>1065</v>
      </c>
      <c r="AE89">
        <v>496991016655</v>
      </c>
      <c r="AF89" t="s">
        <v>444</v>
      </c>
      <c r="AG89" t="s">
        <v>403</v>
      </c>
      <c r="AI89">
        <v>1</v>
      </c>
      <c r="AL89">
        <v>2300</v>
      </c>
      <c r="AM89">
        <v>34</v>
      </c>
      <c r="AN89">
        <v>1442</v>
      </c>
      <c r="AO89">
        <v>30</v>
      </c>
      <c r="AP89">
        <v>130</v>
      </c>
      <c r="AQ89">
        <v>154</v>
      </c>
      <c r="AV89">
        <v>284</v>
      </c>
      <c r="AW89">
        <v>615</v>
      </c>
      <c r="BC89">
        <v>615</v>
      </c>
      <c r="BD89">
        <v>1402</v>
      </c>
      <c r="BJ89">
        <v>1402</v>
      </c>
      <c r="BQ89">
        <v>0</v>
      </c>
      <c r="BX89">
        <v>0</v>
      </c>
      <c r="CE89">
        <v>0</v>
      </c>
      <c r="CF89">
        <v>2147</v>
      </c>
      <c r="CG89">
        <v>154</v>
      </c>
      <c r="CH89">
        <v>0</v>
      </c>
      <c r="CI89">
        <v>0</v>
      </c>
      <c r="CJ89">
        <v>0</v>
      </c>
      <c r="CK89">
        <v>0</v>
      </c>
      <c r="CL89">
        <v>2301</v>
      </c>
      <c r="CM89">
        <v>1</v>
      </c>
      <c r="CN89">
        <v>1</v>
      </c>
      <c r="CS89">
        <v>2</v>
      </c>
      <c r="CT89">
        <v>7</v>
      </c>
      <c r="CZ89">
        <v>7</v>
      </c>
      <c r="DA89">
        <v>2</v>
      </c>
      <c r="DG89">
        <v>2</v>
      </c>
      <c r="DN89">
        <v>0</v>
      </c>
      <c r="DU89">
        <v>0</v>
      </c>
      <c r="EB89">
        <v>0</v>
      </c>
      <c r="EC89">
        <v>10</v>
      </c>
      <c r="ED89">
        <v>1</v>
      </c>
      <c r="EE89">
        <v>0</v>
      </c>
      <c r="EF89">
        <v>0</v>
      </c>
      <c r="EG89">
        <v>0</v>
      </c>
      <c r="EH89">
        <v>0</v>
      </c>
      <c r="EI89">
        <v>11</v>
      </c>
      <c r="EJ89" t="s">
        <v>405</v>
      </c>
      <c r="EK89" t="s">
        <v>405</v>
      </c>
      <c r="EL89" t="s">
        <v>404</v>
      </c>
      <c r="EM89" t="s">
        <v>404</v>
      </c>
      <c r="EN89" t="s">
        <v>404</v>
      </c>
      <c r="EO89" t="s">
        <v>404</v>
      </c>
      <c r="EP89" t="s">
        <v>405</v>
      </c>
      <c r="EQ89" t="s">
        <v>404</v>
      </c>
      <c r="ER89" t="s">
        <v>404</v>
      </c>
      <c r="ES89" t="s">
        <v>404</v>
      </c>
      <c r="ET89" t="s">
        <v>404</v>
      </c>
      <c r="EU89" t="s">
        <v>404</v>
      </c>
      <c r="EV89" t="s">
        <v>405</v>
      </c>
      <c r="EW89" t="s">
        <v>404</v>
      </c>
      <c r="EX89" t="s">
        <v>404</v>
      </c>
      <c r="EY89" t="s">
        <v>404</v>
      </c>
      <c r="EZ89" t="s">
        <v>404</v>
      </c>
      <c r="FA89" t="s">
        <v>404</v>
      </c>
      <c r="FB89" t="s">
        <v>404</v>
      </c>
      <c r="FC89" t="s">
        <v>404</v>
      </c>
      <c r="FD89" t="s">
        <v>404</v>
      </c>
      <c r="FE89" t="s">
        <v>404</v>
      </c>
      <c r="FF89" t="s">
        <v>404</v>
      </c>
      <c r="FG89" t="s">
        <v>404</v>
      </c>
      <c r="FH89" t="s">
        <v>404</v>
      </c>
      <c r="FI89" t="s">
        <v>404</v>
      </c>
      <c r="FJ89" t="s">
        <v>404</v>
      </c>
      <c r="FK89" t="s">
        <v>404</v>
      </c>
      <c r="FL89" t="s">
        <v>404</v>
      </c>
      <c r="FM89" t="s">
        <v>404</v>
      </c>
      <c r="FN89" t="s">
        <v>404</v>
      </c>
      <c r="FO89" t="s">
        <v>404</v>
      </c>
      <c r="FP89" t="s">
        <v>404</v>
      </c>
      <c r="FQ89" t="s">
        <v>404</v>
      </c>
      <c r="FR89" t="s">
        <v>404</v>
      </c>
      <c r="FS89" t="s">
        <v>404</v>
      </c>
      <c r="FT89">
        <v>409</v>
      </c>
      <c r="FZ89">
        <v>409</v>
      </c>
      <c r="GA89">
        <v>129</v>
      </c>
      <c r="GG89">
        <v>129</v>
      </c>
      <c r="GH89">
        <v>113</v>
      </c>
      <c r="GN89">
        <v>113</v>
      </c>
      <c r="GO89">
        <v>108</v>
      </c>
      <c r="GU89">
        <v>108</v>
      </c>
      <c r="GV89">
        <v>34</v>
      </c>
      <c r="HB89">
        <v>34</v>
      </c>
      <c r="HC89">
        <v>413</v>
      </c>
      <c r="HI89">
        <v>413</v>
      </c>
      <c r="HP89">
        <v>0</v>
      </c>
      <c r="HR89">
        <v>941</v>
      </c>
      <c r="HS89">
        <v>154</v>
      </c>
      <c r="HX89">
        <v>1095</v>
      </c>
      <c r="HY89">
        <v>2147</v>
      </c>
      <c r="HZ89">
        <v>154</v>
      </c>
      <c r="IA89">
        <v>0</v>
      </c>
      <c r="IB89">
        <v>0</v>
      </c>
      <c r="IC89">
        <v>0</v>
      </c>
      <c r="ID89">
        <v>0</v>
      </c>
      <c r="IE89">
        <v>2301</v>
      </c>
      <c r="IG89">
        <v>154</v>
      </c>
      <c r="IL89">
        <v>154</v>
      </c>
      <c r="IM89">
        <v>345</v>
      </c>
      <c r="IS89">
        <v>345</v>
      </c>
      <c r="IT89">
        <v>1802</v>
      </c>
      <c r="IZ89">
        <v>1802</v>
      </c>
      <c r="JG89">
        <v>0</v>
      </c>
      <c r="JN89">
        <v>0</v>
      </c>
      <c r="JO89">
        <v>2147</v>
      </c>
      <c r="JP89">
        <v>154</v>
      </c>
      <c r="JQ89">
        <v>0</v>
      </c>
      <c r="JR89">
        <v>0</v>
      </c>
      <c r="JS89">
        <v>0</v>
      </c>
      <c r="JT89">
        <v>0</v>
      </c>
      <c r="JU89">
        <v>2301</v>
      </c>
      <c r="JW89">
        <v>30</v>
      </c>
      <c r="JX89">
        <v>70</v>
      </c>
      <c r="KA89">
        <v>1</v>
      </c>
      <c r="KB89">
        <v>3</v>
      </c>
      <c r="KC89">
        <v>2</v>
      </c>
      <c r="KD89" t="s">
        <v>407</v>
      </c>
      <c r="KK89">
        <v>0</v>
      </c>
      <c r="KR89">
        <v>0</v>
      </c>
      <c r="KS89">
        <v>100</v>
      </c>
      <c r="KY89">
        <v>100</v>
      </c>
      <c r="LF89">
        <v>0</v>
      </c>
      <c r="LM89">
        <v>0</v>
      </c>
      <c r="LN89">
        <v>30</v>
      </c>
      <c r="LT89">
        <v>30</v>
      </c>
      <c r="MA89">
        <v>0</v>
      </c>
      <c r="MD89">
        <v>154</v>
      </c>
      <c r="MI89">
        <v>154</v>
      </c>
      <c r="MJ89">
        <v>130</v>
      </c>
      <c r="MK89">
        <v>154</v>
      </c>
      <c r="ML89">
        <v>0</v>
      </c>
      <c r="MM89">
        <v>0</v>
      </c>
      <c r="MN89">
        <v>0</v>
      </c>
      <c r="MO89">
        <v>0</v>
      </c>
      <c r="MP89">
        <v>284</v>
      </c>
      <c r="MQ89">
        <v>30</v>
      </c>
      <c r="MW89">
        <v>30</v>
      </c>
      <c r="MY89">
        <v>154</v>
      </c>
      <c r="ND89">
        <v>154</v>
      </c>
      <c r="NE89">
        <v>100</v>
      </c>
      <c r="NK89">
        <v>100</v>
      </c>
      <c r="NR89">
        <v>0</v>
      </c>
      <c r="NY89">
        <v>0</v>
      </c>
      <c r="NZ89">
        <v>130</v>
      </c>
      <c r="OA89">
        <v>154</v>
      </c>
      <c r="OB89">
        <v>0</v>
      </c>
      <c r="OC89">
        <v>0</v>
      </c>
      <c r="OD89">
        <v>0</v>
      </c>
      <c r="OE89">
        <v>0</v>
      </c>
      <c r="OF89">
        <v>284</v>
      </c>
      <c r="OG89" t="s">
        <v>408</v>
      </c>
      <c r="OH89">
        <v>20</v>
      </c>
      <c r="ON89">
        <v>20</v>
      </c>
      <c r="OU89">
        <v>0</v>
      </c>
      <c r="PB89">
        <v>0</v>
      </c>
      <c r="PI89">
        <v>0</v>
      </c>
      <c r="PP89">
        <v>0</v>
      </c>
      <c r="PW89">
        <v>0</v>
      </c>
      <c r="QD89">
        <v>0</v>
      </c>
      <c r="QF89">
        <v>595</v>
      </c>
      <c r="QL89">
        <v>595</v>
      </c>
      <c r="QM89">
        <v>615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615</v>
      </c>
      <c r="QT89">
        <v>315</v>
      </c>
      <c r="QZ89">
        <v>315</v>
      </c>
      <c r="RG89">
        <v>0</v>
      </c>
      <c r="RH89">
        <v>300</v>
      </c>
      <c r="RN89">
        <v>300</v>
      </c>
      <c r="RU89">
        <v>0</v>
      </c>
      <c r="SB89">
        <v>0</v>
      </c>
      <c r="SC89">
        <v>615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615</v>
      </c>
      <c r="SJ89" t="s">
        <v>409</v>
      </c>
      <c r="SK89">
        <v>389</v>
      </c>
      <c r="SQ89">
        <v>389</v>
      </c>
      <c r="SR89">
        <v>129</v>
      </c>
      <c r="SX89">
        <v>129</v>
      </c>
      <c r="SY89">
        <v>13</v>
      </c>
      <c r="TE89">
        <v>13</v>
      </c>
      <c r="TF89">
        <v>107</v>
      </c>
      <c r="TL89">
        <v>107</v>
      </c>
      <c r="TM89">
        <v>34</v>
      </c>
      <c r="TS89">
        <v>34</v>
      </c>
      <c r="TT89">
        <v>383</v>
      </c>
      <c r="TZ89">
        <v>383</v>
      </c>
      <c r="UG89">
        <v>0</v>
      </c>
      <c r="UI89">
        <v>347</v>
      </c>
      <c r="UO89">
        <v>347</v>
      </c>
      <c r="UP89">
        <v>1402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1402</v>
      </c>
      <c r="VC89">
        <v>0</v>
      </c>
      <c r="VJ89">
        <v>0</v>
      </c>
      <c r="VK89">
        <v>1402</v>
      </c>
      <c r="VQ89">
        <v>1402</v>
      </c>
      <c r="VX89">
        <v>0</v>
      </c>
      <c r="WE89">
        <v>0</v>
      </c>
      <c r="WF89">
        <v>1402</v>
      </c>
      <c r="WG89">
        <v>0</v>
      </c>
      <c r="WH89">
        <v>0</v>
      </c>
      <c r="WI89">
        <v>0</v>
      </c>
      <c r="WJ89">
        <v>0</v>
      </c>
      <c r="WK89">
        <v>0</v>
      </c>
      <c r="WL89">
        <v>1402</v>
      </c>
      <c r="WM89" t="s">
        <v>410</v>
      </c>
      <c r="AAP89" t="s">
        <v>411</v>
      </c>
      <c r="AES89" t="s">
        <v>412</v>
      </c>
    </row>
    <row r="90" spans="1:825" x14ac:dyDescent="0.2">
      <c r="A90" t="s">
        <v>1066</v>
      </c>
      <c r="B90" t="s">
        <v>396</v>
      </c>
      <c r="C90" t="s">
        <v>1067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>
        <v>564</v>
      </c>
      <c r="W90" s="20">
        <v>43502.676388888889</v>
      </c>
      <c r="X90" t="s">
        <v>1068</v>
      </c>
      <c r="Y90">
        <v>2019</v>
      </c>
      <c r="Z90" t="s">
        <v>1069</v>
      </c>
      <c r="AA90" t="s">
        <v>1070</v>
      </c>
      <c r="AB90" t="str">
        <f>VLOOKUP(MID(AD90,SEARCH("@",AD90,1),LEN(AD90)-SEARCH("@",AD90,1)+1),[2]Sheet1!$D:$F,3,FALSE)</f>
        <v>M751</v>
      </c>
      <c r="AC90" t="s">
        <v>1071</v>
      </c>
      <c r="AD90" t="s">
        <v>1072</v>
      </c>
      <c r="AE90">
        <v>3522484711</v>
      </c>
      <c r="AF90" t="s">
        <v>1073</v>
      </c>
      <c r="AG90" t="s">
        <v>403</v>
      </c>
      <c r="AI90">
        <v>1</v>
      </c>
      <c r="AL90">
        <v>214</v>
      </c>
      <c r="AN90">
        <v>96</v>
      </c>
      <c r="AV90">
        <v>0</v>
      </c>
      <c r="AW90">
        <v>214</v>
      </c>
      <c r="BC90">
        <v>214</v>
      </c>
      <c r="BJ90">
        <v>0</v>
      </c>
      <c r="BQ90">
        <v>0</v>
      </c>
      <c r="BX90">
        <v>0</v>
      </c>
      <c r="CE90">
        <v>0</v>
      </c>
      <c r="CF90">
        <v>214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214</v>
      </c>
      <c r="CS90">
        <v>0</v>
      </c>
      <c r="CT90">
        <v>2</v>
      </c>
      <c r="CZ90">
        <v>2</v>
      </c>
      <c r="DG90">
        <v>0</v>
      </c>
      <c r="DN90">
        <v>0</v>
      </c>
      <c r="DU90">
        <v>0</v>
      </c>
      <c r="EB90">
        <v>0</v>
      </c>
      <c r="EC90">
        <v>2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2</v>
      </c>
      <c r="EJ90" t="s">
        <v>404</v>
      </c>
      <c r="EK90" t="s">
        <v>404</v>
      </c>
      <c r="EL90" t="s">
        <v>404</v>
      </c>
      <c r="EM90" t="s">
        <v>404</v>
      </c>
      <c r="EN90" t="s">
        <v>404</v>
      </c>
      <c r="EO90" t="s">
        <v>404</v>
      </c>
      <c r="EP90" t="s">
        <v>405</v>
      </c>
      <c r="EQ90" t="s">
        <v>404</v>
      </c>
      <c r="ER90" t="s">
        <v>404</v>
      </c>
      <c r="ES90" t="s">
        <v>404</v>
      </c>
      <c r="ET90" t="s">
        <v>404</v>
      </c>
      <c r="EU90" t="s">
        <v>404</v>
      </c>
      <c r="EV90" t="s">
        <v>404</v>
      </c>
      <c r="EW90" t="s">
        <v>404</v>
      </c>
      <c r="EX90" t="s">
        <v>404</v>
      </c>
      <c r="EY90" t="s">
        <v>404</v>
      </c>
      <c r="EZ90" t="s">
        <v>404</v>
      </c>
      <c r="FA90" t="s">
        <v>404</v>
      </c>
      <c r="FB90" t="s">
        <v>404</v>
      </c>
      <c r="FC90" t="s">
        <v>404</v>
      </c>
      <c r="FD90" t="s">
        <v>404</v>
      </c>
      <c r="FE90" t="s">
        <v>404</v>
      </c>
      <c r="FF90" t="s">
        <v>404</v>
      </c>
      <c r="FG90" t="s">
        <v>404</v>
      </c>
      <c r="FH90" t="s">
        <v>404</v>
      </c>
      <c r="FI90" t="s">
        <v>404</v>
      </c>
      <c r="FJ90" t="s">
        <v>404</v>
      </c>
      <c r="FK90" t="s">
        <v>404</v>
      </c>
      <c r="FL90" t="s">
        <v>404</v>
      </c>
      <c r="FM90" t="s">
        <v>404</v>
      </c>
      <c r="FN90" t="s">
        <v>404</v>
      </c>
      <c r="FO90" t="s">
        <v>404</v>
      </c>
      <c r="FP90" t="s">
        <v>404</v>
      </c>
      <c r="FQ90" t="s">
        <v>404</v>
      </c>
      <c r="FR90" t="s">
        <v>404</v>
      </c>
      <c r="FS90" t="s">
        <v>404</v>
      </c>
      <c r="FT90">
        <v>43</v>
      </c>
      <c r="FZ90">
        <v>43</v>
      </c>
      <c r="GA90">
        <v>22</v>
      </c>
      <c r="GG90">
        <v>22</v>
      </c>
      <c r="GN90">
        <v>0</v>
      </c>
      <c r="GU90">
        <v>0</v>
      </c>
      <c r="HB90">
        <v>0</v>
      </c>
      <c r="HC90">
        <v>1</v>
      </c>
      <c r="HI90">
        <v>1</v>
      </c>
      <c r="HJ90">
        <v>127</v>
      </c>
      <c r="HP90">
        <v>127</v>
      </c>
      <c r="HQ90" t="s">
        <v>1074</v>
      </c>
      <c r="HR90">
        <v>21</v>
      </c>
      <c r="HX90">
        <v>21</v>
      </c>
      <c r="HY90">
        <v>214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214</v>
      </c>
      <c r="IL90">
        <v>0</v>
      </c>
      <c r="IM90">
        <v>214</v>
      </c>
      <c r="IS90">
        <v>214</v>
      </c>
      <c r="IZ90">
        <v>0</v>
      </c>
      <c r="JG90">
        <v>0</v>
      </c>
      <c r="JN90">
        <v>0</v>
      </c>
      <c r="JO90">
        <v>214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214</v>
      </c>
      <c r="JX90">
        <v>10</v>
      </c>
      <c r="JY90" t="s">
        <v>1075</v>
      </c>
      <c r="JZ90">
        <v>90</v>
      </c>
      <c r="KA90">
        <v>1</v>
      </c>
      <c r="KB90">
        <v>1</v>
      </c>
      <c r="KC90">
        <v>1</v>
      </c>
      <c r="KD90" t="s">
        <v>407</v>
      </c>
      <c r="OG90" t="s">
        <v>408</v>
      </c>
      <c r="SJ90" t="s">
        <v>409</v>
      </c>
      <c r="WM90" t="s">
        <v>410</v>
      </c>
      <c r="AAP90" t="s">
        <v>411</v>
      </c>
      <c r="AES90" t="s">
        <v>412</v>
      </c>
    </row>
    <row r="91" spans="1:825" x14ac:dyDescent="0.2">
      <c r="A91" t="s">
        <v>1076</v>
      </c>
      <c r="B91" t="s">
        <v>414</v>
      </c>
      <c r="C91" t="s">
        <v>1077</v>
      </c>
      <c r="P91" t="b">
        <v>0</v>
      </c>
      <c r="Q91" t="b">
        <v>1</v>
      </c>
      <c r="R91" t="b">
        <v>0</v>
      </c>
      <c r="S91" t="b">
        <v>0</v>
      </c>
      <c r="T91" t="b">
        <v>0</v>
      </c>
      <c r="U91" t="b">
        <v>0</v>
      </c>
      <c r="V91">
        <v>697</v>
      </c>
      <c r="W91" s="20">
        <v>43501.991666666669</v>
      </c>
      <c r="X91" t="s">
        <v>1078</v>
      </c>
      <c r="Y91">
        <v>2019</v>
      </c>
      <c r="Z91" t="s">
        <v>1079</v>
      </c>
      <c r="AA91" t="s">
        <v>1080</v>
      </c>
      <c r="AB91" t="str">
        <f>VLOOKUP(MID(AD91,SEARCH("@",AD91,1),LEN(AD91)-SEARCH("@",AD91,1)+1),[2]Sheet1!$D:$F,3,FALSE)</f>
        <v>M0224</v>
      </c>
      <c r="AC91" t="s">
        <v>1081</v>
      </c>
      <c r="AD91" t="s">
        <v>1082</v>
      </c>
      <c r="AE91">
        <v>61299947851</v>
      </c>
      <c r="AF91" t="s">
        <v>420</v>
      </c>
      <c r="AG91" t="s">
        <v>421</v>
      </c>
      <c r="AI91">
        <v>1</v>
      </c>
      <c r="AL91">
        <v>100</v>
      </c>
      <c r="AM91">
        <v>100</v>
      </c>
      <c r="AN91">
        <v>100</v>
      </c>
      <c r="AO91">
        <v>100</v>
      </c>
      <c r="AQ91">
        <v>100</v>
      </c>
      <c r="AV91">
        <v>100</v>
      </c>
      <c r="BC91">
        <v>0</v>
      </c>
      <c r="BJ91">
        <v>0</v>
      </c>
      <c r="BQ91">
        <v>0</v>
      </c>
      <c r="BX91">
        <v>0</v>
      </c>
      <c r="CE91">
        <v>0</v>
      </c>
      <c r="CF91">
        <v>0</v>
      </c>
      <c r="CG91">
        <v>100</v>
      </c>
      <c r="CH91">
        <v>0</v>
      </c>
      <c r="CI91">
        <v>0</v>
      </c>
      <c r="CJ91">
        <v>0</v>
      </c>
      <c r="CK91">
        <v>0</v>
      </c>
      <c r="CL91">
        <v>100</v>
      </c>
      <c r="CN91">
        <v>1</v>
      </c>
      <c r="CS91">
        <v>1</v>
      </c>
      <c r="CZ91">
        <v>0</v>
      </c>
      <c r="DG91">
        <v>0</v>
      </c>
      <c r="DN91">
        <v>0</v>
      </c>
      <c r="DU91">
        <v>0</v>
      </c>
      <c r="EB91">
        <v>0</v>
      </c>
      <c r="EC91">
        <v>0</v>
      </c>
      <c r="ED91">
        <v>1</v>
      </c>
      <c r="EE91">
        <v>0</v>
      </c>
      <c r="EF91">
        <v>0</v>
      </c>
      <c r="EG91">
        <v>0</v>
      </c>
      <c r="EH91">
        <v>0</v>
      </c>
      <c r="EI91">
        <v>1</v>
      </c>
      <c r="EJ91" t="s">
        <v>404</v>
      </c>
      <c r="EK91" t="s">
        <v>405</v>
      </c>
      <c r="EL91" t="s">
        <v>404</v>
      </c>
      <c r="EM91" t="s">
        <v>404</v>
      </c>
      <c r="EN91" t="s">
        <v>404</v>
      </c>
      <c r="EO91" t="s">
        <v>404</v>
      </c>
      <c r="EP91" t="s">
        <v>404</v>
      </c>
      <c r="EQ91" t="s">
        <v>404</v>
      </c>
      <c r="ER91" t="s">
        <v>404</v>
      </c>
      <c r="ES91" t="s">
        <v>404</v>
      </c>
      <c r="ET91" t="s">
        <v>404</v>
      </c>
      <c r="EU91" t="s">
        <v>404</v>
      </c>
      <c r="EV91" t="s">
        <v>404</v>
      </c>
      <c r="EW91" t="s">
        <v>404</v>
      </c>
      <c r="EX91" t="s">
        <v>404</v>
      </c>
      <c r="EY91" t="s">
        <v>404</v>
      </c>
      <c r="EZ91" t="s">
        <v>404</v>
      </c>
      <c r="FA91" t="s">
        <v>404</v>
      </c>
      <c r="FB91" t="s">
        <v>404</v>
      </c>
      <c r="FC91" t="s">
        <v>404</v>
      </c>
      <c r="FD91" t="s">
        <v>404</v>
      </c>
      <c r="FE91" t="s">
        <v>404</v>
      </c>
      <c r="FF91" t="s">
        <v>404</v>
      </c>
      <c r="FG91" t="s">
        <v>404</v>
      </c>
      <c r="FH91" t="s">
        <v>404</v>
      </c>
      <c r="FI91" t="s">
        <v>404</v>
      </c>
      <c r="FJ91" t="s">
        <v>404</v>
      </c>
      <c r="FK91" t="s">
        <v>404</v>
      </c>
      <c r="FL91" t="s">
        <v>404</v>
      </c>
      <c r="FM91" t="s">
        <v>404</v>
      </c>
      <c r="FN91" t="s">
        <v>404</v>
      </c>
      <c r="FO91" t="s">
        <v>404</v>
      </c>
      <c r="FP91" t="s">
        <v>404</v>
      </c>
      <c r="FQ91" t="s">
        <v>404</v>
      </c>
      <c r="FR91" t="s">
        <v>404</v>
      </c>
      <c r="FS91" t="s">
        <v>404</v>
      </c>
      <c r="FZ91">
        <v>0</v>
      </c>
      <c r="GB91">
        <v>100</v>
      </c>
      <c r="GG91">
        <v>100</v>
      </c>
      <c r="GN91">
        <v>0</v>
      </c>
      <c r="GU91">
        <v>0</v>
      </c>
      <c r="HB91">
        <v>0</v>
      </c>
      <c r="HI91">
        <v>0</v>
      </c>
      <c r="HP91">
        <v>0</v>
      </c>
      <c r="HX91">
        <v>0</v>
      </c>
      <c r="HY91">
        <v>0</v>
      </c>
      <c r="HZ91">
        <v>100</v>
      </c>
      <c r="IA91">
        <v>0</v>
      </c>
      <c r="IB91">
        <v>0</v>
      </c>
      <c r="IC91">
        <v>0</v>
      </c>
      <c r="ID91">
        <v>0</v>
      </c>
      <c r="IE91">
        <v>100</v>
      </c>
      <c r="IG91">
        <v>100</v>
      </c>
      <c r="IL91">
        <v>100</v>
      </c>
      <c r="IS91">
        <v>0</v>
      </c>
      <c r="IZ91">
        <v>0</v>
      </c>
      <c r="JG91">
        <v>0</v>
      </c>
      <c r="JN91">
        <v>0</v>
      </c>
      <c r="JO91">
        <v>0</v>
      </c>
      <c r="JP91">
        <v>100</v>
      </c>
      <c r="JQ91">
        <v>0</v>
      </c>
      <c r="JR91">
        <v>0</v>
      </c>
      <c r="JS91">
        <v>0</v>
      </c>
      <c r="JT91">
        <v>0</v>
      </c>
      <c r="JU91">
        <v>100</v>
      </c>
      <c r="JX91">
        <v>100</v>
      </c>
      <c r="KA91">
        <v>1</v>
      </c>
      <c r="KB91">
        <v>3</v>
      </c>
      <c r="KC91">
        <v>1</v>
      </c>
      <c r="KD91" t="s">
        <v>407</v>
      </c>
      <c r="OG91" t="s">
        <v>408</v>
      </c>
      <c r="SJ91" t="s">
        <v>409</v>
      </c>
      <c r="WM91" t="s">
        <v>410</v>
      </c>
      <c r="AAP91" t="s">
        <v>411</v>
      </c>
      <c r="AES91" t="s">
        <v>412</v>
      </c>
    </row>
    <row r="92" spans="1:825" x14ac:dyDescent="0.2">
      <c r="A92" t="s">
        <v>1083</v>
      </c>
      <c r="B92" t="s">
        <v>414</v>
      </c>
      <c r="C92" t="s">
        <v>1084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>
        <v>709</v>
      </c>
      <c r="W92" s="20">
        <v>43508.343055555553</v>
      </c>
      <c r="X92" t="s">
        <v>1085</v>
      </c>
      <c r="Y92">
        <v>2019</v>
      </c>
      <c r="Z92" t="s">
        <v>1086</v>
      </c>
      <c r="AA92" t="s">
        <v>1084</v>
      </c>
      <c r="AB92" t="str">
        <f>VLOOKUP(MID(AD92,SEARCH("@",AD92,1),LEN(AD92)-SEARCH("@",AD92,1)+1),[2]Sheet1!$D:$F,3,FALSE)</f>
        <v>M0035</v>
      </c>
      <c r="AC92" t="s">
        <v>1087</v>
      </c>
      <c r="AD92" t="s">
        <v>1088</v>
      </c>
      <c r="AE92" t="s">
        <v>1089</v>
      </c>
      <c r="AF92" t="s">
        <v>537</v>
      </c>
      <c r="AG92" t="s">
        <v>538</v>
      </c>
      <c r="AI92">
        <v>2</v>
      </c>
      <c r="AJ92">
        <v>6</v>
      </c>
      <c r="AK92" t="s">
        <v>1090</v>
      </c>
      <c r="AV92">
        <v>0</v>
      </c>
      <c r="BC92">
        <v>0</v>
      </c>
      <c r="BJ92">
        <v>0</v>
      </c>
      <c r="BQ92">
        <v>0</v>
      </c>
      <c r="BX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S92">
        <v>0</v>
      </c>
      <c r="CZ92">
        <v>0</v>
      </c>
      <c r="DG92">
        <v>0</v>
      </c>
      <c r="DN92">
        <v>0</v>
      </c>
      <c r="DU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 t="s">
        <v>404</v>
      </c>
      <c r="EK92" t="s">
        <v>404</v>
      </c>
      <c r="EL92" t="s">
        <v>404</v>
      </c>
      <c r="EM92" t="s">
        <v>404</v>
      </c>
      <c r="EN92" t="s">
        <v>404</v>
      </c>
      <c r="EO92" t="s">
        <v>404</v>
      </c>
      <c r="EP92" t="s">
        <v>404</v>
      </c>
      <c r="EQ92" t="s">
        <v>404</v>
      </c>
      <c r="ER92" t="s">
        <v>404</v>
      </c>
      <c r="ES92" t="s">
        <v>404</v>
      </c>
      <c r="ET92" t="s">
        <v>404</v>
      </c>
      <c r="EU92" t="s">
        <v>404</v>
      </c>
      <c r="EV92" t="s">
        <v>404</v>
      </c>
      <c r="EW92" t="s">
        <v>404</v>
      </c>
      <c r="EX92" t="s">
        <v>404</v>
      </c>
      <c r="EY92" t="s">
        <v>404</v>
      </c>
      <c r="EZ92" t="s">
        <v>404</v>
      </c>
      <c r="FA92" t="s">
        <v>404</v>
      </c>
      <c r="FB92" t="s">
        <v>404</v>
      </c>
      <c r="FC92" t="s">
        <v>404</v>
      </c>
      <c r="FD92" t="s">
        <v>404</v>
      </c>
      <c r="FE92" t="s">
        <v>404</v>
      </c>
      <c r="FF92" t="s">
        <v>404</v>
      </c>
      <c r="FG92" t="s">
        <v>404</v>
      </c>
      <c r="FH92" t="s">
        <v>404</v>
      </c>
      <c r="FI92" t="s">
        <v>404</v>
      </c>
      <c r="FJ92" t="s">
        <v>404</v>
      </c>
      <c r="FK92" t="s">
        <v>404</v>
      </c>
      <c r="FL92" t="s">
        <v>404</v>
      </c>
      <c r="FM92" t="s">
        <v>404</v>
      </c>
      <c r="FN92" t="s">
        <v>404</v>
      </c>
      <c r="FO92" t="s">
        <v>404</v>
      </c>
      <c r="FP92" t="s">
        <v>404</v>
      </c>
      <c r="FQ92" t="s">
        <v>404</v>
      </c>
      <c r="FR92" t="s">
        <v>404</v>
      </c>
      <c r="FS92" t="s">
        <v>404</v>
      </c>
      <c r="FZ92">
        <v>0</v>
      </c>
      <c r="GG92">
        <v>0</v>
      </c>
      <c r="GN92">
        <v>0</v>
      </c>
      <c r="GU92">
        <v>0</v>
      </c>
      <c r="HB92">
        <v>0</v>
      </c>
      <c r="HI92">
        <v>0</v>
      </c>
      <c r="HP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L92">
        <v>0</v>
      </c>
      <c r="IS92">
        <v>0</v>
      </c>
      <c r="IZ92">
        <v>0</v>
      </c>
      <c r="JG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KA92">
        <v>1</v>
      </c>
      <c r="KB92">
        <v>3</v>
      </c>
      <c r="KC92">
        <v>1</v>
      </c>
      <c r="KD92" t="s">
        <v>407</v>
      </c>
      <c r="OG92" t="s">
        <v>408</v>
      </c>
      <c r="SJ92" t="s">
        <v>409</v>
      </c>
      <c r="WM92" t="s">
        <v>410</v>
      </c>
      <c r="AAP92" t="s">
        <v>411</v>
      </c>
      <c r="AES92" t="s">
        <v>412</v>
      </c>
    </row>
    <row r="93" spans="1:825" x14ac:dyDescent="0.2">
      <c r="A93" t="s">
        <v>1091</v>
      </c>
      <c r="B93" t="s">
        <v>414</v>
      </c>
      <c r="C93" t="s">
        <v>1092</v>
      </c>
      <c r="P93" t="b">
        <v>0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V93">
        <v>690</v>
      </c>
      <c r="W93" s="20">
        <v>43515.97152777778</v>
      </c>
      <c r="X93" t="s">
        <v>978</v>
      </c>
      <c r="Y93">
        <v>2019</v>
      </c>
      <c r="Z93" t="s">
        <v>1093</v>
      </c>
      <c r="AA93" t="s">
        <v>1092</v>
      </c>
      <c r="AB93" t="str">
        <f>VLOOKUP(MID(AD93,SEARCH("@",AD93,1),LEN(AD93)-SEARCH("@",AD93,1)+1),[2]Sheet1!$D:$F,3,FALSE)</f>
        <v>M0075</v>
      </c>
      <c r="AC93" t="s">
        <v>1094</v>
      </c>
      <c r="AD93" t="s">
        <v>1095</v>
      </c>
      <c r="AE93" t="s">
        <v>1096</v>
      </c>
      <c r="AF93" t="s">
        <v>420</v>
      </c>
      <c r="AG93" t="s">
        <v>421</v>
      </c>
      <c r="AI93">
        <v>1</v>
      </c>
      <c r="AL93">
        <v>327.10000000000002</v>
      </c>
      <c r="AM93">
        <v>327.10000000000002</v>
      </c>
      <c r="AN93">
        <v>327.10000000000002</v>
      </c>
      <c r="AO93">
        <v>327.10000000000002</v>
      </c>
      <c r="AP93">
        <v>327.10000000000002</v>
      </c>
      <c r="AV93">
        <v>327.10000000000002</v>
      </c>
      <c r="BC93">
        <v>0</v>
      </c>
      <c r="BJ93">
        <v>0</v>
      </c>
      <c r="BQ93">
        <v>0</v>
      </c>
      <c r="BX93">
        <v>0</v>
      </c>
      <c r="CE93">
        <v>0</v>
      </c>
      <c r="CF93">
        <v>327.10000000000002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327.10000000000002</v>
      </c>
      <c r="CM93">
        <v>2</v>
      </c>
      <c r="CS93">
        <v>2</v>
      </c>
      <c r="CZ93">
        <v>0</v>
      </c>
      <c r="DG93">
        <v>0</v>
      </c>
      <c r="DN93">
        <v>0</v>
      </c>
      <c r="DU93">
        <v>0</v>
      </c>
      <c r="EB93">
        <v>0</v>
      </c>
      <c r="EC93">
        <v>2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2</v>
      </c>
      <c r="EJ93" t="s">
        <v>405</v>
      </c>
      <c r="EK93" t="s">
        <v>404</v>
      </c>
      <c r="EL93" t="s">
        <v>404</v>
      </c>
      <c r="EM93" t="s">
        <v>404</v>
      </c>
      <c r="EN93" t="s">
        <v>404</v>
      </c>
      <c r="EO93" t="s">
        <v>404</v>
      </c>
      <c r="EP93" t="s">
        <v>404</v>
      </c>
      <c r="EQ93" t="s">
        <v>404</v>
      </c>
      <c r="ER93" t="s">
        <v>404</v>
      </c>
      <c r="ES93" t="s">
        <v>404</v>
      </c>
      <c r="ET93" t="s">
        <v>404</v>
      </c>
      <c r="EU93" t="s">
        <v>404</v>
      </c>
      <c r="EV93" t="s">
        <v>404</v>
      </c>
      <c r="EW93" t="s">
        <v>404</v>
      </c>
      <c r="EX93" t="s">
        <v>404</v>
      </c>
      <c r="EY93" t="s">
        <v>404</v>
      </c>
      <c r="EZ93" t="s">
        <v>404</v>
      </c>
      <c r="FA93" t="s">
        <v>404</v>
      </c>
      <c r="FB93" t="s">
        <v>404</v>
      </c>
      <c r="FC93" t="s">
        <v>404</v>
      </c>
      <c r="FD93" t="s">
        <v>404</v>
      </c>
      <c r="FE93" t="s">
        <v>404</v>
      </c>
      <c r="FF93" t="s">
        <v>404</v>
      </c>
      <c r="FG93" t="s">
        <v>404</v>
      </c>
      <c r="FH93" t="s">
        <v>404</v>
      </c>
      <c r="FI93" t="s">
        <v>404</v>
      </c>
      <c r="FJ93" t="s">
        <v>404</v>
      </c>
      <c r="FK93" t="s">
        <v>404</v>
      </c>
      <c r="FL93" t="s">
        <v>404</v>
      </c>
      <c r="FM93" t="s">
        <v>404</v>
      </c>
      <c r="FN93" t="s">
        <v>404</v>
      </c>
      <c r="FO93" t="s">
        <v>404</v>
      </c>
      <c r="FP93" t="s">
        <v>404</v>
      </c>
      <c r="FQ93" t="s">
        <v>404</v>
      </c>
      <c r="FR93" t="s">
        <v>404</v>
      </c>
      <c r="FS93" t="s">
        <v>404</v>
      </c>
      <c r="FT93">
        <v>243.1</v>
      </c>
      <c r="FZ93">
        <v>243.1</v>
      </c>
      <c r="GG93">
        <v>0</v>
      </c>
      <c r="GN93">
        <v>0</v>
      </c>
      <c r="GO93">
        <v>40</v>
      </c>
      <c r="GU93">
        <v>40</v>
      </c>
      <c r="GV93">
        <v>12.9</v>
      </c>
      <c r="HB93">
        <v>12.9</v>
      </c>
      <c r="HC93">
        <v>31.1</v>
      </c>
      <c r="HI93">
        <v>31.1</v>
      </c>
      <c r="HP93">
        <v>0</v>
      </c>
      <c r="HX93">
        <v>0</v>
      </c>
      <c r="HY93">
        <v>327.10000000000002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327.10000000000002</v>
      </c>
      <c r="IF93">
        <v>280.8</v>
      </c>
      <c r="IL93">
        <v>280.8</v>
      </c>
      <c r="IM93">
        <v>46.3</v>
      </c>
      <c r="IS93">
        <v>46.3</v>
      </c>
      <c r="IZ93">
        <v>0</v>
      </c>
      <c r="JG93">
        <v>0</v>
      </c>
      <c r="JN93">
        <v>0</v>
      </c>
      <c r="JO93">
        <v>327.10000000000002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327.10000000000002</v>
      </c>
      <c r="JX93">
        <v>100</v>
      </c>
      <c r="KA93">
        <v>2</v>
      </c>
      <c r="KB93">
        <v>3</v>
      </c>
      <c r="KC93">
        <v>1</v>
      </c>
      <c r="KD93" t="s">
        <v>407</v>
      </c>
      <c r="OG93" t="s">
        <v>408</v>
      </c>
      <c r="SJ93" t="s">
        <v>409</v>
      </c>
      <c r="WM93" t="s">
        <v>410</v>
      </c>
      <c r="AAP93" t="s">
        <v>411</v>
      </c>
      <c r="AES93" t="s">
        <v>412</v>
      </c>
    </row>
    <row r="94" spans="1:825" x14ac:dyDescent="0.2">
      <c r="A94" t="s">
        <v>1097</v>
      </c>
      <c r="B94" t="s">
        <v>396</v>
      </c>
      <c r="C94" t="s">
        <v>1098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>
        <v>575</v>
      </c>
      <c r="W94" s="20">
        <v>43523.621527777781</v>
      </c>
      <c r="X94" t="s">
        <v>1099</v>
      </c>
      <c r="Y94">
        <v>2019</v>
      </c>
      <c r="Z94" t="s">
        <v>1100</v>
      </c>
      <c r="AA94" t="s">
        <v>1098</v>
      </c>
      <c r="AB94" t="str">
        <f>VLOOKUP(MID(AD94,SEARCH("@",AD94,1),LEN(AD94)-SEARCH("@",AD94,1)+1),[2]Sheet1!$D:$F,3,FALSE)</f>
        <v>M411</v>
      </c>
      <c r="AC94" t="s">
        <v>450</v>
      </c>
      <c r="AD94" t="s">
        <v>1101</v>
      </c>
      <c r="AE94" t="e" vm="1">
        <f>_FV(_FV(1.212,"336"),"0681")</f>
        <v>#VALUE!</v>
      </c>
      <c r="AF94" t="s">
        <v>437</v>
      </c>
      <c r="AG94" t="s">
        <v>538</v>
      </c>
      <c r="AI94">
        <v>2</v>
      </c>
      <c r="AJ94">
        <v>6</v>
      </c>
      <c r="AK94" t="s">
        <v>1102</v>
      </c>
      <c r="AV94">
        <v>0</v>
      </c>
      <c r="BC94">
        <v>0</v>
      </c>
      <c r="BJ94">
        <v>0</v>
      </c>
      <c r="BQ94">
        <v>0</v>
      </c>
      <c r="BX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S94">
        <v>0</v>
      </c>
      <c r="CZ94">
        <v>0</v>
      </c>
      <c r="DG94">
        <v>0</v>
      </c>
      <c r="DN94">
        <v>0</v>
      </c>
      <c r="DU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 t="s">
        <v>404</v>
      </c>
      <c r="EK94" t="s">
        <v>404</v>
      </c>
      <c r="EL94" t="s">
        <v>404</v>
      </c>
      <c r="EM94" t="s">
        <v>404</v>
      </c>
      <c r="EN94" t="s">
        <v>404</v>
      </c>
      <c r="EO94" t="s">
        <v>404</v>
      </c>
      <c r="EP94" t="s">
        <v>404</v>
      </c>
      <c r="EQ94" t="s">
        <v>404</v>
      </c>
      <c r="ER94" t="s">
        <v>404</v>
      </c>
      <c r="ES94" t="s">
        <v>404</v>
      </c>
      <c r="ET94" t="s">
        <v>404</v>
      </c>
      <c r="EU94" t="s">
        <v>404</v>
      </c>
      <c r="EV94" t="s">
        <v>404</v>
      </c>
      <c r="EW94" t="s">
        <v>404</v>
      </c>
      <c r="EX94" t="s">
        <v>404</v>
      </c>
      <c r="EY94" t="s">
        <v>404</v>
      </c>
      <c r="EZ94" t="s">
        <v>404</v>
      </c>
      <c r="FA94" t="s">
        <v>404</v>
      </c>
      <c r="FB94" t="s">
        <v>404</v>
      </c>
      <c r="FC94" t="s">
        <v>404</v>
      </c>
      <c r="FD94" t="s">
        <v>404</v>
      </c>
      <c r="FE94" t="s">
        <v>404</v>
      </c>
      <c r="FF94" t="s">
        <v>404</v>
      </c>
      <c r="FG94" t="s">
        <v>404</v>
      </c>
      <c r="FH94" t="s">
        <v>404</v>
      </c>
      <c r="FI94" t="s">
        <v>404</v>
      </c>
      <c r="FJ94" t="s">
        <v>404</v>
      </c>
      <c r="FK94" t="s">
        <v>404</v>
      </c>
      <c r="FL94" t="s">
        <v>404</v>
      </c>
      <c r="FM94" t="s">
        <v>404</v>
      </c>
      <c r="FN94" t="s">
        <v>404</v>
      </c>
      <c r="FO94" t="s">
        <v>404</v>
      </c>
      <c r="FP94" t="s">
        <v>404</v>
      </c>
      <c r="FQ94" t="s">
        <v>404</v>
      </c>
      <c r="FR94" t="s">
        <v>404</v>
      </c>
      <c r="FS94" t="s">
        <v>404</v>
      </c>
      <c r="FZ94">
        <v>0</v>
      </c>
      <c r="GG94">
        <v>0</v>
      </c>
      <c r="GN94">
        <v>0</v>
      </c>
      <c r="GU94">
        <v>0</v>
      </c>
      <c r="HB94">
        <v>0</v>
      </c>
      <c r="HI94">
        <v>0</v>
      </c>
      <c r="HP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L94">
        <v>0</v>
      </c>
      <c r="IS94">
        <v>0</v>
      </c>
      <c r="IZ94">
        <v>0</v>
      </c>
      <c r="JG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KA94">
        <v>1</v>
      </c>
      <c r="KB94">
        <v>2</v>
      </c>
      <c r="KC94">
        <v>2</v>
      </c>
      <c r="KD94" t="s">
        <v>407</v>
      </c>
      <c r="OG94" t="s">
        <v>408</v>
      </c>
      <c r="SJ94" t="s">
        <v>409</v>
      </c>
      <c r="WM94" t="s">
        <v>410</v>
      </c>
      <c r="AAP94" t="s">
        <v>411</v>
      </c>
      <c r="AES94" t="s">
        <v>412</v>
      </c>
    </row>
    <row r="95" spans="1:825" x14ac:dyDescent="0.2">
      <c r="A95" t="s">
        <v>1103</v>
      </c>
      <c r="B95" t="s">
        <v>563</v>
      </c>
      <c r="C95" t="s">
        <v>1104</v>
      </c>
      <c r="D95" t="s">
        <v>697</v>
      </c>
      <c r="E95" s="3">
        <v>43518.814583333333</v>
      </c>
      <c r="F95" t="s">
        <v>479</v>
      </c>
      <c r="G95" s="3">
        <v>43518.817361111112</v>
      </c>
      <c r="H95" t="s">
        <v>502</v>
      </c>
      <c r="I95" s="3">
        <v>43518.819444444445</v>
      </c>
      <c r="J95" t="s">
        <v>709</v>
      </c>
      <c r="K95" s="3">
        <v>43518.821527777778</v>
      </c>
      <c r="P95" t="b">
        <v>1</v>
      </c>
      <c r="Q95" t="b">
        <v>1</v>
      </c>
      <c r="R95" t="b">
        <v>1</v>
      </c>
      <c r="S95" t="b">
        <v>1</v>
      </c>
      <c r="T95" t="b">
        <v>0</v>
      </c>
      <c r="U95" t="b">
        <v>0</v>
      </c>
      <c r="V95">
        <v>710</v>
      </c>
      <c r="W95" s="20">
        <v>43518.813888888886</v>
      </c>
      <c r="X95" t="s">
        <v>1105</v>
      </c>
      <c r="Y95">
        <v>2019</v>
      </c>
      <c r="Z95" t="s">
        <v>1106</v>
      </c>
      <c r="AA95" t="s">
        <v>1104</v>
      </c>
      <c r="AB95" t="str">
        <f>VLOOKUP(MID(AD95,SEARCH("@",AD95,1),LEN(AD95)-SEARCH("@",AD95,1)+1),[2]Sheet1!$D:$F,3,FALSE)</f>
        <v>M231</v>
      </c>
      <c r="AC95" t="s">
        <v>521</v>
      </c>
      <c r="AD95" t="s">
        <v>1107</v>
      </c>
      <c r="AE95" t="s">
        <v>1108</v>
      </c>
      <c r="AF95" t="s">
        <v>571</v>
      </c>
      <c r="AG95" t="s">
        <v>538</v>
      </c>
      <c r="AI95">
        <v>1</v>
      </c>
      <c r="AL95">
        <v>10918</v>
      </c>
      <c r="AM95">
        <v>9720</v>
      </c>
      <c r="AN95">
        <v>5119</v>
      </c>
      <c r="AO95">
        <v>4612</v>
      </c>
      <c r="AR95">
        <v>62</v>
      </c>
      <c r="AS95">
        <v>16</v>
      </c>
      <c r="AV95">
        <v>78</v>
      </c>
      <c r="AW95">
        <v>1683</v>
      </c>
      <c r="AX95">
        <v>803</v>
      </c>
      <c r="AY95">
        <v>1384</v>
      </c>
      <c r="BA95">
        <v>77</v>
      </c>
      <c r="BC95">
        <v>3947</v>
      </c>
      <c r="BD95">
        <v>971</v>
      </c>
      <c r="BE95">
        <v>289</v>
      </c>
      <c r="BF95">
        <v>100</v>
      </c>
      <c r="BJ95">
        <v>1360</v>
      </c>
      <c r="BL95">
        <v>0</v>
      </c>
      <c r="BM95">
        <v>3136</v>
      </c>
      <c r="BO95">
        <v>1199</v>
      </c>
      <c r="BQ95">
        <v>4335</v>
      </c>
      <c r="BX95">
        <v>0</v>
      </c>
      <c r="CE95">
        <v>0</v>
      </c>
      <c r="CF95">
        <v>2654</v>
      </c>
      <c r="CG95">
        <v>1092</v>
      </c>
      <c r="CH95">
        <v>4682</v>
      </c>
      <c r="CI95">
        <v>16</v>
      </c>
      <c r="CJ95">
        <v>1276</v>
      </c>
      <c r="CK95">
        <v>0</v>
      </c>
      <c r="CL95">
        <v>9720</v>
      </c>
      <c r="CO95">
        <v>3</v>
      </c>
      <c r="CP95">
        <v>1</v>
      </c>
      <c r="CS95">
        <v>4</v>
      </c>
      <c r="CT95">
        <v>4</v>
      </c>
      <c r="CU95">
        <v>9</v>
      </c>
      <c r="CV95">
        <v>7</v>
      </c>
      <c r="CX95">
        <v>1</v>
      </c>
      <c r="CZ95">
        <v>21</v>
      </c>
      <c r="DA95">
        <v>2</v>
      </c>
      <c r="DB95">
        <v>2</v>
      </c>
      <c r="DC95">
        <v>1</v>
      </c>
      <c r="DG95">
        <v>5</v>
      </c>
      <c r="DI95">
        <v>1</v>
      </c>
      <c r="DJ95">
        <v>9</v>
      </c>
      <c r="DL95">
        <v>1</v>
      </c>
      <c r="DN95">
        <v>11</v>
      </c>
      <c r="DU95">
        <v>0</v>
      </c>
      <c r="EB95">
        <v>0</v>
      </c>
      <c r="EC95">
        <v>6</v>
      </c>
      <c r="ED95">
        <v>12</v>
      </c>
      <c r="EE95">
        <v>20</v>
      </c>
      <c r="EF95">
        <v>1</v>
      </c>
      <c r="EG95">
        <v>2</v>
      </c>
      <c r="EH95">
        <v>0</v>
      </c>
      <c r="EI95">
        <v>41</v>
      </c>
      <c r="EJ95" t="s">
        <v>404</v>
      </c>
      <c r="EK95" t="s">
        <v>404</v>
      </c>
      <c r="EL95" t="s">
        <v>405</v>
      </c>
      <c r="EM95" t="s">
        <v>405</v>
      </c>
      <c r="EN95" t="s">
        <v>404</v>
      </c>
      <c r="EO95" t="s">
        <v>404</v>
      </c>
      <c r="EP95" t="s">
        <v>405</v>
      </c>
      <c r="EQ95" t="s">
        <v>405</v>
      </c>
      <c r="ER95" t="s">
        <v>405</v>
      </c>
      <c r="ES95" t="s">
        <v>404</v>
      </c>
      <c r="ET95" t="s">
        <v>405</v>
      </c>
      <c r="EU95" t="s">
        <v>404</v>
      </c>
      <c r="EV95" t="s">
        <v>405</v>
      </c>
      <c r="EW95" t="s">
        <v>405</v>
      </c>
      <c r="EX95" t="s">
        <v>405</v>
      </c>
      <c r="EY95" t="s">
        <v>404</v>
      </c>
      <c r="EZ95" t="s">
        <v>404</v>
      </c>
      <c r="FA95" t="s">
        <v>404</v>
      </c>
      <c r="FB95" t="s">
        <v>404</v>
      </c>
      <c r="FC95" t="s">
        <v>405</v>
      </c>
      <c r="FD95" t="s">
        <v>405</v>
      </c>
      <c r="FE95" t="s">
        <v>404</v>
      </c>
      <c r="FF95" t="s">
        <v>405</v>
      </c>
      <c r="FG95" t="s">
        <v>404</v>
      </c>
      <c r="FH95" t="s">
        <v>404</v>
      </c>
      <c r="FI95" t="s">
        <v>404</v>
      </c>
      <c r="FJ95" t="s">
        <v>404</v>
      </c>
      <c r="FK95" t="s">
        <v>404</v>
      </c>
      <c r="FL95" t="s">
        <v>404</v>
      </c>
      <c r="FM95" t="s">
        <v>404</v>
      </c>
      <c r="FN95" t="s">
        <v>404</v>
      </c>
      <c r="FO95" t="s">
        <v>404</v>
      </c>
      <c r="FP95" t="s">
        <v>404</v>
      </c>
      <c r="FQ95" t="s">
        <v>404</v>
      </c>
      <c r="FR95" t="s">
        <v>404</v>
      </c>
      <c r="FS95" t="s">
        <v>404</v>
      </c>
      <c r="FT95">
        <v>1394</v>
      </c>
      <c r="FU95">
        <v>635</v>
      </c>
      <c r="FV95">
        <v>1966</v>
      </c>
      <c r="FX95">
        <v>651</v>
      </c>
      <c r="FZ95">
        <v>4646</v>
      </c>
      <c r="GA95">
        <v>278</v>
      </c>
      <c r="GB95">
        <v>83</v>
      </c>
      <c r="GC95">
        <v>1461</v>
      </c>
      <c r="GD95">
        <v>16</v>
      </c>
      <c r="GE95">
        <v>169</v>
      </c>
      <c r="GG95">
        <v>2007</v>
      </c>
      <c r="GH95">
        <v>183</v>
      </c>
      <c r="GN95">
        <v>183</v>
      </c>
      <c r="GO95">
        <v>84</v>
      </c>
      <c r="GP95">
        <v>375</v>
      </c>
      <c r="GQ95">
        <v>1200</v>
      </c>
      <c r="GS95">
        <v>139</v>
      </c>
      <c r="GU95">
        <v>1798</v>
      </c>
      <c r="GV95">
        <v>21</v>
      </c>
      <c r="GZ95">
        <v>91</v>
      </c>
      <c r="HB95">
        <v>112</v>
      </c>
      <c r="HC95">
        <v>262</v>
      </c>
      <c r="HI95">
        <v>262</v>
      </c>
      <c r="HK95">
        <v>31</v>
      </c>
      <c r="HN95">
        <v>6</v>
      </c>
      <c r="HP95">
        <v>37</v>
      </c>
      <c r="HR95">
        <v>432</v>
      </c>
      <c r="HT95">
        <v>23</v>
      </c>
      <c r="HV95">
        <v>220</v>
      </c>
      <c r="HX95">
        <v>675</v>
      </c>
      <c r="HY95">
        <v>2654</v>
      </c>
      <c r="HZ95">
        <v>1124</v>
      </c>
      <c r="IA95">
        <v>4650</v>
      </c>
      <c r="IB95">
        <v>16</v>
      </c>
      <c r="IC95">
        <v>1276</v>
      </c>
      <c r="ID95">
        <v>0</v>
      </c>
      <c r="IE95">
        <v>9720</v>
      </c>
      <c r="IF95">
        <v>167</v>
      </c>
      <c r="IH95">
        <v>1664</v>
      </c>
      <c r="IJ95">
        <v>277</v>
      </c>
      <c r="IL95">
        <v>2108</v>
      </c>
      <c r="IM95">
        <v>1129</v>
      </c>
      <c r="IN95">
        <v>835</v>
      </c>
      <c r="IO95">
        <v>2886</v>
      </c>
      <c r="IP95">
        <v>16</v>
      </c>
      <c r="IQ95">
        <v>540</v>
      </c>
      <c r="IS95">
        <v>5406</v>
      </c>
      <c r="IT95">
        <v>1359</v>
      </c>
      <c r="IU95">
        <v>289</v>
      </c>
      <c r="IV95">
        <v>100</v>
      </c>
      <c r="IX95">
        <v>458</v>
      </c>
      <c r="IZ95">
        <v>2206</v>
      </c>
      <c r="JG95">
        <v>0</v>
      </c>
      <c r="JN95">
        <v>0</v>
      </c>
      <c r="JO95">
        <v>2655</v>
      </c>
      <c r="JP95">
        <v>1124</v>
      </c>
      <c r="JQ95">
        <v>4650</v>
      </c>
      <c r="JR95">
        <v>16</v>
      </c>
      <c r="JS95">
        <v>1275</v>
      </c>
      <c r="JT95">
        <v>0</v>
      </c>
      <c r="JU95">
        <v>9720</v>
      </c>
      <c r="JX95">
        <v>100</v>
      </c>
      <c r="KA95">
        <v>2</v>
      </c>
      <c r="KB95">
        <v>3</v>
      </c>
      <c r="KC95">
        <v>1</v>
      </c>
      <c r="KD95" t="s">
        <v>407</v>
      </c>
      <c r="KG95">
        <v>54</v>
      </c>
      <c r="KK95">
        <v>54</v>
      </c>
      <c r="KN95">
        <v>8</v>
      </c>
      <c r="KO95">
        <v>16</v>
      </c>
      <c r="KR95">
        <v>24</v>
      </c>
      <c r="KY95">
        <v>0</v>
      </c>
      <c r="LF95">
        <v>0</v>
      </c>
      <c r="LM95">
        <v>0</v>
      </c>
      <c r="LT95">
        <v>0</v>
      </c>
      <c r="MA95">
        <v>0</v>
      </c>
      <c r="MI95">
        <v>0</v>
      </c>
      <c r="MJ95">
        <v>0</v>
      </c>
      <c r="MK95">
        <v>0</v>
      </c>
      <c r="ML95">
        <v>62</v>
      </c>
      <c r="MM95">
        <v>16</v>
      </c>
      <c r="MN95">
        <v>0</v>
      </c>
      <c r="MO95">
        <v>0</v>
      </c>
      <c r="MP95">
        <v>78</v>
      </c>
      <c r="MS95">
        <v>62</v>
      </c>
      <c r="MT95">
        <v>16</v>
      </c>
      <c r="MW95">
        <v>78</v>
      </c>
      <c r="ND95">
        <v>0</v>
      </c>
      <c r="NK95">
        <v>0</v>
      </c>
      <c r="NR95">
        <v>0</v>
      </c>
      <c r="NY95">
        <v>0</v>
      </c>
      <c r="NZ95">
        <v>0</v>
      </c>
      <c r="OA95">
        <v>0</v>
      </c>
      <c r="OB95">
        <v>62</v>
      </c>
      <c r="OC95">
        <v>16</v>
      </c>
      <c r="OD95">
        <v>0</v>
      </c>
      <c r="OE95">
        <v>0</v>
      </c>
      <c r="OF95">
        <v>78</v>
      </c>
      <c r="OG95" t="s">
        <v>408</v>
      </c>
      <c r="OH95">
        <v>1003</v>
      </c>
      <c r="OI95">
        <v>365</v>
      </c>
      <c r="OJ95">
        <v>408</v>
      </c>
      <c r="OL95">
        <v>17</v>
      </c>
      <c r="ON95">
        <v>1793</v>
      </c>
      <c r="OO95">
        <v>228</v>
      </c>
      <c r="OP95">
        <v>64</v>
      </c>
      <c r="OQ95">
        <v>975</v>
      </c>
      <c r="OS95">
        <v>60</v>
      </c>
      <c r="OU95">
        <v>1327</v>
      </c>
      <c r="OV95">
        <v>183</v>
      </c>
      <c r="PB95">
        <v>183</v>
      </c>
      <c r="PC95">
        <v>59</v>
      </c>
      <c r="PD95">
        <v>375</v>
      </c>
      <c r="PI95">
        <v>434</v>
      </c>
      <c r="PJ95">
        <v>21</v>
      </c>
      <c r="PP95">
        <v>21</v>
      </c>
      <c r="PQ95">
        <v>70</v>
      </c>
      <c r="PW95">
        <v>70</v>
      </c>
      <c r="QD95">
        <v>0</v>
      </c>
      <c r="QF95">
        <v>119</v>
      </c>
      <c r="QL95">
        <v>119</v>
      </c>
      <c r="QM95">
        <v>1683</v>
      </c>
      <c r="QN95">
        <v>804</v>
      </c>
      <c r="QO95">
        <v>1383</v>
      </c>
      <c r="QP95">
        <v>0</v>
      </c>
      <c r="QQ95">
        <v>77</v>
      </c>
      <c r="QR95">
        <v>0</v>
      </c>
      <c r="QS95">
        <v>3947</v>
      </c>
      <c r="QT95">
        <v>1129</v>
      </c>
      <c r="QU95">
        <v>804</v>
      </c>
      <c r="QV95">
        <v>1201</v>
      </c>
      <c r="QX95">
        <v>77</v>
      </c>
      <c r="QZ95">
        <v>3211</v>
      </c>
      <c r="RA95">
        <v>116</v>
      </c>
      <c r="RC95">
        <v>182</v>
      </c>
      <c r="RG95">
        <v>298</v>
      </c>
      <c r="RH95">
        <v>438</v>
      </c>
      <c r="RN95">
        <v>438</v>
      </c>
      <c r="RU95">
        <v>0</v>
      </c>
      <c r="SB95">
        <v>0</v>
      </c>
      <c r="SC95">
        <v>1683</v>
      </c>
      <c r="SD95">
        <v>804</v>
      </c>
      <c r="SE95">
        <v>1383</v>
      </c>
      <c r="SF95">
        <v>0</v>
      </c>
      <c r="SG95">
        <v>77</v>
      </c>
      <c r="SH95">
        <v>0</v>
      </c>
      <c r="SI95">
        <v>3947</v>
      </c>
      <c r="SJ95" t="s">
        <v>409</v>
      </c>
      <c r="SK95">
        <v>391</v>
      </c>
      <c r="SL95">
        <v>270</v>
      </c>
      <c r="SM95">
        <v>100</v>
      </c>
      <c r="SQ95">
        <v>761</v>
      </c>
      <c r="SR95">
        <v>50</v>
      </c>
      <c r="SS95">
        <v>19</v>
      </c>
      <c r="SX95">
        <v>69</v>
      </c>
      <c r="TE95">
        <v>0</v>
      </c>
      <c r="TF95">
        <v>25</v>
      </c>
      <c r="TL95">
        <v>25</v>
      </c>
      <c r="TS95">
        <v>0</v>
      </c>
      <c r="TT95">
        <v>192</v>
      </c>
      <c r="TZ95">
        <v>192</v>
      </c>
      <c r="UG95">
        <v>0</v>
      </c>
      <c r="UI95">
        <v>313</v>
      </c>
      <c r="UO95">
        <v>313</v>
      </c>
      <c r="UP95">
        <v>971</v>
      </c>
      <c r="UQ95">
        <v>289</v>
      </c>
      <c r="UR95">
        <v>100</v>
      </c>
      <c r="US95">
        <v>0</v>
      </c>
      <c r="UT95">
        <v>0</v>
      </c>
      <c r="UU95">
        <v>0</v>
      </c>
      <c r="UV95">
        <v>1360</v>
      </c>
      <c r="VC95">
        <v>0</v>
      </c>
      <c r="VD95">
        <v>50</v>
      </c>
      <c r="VJ95">
        <v>50</v>
      </c>
      <c r="VK95">
        <v>921</v>
      </c>
      <c r="VL95">
        <v>289</v>
      </c>
      <c r="VM95">
        <v>100</v>
      </c>
      <c r="VQ95">
        <v>1310</v>
      </c>
      <c r="VX95">
        <v>0</v>
      </c>
      <c r="WE95">
        <v>0</v>
      </c>
      <c r="WF95">
        <v>971</v>
      </c>
      <c r="WG95">
        <v>289</v>
      </c>
      <c r="WH95">
        <v>100</v>
      </c>
      <c r="WI95">
        <v>0</v>
      </c>
      <c r="WJ95">
        <v>0</v>
      </c>
      <c r="WK95">
        <v>0</v>
      </c>
      <c r="WL95">
        <v>1360</v>
      </c>
      <c r="WM95" t="s">
        <v>410</v>
      </c>
      <c r="WP95">
        <v>1404</v>
      </c>
      <c r="WR95">
        <v>634</v>
      </c>
      <c r="WT95">
        <v>2038</v>
      </c>
      <c r="WW95">
        <v>478</v>
      </c>
      <c r="WY95">
        <v>109</v>
      </c>
      <c r="XA95">
        <v>587</v>
      </c>
      <c r="XH95">
        <v>0</v>
      </c>
      <c r="XK95">
        <v>1200</v>
      </c>
      <c r="XM95">
        <v>139</v>
      </c>
      <c r="XO95">
        <v>1339</v>
      </c>
      <c r="XT95">
        <v>91</v>
      </c>
      <c r="XV95">
        <v>91</v>
      </c>
      <c r="YC95">
        <v>0</v>
      </c>
      <c r="YE95">
        <v>31</v>
      </c>
      <c r="YH95">
        <v>6</v>
      </c>
      <c r="YJ95">
        <v>37</v>
      </c>
      <c r="YN95">
        <v>23</v>
      </c>
      <c r="YP95">
        <v>220</v>
      </c>
      <c r="YR95">
        <v>243</v>
      </c>
      <c r="YS95">
        <v>0</v>
      </c>
      <c r="YT95">
        <v>31</v>
      </c>
      <c r="YU95">
        <v>3105</v>
      </c>
      <c r="YV95">
        <v>0</v>
      </c>
      <c r="YW95">
        <v>1199</v>
      </c>
      <c r="YX95">
        <v>0</v>
      </c>
      <c r="YY95">
        <v>4335</v>
      </c>
      <c r="ZA95">
        <v>31</v>
      </c>
      <c r="ZB95">
        <v>1623</v>
      </c>
      <c r="ZD95">
        <v>464</v>
      </c>
      <c r="ZF95">
        <v>2118</v>
      </c>
      <c r="ZI95">
        <v>1482</v>
      </c>
      <c r="ZK95">
        <v>277</v>
      </c>
      <c r="ZM95">
        <v>1759</v>
      </c>
      <c r="ZR95">
        <v>458</v>
      </c>
      <c r="ZT95">
        <v>458</v>
      </c>
      <c r="AAA95">
        <v>0</v>
      </c>
      <c r="AAH95">
        <v>0</v>
      </c>
      <c r="AAI95">
        <v>0</v>
      </c>
      <c r="AAJ95">
        <v>31</v>
      </c>
      <c r="AAK95">
        <v>3105</v>
      </c>
      <c r="AAL95">
        <v>0</v>
      </c>
      <c r="AAM95">
        <v>1199</v>
      </c>
      <c r="AAN95">
        <v>0</v>
      </c>
      <c r="AAO95">
        <v>4335</v>
      </c>
      <c r="AAP95" t="s">
        <v>411</v>
      </c>
      <c r="AES95" t="s">
        <v>412</v>
      </c>
    </row>
    <row r="96" spans="1:825" x14ac:dyDescent="0.2">
      <c r="A96" t="s">
        <v>1109</v>
      </c>
      <c r="B96" t="s">
        <v>396</v>
      </c>
      <c r="C96" t="s">
        <v>1110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>
        <v>562</v>
      </c>
      <c r="W96" s="20">
        <v>43475.462500000001</v>
      </c>
      <c r="X96" t="s">
        <v>1111</v>
      </c>
      <c r="Y96">
        <v>2019</v>
      </c>
      <c r="Z96" t="s">
        <v>1112</v>
      </c>
      <c r="AA96" t="s">
        <v>1113</v>
      </c>
      <c r="AB96" t="str">
        <f>VLOOKUP(MID(AD96,SEARCH("@",AD96,1),LEN(AD96)-SEARCH("@",AD96,1)+1),[2]Sheet1!$D:$F,3,FALSE)</f>
        <v>M021</v>
      </c>
      <c r="AC96" t="s">
        <v>685</v>
      </c>
      <c r="AD96" t="s">
        <v>1114</v>
      </c>
      <c r="AE96">
        <v>653215834</v>
      </c>
      <c r="AF96" t="s">
        <v>611</v>
      </c>
      <c r="AG96" t="s">
        <v>403</v>
      </c>
      <c r="AI96">
        <v>1</v>
      </c>
      <c r="AL96">
        <v>300</v>
      </c>
      <c r="AM96">
        <v>300</v>
      </c>
      <c r="AN96">
        <v>250</v>
      </c>
      <c r="AO96">
        <v>250</v>
      </c>
      <c r="AV96">
        <v>0</v>
      </c>
      <c r="AW96">
        <v>250</v>
      </c>
      <c r="BC96">
        <v>250</v>
      </c>
      <c r="BJ96">
        <v>0</v>
      </c>
      <c r="BQ96">
        <v>0</v>
      </c>
      <c r="BX96">
        <v>0</v>
      </c>
      <c r="CE96">
        <v>0</v>
      </c>
      <c r="CF96">
        <v>250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250</v>
      </c>
      <c r="CS96">
        <v>0</v>
      </c>
      <c r="CT96">
        <v>2</v>
      </c>
      <c r="CZ96">
        <v>2</v>
      </c>
      <c r="DG96">
        <v>0</v>
      </c>
      <c r="DN96">
        <v>0</v>
      </c>
      <c r="DU96">
        <v>0</v>
      </c>
      <c r="EB96">
        <v>0</v>
      </c>
      <c r="EC96">
        <v>2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2</v>
      </c>
      <c r="EJ96" t="s">
        <v>404</v>
      </c>
      <c r="EK96" t="s">
        <v>404</v>
      </c>
      <c r="EL96" t="s">
        <v>404</v>
      </c>
      <c r="EM96" t="s">
        <v>404</v>
      </c>
      <c r="EN96" t="s">
        <v>404</v>
      </c>
      <c r="EO96" t="s">
        <v>404</v>
      </c>
      <c r="EP96" t="s">
        <v>405</v>
      </c>
      <c r="EQ96" t="s">
        <v>404</v>
      </c>
      <c r="ER96" t="s">
        <v>404</v>
      </c>
      <c r="ES96" t="s">
        <v>404</v>
      </c>
      <c r="ET96" t="s">
        <v>404</v>
      </c>
      <c r="EU96" t="s">
        <v>404</v>
      </c>
      <c r="EV96" t="s">
        <v>404</v>
      </c>
      <c r="EW96" t="s">
        <v>404</v>
      </c>
      <c r="EX96" t="s">
        <v>404</v>
      </c>
      <c r="EY96" t="s">
        <v>404</v>
      </c>
      <c r="EZ96" t="s">
        <v>404</v>
      </c>
      <c r="FA96" t="s">
        <v>404</v>
      </c>
      <c r="FB96" t="s">
        <v>404</v>
      </c>
      <c r="FC96" t="s">
        <v>404</v>
      </c>
      <c r="FD96" t="s">
        <v>404</v>
      </c>
      <c r="FE96" t="s">
        <v>404</v>
      </c>
      <c r="FF96" t="s">
        <v>404</v>
      </c>
      <c r="FG96" t="s">
        <v>404</v>
      </c>
      <c r="FH96" t="s">
        <v>404</v>
      </c>
      <c r="FI96" t="s">
        <v>404</v>
      </c>
      <c r="FJ96" t="s">
        <v>404</v>
      </c>
      <c r="FK96" t="s">
        <v>404</v>
      </c>
      <c r="FL96" t="s">
        <v>404</v>
      </c>
      <c r="FM96" t="s">
        <v>404</v>
      </c>
      <c r="FN96" t="s">
        <v>404</v>
      </c>
      <c r="FO96" t="s">
        <v>404</v>
      </c>
      <c r="FP96" t="s">
        <v>404</v>
      </c>
      <c r="FQ96" t="s">
        <v>404</v>
      </c>
      <c r="FR96" t="s">
        <v>404</v>
      </c>
      <c r="FS96" t="s">
        <v>404</v>
      </c>
      <c r="FT96">
        <v>150</v>
      </c>
      <c r="FZ96">
        <v>150</v>
      </c>
      <c r="GA96">
        <v>50</v>
      </c>
      <c r="GG96">
        <v>50</v>
      </c>
      <c r="GN96">
        <v>0</v>
      </c>
      <c r="GU96">
        <v>0</v>
      </c>
      <c r="HB96">
        <v>0</v>
      </c>
      <c r="HC96">
        <v>50</v>
      </c>
      <c r="HI96">
        <v>50</v>
      </c>
      <c r="HP96">
        <v>0</v>
      </c>
      <c r="HX96">
        <v>0</v>
      </c>
      <c r="HY96">
        <v>250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250</v>
      </c>
      <c r="IL96">
        <v>0</v>
      </c>
      <c r="IM96">
        <v>250</v>
      </c>
      <c r="IS96">
        <v>250</v>
      </c>
      <c r="IZ96">
        <v>0</v>
      </c>
      <c r="JG96">
        <v>0</v>
      </c>
      <c r="JN96">
        <v>0</v>
      </c>
      <c r="JO96">
        <v>250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250</v>
      </c>
      <c r="JV96">
        <v>20</v>
      </c>
      <c r="JW96">
        <v>50</v>
      </c>
      <c r="JX96">
        <v>30</v>
      </c>
      <c r="KA96">
        <v>1</v>
      </c>
      <c r="KB96">
        <v>3</v>
      </c>
      <c r="KC96">
        <v>1</v>
      </c>
      <c r="KD96" t="s">
        <v>407</v>
      </c>
      <c r="OG96" t="s">
        <v>408</v>
      </c>
      <c r="SJ96" t="s">
        <v>409</v>
      </c>
      <c r="WM96" t="s">
        <v>410</v>
      </c>
      <c r="AAP96" t="s">
        <v>411</v>
      </c>
      <c r="AES96" t="s">
        <v>412</v>
      </c>
    </row>
    <row r="97" spans="1:825" x14ac:dyDescent="0.2">
      <c r="A97" t="s">
        <v>1115</v>
      </c>
      <c r="B97" t="s">
        <v>396</v>
      </c>
      <c r="C97" t="s">
        <v>1116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>
        <v>776</v>
      </c>
      <c r="W97" s="20">
        <v>43525.593055555553</v>
      </c>
      <c r="X97" t="s">
        <v>1117</v>
      </c>
      <c r="Y97">
        <v>2019</v>
      </c>
      <c r="Z97" t="s">
        <v>1118</v>
      </c>
      <c r="AA97" t="s">
        <v>1119</v>
      </c>
      <c r="AB97" t="str">
        <f>VLOOKUP(MID(AD97,SEARCH("@",AD97,1),LEN(AD97)-SEARCH("@",AD97,1)+1),[2]Sheet1!$D:$F,3,FALSE)</f>
        <v>M377</v>
      </c>
      <c r="AC97" t="s">
        <v>852</v>
      </c>
      <c r="AD97" t="s">
        <v>1120</v>
      </c>
      <c r="AE97">
        <v>2031022388</v>
      </c>
      <c r="AF97" t="s">
        <v>1073</v>
      </c>
      <c r="AG97" t="s">
        <v>403</v>
      </c>
      <c r="AI97">
        <v>1</v>
      </c>
      <c r="AL97">
        <v>2021.335</v>
      </c>
      <c r="AM97">
        <v>2021.335</v>
      </c>
      <c r="AN97">
        <v>0</v>
      </c>
      <c r="AO97">
        <v>0</v>
      </c>
      <c r="AV97">
        <v>0</v>
      </c>
      <c r="AW97">
        <v>2021.335</v>
      </c>
      <c r="BC97">
        <v>2021.34</v>
      </c>
      <c r="BJ97">
        <v>0</v>
      </c>
      <c r="BQ97">
        <v>0</v>
      </c>
      <c r="BX97">
        <v>0</v>
      </c>
      <c r="CE97">
        <v>0</v>
      </c>
      <c r="CF97">
        <v>2021.34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2021.34</v>
      </c>
      <c r="CS97">
        <v>0</v>
      </c>
      <c r="CT97">
        <v>1</v>
      </c>
      <c r="CZ97">
        <v>1</v>
      </c>
      <c r="DG97">
        <v>0</v>
      </c>
      <c r="DN97">
        <v>0</v>
      </c>
      <c r="DU97">
        <v>0</v>
      </c>
      <c r="EB97">
        <v>0</v>
      </c>
      <c r="EC97">
        <v>1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1</v>
      </c>
      <c r="EJ97" t="s">
        <v>404</v>
      </c>
      <c r="EK97" t="s">
        <v>404</v>
      </c>
      <c r="EL97" t="s">
        <v>404</v>
      </c>
      <c r="EM97" t="s">
        <v>404</v>
      </c>
      <c r="EN97" t="s">
        <v>404</v>
      </c>
      <c r="EO97" t="s">
        <v>404</v>
      </c>
      <c r="EP97" t="s">
        <v>405</v>
      </c>
      <c r="EQ97" t="s">
        <v>404</v>
      </c>
      <c r="ER97" t="s">
        <v>404</v>
      </c>
      <c r="ES97" t="s">
        <v>404</v>
      </c>
      <c r="ET97" t="s">
        <v>404</v>
      </c>
      <c r="EU97" t="s">
        <v>404</v>
      </c>
      <c r="EV97" t="s">
        <v>404</v>
      </c>
      <c r="EW97" t="s">
        <v>404</v>
      </c>
      <c r="EX97" t="s">
        <v>404</v>
      </c>
      <c r="EY97" t="s">
        <v>404</v>
      </c>
      <c r="EZ97" t="s">
        <v>404</v>
      </c>
      <c r="FA97" t="s">
        <v>404</v>
      </c>
      <c r="FB97" t="s">
        <v>404</v>
      </c>
      <c r="FC97" t="s">
        <v>404</v>
      </c>
      <c r="FD97" t="s">
        <v>404</v>
      </c>
      <c r="FE97" t="s">
        <v>404</v>
      </c>
      <c r="FF97" t="s">
        <v>404</v>
      </c>
      <c r="FG97" t="s">
        <v>404</v>
      </c>
      <c r="FH97" t="s">
        <v>404</v>
      </c>
      <c r="FI97" t="s">
        <v>404</v>
      </c>
      <c r="FJ97" t="s">
        <v>404</v>
      </c>
      <c r="FK97" t="s">
        <v>404</v>
      </c>
      <c r="FL97" t="s">
        <v>404</v>
      </c>
      <c r="FM97" t="s">
        <v>404</v>
      </c>
      <c r="FN97" t="s">
        <v>404</v>
      </c>
      <c r="FO97" t="s">
        <v>404</v>
      </c>
      <c r="FP97" t="s">
        <v>404</v>
      </c>
      <c r="FQ97" t="s">
        <v>404</v>
      </c>
      <c r="FR97" t="s">
        <v>404</v>
      </c>
      <c r="FS97" t="s">
        <v>404</v>
      </c>
      <c r="FT97">
        <v>1185</v>
      </c>
      <c r="FZ97">
        <v>1185</v>
      </c>
      <c r="GG97">
        <v>0</v>
      </c>
      <c r="GH97">
        <v>450</v>
      </c>
      <c r="GN97">
        <v>450</v>
      </c>
      <c r="GU97">
        <v>0</v>
      </c>
      <c r="HB97">
        <v>0</v>
      </c>
      <c r="HI97">
        <v>0</v>
      </c>
      <c r="HJ97">
        <v>132</v>
      </c>
      <c r="HP97">
        <v>132</v>
      </c>
      <c r="HR97">
        <v>254.33500000000001</v>
      </c>
      <c r="HX97">
        <v>254.34</v>
      </c>
      <c r="HY97">
        <v>2021.34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2021.34</v>
      </c>
      <c r="IF97">
        <v>455</v>
      </c>
      <c r="IL97">
        <v>455</v>
      </c>
      <c r="IM97">
        <v>676.33500000000004</v>
      </c>
      <c r="IS97">
        <v>676.34</v>
      </c>
      <c r="IT97">
        <v>890</v>
      </c>
      <c r="IZ97">
        <v>890</v>
      </c>
      <c r="JG97">
        <v>0</v>
      </c>
      <c r="JN97">
        <v>0</v>
      </c>
      <c r="JO97">
        <v>2021.34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2021.34</v>
      </c>
      <c r="JX97">
        <v>100</v>
      </c>
      <c r="KA97">
        <v>1</v>
      </c>
      <c r="KB97">
        <v>3</v>
      </c>
      <c r="KC97">
        <v>2</v>
      </c>
      <c r="KD97" t="s">
        <v>407</v>
      </c>
      <c r="OG97" t="s">
        <v>408</v>
      </c>
      <c r="SJ97" t="s">
        <v>409</v>
      </c>
      <c r="WM97" t="s">
        <v>410</v>
      </c>
      <c r="AAP97" t="s">
        <v>411</v>
      </c>
      <c r="AES97" t="s">
        <v>412</v>
      </c>
    </row>
    <row r="98" spans="1:825" x14ac:dyDescent="0.2">
      <c r="A98" t="s">
        <v>1121</v>
      </c>
      <c r="B98" t="s">
        <v>414</v>
      </c>
      <c r="C98" t="s">
        <v>1122</v>
      </c>
      <c r="P98" t="b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>
        <v>583</v>
      </c>
      <c r="W98" s="20">
        <v>43523.302083333336</v>
      </c>
      <c r="X98" t="s">
        <v>1123</v>
      </c>
      <c r="Y98">
        <v>2019</v>
      </c>
      <c r="Z98" t="s">
        <v>1124</v>
      </c>
      <c r="AA98" t="s">
        <v>1125</v>
      </c>
      <c r="AB98" t="str">
        <f>VLOOKUP(MID(AD98,SEARCH("@",AD98,1),LEN(AD98)-SEARCH("@",AD98,1)+1),[2]Sheet1!$D:$F,3,FALSE)</f>
        <v>M0090</v>
      </c>
      <c r="AC98" t="s">
        <v>1126</v>
      </c>
      <c r="AD98" t="s">
        <v>1127</v>
      </c>
      <c r="AF98" t="s">
        <v>420</v>
      </c>
      <c r="AG98" t="s">
        <v>421</v>
      </c>
      <c r="AI98">
        <v>1</v>
      </c>
      <c r="AL98">
        <v>599</v>
      </c>
      <c r="AM98">
        <v>599</v>
      </c>
      <c r="AN98">
        <v>599</v>
      </c>
      <c r="AO98">
        <v>599</v>
      </c>
      <c r="AS98">
        <v>599.70000000000005</v>
      </c>
      <c r="AV98">
        <v>599.70000000000005</v>
      </c>
      <c r="BC98">
        <v>0</v>
      </c>
      <c r="BJ98">
        <v>0</v>
      </c>
      <c r="BQ98">
        <v>0</v>
      </c>
      <c r="BX98">
        <v>0</v>
      </c>
      <c r="CE98">
        <v>0</v>
      </c>
      <c r="CF98">
        <v>0</v>
      </c>
      <c r="CG98">
        <v>0</v>
      </c>
      <c r="CH98">
        <v>0</v>
      </c>
      <c r="CI98">
        <v>599.70000000000005</v>
      </c>
      <c r="CJ98">
        <v>0</v>
      </c>
      <c r="CK98">
        <v>0</v>
      </c>
      <c r="CL98">
        <v>599.70000000000005</v>
      </c>
      <c r="CP98">
        <v>3</v>
      </c>
      <c r="CS98">
        <v>3</v>
      </c>
      <c r="CZ98">
        <v>0</v>
      </c>
      <c r="DG98">
        <v>0</v>
      </c>
      <c r="DN98">
        <v>0</v>
      </c>
      <c r="DU98">
        <v>0</v>
      </c>
      <c r="EB98">
        <v>0</v>
      </c>
      <c r="EC98">
        <v>0</v>
      </c>
      <c r="ED98">
        <v>0</v>
      </c>
      <c r="EE98">
        <v>0</v>
      </c>
      <c r="EF98">
        <v>3</v>
      </c>
      <c r="EG98">
        <v>0</v>
      </c>
      <c r="EH98">
        <v>0</v>
      </c>
      <c r="EI98">
        <v>3</v>
      </c>
      <c r="EJ98" t="s">
        <v>404</v>
      </c>
      <c r="EK98" t="s">
        <v>404</v>
      </c>
      <c r="EL98" t="s">
        <v>404</v>
      </c>
      <c r="EM98" t="s">
        <v>405</v>
      </c>
      <c r="EN98" t="s">
        <v>404</v>
      </c>
      <c r="EO98" t="s">
        <v>404</v>
      </c>
      <c r="EP98" t="s">
        <v>404</v>
      </c>
      <c r="EQ98" t="s">
        <v>404</v>
      </c>
      <c r="ER98" t="s">
        <v>404</v>
      </c>
      <c r="ES98" t="s">
        <v>404</v>
      </c>
      <c r="ET98" t="s">
        <v>404</v>
      </c>
      <c r="EU98" t="s">
        <v>404</v>
      </c>
      <c r="EV98" t="s">
        <v>404</v>
      </c>
      <c r="EW98" t="s">
        <v>404</v>
      </c>
      <c r="EX98" t="s">
        <v>404</v>
      </c>
      <c r="EY98" t="s">
        <v>404</v>
      </c>
      <c r="EZ98" t="s">
        <v>404</v>
      </c>
      <c r="FA98" t="s">
        <v>404</v>
      </c>
      <c r="FB98" t="s">
        <v>404</v>
      </c>
      <c r="FC98" t="s">
        <v>404</v>
      </c>
      <c r="FD98" t="s">
        <v>404</v>
      </c>
      <c r="FE98" t="s">
        <v>404</v>
      </c>
      <c r="FF98" t="s">
        <v>404</v>
      </c>
      <c r="FG98" t="s">
        <v>404</v>
      </c>
      <c r="FH98" t="s">
        <v>404</v>
      </c>
      <c r="FI98" t="s">
        <v>404</v>
      </c>
      <c r="FJ98" t="s">
        <v>404</v>
      </c>
      <c r="FK98" t="s">
        <v>404</v>
      </c>
      <c r="FL98" t="s">
        <v>404</v>
      </c>
      <c r="FM98" t="s">
        <v>404</v>
      </c>
      <c r="FN98" t="s">
        <v>404</v>
      </c>
      <c r="FO98" t="s">
        <v>404</v>
      </c>
      <c r="FP98" t="s">
        <v>404</v>
      </c>
      <c r="FQ98" t="s">
        <v>404</v>
      </c>
      <c r="FR98" t="s">
        <v>404</v>
      </c>
      <c r="FS98" t="s">
        <v>404</v>
      </c>
      <c r="FW98">
        <v>182.7</v>
      </c>
      <c r="FZ98">
        <v>182.7</v>
      </c>
      <c r="GG98">
        <v>0</v>
      </c>
      <c r="GK98">
        <v>401.5</v>
      </c>
      <c r="GN98">
        <v>401.5</v>
      </c>
      <c r="GU98">
        <v>0</v>
      </c>
      <c r="HB98">
        <v>0</v>
      </c>
      <c r="HF98">
        <v>15.5</v>
      </c>
      <c r="HI98">
        <v>15.5</v>
      </c>
      <c r="HP98">
        <v>0</v>
      </c>
      <c r="HX98">
        <v>0</v>
      </c>
      <c r="HY98">
        <v>0</v>
      </c>
      <c r="HZ98">
        <v>0</v>
      </c>
      <c r="IA98">
        <v>0</v>
      </c>
      <c r="IB98">
        <v>599.70000000000005</v>
      </c>
      <c r="IC98">
        <v>0</v>
      </c>
      <c r="ID98">
        <v>0</v>
      </c>
      <c r="IE98">
        <v>599.70000000000005</v>
      </c>
      <c r="II98">
        <v>417</v>
      </c>
      <c r="IL98">
        <v>417</v>
      </c>
      <c r="IS98">
        <v>0</v>
      </c>
      <c r="IW98">
        <v>182.7</v>
      </c>
      <c r="IZ98">
        <v>182.7</v>
      </c>
      <c r="JG98">
        <v>0</v>
      </c>
      <c r="JN98">
        <v>0</v>
      </c>
      <c r="JO98">
        <v>0</v>
      </c>
      <c r="JP98">
        <v>0</v>
      </c>
      <c r="JQ98">
        <v>0</v>
      </c>
      <c r="JR98">
        <v>599.70000000000005</v>
      </c>
      <c r="JS98">
        <v>0</v>
      </c>
      <c r="JT98">
        <v>0</v>
      </c>
      <c r="JU98">
        <v>599.70000000000005</v>
      </c>
      <c r="JX98">
        <v>95</v>
      </c>
      <c r="JY98" t="s">
        <v>1128</v>
      </c>
      <c r="JZ98">
        <v>5</v>
      </c>
      <c r="KA98">
        <v>1</v>
      </c>
      <c r="KB98">
        <v>1</v>
      </c>
      <c r="KC98">
        <v>1</v>
      </c>
      <c r="KD98" t="s">
        <v>407</v>
      </c>
      <c r="OG98" t="s">
        <v>408</v>
      </c>
      <c r="SJ98" t="s">
        <v>409</v>
      </c>
      <c r="WM98" t="s">
        <v>410</v>
      </c>
      <c r="AAP98" t="s">
        <v>411</v>
      </c>
      <c r="AES98" t="s">
        <v>412</v>
      </c>
    </row>
    <row r="99" spans="1:825" x14ac:dyDescent="0.2">
      <c r="A99" t="s">
        <v>1129</v>
      </c>
      <c r="B99" t="s">
        <v>396</v>
      </c>
      <c r="C99" t="s">
        <v>1130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>
        <v>742</v>
      </c>
      <c r="W99" s="20">
        <v>43525.559027777781</v>
      </c>
      <c r="X99" t="s">
        <v>1131</v>
      </c>
      <c r="Y99">
        <v>2019</v>
      </c>
      <c r="Z99" t="s">
        <v>1132</v>
      </c>
      <c r="AA99" t="s">
        <v>1133</v>
      </c>
      <c r="AB99" t="str">
        <f>VLOOKUP(MID(AD99,SEARCH("@",AD99,1),LEN(AD99)-SEARCH("@",AD99,1)+1),[2]Sheet1!$D:$F,3,FALSE)</f>
        <v>M218</v>
      </c>
      <c r="AC99" t="s">
        <v>1134</v>
      </c>
      <c r="AD99" t="s">
        <v>1135</v>
      </c>
      <c r="AE99">
        <v>4940349194451</v>
      </c>
      <c r="AF99" t="s">
        <v>444</v>
      </c>
      <c r="AG99" t="s">
        <v>403</v>
      </c>
      <c r="AI99">
        <v>1</v>
      </c>
      <c r="AL99">
        <v>73.2</v>
      </c>
      <c r="AM99">
        <v>73.2</v>
      </c>
      <c r="AV99">
        <v>0</v>
      </c>
      <c r="AW99">
        <v>73.2</v>
      </c>
      <c r="BC99">
        <v>73.2</v>
      </c>
      <c r="BJ99">
        <v>0</v>
      </c>
      <c r="BQ99">
        <v>0</v>
      </c>
      <c r="BX99">
        <v>0</v>
      </c>
      <c r="CE99">
        <v>0</v>
      </c>
      <c r="CF99">
        <v>73.2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73.2</v>
      </c>
      <c r="CS99">
        <v>0</v>
      </c>
      <c r="CT99">
        <v>3</v>
      </c>
      <c r="CZ99">
        <v>3</v>
      </c>
      <c r="DG99">
        <v>0</v>
      </c>
      <c r="DN99">
        <v>0</v>
      </c>
      <c r="DU99">
        <v>0</v>
      </c>
      <c r="EB99">
        <v>0</v>
      </c>
      <c r="EC99">
        <v>3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3</v>
      </c>
      <c r="EJ99" t="s">
        <v>404</v>
      </c>
      <c r="EK99" t="s">
        <v>404</v>
      </c>
      <c r="EL99" t="s">
        <v>404</v>
      </c>
      <c r="EM99" t="s">
        <v>404</v>
      </c>
      <c r="EN99" t="s">
        <v>404</v>
      </c>
      <c r="EO99" t="s">
        <v>404</v>
      </c>
      <c r="EP99" t="s">
        <v>405</v>
      </c>
      <c r="EQ99" t="s">
        <v>404</v>
      </c>
      <c r="ER99" t="s">
        <v>404</v>
      </c>
      <c r="ES99" t="s">
        <v>404</v>
      </c>
      <c r="ET99" t="s">
        <v>404</v>
      </c>
      <c r="EU99" t="s">
        <v>404</v>
      </c>
      <c r="EV99" t="s">
        <v>404</v>
      </c>
      <c r="EW99" t="s">
        <v>404</v>
      </c>
      <c r="EX99" t="s">
        <v>404</v>
      </c>
      <c r="EY99" t="s">
        <v>404</v>
      </c>
      <c r="EZ99" t="s">
        <v>404</v>
      </c>
      <c r="FA99" t="s">
        <v>404</v>
      </c>
      <c r="FB99" t="s">
        <v>404</v>
      </c>
      <c r="FC99" t="s">
        <v>404</v>
      </c>
      <c r="FD99" t="s">
        <v>404</v>
      </c>
      <c r="FE99" t="s">
        <v>404</v>
      </c>
      <c r="FF99" t="s">
        <v>404</v>
      </c>
      <c r="FG99" t="s">
        <v>404</v>
      </c>
      <c r="FH99" t="s">
        <v>404</v>
      </c>
      <c r="FI99" t="s">
        <v>404</v>
      </c>
      <c r="FJ99" t="s">
        <v>404</v>
      </c>
      <c r="FK99" t="s">
        <v>404</v>
      </c>
      <c r="FL99" t="s">
        <v>404</v>
      </c>
      <c r="FM99" t="s">
        <v>404</v>
      </c>
      <c r="FN99" t="s">
        <v>404</v>
      </c>
      <c r="FO99" t="s">
        <v>404</v>
      </c>
      <c r="FP99" t="s">
        <v>404</v>
      </c>
      <c r="FQ99" t="s">
        <v>404</v>
      </c>
      <c r="FR99" t="s">
        <v>404</v>
      </c>
      <c r="FS99" t="s">
        <v>404</v>
      </c>
      <c r="FT99">
        <v>7.3</v>
      </c>
      <c r="FZ99">
        <v>7.3</v>
      </c>
      <c r="GA99">
        <v>0.3</v>
      </c>
      <c r="GG99">
        <v>0.3</v>
      </c>
      <c r="GH99">
        <v>0</v>
      </c>
      <c r="GN99">
        <v>0</v>
      </c>
      <c r="GO99">
        <v>0</v>
      </c>
      <c r="GU99">
        <v>0</v>
      </c>
      <c r="GV99">
        <v>0</v>
      </c>
      <c r="HB99">
        <v>0</v>
      </c>
      <c r="HC99">
        <v>33.5</v>
      </c>
      <c r="HI99">
        <v>33.5</v>
      </c>
      <c r="HJ99">
        <v>0</v>
      </c>
      <c r="HP99">
        <v>0</v>
      </c>
      <c r="HQ99" t="s">
        <v>1136</v>
      </c>
      <c r="HR99">
        <v>32.1</v>
      </c>
      <c r="HX99">
        <v>32.1</v>
      </c>
      <c r="HY99">
        <v>73.2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73.2</v>
      </c>
      <c r="IL99">
        <v>0</v>
      </c>
      <c r="IM99">
        <v>73.2</v>
      </c>
      <c r="IS99">
        <v>73.2</v>
      </c>
      <c r="IZ99">
        <v>0</v>
      </c>
      <c r="JG99">
        <v>0</v>
      </c>
      <c r="JN99">
        <v>0</v>
      </c>
      <c r="JO99">
        <v>73.2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73.2</v>
      </c>
      <c r="JV99">
        <v>0</v>
      </c>
      <c r="JW99">
        <v>0</v>
      </c>
      <c r="JX99">
        <v>100</v>
      </c>
      <c r="KA99">
        <v>1</v>
      </c>
      <c r="KB99">
        <v>3</v>
      </c>
      <c r="KC99">
        <v>1</v>
      </c>
      <c r="KD99" t="s">
        <v>407</v>
      </c>
      <c r="OG99" t="s">
        <v>408</v>
      </c>
      <c r="SJ99" t="s">
        <v>409</v>
      </c>
      <c r="WM99" t="s">
        <v>410</v>
      </c>
      <c r="AAP99" t="s">
        <v>411</v>
      </c>
      <c r="AES99" t="s">
        <v>412</v>
      </c>
    </row>
    <row r="100" spans="1:825" x14ac:dyDescent="0.2">
      <c r="A100" t="s">
        <v>1137</v>
      </c>
      <c r="B100" t="s">
        <v>396</v>
      </c>
      <c r="C100" t="s">
        <v>1138</v>
      </c>
      <c r="D100" t="s">
        <v>478</v>
      </c>
      <c r="E100" s="3">
        <v>43522.375</v>
      </c>
      <c r="F100" t="s">
        <v>1139</v>
      </c>
      <c r="G100" s="3">
        <v>43522.376388888886</v>
      </c>
      <c r="J100" t="s">
        <v>392</v>
      </c>
      <c r="K100" s="3">
        <v>43522.377083333333</v>
      </c>
      <c r="P100" t="b">
        <v>1</v>
      </c>
      <c r="Q100" t="b">
        <v>1</v>
      </c>
      <c r="R100" t="b">
        <v>0</v>
      </c>
      <c r="S100" t="b">
        <v>1</v>
      </c>
      <c r="T100" t="b">
        <v>0</v>
      </c>
      <c r="U100" t="b">
        <v>0</v>
      </c>
      <c r="V100">
        <v>700</v>
      </c>
      <c r="W100" s="20">
        <v>43522.370833333334</v>
      </c>
      <c r="X100" t="s">
        <v>1140</v>
      </c>
      <c r="Y100">
        <v>2019</v>
      </c>
      <c r="Z100" t="s">
        <v>1141</v>
      </c>
      <c r="AA100" t="s">
        <v>1142</v>
      </c>
      <c r="AB100" t="str">
        <f>VLOOKUP(MID(AD100,SEARCH("@",AD100,1),LEN(AD100)-SEARCH("@",AD100,1)+1),[2]Sheet1!$D:$F,3,FALSE)</f>
        <v>M041</v>
      </c>
      <c r="AD100" t="s">
        <v>1143</v>
      </c>
      <c r="AF100" t="s">
        <v>592</v>
      </c>
      <c r="AG100" t="s">
        <v>403</v>
      </c>
      <c r="AI100">
        <v>1</v>
      </c>
      <c r="AL100">
        <v>5043.7</v>
      </c>
      <c r="AM100">
        <v>4713.3</v>
      </c>
      <c r="AQ100">
        <v>137.30000000000001</v>
      </c>
      <c r="AV100">
        <v>137.30000000000001</v>
      </c>
      <c r="AW100">
        <v>1397.5</v>
      </c>
      <c r="AX100">
        <v>1336.5</v>
      </c>
      <c r="AZ100">
        <v>303.8</v>
      </c>
      <c r="BB100">
        <v>435</v>
      </c>
      <c r="BC100">
        <v>3472.8</v>
      </c>
      <c r="BJ100">
        <v>0</v>
      </c>
      <c r="BL100">
        <v>27</v>
      </c>
      <c r="BP100">
        <v>1076.2</v>
      </c>
      <c r="BQ100">
        <v>1103.2</v>
      </c>
      <c r="BX100">
        <v>0</v>
      </c>
      <c r="CE100">
        <v>0</v>
      </c>
      <c r="CF100">
        <v>1397.5</v>
      </c>
      <c r="CG100">
        <v>1500.8</v>
      </c>
      <c r="CH100">
        <v>0</v>
      </c>
      <c r="CI100">
        <v>303.8</v>
      </c>
      <c r="CJ100">
        <v>0</v>
      </c>
      <c r="CK100">
        <v>1511.2</v>
      </c>
      <c r="CL100">
        <v>4713.3</v>
      </c>
      <c r="CN100">
        <v>3</v>
      </c>
      <c r="CS100">
        <v>3</v>
      </c>
      <c r="CT100">
        <v>6</v>
      </c>
      <c r="CU100">
        <v>8</v>
      </c>
      <c r="CW100">
        <v>3</v>
      </c>
      <c r="CY100">
        <v>1</v>
      </c>
      <c r="CZ100">
        <v>18</v>
      </c>
      <c r="DG100">
        <v>0</v>
      </c>
      <c r="DI100">
        <v>1</v>
      </c>
      <c r="DM100">
        <v>3</v>
      </c>
      <c r="DN100">
        <v>4</v>
      </c>
      <c r="DU100">
        <v>0</v>
      </c>
      <c r="EB100">
        <v>0</v>
      </c>
      <c r="EC100">
        <v>6</v>
      </c>
      <c r="ED100">
        <v>12</v>
      </c>
      <c r="EE100">
        <v>0</v>
      </c>
      <c r="EF100">
        <v>3</v>
      </c>
      <c r="EG100">
        <v>0</v>
      </c>
      <c r="EH100">
        <v>4</v>
      </c>
      <c r="EI100">
        <v>25</v>
      </c>
      <c r="EJ100" t="s">
        <v>404</v>
      </c>
      <c r="EK100" t="s">
        <v>405</v>
      </c>
      <c r="EL100" t="s">
        <v>404</v>
      </c>
      <c r="EM100" t="s">
        <v>404</v>
      </c>
      <c r="EN100" t="s">
        <v>404</v>
      </c>
      <c r="EO100" t="s">
        <v>404</v>
      </c>
      <c r="EP100" t="s">
        <v>405</v>
      </c>
      <c r="EQ100" t="s">
        <v>405</v>
      </c>
      <c r="ER100" t="s">
        <v>404</v>
      </c>
      <c r="ES100" t="s">
        <v>405</v>
      </c>
      <c r="ET100" t="s">
        <v>404</v>
      </c>
      <c r="EU100" t="s">
        <v>405</v>
      </c>
      <c r="EV100" t="s">
        <v>404</v>
      </c>
      <c r="EW100" t="s">
        <v>404</v>
      </c>
      <c r="EX100" t="s">
        <v>404</v>
      </c>
      <c r="EY100" t="s">
        <v>404</v>
      </c>
      <c r="EZ100" t="s">
        <v>404</v>
      </c>
      <c r="FA100" t="s">
        <v>404</v>
      </c>
      <c r="FB100" t="s">
        <v>404</v>
      </c>
      <c r="FC100" t="s">
        <v>405</v>
      </c>
      <c r="FD100" t="s">
        <v>404</v>
      </c>
      <c r="FE100" t="s">
        <v>404</v>
      </c>
      <c r="FF100" t="s">
        <v>404</v>
      </c>
      <c r="FG100" t="s">
        <v>405</v>
      </c>
      <c r="FH100" t="s">
        <v>404</v>
      </c>
      <c r="FI100" t="s">
        <v>404</v>
      </c>
      <c r="FJ100" t="s">
        <v>404</v>
      </c>
      <c r="FK100" t="s">
        <v>404</v>
      </c>
      <c r="FL100" t="s">
        <v>404</v>
      </c>
      <c r="FM100" t="s">
        <v>404</v>
      </c>
      <c r="FN100" t="s">
        <v>404</v>
      </c>
      <c r="FO100" t="s">
        <v>404</v>
      </c>
      <c r="FP100" t="s">
        <v>404</v>
      </c>
      <c r="FQ100" t="s">
        <v>404</v>
      </c>
      <c r="FR100" t="s">
        <v>404</v>
      </c>
      <c r="FS100" t="s">
        <v>404</v>
      </c>
      <c r="FT100">
        <v>398.8</v>
      </c>
      <c r="FU100">
        <v>100.5</v>
      </c>
      <c r="FW100">
        <v>37</v>
      </c>
      <c r="FY100">
        <v>100.2</v>
      </c>
      <c r="FZ100">
        <v>636.5</v>
      </c>
      <c r="GA100">
        <v>807.7</v>
      </c>
      <c r="GB100">
        <v>1294</v>
      </c>
      <c r="GD100">
        <v>37.799999999999997</v>
      </c>
      <c r="GF100">
        <v>635</v>
      </c>
      <c r="GG100">
        <v>2774.5</v>
      </c>
      <c r="GN100">
        <v>0</v>
      </c>
      <c r="GU100">
        <v>0</v>
      </c>
      <c r="GV100">
        <v>50</v>
      </c>
      <c r="HB100">
        <v>50</v>
      </c>
      <c r="HI100">
        <v>0</v>
      </c>
      <c r="HJ100">
        <v>11.1</v>
      </c>
      <c r="HP100">
        <v>11.1</v>
      </c>
      <c r="HQ100" t="s">
        <v>1144</v>
      </c>
      <c r="HR100">
        <v>130</v>
      </c>
      <c r="HS100">
        <v>106.3</v>
      </c>
      <c r="HU100">
        <v>229</v>
      </c>
      <c r="HW100">
        <v>776</v>
      </c>
      <c r="HX100">
        <v>1241.3</v>
      </c>
      <c r="HY100">
        <v>1397.6</v>
      </c>
      <c r="HZ100">
        <v>1500.8</v>
      </c>
      <c r="IA100">
        <v>0</v>
      </c>
      <c r="IB100">
        <v>303.8</v>
      </c>
      <c r="IC100">
        <v>0</v>
      </c>
      <c r="ID100">
        <v>1511.2</v>
      </c>
      <c r="IE100">
        <v>4713.3999999999996</v>
      </c>
      <c r="IF100">
        <v>277</v>
      </c>
      <c r="IG100">
        <v>76.2</v>
      </c>
      <c r="II100">
        <v>91.8</v>
      </c>
      <c r="IK100">
        <v>776</v>
      </c>
      <c r="IL100">
        <v>1221</v>
      </c>
      <c r="IM100">
        <v>1020.5</v>
      </c>
      <c r="IN100">
        <v>1359.6</v>
      </c>
      <c r="IP100">
        <v>212</v>
      </c>
      <c r="IR100">
        <v>735.2</v>
      </c>
      <c r="IS100">
        <v>3327.3</v>
      </c>
      <c r="IT100">
        <v>100</v>
      </c>
      <c r="IU100">
        <v>65</v>
      </c>
      <c r="IZ100">
        <v>165</v>
      </c>
      <c r="JG100">
        <v>0</v>
      </c>
      <c r="JN100">
        <v>0</v>
      </c>
      <c r="JO100">
        <v>1397.5</v>
      </c>
      <c r="JP100">
        <v>1500.8</v>
      </c>
      <c r="JQ100">
        <v>0</v>
      </c>
      <c r="JR100">
        <v>303.8</v>
      </c>
      <c r="JS100">
        <v>0</v>
      </c>
      <c r="JT100">
        <v>1511.2</v>
      </c>
      <c r="JU100">
        <v>4713.3</v>
      </c>
      <c r="JX100">
        <v>100</v>
      </c>
      <c r="KA100">
        <v>3</v>
      </c>
      <c r="KB100">
        <v>3</v>
      </c>
      <c r="KC100">
        <v>1</v>
      </c>
      <c r="KD100" t="s">
        <v>407</v>
      </c>
      <c r="KK100">
        <v>0</v>
      </c>
      <c r="KM100">
        <v>31</v>
      </c>
      <c r="KR100">
        <v>31</v>
      </c>
      <c r="KY100">
        <v>0</v>
      </c>
      <c r="LF100">
        <v>0</v>
      </c>
      <c r="LM100">
        <v>0</v>
      </c>
      <c r="LT100">
        <v>0</v>
      </c>
      <c r="MA100">
        <v>0</v>
      </c>
      <c r="MB100" t="s">
        <v>1145</v>
      </c>
      <c r="MC100">
        <v>106.3</v>
      </c>
      <c r="MI100">
        <v>106.3</v>
      </c>
      <c r="MJ100">
        <v>106.3</v>
      </c>
      <c r="MK100">
        <v>31</v>
      </c>
      <c r="ML100">
        <v>0</v>
      </c>
      <c r="MM100">
        <v>0</v>
      </c>
      <c r="MN100">
        <v>0</v>
      </c>
      <c r="MO100">
        <v>0</v>
      </c>
      <c r="MP100">
        <v>137.30000000000001</v>
      </c>
      <c r="MQ100">
        <v>88.1</v>
      </c>
      <c r="MW100">
        <v>88.1</v>
      </c>
      <c r="MX100">
        <v>18.2</v>
      </c>
      <c r="MY100">
        <v>31</v>
      </c>
      <c r="ND100">
        <v>49.2</v>
      </c>
      <c r="NK100">
        <v>0</v>
      </c>
      <c r="NR100">
        <v>0</v>
      </c>
      <c r="NY100">
        <v>0</v>
      </c>
      <c r="NZ100">
        <v>106.3</v>
      </c>
      <c r="OA100">
        <v>31</v>
      </c>
      <c r="OB100">
        <v>0</v>
      </c>
      <c r="OC100">
        <v>0</v>
      </c>
      <c r="OD100">
        <v>0</v>
      </c>
      <c r="OE100">
        <v>0</v>
      </c>
      <c r="OF100">
        <v>137.30000000000001</v>
      </c>
      <c r="OG100" t="s">
        <v>408</v>
      </c>
      <c r="OH100">
        <v>398.8</v>
      </c>
      <c r="OI100">
        <v>100.5</v>
      </c>
      <c r="OK100">
        <v>37</v>
      </c>
      <c r="OM100">
        <v>10</v>
      </c>
      <c r="ON100">
        <v>546.29999999999995</v>
      </c>
      <c r="OO100">
        <v>845.5</v>
      </c>
      <c r="OP100">
        <v>1236</v>
      </c>
      <c r="OT100">
        <v>425</v>
      </c>
      <c r="OU100">
        <v>2506.5</v>
      </c>
      <c r="PB100">
        <v>0</v>
      </c>
      <c r="PI100">
        <v>0</v>
      </c>
      <c r="PJ100">
        <v>50</v>
      </c>
      <c r="PP100">
        <v>50</v>
      </c>
      <c r="PW100">
        <v>0</v>
      </c>
      <c r="PX100">
        <v>11.1</v>
      </c>
      <c r="QD100">
        <v>11.1</v>
      </c>
      <c r="QE100" t="s">
        <v>1145</v>
      </c>
      <c r="QF100">
        <v>130</v>
      </c>
      <c r="QI100">
        <v>229</v>
      </c>
      <c r="QL100">
        <v>359</v>
      </c>
      <c r="QM100">
        <v>1435.4</v>
      </c>
      <c r="QN100">
        <v>1336.5</v>
      </c>
      <c r="QO100">
        <v>0</v>
      </c>
      <c r="QP100">
        <v>266</v>
      </c>
      <c r="QQ100">
        <v>0</v>
      </c>
      <c r="QR100">
        <v>435</v>
      </c>
      <c r="QS100">
        <v>3472.9</v>
      </c>
      <c r="QT100">
        <v>1020.5</v>
      </c>
      <c r="QU100">
        <v>1271.5</v>
      </c>
      <c r="QW100">
        <v>212</v>
      </c>
      <c r="QY100">
        <v>435</v>
      </c>
      <c r="QZ100">
        <v>2939</v>
      </c>
      <c r="RA100">
        <v>314.8</v>
      </c>
      <c r="RD100">
        <v>54</v>
      </c>
      <c r="RG100">
        <v>368.8</v>
      </c>
      <c r="RH100">
        <v>100</v>
      </c>
      <c r="RI100">
        <v>65</v>
      </c>
      <c r="RN100">
        <v>165</v>
      </c>
      <c r="RU100">
        <v>0</v>
      </c>
      <c r="SB100">
        <v>0</v>
      </c>
      <c r="SC100">
        <v>1435.3</v>
      </c>
      <c r="SD100">
        <v>1336.5</v>
      </c>
      <c r="SE100">
        <v>0</v>
      </c>
      <c r="SF100">
        <v>266</v>
      </c>
      <c r="SG100">
        <v>0</v>
      </c>
      <c r="SH100">
        <v>435</v>
      </c>
      <c r="SI100">
        <v>3472.8</v>
      </c>
      <c r="SJ100" t="s">
        <v>409</v>
      </c>
      <c r="WM100" t="s">
        <v>410</v>
      </c>
      <c r="WS100">
        <v>90.2</v>
      </c>
      <c r="WT100">
        <v>90.2</v>
      </c>
      <c r="WV100">
        <v>27</v>
      </c>
      <c r="WZ100">
        <v>210</v>
      </c>
      <c r="XA100">
        <v>237</v>
      </c>
      <c r="XH100">
        <v>0</v>
      </c>
      <c r="XO100">
        <v>0</v>
      </c>
      <c r="XV100">
        <v>0</v>
      </c>
      <c r="YC100">
        <v>0</v>
      </c>
      <c r="YJ100">
        <v>0</v>
      </c>
      <c r="YK100" t="s">
        <v>1074</v>
      </c>
      <c r="YQ100">
        <v>776</v>
      </c>
      <c r="YR100">
        <v>776</v>
      </c>
      <c r="YS100">
        <v>0</v>
      </c>
      <c r="YT100">
        <v>27</v>
      </c>
      <c r="YU100">
        <v>0</v>
      </c>
      <c r="YV100">
        <v>0</v>
      </c>
      <c r="YW100">
        <v>0</v>
      </c>
      <c r="YX100">
        <v>1076.2</v>
      </c>
      <c r="YY100">
        <v>1103.2</v>
      </c>
      <c r="ZE100">
        <v>300.2</v>
      </c>
      <c r="ZF100">
        <v>300.2</v>
      </c>
      <c r="ZH100">
        <v>27</v>
      </c>
      <c r="ZL100">
        <v>776</v>
      </c>
      <c r="ZM100">
        <v>803</v>
      </c>
      <c r="ZT100">
        <v>0</v>
      </c>
      <c r="AAA100">
        <v>0</v>
      </c>
      <c r="AAH100">
        <v>0</v>
      </c>
      <c r="AAI100">
        <v>0</v>
      </c>
      <c r="AAJ100">
        <v>27</v>
      </c>
      <c r="AAK100">
        <v>0</v>
      </c>
      <c r="AAL100">
        <v>0</v>
      </c>
      <c r="AAM100">
        <v>0</v>
      </c>
      <c r="AAN100">
        <v>1076.2</v>
      </c>
      <c r="AAO100">
        <v>1103.2</v>
      </c>
      <c r="AAP100" t="s">
        <v>411</v>
      </c>
      <c r="AES100" t="s">
        <v>412</v>
      </c>
    </row>
    <row r="101" spans="1:825" x14ac:dyDescent="0.2">
      <c r="A101" t="s">
        <v>1146</v>
      </c>
      <c r="B101" t="s">
        <v>414</v>
      </c>
      <c r="C101" t="s">
        <v>1147</v>
      </c>
      <c r="P101" t="b">
        <v>1</v>
      </c>
      <c r="Q101" t="b">
        <v>0</v>
      </c>
      <c r="R101" t="b">
        <v>1</v>
      </c>
      <c r="S101" t="b">
        <v>0</v>
      </c>
      <c r="T101" t="b">
        <v>0</v>
      </c>
      <c r="U101" t="b">
        <v>0</v>
      </c>
      <c r="V101">
        <v>660</v>
      </c>
      <c r="W101" s="20">
        <v>43508.763888888891</v>
      </c>
      <c r="X101" t="s">
        <v>1148</v>
      </c>
      <c r="Y101">
        <v>2019</v>
      </c>
      <c r="Z101" t="s">
        <v>1149</v>
      </c>
      <c r="AA101" t="s">
        <v>1147</v>
      </c>
      <c r="AB101" t="str">
        <f>VLOOKUP(MID(AD101,SEARCH("@",AD101,1),LEN(AD101)-SEARCH("@",AD101,1)+1),[2]Sheet1!$D:$F,3,FALSE)</f>
        <v>M0296</v>
      </c>
      <c r="AC101" t="s">
        <v>1150</v>
      </c>
      <c r="AD101" t="s">
        <v>1151</v>
      </c>
      <c r="AE101">
        <v>2123597829</v>
      </c>
      <c r="AF101" t="s">
        <v>571</v>
      </c>
      <c r="AG101" t="s">
        <v>538</v>
      </c>
      <c r="AI101">
        <v>1</v>
      </c>
      <c r="AL101">
        <v>439</v>
      </c>
      <c r="AM101">
        <v>439</v>
      </c>
      <c r="AN101">
        <v>295</v>
      </c>
      <c r="AO101">
        <v>295</v>
      </c>
      <c r="AV101">
        <v>0</v>
      </c>
      <c r="AW101">
        <v>295</v>
      </c>
      <c r="BC101">
        <v>295</v>
      </c>
      <c r="BD101">
        <v>144</v>
      </c>
      <c r="BJ101">
        <v>144</v>
      </c>
      <c r="BQ101">
        <v>0</v>
      </c>
      <c r="BX101">
        <v>0</v>
      </c>
      <c r="CE101">
        <v>0</v>
      </c>
      <c r="CF101">
        <v>439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439</v>
      </c>
      <c r="CS101">
        <v>0</v>
      </c>
      <c r="CT101">
        <v>2</v>
      </c>
      <c r="CZ101">
        <v>2</v>
      </c>
      <c r="DA101">
        <v>1</v>
      </c>
      <c r="DG101">
        <v>1</v>
      </c>
      <c r="DN101">
        <v>0</v>
      </c>
      <c r="DU101">
        <v>0</v>
      </c>
      <c r="EB101">
        <v>0</v>
      </c>
      <c r="EC101">
        <v>3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3</v>
      </c>
      <c r="EJ101" t="s">
        <v>404</v>
      </c>
      <c r="EK101" t="s">
        <v>404</v>
      </c>
      <c r="EL101" t="s">
        <v>404</v>
      </c>
      <c r="EM101" t="s">
        <v>404</v>
      </c>
      <c r="EN101" t="s">
        <v>404</v>
      </c>
      <c r="EO101" t="s">
        <v>404</v>
      </c>
      <c r="EP101" t="s">
        <v>405</v>
      </c>
      <c r="EQ101" t="s">
        <v>404</v>
      </c>
      <c r="ER101" t="s">
        <v>404</v>
      </c>
      <c r="ES101" t="s">
        <v>404</v>
      </c>
      <c r="ET101" t="s">
        <v>404</v>
      </c>
      <c r="EU101" t="s">
        <v>404</v>
      </c>
      <c r="EV101" t="s">
        <v>405</v>
      </c>
      <c r="EW101" t="s">
        <v>404</v>
      </c>
      <c r="EX101" t="s">
        <v>404</v>
      </c>
      <c r="EY101" t="s">
        <v>404</v>
      </c>
      <c r="EZ101" t="s">
        <v>404</v>
      </c>
      <c r="FA101" t="s">
        <v>404</v>
      </c>
      <c r="FB101" t="s">
        <v>404</v>
      </c>
      <c r="FC101" t="s">
        <v>404</v>
      </c>
      <c r="FD101" t="s">
        <v>404</v>
      </c>
      <c r="FE101" t="s">
        <v>404</v>
      </c>
      <c r="FF101" t="s">
        <v>404</v>
      </c>
      <c r="FG101" t="s">
        <v>404</v>
      </c>
      <c r="FH101" t="s">
        <v>404</v>
      </c>
      <c r="FI101" t="s">
        <v>404</v>
      </c>
      <c r="FJ101" t="s">
        <v>404</v>
      </c>
      <c r="FK101" t="s">
        <v>404</v>
      </c>
      <c r="FL101" t="s">
        <v>404</v>
      </c>
      <c r="FM101" t="s">
        <v>404</v>
      </c>
      <c r="FN101" t="s">
        <v>404</v>
      </c>
      <c r="FO101" t="s">
        <v>404</v>
      </c>
      <c r="FP101" t="s">
        <v>404</v>
      </c>
      <c r="FQ101" t="s">
        <v>404</v>
      </c>
      <c r="FR101" t="s">
        <v>404</v>
      </c>
      <c r="FS101" t="s">
        <v>404</v>
      </c>
      <c r="FT101">
        <v>147.6</v>
      </c>
      <c r="FZ101">
        <v>147.6</v>
      </c>
      <c r="GA101">
        <v>51</v>
      </c>
      <c r="GG101">
        <v>51</v>
      </c>
      <c r="GH101">
        <v>100</v>
      </c>
      <c r="GN101">
        <v>100</v>
      </c>
      <c r="GO101">
        <v>0</v>
      </c>
      <c r="GU101">
        <v>0</v>
      </c>
      <c r="GV101">
        <v>18.3</v>
      </c>
      <c r="HB101">
        <v>18.3</v>
      </c>
      <c r="HC101">
        <v>106.9</v>
      </c>
      <c r="HI101">
        <v>106.9</v>
      </c>
      <c r="HJ101">
        <v>10.8</v>
      </c>
      <c r="HP101">
        <v>10.8</v>
      </c>
      <c r="HQ101" t="s">
        <v>1152</v>
      </c>
      <c r="HR101">
        <v>4.4000000000000004</v>
      </c>
      <c r="HX101">
        <v>4.4000000000000004</v>
      </c>
      <c r="HY101">
        <v>439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439</v>
      </c>
      <c r="IF101">
        <v>148.30000000000001</v>
      </c>
      <c r="IL101">
        <v>148.30000000000001</v>
      </c>
      <c r="IM101">
        <v>97.4</v>
      </c>
      <c r="IS101">
        <v>97.4</v>
      </c>
      <c r="IT101">
        <v>193.3</v>
      </c>
      <c r="IZ101">
        <v>193.3</v>
      </c>
      <c r="JG101">
        <v>0</v>
      </c>
      <c r="JN101">
        <v>0</v>
      </c>
      <c r="JO101">
        <v>439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439</v>
      </c>
      <c r="JV101">
        <v>19</v>
      </c>
      <c r="JX101">
        <v>81</v>
      </c>
      <c r="KA101">
        <v>1</v>
      </c>
      <c r="KB101">
        <v>3</v>
      </c>
      <c r="KC101">
        <v>2</v>
      </c>
      <c r="KD101" t="s">
        <v>407</v>
      </c>
      <c r="OG101" t="s">
        <v>408</v>
      </c>
      <c r="SJ101" t="s">
        <v>409</v>
      </c>
      <c r="WM101" t="s">
        <v>410</v>
      </c>
      <c r="AAP101" t="s">
        <v>411</v>
      </c>
      <c r="AES101" t="s">
        <v>412</v>
      </c>
    </row>
    <row r="102" spans="1:825" x14ac:dyDescent="0.2">
      <c r="A102" t="s">
        <v>1153</v>
      </c>
      <c r="B102" t="s">
        <v>396</v>
      </c>
      <c r="C102" t="s">
        <v>1154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>
        <v>702</v>
      </c>
      <c r="W102" s="20">
        <v>43504.439583333333</v>
      </c>
      <c r="X102" t="s">
        <v>1155</v>
      </c>
      <c r="Y102">
        <v>2019</v>
      </c>
      <c r="Z102" t="s">
        <v>1156</v>
      </c>
      <c r="AA102" t="s">
        <v>1157</v>
      </c>
      <c r="AB102" t="str">
        <f>VLOOKUP(MID(AD102,SEARCH("@",AD102,1),LEN(AD102)-SEARCH("@",AD102,1)+1),[2]Sheet1!$D:$F,3,FALSE)</f>
        <v>M2654</v>
      </c>
      <c r="AC102" t="s">
        <v>1158</v>
      </c>
      <c r="AD102" t="s">
        <v>1159</v>
      </c>
      <c r="AE102">
        <v>491724284435</v>
      </c>
      <c r="AF102" t="s">
        <v>444</v>
      </c>
      <c r="AG102" t="s">
        <v>403</v>
      </c>
      <c r="AI102">
        <v>1</v>
      </c>
      <c r="AL102">
        <v>177</v>
      </c>
      <c r="AM102">
        <v>177</v>
      </c>
      <c r="AN102">
        <v>175</v>
      </c>
      <c r="AO102">
        <v>175</v>
      </c>
      <c r="AV102">
        <v>0</v>
      </c>
      <c r="AW102">
        <v>120</v>
      </c>
      <c r="AY102">
        <v>57</v>
      </c>
      <c r="BC102">
        <v>177</v>
      </c>
      <c r="BJ102">
        <v>0</v>
      </c>
      <c r="BQ102">
        <v>0</v>
      </c>
      <c r="BX102">
        <v>0</v>
      </c>
      <c r="CE102">
        <v>0</v>
      </c>
      <c r="CF102">
        <v>120</v>
      </c>
      <c r="CG102">
        <v>0</v>
      </c>
      <c r="CH102">
        <v>57</v>
      </c>
      <c r="CI102">
        <v>0</v>
      </c>
      <c r="CJ102">
        <v>0</v>
      </c>
      <c r="CK102">
        <v>0</v>
      </c>
      <c r="CL102">
        <v>177</v>
      </c>
      <c r="CS102">
        <v>0</v>
      </c>
      <c r="CT102">
        <v>1</v>
      </c>
      <c r="CV102">
        <v>1</v>
      </c>
      <c r="CZ102">
        <v>2</v>
      </c>
      <c r="DG102">
        <v>0</v>
      </c>
      <c r="DN102">
        <v>0</v>
      </c>
      <c r="DU102">
        <v>0</v>
      </c>
      <c r="EB102">
        <v>0</v>
      </c>
      <c r="EC102">
        <v>1</v>
      </c>
      <c r="ED102">
        <v>0</v>
      </c>
      <c r="EE102">
        <v>1</v>
      </c>
      <c r="EF102">
        <v>0</v>
      </c>
      <c r="EG102">
        <v>0</v>
      </c>
      <c r="EH102">
        <v>0</v>
      </c>
      <c r="EI102">
        <v>2</v>
      </c>
      <c r="EJ102" t="s">
        <v>404</v>
      </c>
      <c r="EK102" t="s">
        <v>404</v>
      </c>
      <c r="EL102" t="s">
        <v>404</v>
      </c>
      <c r="EM102" t="s">
        <v>404</v>
      </c>
      <c r="EN102" t="s">
        <v>404</v>
      </c>
      <c r="EO102" t="s">
        <v>404</v>
      </c>
      <c r="EP102" t="s">
        <v>405</v>
      </c>
      <c r="EQ102" t="s">
        <v>404</v>
      </c>
      <c r="ER102" t="s">
        <v>405</v>
      </c>
      <c r="ES102" t="s">
        <v>404</v>
      </c>
      <c r="ET102" t="s">
        <v>404</v>
      </c>
      <c r="EU102" t="s">
        <v>404</v>
      </c>
      <c r="EV102" t="s">
        <v>404</v>
      </c>
      <c r="EW102" t="s">
        <v>404</v>
      </c>
      <c r="EX102" t="s">
        <v>404</v>
      </c>
      <c r="EY102" t="s">
        <v>404</v>
      </c>
      <c r="EZ102" t="s">
        <v>404</v>
      </c>
      <c r="FA102" t="s">
        <v>404</v>
      </c>
      <c r="FB102" t="s">
        <v>404</v>
      </c>
      <c r="FC102" t="s">
        <v>404</v>
      </c>
      <c r="FD102" t="s">
        <v>404</v>
      </c>
      <c r="FE102" t="s">
        <v>404</v>
      </c>
      <c r="FF102" t="s">
        <v>404</v>
      </c>
      <c r="FG102" t="s">
        <v>404</v>
      </c>
      <c r="FH102" t="s">
        <v>404</v>
      </c>
      <c r="FI102" t="s">
        <v>404</v>
      </c>
      <c r="FJ102" t="s">
        <v>404</v>
      </c>
      <c r="FK102" t="s">
        <v>404</v>
      </c>
      <c r="FL102" t="s">
        <v>404</v>
      </c>
      <c r="FM102" t="s">
        <v>404</v>
      </c>
      <c r="FN102" t="s">
        <v>404</v>
      </c>
      <c r="FO102" t="s">
        <v>404</v>
      </c>
      <c r="FP102" t="s">
        <v>404</v>
      </c>
      <c r="FQ102" t="s">
        <v>404</v>
      </c>
      <c r="FR102" t="s">
        <v>404</v>
      </c>
      <c r="FS102" t="s">
        <v>404</v>
      </c>
      <c r="FZ102">
        <v>0</v>
      </c>
      <c r="GA102">
        <v>120</v>
      </c>
      <c r="GC102">
        <v>57</v>
      </c>
      <c r="GG102">
        <v>177</v>
      </c>
      <c r="GN102">
        <v>0</v>
      </c>
      <c r="GU102">
        <v>0</v>
      </c>
      <c r="HB102">
        <v>0</v>
      </c>
      <c r="HI102">
        <v>0</v>
      </c>
      <c r="HP102">
        <v>0</v>
      </c>
      <c r="HX102">
        <v>0</v>
      </c>
      <c r="HY102">
        <v>120</v>
      </c>
      <c r="HZ102">
        <v>0</v>
      </c>
      <c r="IA102">
        <v>57</v>
      </c>
      <c r="IB102">
        <v>0</v>
      </c>
      <c r="IC102">
        <v>0</v>
      </c>
      <c r="ID102">
        <v>0</v>
      </c>
      <c r="IE102">
        <v>177</v>
      </c>
      <c r="IL102">
        <v>0</v>
      </c>
      <c r="IM102">
        <v>120</v>
      </c>
      <c r="IO102">
        <v>57</v>
      </c>
      <c r="IS102">
        <v>177</v>
      </c>
      <c r="IZ102">
        <v>0</v>
      </c>
      <c r="JG102">
        <v>0</v>
      </c>
      <c r="JN102">
        <v>0</v>
      </c>
      <c r="JO102">
        <v>120</v>
      </c>
      <c r="JP102">
        <v>0</v>
      </c>
      <c r="JQ102">
        <v>57</v>
      </c>
      <c r="JR102">
        <v>0</v>
      </c>
      <c r="JS102">
        <v>0</v>
      </c>
      <c r="JT102">
        <v>0</v>
      </c>
      <c r="JU102">
        <v>177</v>
      </c>
      <c r="JV102">
        <v>100</v>
      </c>
      <c r="KA102">
        <v>1</v>
      </c>
      <c r="KB102">
        <v>3</v>
      </c>
      <c r="KC102">
        <v>1</v>
      </c>
      <c r="KD102" t="s">
        <v>407</v>
      </c>
      <c r="OG102" t="s">
        <v>408</v>
      </c>
      <c r="SJ102" t="s">
        <v>409</v>
      </c>
      <c r="WM102" t="s">
        <v>410</v>
      </c>
      <c r="AAP102" t="s">
        <v>411</v>
      </c>
      <c r="AES102" t="s">
        <v>412</v>
      </c>
    </row>
    <row r="103" spans="1:825" x14ac:dyDescent="0.2">
      <c r="A103" t="s">
        <v>1160</v>
      </c>
      <c r="B103" t="s">
        <v>396</v>
      </c>
      <c r="C103" t="s">
        <v>1161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>
        <v>761</v>
      </c>
      <c r="W103" s="20">
        <v>43515.688888888886</v>
      </c>
      <c r="X103" t="s">
        <v>1162</v>
      </c>
      <c r="Y103">
        <v>2019</v>
      </c>
      <c r="Z103" t="s">
        <v>1163</v>
      </c>
      <c r="AA103" t="s">
        <v>1164</v>
      </c>
      <c r="AB103" t="str">
        <f>VLOOKUP(MID(AD103,SEARCH("@",AD103,1),LEN(AD103)-SEARCH("@",AD103,1)+1),[2]Sheet1!$D:$F,3,FALSE)</f>
        <v>M252</v>
      </c>
      <c r="AC103" t="s">
        <v>1165</v>
      </c>
      <c r="AD103" t="s">
        <v>1166</v>
      </c>
      <c r="AE103">
        <v>49693535630230</v>
      </c>
      <c r="AF103" t="s">
        <v>1073</v>
      </c>
      <c r="AG103" t="s">
        <v>403</v>
      </c>
      <c r="AI103">
        <v>1</v>
      </c>
      <c r="AL103">
        <v>700</v>
      </c>
      <c r="AM103">
        <v>700</v>
      </c>
      <c r="AN103">
        <v>570</v>
      </c>
      <c r="AO103">
        <v>570</v>
      </c>
      <c r="AV103">
        <v>0</v>
      </c>
      <c r="AX103">
        <v>340</v>
      </c>
      <c r="AZ103">
        <v>300</v>
      </c>
      <c r="BB103">
        <v>110</v>
      </c>
      <c r="BC103">
        <v>750</v>
      </c>
      <c r="BJ103">
        <v>0</v>
      </c>
      <c r="BQ103">
        <v>0</v>
      </c>
      <c r="BX103">
        <v>0</v>
      </c>
      <c r="CE103">
        <v>0</v>
      </c>
      <c r="CF103">
        <v>0</v>
      </c>
      <c r="CG103">
        <v>340</v>
      </c>
      <c r="CH103">
        <v>0</v>
      </c>
      <c r="CI103">
        <v>300</v>
      </c>
      <c r="CJ103">
        <v>0</v>
      </c>
      <c r="CK103">
        <v>110</v>
      </c>
      <c r="CL103">
        <v>750</v>
      </c>
      <c r="CS103">
        <v>0</v>
      </c>
      <c r="CU103">
        <v>4</v>
      </c>
      <c r="CW103">
        <v>14</v>
      </c>
      <c r="CY103">
        <v>3</v>
      </c>
      <c r="CZ103">
        <v>21</v>
      </c>
      <c r="DG103">
        <v>0</v>
      </c>
      <c r="DN103">
        <v>0</v>
      </c>
      <c r="DU103">
        <v>0</v>
      </c>
      <c r="EB103">
        <v>0</v>
      </c>
      <c r="EC103">
        <v>0</v>
      </c>
      <c r="ED103">
        <v>4</v>
      </c>
      <c r="EE103">
        <v>0</v>
      </c>
      <c r="EF103">
        <v>14</v>
      </c>
      <c r="EG103">
        <v>0</v>
      </c>
      <c r="EH103">
        <v>3</v>
      </c>
      <c r="EI103">
        <v>21</v>
      </c>
      <c r="EJ103" t="s">
        <v>404</v>
      </c>
      <c r="EK103" t="s">
        <v>404</v>
      </c>
      <c r="EL103" t="s">
        <v>404</v>
      </c>
      <c r="EM103" t="s">
        <v>404</v>
      </c>
      <c r="EN103" t="s">
        <v>404</v>
      </c>
      <c r="EO103" t="s">
        <v>404</v>
      </c>
      <c r="EP103" t="s">
        <v>404</v>
      </c>
      <c r="EQ103" t="s">
        <v>405</v>
      </c>
      <c r="ER103" t="s">
        <v>404</v>
      </c>
      <c r="ES103" t="s">
        <v>405</v>
      </c>
      <c r="ET103" t="s">
        <v>404</v>
      </c>
      <c r="EU103" t="s">
        <v>405</v>
      </c>
      <c r="EV103" t="s">
        <v>404</v>
      </c>
      <c r="EW103" t="s">
        <v>404</v>
      </c>
      <c r="EX103" t="s">
        <v>404</v>
      </c>
      <c r="EY103" t="s">
        <v>404</v>
      </c>
      <c r="EZ103" t="s">
        <v>404</v>
      </c>
      <c r="FA103" t="s">
        <v>404</v>
      </c>
      <c r="FB103" t="s">
        <v>404</v>
      </c>
      <c r="FC103" t="s">
        <v>404</v>
      </c>
      <c r="FD103" t="s">
        <v>404</v>
      </c>
      <c r="FE103" t="s">
        <v>404</v>
      </c>
      <c r="FF103" t="s">
        <v>404</v>
      </c>
      <c r="FG103" t="s">
        <v>404</v>
      </c>
      <c r="FH103" t="s">
        <v>404</v>
      </c>
      <c r="FI103" t="s">
        <v>404</v>
      </c>
      <c r="FJ103" t="s">
        <v>404</v>
      </c>
      <c r="FK103" t="s">
        <v>404</v>
      </c>
      <c r="FL103" t="s">
        <v>404</v>
      </c>
      <c r="FM103" t="s">
        <v>404</v>
      </c>
      <c r="FN103" t="s">
        <v>404</v>
      </c>
      <c r="FO103" t="s">
        <v>404</v>
      </c>
      <c r="FP103" t="s">
        <v>404</v>
      </c>
      <c r="FQ103" t="s">
        <v>404</v>
      </c>
      <c r="FR103" t="s">
        <v>404</v>
      </c>
      <c r="FS103" t="s">
        <v>404</v>
      </c>
      <c r="FU103">
        <v>280</v>
      </c>
      <c r="FW103">
        <v>70</v>
      </c>
      <c r="FY103">
        <v>40</v>
      </c>
      <c r="FZ103">
        <v>390</v>
      </c>
      <c r="GB103">
        <v>60</v>
      </c>
      <c r="GD103">
        <v>80</v>
      </c>
      <c r="GF103">
        <v>50</v>
      </c>
      <c r="GG103">
        <v>190</v>
      </c>
      <c r="GN103">
        <v>0</v>
      </c>
      <c r="GU103">
        <v>0</v>
      </c>
      <c r="HA103">
        <v>20</v>
      </c>
      <c r="HB103">
        <v>20</v>
      </c>
      <c r="HI103">
        <v>0</v>
      </c>
      <c r="HM103">
        <v>150</v>
      </c>
      <c r="HP103">
        <v>150</v>
      </c>
      <c r="HX103">
        <v>0</v>
      </c>
      <c r="HY103">
        <v>0</v>
      </c>
      <c r="HZ103">
        <v>340</v>
      </c>
      <c r="IA103">
        <v>0</v>
      </c>
      <c r="IB103">
        <v>300</v>
      </c>
      <c r="IC103">
        <v>0</v>
      </c>
      <c r="ID103">
        <v>110</v>
      </c>
      <c r="IE103">
        <v>750</v>
      </c>
      <c r="IL103">
        <v>0</v>
      </c>
      <c r="IN103">
        <v>340</v>
      </c>
      <c r="IP103">
        <v>300</v>
      </c>
      <c r="IR103">
        <v>110</v>
      </c>
      <c r="IS103">
        <v>750</v>
      </c>
      <c r="IZ103">
        <v>0</v>
      </c>
      <c r="JG103">
        <v>0</v>
      </c>
      <c r="JN103">
        <v>0</v>
      </c>
      <c r="JO103">
        <v>0</v>
      </c>
      <c r="JP103">
        <v>340</v>
      </c>
      <c r="JQ103">
        <v>0</v>
      </c>
      <c r="JR103">
        <v>300</v>
      </c>
      <c r="JS103">
        <v>0</v>
      </c>
      <c r="JT103">
        <v>110</v>
      </c>
      <c r="JU103">
        <v>750</v>
      </c>
      <c r="JX103">
        <v>100</v>
      </c>
      <c r="KA103">
        <v>1</v>
      </c>
      <c r="KB103">
        <v>3</v>
      </c>
      <c r="KC103">
        <v>2</v>
      </c>
      <c r="KD103" t="s">
        <v>407</v>
      </c>
      <c r="OG103" t="s">
        <v>408</v>
      </c>
      <c r="SJ103" t="s">
        <v>409</v>
      </c>
      <c r="WM103" t="s">
        <v>410</v>
      </c>
      <c r="AAP103" t="s">
        <v>411</v>
      </c>
      <c r="AES103" t="s">
        <v>412</v>
      </c>
    </row>
    <row r="104" spans="1:825" x14ac:dyDescent="0.2">
      <c r="A104" t="s">
        <v>1167</v>
      </c>
      <c r="B104" t="s">
        <v>563</v>
      </c>
      <c r="C104" t="s">
        <v>1168</v>
      </c>
      <c r="P104" t="b">
        <v>0</v>
      </c>
      <c r="Q104" t="b">
        <v>0</v>
      </c>
      <c r="R104" t="b">
        <v>1</v>
      </c>
      <c r="S104" t="b">
        <v>0</v>
      </c>
      <c r="T104" t="b">
        <v>0</v>
      </c>
      <c r="U104" t="b">
        <v>0</v>
      </c>
      <c r="V104">
        <v>661</v>
      </c>
      <c r="W104" s="20">
        <v>43493.82708333333</v>
      </c>
      <c r="X104" t="s">
        <v>1169</v>
      </c>
      <c r="Y104">
        <v>2019</v>
      </c>
      <c r="Z104" t="s">
        <v>1170</v>
      </c>
      <c r="AA104" t="s">
        <v>1171</v>
      </c>
      <c r="AB104" t="str">
        <f>VLOOKUP(MID(AD104,SEARCH("@",AD104,1),LEN(AD104)-SEARCH("@",AD104,1)+1),[2]Sheet1!$D:$F,3,FALSE)</f>
        <v>NC013</v>
      </c>
      <c r="AC104" t="s">
        <v>1172</v>
      </c>
      <c r="AD104" t="s">
        <v>1173</v>
      </c>
      <c r="AE104">
        <v>3124772497</v>
      </c>
      <c r="AF104" t="s">
        <v>571</v>
      </c>
      <c r="AG104" t="s">
        <v>538</v>
      </c>
      <c r="AI104">
        <v>1</v>
      </c>
      <c r="AL104">
        <v>453</v>
      </c>
      <c r="AM104">
        <v>453</v>
      </c>
      <c r="AN104">
        <v>453</v>
      </c>
      <c r="AO104">
        <v>186</v>
      </c>
      <c r="AV104">
        <v>0</v>
      </c>
      <c r="BC104">
        <v>0</v>
      </c>
      <c r="BD104">
        <v>328</v>
      </c>
      <c r="BE104">
        <v>75</v>
      </c>
      <c r="BG104">
        <v>50</v>
      </c>
      <c r="BJ104">
        <v>453</v>
      </c>
      <c r="BQ104">
        <v>0</v>
      </c>
      <c r="BX104">
        <v>0</v>
      </c>
      <c r="CE104">
        <v>0</v>
      </c>
      <c r="CF104">
        <v>328</v>
      </c>
      <c r="CG104">
        <v>75</v>
      </c>
      <c r="CH104">
        <v>0</v>
      </c>
      <c r="CI104">
        <v>50</v>
      </c>
      <c r="CJ104">
        <v>0</v>
      </c>
      <c r="CK104">
        <v>0</v>
      </c>
      <c r="CL104">
        <v>453</v>
      </c>
      <c r="CS104">
        <v>0</v>
      </c>
      <c r="CZ104">
        <v>0</v>
      </c>
      <c r="DA104">
        <v>1</v>
      </c>
      <c r="DB104">
        <v>1</v>
      </c>
      <c r="DD104">
        <v>3</v>
      </c>
      <c r="DG104">
        <v>5</v>
      </c>
      <c r="DN104">
        <v>0</v>
      </c>
      <c r="DU104">
        <v>0</v>
      </c>
      <c r="EB104">
        <v>0</v>
      </c>
      <c r="EC104">
        <v>1</v>
      </c>
      <c r="ED104">
        <v>1</v>
      </c>
      <c r="EE104">
        <v>0</v>
      </c>
      <c r="EF104">
        <v>3</v>
      </c>
      <c r="EG104">
        <v>0</v>
      </c>
      <c r="EH104">
        <v>0</v>
      </c>
      <c r="EI104">
        <v>5</v>
      </c>
      <c r="EJ104" t="s">
        <v>404</v>
      </c>
      <c r="EK104" t="s">
        <v>404</v>
      </c>
      <c r="EL104" t="s">
        <v>404</v>
      </c>
      <c r="EM104" t="s">
        <v>404</v>
      </c>
      <c r="EN104" t="s">
        <v>404</v>
      </c>
      <c r="EO104" t="s">
        <v>404</v>
      </c>
      <c r="EP104" t="s">
        <v>404</v>
      </c>
      <c r="EQ104" t="s">
        <v>404</v>
      </c>
      <c r="ER104" t="s">
        <v>404</v>
      </c>
      <c r="ES104" t="s">
        <v>404</v>
      </c>
      <c r="ET104" t="s">
        <v>404</v>
      </c>
      <c r="EU104" t="s">
        <v>404</v>
      </c>
      <c r="EV104" t="s">
        <v>405</v>
      </c>
      <c r="EW104" t="s">
        <v>405</v>
      </c>
      <c r="EX104" t="s">
        <v>404</v>
      </c>
      <c r="EY104" t="s">
        <v>405</v>
      </c>
      <c r="EZ104" t="s">
        <v>404</v>
      </c>
      <c r="FA104" t="s">
        <v>404</v>
      </c>
      <c r="FB104" t="s">
        <v>404</v>
      </c>
      <c r="FC104" t="s">
        <v>404</v>
      </c>
      <c r="FD104" t="s">
        <v>404</v>
      </c>
      <c r="FE104" t="s">
        <v>404</v>
      </c>
      <c r="FF104" t="s">
        <v>404</v>
      </c>
      <c r="FG104" t="s">
        <v>404</v>
      </c>
      <c r="FH104" t="s">
        <v>404</v>
      </c>
      <c r="FI104" t="s">
        <v>404</v>
      </c>
      <c r="FJ104" t="s">
        <v>404</v>
      </c>
      <c r="FK104" t="s">
        <v>404</v>
      </c>
      <c r="FL104" t="s">
        <v>404</v>
      </c>
      <c r="FM104" t="s">
        <v>404</v>
      </c>
      <c r="FN104" t="s">
        <v>404</v>
      </c>
      <c r="FO104" t="s">
        <v>404</v>
      </c>
      <c r="FP104" t="s">
        <v>404</v>
      </c>
      <c r="FQ104" t="s">
        <v>404</v>
      </c>
      <c r="FR104" t="s">
        <v>404</v>
      </c>
      <c r="FS104" t="s">
        <v>404</v>
      </c>
      <c r="FT104">
        <v>125</v>
      </c>
      <c r="FU104">
        <v>75</v>
      </c>
      <c r="FZ104">
        <v>200</v>
      </c>
      <c r="GA104">
        <v>140</v>
      </c>
      <c r="GG104">
        <v>140</v>
      </c>
      <c r="GN104">
        <v>0</v>
      </c>
      <c r="GU104">
        <v>0</v>
      </c>
      <c r="GV104">
        <v>50</v>
      </c>
      <c r="GY104">
        <v>50</v>
      </c>
      <c r="HB104">
        <v>100</v>
      </c>
      <c r="HI104">
        <v>0</v>
      </c>
      <c r="HJ104">
        <v>7</v>
      </c>
      <c r="HP104">
        <v>7</v>
      </c>
      <c r="HQ104" t="s">
        <v>643</v>
      </c>
      <c r="HR104">
        <v>6</v>
      </c>
      <c r="HX104">
        <v>6</v>
      </c>
      <c r="HY104">
        <v>328</v>
      </c>
      <c r="HZ104">
        <v>75</v>
      </c>
      <c r="IA104">
        <v>0</v>
      </c>
      <c r="IB104">
        <v>50</v>
      </c>
      <c r="IC104">
        <v>0</v>
      </c>
      <c r="ID104">
        <v>0</v>
      </c>
      <c r="IE104">
        <v>453</v>
      </c>
      <c r="IL104">
        <v>0</v>
      </c>
      <c r="IM104">
        <v>41</v>
      </c>
      <c r="IS104">
        <v>41</v>
      </c>
      <c r="IT104">
        <v>287</v>
      </c>
      <c r="IU104">
        <v>75</v>
      </c>
      <c r="IW104">
        <v>50</v>
      </c>
      <c r="IZ104">
        <v>412</v>
      </c>
      <c r="JG104">
        <v>0</v>
      </c>
      <c r="JN104">
        <v>0</v>
      </c>
      <c r="JO104">
        <v>328</v>
      </c>
      <c r="JP104">
        <v>75</v>
      </c>
      <c r="JQ104">
        <v>0</v>
      </c>
      <c r="JR104">
        <v>50</v>
      </c>
      <c r="JS104">
        <v>0</v>
      </c>
      <c r="JT104">
        <v>0</v>
      </c>
      <c r="JU104">
        <v>453</v>
      </c>
      <c r="JX104">
        <v>75</v>
      </c>
      <c r="JY104" t="s">
        <v>1174</v>
      </c>
      <c r="JZ104">
        <v>25</v>
      </c>
      <c r="KA104">
        <v>3</v>
      </c>
      <c r="KB104">
        <v>3</v>
      </c>
      <c r="KC104">
        <v>1</v>
      </c>
      <c r="KD104" t="s">
        <v>407</v>
      </c>
      <c r="OG104" t="s">
        <v>408</v>
      </c>
      <c r="SJ104" t="s">
        <v>409</v>
      </c>
      <c r="WM104" t="s">
        <v>410</v>
      </c>
      <c r="AAP104" t="s">
        <v>411</v>
      </c>
      <c r="AES104" t="s">
        <v>412</v>
      </c>
    </row>
    <row r="105" spans="1:825" x14ac:dyDescent="0.2">
      <c r="A105" t="s">
        <v>1175</v>
      </c>
      <c r="B105" t="s">
        <v>563</v>
      </c>
      <c r="C105" t="s">
        <v>1176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b">
        <v>0</v>
      </c>
      <c r="V105">
        <v>614</v>
      </c>
      <c r="W105" s="20">
        <v>43482.814583333333</v>
      </c>
      <c r="X105" t="s">
        <v>1177</v>
      </c>
      <c r="Y105">
        <v>2019</v>
      </c>
      <c r="Z105" t="s">
        <v>1178</v>
      </c>
      <c r="AA105" t="s">
        <v>1179</v>
      </c>
      <c r="AB105" t="str">
        <f>VLOOKUP(MID(AD105,SEARCH("@",AD105,1),LEN(AD105)-SEARCH("@",AD105,1)+1),[2]Sheet1!$D:$F,3,FALSE)</f>
        <v>NC020</v>
      </c>
      <c r="AC105" t="s">
        <v>1179</v>
      </c>
      <c r="AD105" t="s">
        <v>1180</v>
      </c>
      <c r="AF105" t="s">
        <v>571</v>
      </c>
      <c r="AG105" t="s">
        <v>538</v>
      </c>
      <c r="AI105">
        <v>1</v>
      </c>
      <c r="AL105">
        <v>144</v>
      </c>
      <c r="AM105">
        <v>144</v>
      </c>
      <c r="AN105">
        <v>144</v>
      </c>
      <c r="AO105">
        <v>144</v>
      </c>
      <c r="AV105">
        <v>0</v>
      </c>
      <c r="BC105">
        <v>0</v>
      </c>
      <c r="BD105">
        <v>144</v>
      </c>
      <c r="BJ105">
        <v>144</v>
      </c>
      <c r="BQ105">
        <v>0</v>
      </c>
      <c r="BX105">
        <v>0</v>
      </c>
      <c r="CE105">
        <v>0</v>
      </c>
      <c r="CF105">
        <v>144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144</v>
      </c>
      <c r="CS105">
        <v>0</v>
      </c>
      <c r="CZ105">
        <v>0</v>
      </c>
      <c r="DA105">
        <v>1</v>
      </c>
      <c r="DG105">
        <v>1</v>
      </c>
      <c r="DN105">
        <v>0</v>
      </c>
      <c r="DU105">
        <v>0</v>
      </c>
      <c r="EB105">
        <v>0</v>
      </c>
      <c r="EC105">
        <v>1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1</v>
      </c>
      <c r="EJ105" t="s">
        <v>404</v>
      </c>
      <c r="EK105" t="s">
        <v>404</v>
      </c>
      <c r="EL105" t="s">
        <v>404</v>
      </c>
      <c r="EM105" t="s">
        <v>404</v>
      </c>
      <c r="EN105" t="s">
        <v>404</v>
      </c>
      <c r="EO105" t="s">
        <v>404</v>
      </c>
      <c r="EP105" t="s">
        <v>404</v>
      </c>
      <c r="EQ105" t="s">
        <v>404</v>
      </c>
      <c r="ER105" t="s">
        <v>404</v>
      </c>
      <c r="ES105" t="s">
        <v>404</v>
      </c>
      <c r="ET105" t="s">
        <v>404</v>
      </c>
      <c r="EU105" t="s">
        <v>404</v>
      </c>
      <c r="EV105" t="s">
        <v>405</v>
      </c>
      <c r="EW105" t="s">
        <v>404</v>
      </c>
      <c r="EX105" t="s">
        <v>404</v>
      </c>
      <c r="EY105" t="s">
        <v>404</v>
      </c>
      <c r="EZ105" t="s">
        <v>404</v>
      </c>
      <c r="FA105" t="s">
        <v>404</v>
      </c>
      <c r="FB105" t="s">
        <v>404</v>
      </c>
      <c r="FC105" t="s">
        <v>404</v>
      </c>
      <c r="FD105" t="s">
        <v>404</v>
      </c>
      <c r="FE105" t="s">
        <v>404</v>
      </c>
      <c r="FF105" t="s">
        <v>404</v>
      </c>
      <c r="FG105" t="s">
        <v>404</v>
      </c>
      <c r="FH105" t="s">
        <v>404</v>
      </c>
      <c r="FI105" t="s">
        <v>404</v>
      </c>
      <c r="FJ105" t="s">
        <v>404</v>
      </c>
      <c r="FK105" t="s">
        <v>404</v>
      </c>
      <c r="FL105" t="s">
        <v>404</v>
      </c>
      <c r="FM105" t="s">
        <v>404</v>
      </c>
      <c r="FN105" t="s">
        <v>404</v>
      </c>
      <c r="FO105" t="s">
        <v>404</v>
      </c>
      <c r="FP105" t="s">
        <v>404</v>
      </c>
      <c r="FQ105" t="s">
        <v>404</v>
      </c>
      <c r="FR105" t="s">
        <v>404</v>
      </c>
      <c r="FS105" t="s">
        <v>404</v>
      </c>
      <c r="FT105">
        <v>144</v>
      </c>
      <c r="FZ105">
        <v>144</v>
      </c>
      <c r="GG105">
        <v>0</v>
      </c>
      <c r="GN105">
        <v>0</v>
      </c>
      <c r="GU105">
        <v>0</v>
      </c>
      <c r="HB105">
        <v>0</v>
      </c>
      <c r="HI105">
        <v>0</v>
      </c>
      <c r="HP105">
        <v>0</v>
      </c>
      <c r="HX105">
        <v>0</v>
      </c>
      <c r="HY105">
        <v>144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144</v>
      </c>
      <c r="IL105">
        <v>0</v>
      </c>
      <c r="IS105">
        <v>0</v>
      </c>
      <c r="IT105">
        <v>144</v>
      </c>
      <c r="IZ105">
        <v>144</v>
      </c>
      <c r="JG105">
        <v>0</v>
      </c>
      <c r="JN105">
        <v>0</v>
      </c>
      <c r="JO105">
        <v>144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144</v>
      </c>
      <c r="JV105">
        <v>100</v>
      </c>
      <c r="KA105">
        <v>1</v>
      </c>
      <c r="KB105">
        <v>3</v>
      </c>
      <c r="KC105">
        <v>1</v>
      </c>
      <c r="KD105" t="s">
        <v>407</v>
      </c>
      <c r="OG105" t="s">
        <v>408</v>
      </c>
      <c r="SJ105" t="s">
        <v>409</v>
      </c>
      <c r="WM105" t="s">
        <v>410</v>
      </c>
      <c r="AAP105" t="s">
        <v>411</v>
      </c>
      <c r="AES105" t="s">
        <v>412</v>
      </c>
    </row>
    <row r="106" spans="1:825" x14ac:dyDescent="0.2">
      <c r="A106" t="s">
        <v>1181</v>
      </c>
      <c r="B106" t="s">
        <v>396</v>
      </c>
      <c r="C106" t="s">
        <v>1182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>
        <v>619</v>
      </c>
      <c r="W106" s="20">
        <v>43487.431944444441</v>
      </c>
      <c r="X106" t="s">
        <v>1183</v>
      </c>
      <c r="Y106">
        <v>2019</v>
      </c>
      <c r="Z106" t="s">
        <v>1184</v>
      </c>
      <c r="AA106" t="s">
        <v>1185</v>
      </c>
      <c r="AB106" t="str">
        <f>VLOOKUP(MID(AD106,SEARCH("@",AD106,1),LEN(AD106)-SEARCH("@",AD106,1)+1),[2]Sheet1!$D:$F,3,FALSE)</f>
        <v>M2838</v>
      </c>
      <c r="AC106" t="s">
        <v>685</v>
      </c>
      <c r="AD106" t="s">
        <v>1186</v>
      </c>
      <c r="AE106">
        <v>4521430996</v>
      </c>
      <c r="AF106" t="s">
        <v>402</v>
      </c>
      <c r="AG106" t="s">
        <v>1187</v>
      </c>
      <c r="AI106">
        <v>2</v>
      </c>
      <c r="AJ106">
        <v>6</v>
      </c>
      <c r="AK106" t="s">
        <v>1188</v>
      </c>
      <c r="AV106">
        <v>0</v>
      </c>
      <c r="BC106">
        <v>0</v>
      </c>
      <c r="BJ106">
        <v>0</v>
      </c>
      <c r="BQ106">
        <v>0</v>
      </c>
      <c r="BX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S106">
        <v>0</v>
      </c>
      <c r="CZ106">
        <v>0</v>
      </c>
      <c r="DG106">
        <v>0</v>
      </c>
      <c r="DN106">
        <v>0</v>
      </c>
      <c r="DU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 t="s">
        <v>404</v>
      </c>
      <c r="EK106" t="s">
        <v>404</v>
      </c>
      <c r="EL106" t="s">
        <v>404</v>
      </c>
      <c r="EM106" t="s">
        <v>404</v>
      </c>
      <c r="EN106" t="s">
        <v>404</v>
      </c>
      <c r="EO106" t="s">
        <v>404</v>
      </c>
      <c r="EP106" t="s">
        <v>404</v>
      </c>
      <c r="EQ106" t="s">
        <v>404</v>
      </c>
      <c r="ER106" t="s">
        <v>404</v>
      </c>
      <c r="ES106" t="s">
        <v>404</v>
      </c>
      <c r="ET106" t="s">
        <v>404</v>
      </c>
      <c r="EU106" t="s">
        <v>404</v>
      </c>
      <c r="EV106" t="s">
        <v>404</v>
      </c>
      <c r="EW106" t="s">
        <v>404</v>
      </c>
      <c r="EX106" t="s">
        <v>404</v>
      </c>
      <c r="EY106" t="s">
        <v>404</v>
      </c>
      <c r="EZ106" t="s">
        <v>404</v>
      </c>
      <c r="FA106" t="s">
        <v>404</v>
      </c>
      <c r="FB106" t="s">
        <v>404</v>
      </c>
      <c r="FC106" t="s">
        <v>404</v>
      </c>
      <c r="FD106" t="s">
        <v>404</v>
      </c>
      <c r="FE106" t="s">
        <v>404</v>
      </c>
      <c r="FF106" t="s">
        <v>404</v>
      </c>
      <c r="FG106" t="s">
        <v>404</v>
      </c>
      <c r="FH106" t="s">
        <v>404</v>
      </c>
      <c r="FI106" t="s">
        <v>404</v>
      </c>
      <c r="FJ106" t="s">
        <v>404</v>
      </c>
      <c r="FK106" t="s">
        <v>404</v>
      </c>
      <c r="FL106" t="s">
        <v>404</v>
      </c>
      <c r="FM106" t="s">
        <v>404</v>
      </c>
      <c r="FN106" t="s">
        <v>404</v>
      </c>
      <c r="FO106" t="s">
        <v>404</v>
      </c>
      <c r="FP106" t="s">
        <v>404</v>
      </c>
      <c r="FQ106" t="s">
        <v>404</v>
      </c>
      <c r="FR106" t="s">
        <v>404</v>
      </c>
      <c r="FS106" t="s">
        <v>404</v>
      </c>
      <c r="FZ106">
        <v>0</v>
      </c>
      <c r="GG106">
        <v>0</v>
      </c>
      <c r="GN106">
        <v>0</v>
      </c>
      <c r="GU106">
        <v>0</v>
      </c>
      <c r="HB106">
        <v>0</v>
      </c>
      <c r="HI106">
        <v>0</v>
      </c>
      <c r="HP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L106">
        <v>0</v>
      </c>
      <c r="IS106">
        <v>0</v>
      </c>
      <c r="IZ106">
        <v>0</v>
      </c>
      <c r="JG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KA106">
        <v>1</v>
      </c>
      <c r="KB106">
        <v>3</v>
      </c>
      <c r="KC106">
        <v>2</v>
      </c>
      <c r="KD106" t="s">
        <v>407</v>
      </c>
      <c r="OG106" t="s">
        <v>408</v>
      </c>
      <c r="SJ106" t="s">
        <v>409</v>
      </c>
      <c r="WM106" t="s">
        <v>410</v>
      </c>
      <c r="AAP106" t="s">
        <v>411</v>
      </c>
      <c r="AES106" t="s">
        <v>412</v>
      </c>
    </row>
    <row r="107" spans="1:825" x14ac:dyDescent="0.2">
      <c r="A107" t="s">
        <v>1189</v>
      </c>
      <c r="B107" t="s">
        <v>396</v>
      </c>
      <c r="C107" t="s">
        <v>1190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>
        <v>674</v>
      </c>
      <c r="W107" s="20">
        <v>43494.492361111108</v>
      </c>
      <c r="X107" t="s">
        <v>1191</v>
      </c>
      <c r="Y107">
        <v>2019</v>
      </c>
      <c r="Z107" t="s">
        <v>1192</v>
      </c>
      <c r="AA107" t="s">
        <v>1190</v>
      </c>
      <c r="AB107" t="str">
        <f>VLOOKUP(MID(AD107,SEARCH("@",AD107,1),LEN(AD107)-SEARCH("@",AD107,1)+1),[2]Sheet1!$D:$F,3,FALSE)</f>
        <v>M2590</v>
      </c>
      <c r="AC107" t="s">
        <v>1193</v>
      </c>
      <c r="AD107" t="s">
        <v>1194</v>
      </c>
      <c r="AE107">
        <v>49692740331220</v>
      </c>
      <c r="AF107" t="s">
        <v>444</v>
      </c>
      <c r="AG107" t="s">
        <v>403</v>
      </c>
      <c r="AI107">
        <v>1</v>
      </c>
      <c r="AL107">
        <v>500</v>
      </c>
      <c r="AM107">
        <v>500</v>
      </c>
      <c r="AN107">
        <v>375</v>
      </c>
      <c r="AO107">
        <v>375</v>
      </c>
      <c r="AV107">
        <v>0</v>
      </c>
      <c r="AY107">
        <v>375</v>
      </c>
      <c r="AZ107">
        <v>125</v>
      </c>
      <c r="BC107">
        <v>500</v>
      </c>
      <c r="BJ107">
        <v>0</v>
      </c>
      <c r="BQ107">
        <v>0</v>
      </c>
      <c r="BX107">
        <v>0</v>
      </c>
      <c r="CE107">
        <v>0</v>
      </c>
      <c r="CF107">
        <v>0</v>
      </c>
      <c r="CG107">
        <v>0</v>
      </c>
      <c r="CH107">
        <v>375</v>
      </c>
      <c r="CI107">
        <v>125</v>
      </c>
      <c r="CJ107">
        <v>0</v>
      </c>
      <c r="CK107">
        <v>0</v>
      </c>
      <c r="CL107">
        <v>500</v>
      </c>
      <c r="CS107">
        <v>0</v>
      </c>
      <c r="CV107">
        <v>1</v>
      </c>
      <c r="CW107">
        <v>2</v>
      </c>
      <c r="CZ107">
        <v>3</v>
      </c>
      <c r="DG107">
        <v>0</v>
      </c>
      <c r="DN107">
        <v>0</v>
      </c>
      <c r="DU107">
        <v>0</v>
      </c>
      <c r="EB107">
        <v>0</v>
      </c>
      <c r="EC107">
        <v>0</v>
      </c>
      <c r="ED107">
        <v>0</v>
      </c>
      <c r="EE107">
        <v>1</v>
      </c>
      <c r="EF107">
        <v>2</v>
      </c>
      <c r="EG107">
        <v>0</v>
      </c>
      <c r="EH107">
        <v>0</v>
      </c>
      <c r="EI107">
        <v>3</v>
      </c>
      <c r="EJ107" t="s">
        <v>404</v>
      </c>
      <c r="EK107" t="s">
        <v>404</v>
      </c>
      <c r="EL107" t="s">
        <v>404</v>
      </c>
      <c r="EM107" t="s">
        <v>404</v>
      </c>
      <c r="EN107" t="s">
        <v>404</v>
      </c>
      <c r="EO107" t="s">
        <v>404</v>
      </c>
      <c r="EP107" t="s">
        <v>404</v>
      </c>
      <c r="EQ107" t="s">
        <v>404</v>
      </c>
      <c r="ER107" t="s">
        <v>405</v>
      </c>
      <c r="ES107" t="s">
        <v>405</v>
      </c>
      <c r="ET107" t="s">
        <v>404</v>
      </c>
      <c r="EU107" t="s">
        <v>404</v>
      </c>
      <c r="EV107" t="s">
        <v>404</v>
      </c>
      <c r="EW107" t="s">
        <v>404</v>
      </c>
      <c r="EX107" t="s">
        <v>404</v>
      </c>
      <c r="EY107" t="s">
        <v>404</v>
      </c>
      <c r="EZ107" t="s">
        <v>404</v>
      </c>
      <c r="FA107" t="s">
        <v>404</v>
      </c>
      <c r="FB107" t="s">
        <v>404</v>
      </c>
      <c r="FC107" t="s">
        <v>404</v>
      </c>
      <c r="FD107" t="s">
        <v>404</v>
      </c>
      <c r="FE107" t="s">
        <v>404</v>
      </c>
      <c r="FF107" t="s">
        <v>404</v>
      </c>
      <c r="FG107" t="s">
        <v>404</v>
      </c>
      <c r="FH107" t="s">
        <v>404</v>
      </c>
      <c r="FI107" t="s">
        <v>404</v>
      </c>
      <c r="FJ107" t="s">
        <v>404</v>
      </c>
      <c r="FK107" t="s">
        <v>404</v>
      </c>
      <c r="FL107" t="s">
        <v>404</v>
      </c>
      <c r="FM107" t="s">
        <v>404</v>
      </c>
      <c r="FN107" t="s">
        <v>404</v>
      </c>
      <c r="FO107" t="s">
        <v>404</v>
      </c>
      <c r="FP107" t="s">
        <v>404</v>
      </c>
      <c r="FQ107" t="s">
        <v>404</v>
      </c>
      <c r="FR107" t="s">
        <v>404</v>
      </c>
      <c r="FS107" t="s">
        <v>404</v>
      </c>
      <c r="FV107">
        <v>375</v>
      </c>
      <c r="FW107">
        <v>40</v>
      </c>
      <c r="FZ107">
        <v>415</v>
      </c>
      <c r="GD107">
        <v>85</v>
      </c>
      <c r="GG107">
        <v>85</v>
      </c>
      <c r="GN107">
        <v>0</v>
      </c>
      <c r="GU107">
        <v>0</v>
      </c>
      <c r="HB107">
        <v>0</v>
      </c>
      <c r="HI107">
        <v>0</v>
      </c>
      <c r="HP107">
        <v>0</v>
      </c>
      <c r="HX107">
        <v>0</v>
      </c>
      <c r="HY107">
        <v>0</v>
      </c>
      <c r="HZ107">
        <v>0</v>
      </c>
      <c r="IA107">
        <v>375</v>
      </c>
      <c r="IB107">
        <v>125</v>
      </c>
      <c r="IC107">
        <v>0</v>
      </c>
      <c r="ID107">
        <v>0</v>
      </c>
      <c r="IE107">
        <v>500</v>
      </c>
      <c r="IL107">
        <v>0</v>
      </c>
      <c r="IO107">
        <v>375</v>
      </c>
      <c r="IP107">
        <v>125</v>
      </c>
      <c r="IS107">
        <v>500</v>
      </c>
      <c r="IZ107">
        <v>0</v>
      </c>
      <c r="JG107">
        <v>0</v>
      </c>
      <c r="JN107">
        <v>0</v>
      </c>
      <c r="JO107">
        <v>0</v>
      </c>
      <c r="JP107">
        <v>0</v>
      </c>
      <c r="JQ107">
        <v>375</v>
      </c>
      <c r="JR107">
        <v>125</v>
      </c>
      <c r="JS107">
        <v>0</v>
      </c>
      <c r="JT107">
        <v>0</v>
      </c>
      <c r="JU107">
        <v>500</v>
      </c>
      <c r="JV107">
        <v>4</v>
      </c>
      <c r="JX107">
        <v>96</v>
      </c>
      <c r="KA107">
        <v>1</v>
      </c>
      <c r="KB107">
        <v>1</v>
      </c>
      <c r="KC107">
        <v>1</v>
      </c>
      <c r="KD107" t="s">
        <v>407</v>
      </c>
      <c r="OG107" t="s">
        <v>408</v>
      </c>
      <c r="SJ107" t="s">
        <v>409</v>
      </c>
      <c r="WM107" t="s">
        <v>410</v>
      </c>
      <c r="AAP107" t="s">
        <v>411</v>
      </c>
      <c r="AES107" t="s">
        <v>412</v>
      </c>
    </row>
    <row r="108" spans="1:825" x14ac:dyDescent="0.2">
      <c r="A108" t="s">
        <v>1195</v>
      </c>
      <c r="B108" t="s">
        <v>396</v>
      </c>
      <c r="C108" t="s">
        <v>1196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>
        <v>551</v>
      </c>
      <c r="W108" s="20">
        <v>43475.363888888889</v>
      </c>
      <c r="X108" t="s">
        <v>1197</v>
      </c>
      <c r="Y108">
        <v>2019</v>
      </c>
      <c r="Z108" t="s">
        <v>1198</v>
      </c>
      <c r="AA108" t="s">
        <v>1199</v>
      </c>
      <c r="AB108" t="str">
        <f>VLOOKUP(MID(AD108,SEARCH("@",AD108,1),LEN(AD108)-SEARCH("@",AD108,1)+1),[2]Sheet1!$D:$F,3,FALSE)</f>
        <v>M05136</v>
      </c>
      <c r="AC108" t="s">
        <v>1200</v>
      </c>
      <c r="AD108" t="s">
        <v>1201</v>
      </c>
      <c r="AF108" t="s">
        <v>1073</v>
      </c>
      <c r="AG108" t="s">
        <v>403</v>
      </c>
      <c r="AI108">
        <v>2</v>
      </c>
      <c r="AJ108">
        <v>6</v>
      </c>
      <c r="AK108" t="s">
        <v>1202</v>
      </c>
      <c r="AV108">
        <v>0</v>
      </c>
      <c r="BC108">
        <v>0</v>
      </c>
      <c r="BJ108">
        <v>0</v>
      </c>
      <c r="BQ108">
        <v>0</v>
      </c>
      <c r="BX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S108">
        <v>0</v>
      </c>
      <c r="CZ108">
        <v>0</v>
      </c>
      <c r="DG108">
        <v>0</v>
      </c>
      <c r="DN108">
        <v>0</v>
      </c>
      <c r="DU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 t="s">
        <v>404</v>
      </c>
      <c r="EK108" t="s">
        <v>404</v>
      </c>
      <c r="EL108" t="s">
        <v>404</v>
      </c>
      <c r="EM108" t="s">
        <v>404</v>
      </c>
      <c r="EN108" t="s">
        <v>404</v>
      </c>
      <c r="EO108" t="s">
        <v>404</v>
      </c>
      <c r="EP108" t="s">
        <v>404</v>
      </c>
      <c r="EQ108" t="s">
        <v>404</v>
      </c>
      <c r="ER108" t="s">
        <v>404</v>
      </c>
      <c r="ES108" t="s">
        <v>404</v>
      </c>
      <c r="ET108" t="s">
        <v>404</v>
      </c>
      <c r="EU108" t="s">
        <v>404</v>
      </c>
      <c r="EV108" t="s">
        <v>404</v>
      </c>
      <c r="EW108" t="s">
        <v>404</v>
      </c>
      <c r="EX108" t="s">
        <v>404</v>
      </c>
      <c r="EY108" t="s">
        <v>404</v>
      </c>
      <c r="EZ108" t="s">
        <v>404</v>
      </c>
      <c r="FA108" t="s">
        <v>404</v>
      </c>
      <c r="FB108" t="s">
        <v>404</v>
      </c>
      <c r="FC108" t="s">
        <v>404</v>
      </c>
      <c r="FD108" t="s">
        <v>404</v>
      </c>
      <c r="FE108" t="s">
        <v>404</v>
      </c>
      <c r="FF108" t="s">
        <v>404</v>
      </c>
      <c r="FG108" t="s">
        <v>404</v>
      </c>
      <c r="FH108" t="s">
        <v>404</v>
      </c>
      <c r="FI108" t="s">
        <v>404</v>
      </c>
      <c r="FJ108" t="s">
        <v>404</v>
      </c>
      <c r="FK108" t="s">
        <v>404</v>
      </c>
      <c r="FL108" t="s">
        <v>404</v>
      </c>
      <c r="FM108" t="s">
        <v>404</v>
      </c>
      <c r="FN108" t="s">
        <v>404</v>
      </c>
      <c r="FO108" t="s">
        <v>404</v>
      </c>
      <c r="FP108" t="s">
        <v>404</v>
      </c>
      <c r="FQ108" t="s">
        <v>404</v>
      </c>
      <c r="FR108" t="s">
        <v>404</v>
      </c>
      <c r="FS108" t="s">
        <v>404</v>
      </c>
      <c r="FZ108">
        <v>0</v>
      </c>
      <c r="GG108">
        <v>0</v>
      </c>
      <c r="GN108">
        <v>0</v>
      </c>
      <c r="GU108">
        <v>0</v>
      </c>
      <c r="HB108">
        <v>0</v>
      </c>
      <c r="HI108">
        <v>0</v>
      </c>
      <c r="HP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L108">
        <v>0</v>
      </c>
      <c r="IS108">
        <v>0</v>
      </c>
      <c r="IZ108">
        <v>0</v>
      </c>
      <c r="JG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KA108">
        <v>1</v>
      </c>
      <c r="KB108">
        <v>3</v>
      </c>
      <c r="KC108">
        <v>1</v>
      </c>
      <c r="KD108" t="s">
        <v>407</v>
      </c>
      <c r="OG108" t="s">
        <v>408</v>
      </c>
      <c r="SJ108" t="s">
        <v>409</v>
      </c>
      <c r="WM108" t="s">
        <v>410</v>
      </c>
      <c r="AAP108" t="s">
        <v>411</v>
      </c>
      <c r="AES108" t="s">
        <v>412</v>
      </c>
    </row>
    <row r="109" spans="1:825" x14ac:dyDescent="0.2">
      <c r="A109" t="s">
        <v>1203</v>
      </c>
      <c r="B109" t="s">
        <v>396</v>
      </c>
      <c r="C109" t="s">
        <v>1204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b">
        <v>0</v>
      </c>
      <c r="V109">
        <v>707</v>
      </c>
      <c r="W109" s="20">
        <v>43518.820833333331</v>
      </c>
      <c r="X109" t="s">
        <v>1205</v>
      </c>
      <c r="Y109">
        <v>2019</v>
      </c>
      <c r="Z109" t="s">
        <v>1206</v>
      </c>
      <c r="AA109" t="s">
        <v>1204</v>
      </c>
      <c r="AB109" t="str">
        <f>VLOOKUP(MID(AD109,SEARCH("@",AD109,1),LEN(AD109)-SEARCH("@",AD109,1)+1),[2]Sheet1!$D:$F,3,FALSE)</f>
        <v>M527</v>
      </c>
      <c r="AC109" t="s">
        <v>713</v>
      </c>
      <c r="AD109" t="s">
        <v>1207</v>
      </c>
      <c r="AE109">
        <v>6174378400</v>
      </c>
      <c r="AF109" t="s">
        <v>571</v>
      </c>
      <c r="AG109" t="s">
        <v>538</v>
      </c>
      <c r="AI109">
        <v>1</v>
      </c>
      <c r="AL109">
        <v>1634.2</v>
      </c>
      <c r="AM109">
        <v>1634.2</v>
      </c>
      <c r="AN109">
        <v>257.8</v>
      </c>
      <c r="AO109">
        <v>257.8</v>
      </c>
      <c r="AV109">
        <v>0</v>
      </c>
      <c r="BC109">
        <v>0</v>
      </c>
      <c r="BD109">
        <v>1634.2</v>
      </c>
      <c r="BJ109">
        <v>1634.2</v>
      </c>
      <c r="BQ109">
        <v>0</v>
      </c>
      <c r="BX109">
        <v>0</v>
      </c>
      <c r="CE109">
        <v>0</v>
      </c>
      <c r="CF109">
        <v>1634.2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1634.2</v>
      </c>
      <c r="CS109">
        <v>0</v>
      </c>
      <c r="CZ109">
        <v>0</v>
      </c>
      <c r="DA109">
        <v>3</v>
      </c>
      <c r="DG109">
        <v>3</v>
      </c>
      <c r="DN109">
        <v>0</v>
      </c>
      <c r="DU109">
        <v>0</v>
      </c>
      <c r="EB109">
        <v>0</v>
      </c>
      <c r="EC109">
        <v>3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3</v>
      </c>
      <c r="EJ109" t="s">
        <v>404</v>
      </c>
      <c r="EK109" t="s">
        <v>404</v>
      </c>
      <c r="EL109" t="s">
        <v>404</v>
      </c>
      <c r="EM109" t="s">
        <v>404</v>
      </c>
      <c r="EN109" t="s">
        <v>404</v>
      </c>
      <c r="EO109" t="s">
        <v>404</v>
      </c>
      <c r="EP109" t="s">
        <v>404</v>
      </c>
      <c r="EQ109" t="s">
        <v>404</v>
      </c>
      <c r="ER109" t="s">
        <v>404</v>
      </c>
      <c r="ES109" t="s">
        <v>404</v>
      </c>
      <c r="ET109" t="s">
        <v>404</v>
      </c>
      <c r="EU109" t="s">
        <v>404</v>
      </c>
      <c r="EV109" t="s">
        <v>405</v>
      </c>
      <c r="EW109" t="s">
        <v>404</v>
      </c>
      <c r="EX109" t="s">
        <v>404</v>
      </c>
      <c r="EY109" t="s">
        <v>404</v>
      </c>
      <c r="EZ109" t="s">
        <v>404</v>
      </c>
      <c r="FA109" t="s">
        <v>404</v>
      </c>
      <c r="FB109" t="s">
        <v>404</v>
      </c>
      <c r="FC109" t="s">
        <v>404</v>
      </c>
      <c r="FD109" t="s">
        <v>404</v>
      </c>
      <c r="FE109" t="s">
        <v>404</v>
      </c>
      <c r="FF109" t="s">
        <v>404</v>
      </c>
      <c r="FG109" t="s">
        <v>404</v>
      </c>
      <c r="FH109" t="s">
        <v>404</v>
      </c>
      <c r="FI109" t="s">
        <v>404</v>
      </c>
      <c r="FJ109" t="s">
        <v>404</v>
      </c>
      <c r="FK109" t="s">
        <v>404</v>
      </c>
      <c r="FL109" t="s">
        <v>404</v>
      </c>
      <c r="FM109" t="s">
        <v>404</v>
      </c>
      <c r="FN109" t="s">
        <v>404</v>
      </c>
      <c r="FO109" t="s">
        <v>404</v>
      </c>
      <c r="FP109" t="s">
        <v>404</v>
      </c>
      <c r="FQ109" t="s">
        <v>404</v>
      </c>
      <c r="FR109" t="s">
        <v>404</v>
      </c>
      <c r="FS109" t="s">
        <v>404</v>
      </c>
      <c r="FT109">
        <v>41.3</v>
      </c>
      <c r="FZ109">
        <v>41.3</v>
      </c>
      <c r="GA109">
        <v>0</v>
      </c>
      <c r="GG109">
        <v>0</v>
      </c>
      <c r="GH109">
        <v>893.7</v>
      </c>
      <c r="GN109">
        <v>893.7</v>
      </c>
      <c r="GO109">
        <v>492.5</v>
      </c>
      <c r="GU109">
        <v>492.5</v>
      </c>
      <c r="GV109">
        <v>0</v>
      </c>
      <c r="HB109">
        <v>0</v>
      </c>
      <c r="HC109">
        <v>0</v>
      </c>
      <c r="HI109">
        <v>0</v>
      </c>
      <c r="HJ109">
        <v>1.5</v>
      </c>
      <c r="HP109">
        <v>1.5</v>
      </c>
      <c r="HQ109" t="s">
        <v>1208</v>
      </c>
      <c r="HR109">
        <v>205.2</v>
      </c>
      <c r="HX109">
        <v>205.2</v>
      </c>
      <c r="HY109">
        <v>1634.2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1634.2</v>
      </c>
      <c r="IF109">
        <v>361.8</v>
      </c>
      <c r="IL109">
        <v>361.8</v>
      </c>
      <c r="IM109">
        <v>0</v>
      </c>
      <c r="IS109">
        <v>0</v>
      </c>
      <c r="IT109">
        <v>1272.4000000000001</v>
      </c>
      <c r="IZ109">
        <v>1272.4000000000001</v>
      </c>
      <c r="JA109">
        <v>0</v>
      </c>
      <c r="JG109">
        <v>0</v>
      </c>
      <c r="JH109">
        <v>0</v>
      </c>
      <c r="JN109">
        <v>0</v>
      </c>
      <c r="JO109">
        <v>1634.2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1634.2</v>
      </c>
      <c r="JX109">
        <v>98.9</v>
      </c>
      <c r="JY109" t="s">
        <v>1209</v>
      </c>
      <c r="JZ109">
        <v>1.1000000000000001</v>
      </c>
      <c r="KA109">
        <v>1</v>
      </c>
      <c r="KB109">
        <v>3</v>
      </c>
      <c r="KC109">
        <v>2</v>
      </c>
      <c r="KD109" t="s">
        <v>407</v>
      </c>
      <c r="OG109" t="s">
        <v>408</v>
      </c>
      <c r="SJ109" t="s">
        <v>409</v>
      </c>
      <c r="WM109" t="s">
        <v>410</v>
      </c>
      <c r="AAP109" t="s">
        <v>411</v>
      </c>
      <c r="AES109" t="s">
        <v>412</v>
      </c>
    </row>
    <row r="110" spans="1:825" x14ac:dyDescent="0.2">
      <c r="A110" t="s">
        <v>1210</v>
      </c>
      <c r="B110" t="s">
        <v>396</v>
      </c>
      <c r="C110" t="s">
        <v>1211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>
        <v>548</v>
      </c>
      <c r="W110" s="20">
        <v>43521.51666666667</v>
      </c>
      <c r="X110" t="s">
        <v>1212</v>
      </c>
      <c r="Y110">
        <v>2019</v>
      </c>
      <c r="Z110" t="s">
        <v>1213</v>
      </c>
      <c r="AA110" t="s">
        <v>1214</v>
      </c>
      <c r="AB110" t="str">
        <f>VLOOKUP(MID(AD110,SEARCH("@",AD110,1),LEN(AD110)-SEARCH("@",AD110,1)+1),[2]Sheet1!$D:$F,3,FALSE)</f>
        <v>M03023</v>
      </c>
      <c r="AC110" t="s">
        <v>1215</v>
      </c>
      <c r="AD110" t="s">
        <v>1216</v>
      </c>
      <c r="AE110" t="s">
        <v>1217</v>
      </c>
      <c r="AF110" t="s">
        <v>516</v>
      </c>
      <c r="AG110" t="s">
        <v>403</v>
      </c>
      <c r="AI110">
        <v>1</v>
      </c>
      <c r="AL110">
        <v>114</v>
      </c>
      <c r="AM110">
        <v>114</v>
      </c>
      <c r="AN110">
        <v>106</v>
      </c>
      <c r="AO110">
        <v>106</v>
      </c>
      <c r="AV110">
        <v>0</v>
      </c>
      <c r="AW110">
        <v>114</v>
      </c>
      <c r="BC110">
        <v>114</v>
      </c>
      <c r="BJ110">
        <v>0</v>
      </c>
      <c r="BQ110">
        <v>0</v>
      </c>
      <c r="BX110">
        <v>0</v>
      </c>
      <c r="CE110">
        <v>0</v>
      </c>
      <c r="CF110">
        <v>114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114</v>
      </c>
      <c r="CS110">
        <v>0</v>
      </c>
      <c r="CT110">
        <v>1</v>
      </c>
      <c r="CZ110">
        <v>1</v>
      </c>
      <c r="DG110">
        <v>0</v>
      </c>
      <c r="DN110">
        <v>0</v>
      </c>
      <c r="DU110">
        <v>0</v>
      </c>
      <c r="EB110">
        <v>0</v>
      </c>
      <c r="EC110">
        <v>1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1</v>
      </c>
      <c r="EJ110" t="s">
        <v>404</v>
      </c>
      <c r="EK110" t="s">
        <v>404</v>
      </c>
      <c r="EL110" t="s">
        <v>404</v>
      </c>
      <c r="EM110" t="s">
        <v>404</v>
      </c>
      <c r="EN110" t="s">
        <v>404</v>
      </c>
      <c r="EO110" t="s">
        <v>404</v>
      </c>
      <c r="EP110" t="s">
        <v>405</v>
      </c>
      <c r="EQ110" t="s">
        <v>404</v>
      </c>
      <c r="ER110" t="s">
        <v>404</v>
      </c>
      <c r="ES110" t="s">
        <v>404</v>
      </c>
      <c r="ET110" t="s">
        <v>404</v>
      </c>
      <c r="EU110" t="s">
        <v>404</v>
      </c>
      <c r="EV110" t="s">
        <v>404</v>
      </c>
      <c r="EW110" t="s">
        <v>404</v>
      </c>
      <c r="EX110" t="s">
        <v>404</v>
      </c>
      <c r="EY110" t="s">
        <v>404</v>
      </c>
      <c r="EZ110" t="s">
        <v>404</v>
      </c>
      <c r="FA110" t="s">
        <v>404</v>
      </c>
      <c r="FB110" t="s">
        <v>404</v>
      </c>
      <c r="FC110" t="s">
        <v>404</v>
      </c>
      <c r="FD110" t="s">
        <v>404</v>
      </c>
      <c r="FE110" t="s">
        <v>404</v>
      </c>
      <c r="FF110" t="s">
        <v>404</v>
      </c>
      <c r="FG110" t="s">
        <v>404</v>
      </c>
      <c r="FH110" t="s">
        <v>404</v>
      </c>
      <c r="FI110" t="s">
        <v>404</v>
      </c>
      <c r="FJ110" t="s">
        <v>404</v>
      </c>
      <c r="FK110" t="s">
        <v>404</v>
      </c>
      <c r="FL110" t="s">
        <v>404</v>
      </c>
      <c r="FM110" t="s">
        <v>404</v>
      </c>
      <c r="FN110" t="s">
        <v>404</v>
      </c>
      <c r="FO110" t="s">
        <v>404</v>
      </c>
      <c r="FP110" t="s">
        <v>404</v>
      </c>
      <c r="FQ110" t="s">
        <v>404</v>
      </c>
      <c r="FR110" t="s">
        <v>404</v>
      </c>
      <c r="FS110" t="s">
        <v>404</v>
      </c>
      <c r="FZ110">
        <v>0</v>
      </c>
      <c r="GG110">
        <v>0</v>
      </c>
      <c r="GN110">
        <v>0</v>
      </c>
      <c r="GU110">
        <v>0</v>
      </c>
      <c r="HB110">
        <v>0</v>
      </c>
      <c r="HI110">
        <v>0</v>
      </c>
      <c r="HP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L110">
        <v>0</v>
      </c>
      <c r="IM110">
        <v>114</v>
      </c>
      <c r="IS110">
        <v>114</v>
      </c>
      <c r="IZ110">
        <v>0</v>
      </c>
      <c r="JG110">
        <v>0</v>
      </c>
      <c r="JN110">
        <v>0</v>
      </c>
      <c r="JO110">
        <v>114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114</v>
      </c>
      <c r="KA110">
        <v>1</v>
      </c>
      <c r="KB110">
        <v>3</v>
      </c>
      <c r="KC110">
        <v>1</v>
      </c>
      <c r="KD110" t="s">
        <v>407</v>
      </c>
      <c r="OG110" t="s">
        <v>408</v>
      </c>
      <c r="SJ110" t="s">
        <v>409</v>
      </c>
      <c r="WM110" t="s">
        <v>410</v>
      </c>
      <c r="AAP110" t="s">
        <v>411</v>
      </c>
      <c r="AES110" t="s">
        <v>412</v>
      </c>
    </row>
    <row r="111" spans="1:825" x14ac:dyDescent="0.2">
      <c r="A111" t="s">
        <v>1218</v>
      </c>
      <c r="B111" t="s">
        <v>396</v>
      </c>
      <c r="C111" t="s">
        <v>1219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>
        <v>565</v>
      </c>
      <c r="W111" s="20">
        <v>43516.722916666666</v>
      </c>
      <c r="X111" t="s">
        <v>1220</v>
      </c>
      <c r="Y111">
        <v>2019</v>
      </c>
      <c r="Z111" t="s">
        <v>1221</v>
      </c>
      <c r="AA111" t="s">
        <v>1222</v>
      </c>
      <c r="AB111" t="str">
        <f>VLOOKUP(MID(AD111,SEARCH("@",AD111,1),LEN(AD111)-SEARCH("@",AD111,1)+1),[2]Sheet1!$D:$F,3,FALSE)</f>
        <v>M105</v>
      </c>
      <c r="AC111" t="s">
        <v>1223</v>
      </c>
      <c r="AD111" t="s">
        <v>1224</v>
      </c>
      <c r="AE111" t="s">
        <v>1225</v>
      </c>
      <c r="AF111" t="s">
        <v>491</v>
      </c>
      <c r="AG111" t="s">
        <v>403</v>
      </c>
      <c r="AI111">
        <v>1</v>
      </c>
      <c r="AL111">
        <v>86.3</v>
      </c>
      <c r="AM111">
        <v>86.3</v>
      </c>
      <c r="AN111">
        <v>30.204999999999998</v>
      </c>
      <c r="AO111">
        <v>30.204999999999998</v>
      </c>
      <c r="AV111">
        <v>0</v>
      </c>
      <c r="AW111">
        <v>86.3</v>
      </c>
      <c r="BC111">
        <v>86.3</v>
      </c>
      <c r="BJ111">
        <v>0</v>
      </c>
      <c r="BQ111">
        <v>0</v>
      </c>
      <c r="BX111">
        <v>0</v>
      </c>
      <c r="CE111">
        <v>0</v>
      </c>
      <c r="CF111">
        <v>86.3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86.3</v>
      </c>
      <c r="CS111">
        <v>0</v>
      </c>
      <c r="CT111">
        <v>1</v>
      </c>
      <c r="CZ111">
        <v>1</v>
      </c>
      <c r="DG111">
        <v>0</v>
      </c>
      <c r="DN111">
        <v>0</v>
      </c>
      <c r="DU111">
        <v>0</v>
      </c>
      <c r="EB111">
        <v>0</v>
      </c>
      <c r="EC111">
        <v>1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1</v>
      </c>
      <c r="EJ111" t="s">
        <v>404</v>
      </c>
      <c r="EK111" t="s">
        <v>404</v>
      </c>
      <c r="EL111" t="s">
        <v>404</v>
      </c>
      <c r="EM111" t="s">
        <v>404</v>
      </c>
      <c r="EN111" t="s">
        <v>404</v>
      </c>
      <c r="EO111" t="s">
        <v>404</v>
      </c>
      <c r="EP111" t="s">
        <v>405</v>
      </c>
      <c r="EQ111" t="s">
        <v>404</v>
      </c>
      <c r="ER111" t="s">
        <v>404</v>
      </c>
      <c r="ES111" t="s">
        <v>404</v>
      </c>
      <c r="ET111" t="s">
        <v>404</v>
      </c>
      <c r="EU111" t="s">
        <v>404</v>
      </c>
      <c r="EV111" t="s">
        <v>404</v>
      </c>
      <c r="EW111" t="s">
        <v>404</v>
      </c>
      <c r="EX111" t="s">
        <v>404</v>
      </c>
      <c r="EY111" t="s">
        <v>404</v>
      </c>
      <c r="EZ111" t="s">
        <v>404</v>
      </c>
      <c r="FA111" t="s">
        <v>404</v>
      </c>
      <c r="FB111" t="s">
        <v>404</v>
      </c>
      <c r="FC111" t="s">
        <v>404</v>
      </c>
      <c r="FD111" t="s">
        <v>404</v>
      </c>
      <c r="FE111" t="s">
        <v>404</v>
      </c>
      <c r="FF111" t="s">
        <v>404</v>
      </c>
      <c r="FG111" t="s">
        <v>404</v>
      </c>
      <c r="FH111" t="s">
        <v>404</v>
      </c>
      <c r="FI111" t="s">
        <v>404</v>
      </c>
      <c r="FJ111" t="s">
        <v>404</v>
      </c>
      <c r="FK111" t="s">
        <v>404</v>
      </c>
      <c r="FL111" t="s">
        <v>404</v>
      </c>
      <c r="FM111" t="s">
        <v>404</v>
      </c>
      <c r="FN111" t="s">
        <v>404</v>
      </c>
      <c r="FO111" t="s">
        <v>404</v>
      </c>
      <c r="FP111" t="s">
        <v>404</v>
      </c>
      <c r="FQ111" t="s">
        <v>404</v>
      </c>
      <c r="FR111" t="s">
        <v>404</v>
      </c>
      <c r="FS111" t="s">
        <v>404</v>
      </c>
      <c r="FZ111">
        <v>0</v>
      </c>
      <c r="GG111">
        <v>0</v>
      </c>
      <c r="GN111">
        <v>0</v>
      </c>
      <c r="GU111">
        <v>0</v>
      </c>
      <c r="HB111">
        <v>0</v>
      </c>
      <c r="HI111">
        <v>0</v>
      </c>
      <c r="HJ111">
        <v>81.3</v>
      </c>
      <c r="HP111">
        <v>81.3</v>
      </c>
      <c r="HQ111" t="s">
        <v>1226</v>
      </c>
      <c r="HR111">
        <v>5</v>
      </c>
      <c r="HX111">
        <v>5</v>
      </c>
      <c r="HY111">
        <v>86.3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86.3</v>
      </c>
      <c r="IL111">
        <v>0</v>
      </c>
      <c r="IM111">
        <v>86.3</v>
      </c>
      <c r="IS111">
        <v>86.3</v>
      </c>
      <c r="IZ111">
        <v>0</v>
      </c>
      <c r="JG111">
        <v>0</v>
      </c>
      <c r="JN111">
        <v>0</v>
      </c>
      <c r="JO111">
        <v>86.3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86.3</v>
      </c>
      <c r="JV111">
        <v>100</v>
      </c>
      <c r="KA111">
        <v>1</v>
      </c>
      <c r="KB111">
        <v>3</v>
      </c>
      <c r="KC111">
        <v>1</v>
      </c>
      <c r="KD111" t="s">
        <v>407</v>
      </c>
      <c r="OG111" t="s">
        <v>408</v>
      </c>
      <c r="SJ111" t="s">
        <v>409</v>
      </c>
      <c r="WM111" t="s">
        <v>410</v>
      </c>
      <c r="AAP111" t="s">
        <v>411</v>
      </c>
      <c r="AES111" t="s">
        <v>412</v>
      </c>
    </row>
    <row r="112" spans="1:825" x14ac:dyDescent="0.2">
      <c r="A112" t="s">
        <v>1227</v>
      </c>
      <c r="B112" t="s">
        <v>396</v>
      </c>
      <c r="C112" t="s">
        <v>1228</v>
      </c>
      <c r="P112" t="b">
        <v>0</v>
      </c>
      <c r="Q112" t="b">
        <v>0</v>
      </c>
      <c r="R112" t="b">
        <v>0</v>
      </c>
      <c r="S112" t="b">
        <v>1</v>
      </c>
      <c r="T112" t="b">
        <v>0</v>
      </c>
      <c r="U112" t="b">
        <v>0</v>
      </c>
      <c r="V112">
        <v>577</v>
      </c>
      <c r="W112" s="20">
        <v>43517.445138888892</v>
      </c>
      <c r="X112" t="s">
        <v>674</v>
      </c>
      <c r="Y112">
        <v>2019</v>
      </c>
      <c r="Z112" t="s">
        <v>1229</v>
      </c>
      <c r="AA112" t="s">
        <v>1230</v>
      </c>
      <c r="AB112" t="str">
        <f>VLOOKUP(MID(AD112,SEARCH("@",AD112,1),LEN(AD112)-SEARCH("@",AD112,1)+1),[2]Sheet1!$D:$F,3,FALSE)</f>
        <v>M180</v>
      </c>
      <c r="AD112" t="s">
        <v>1231</v>
      </c>
      <c r="AF112" t="s">
        <v>402</v>
      </c>
      <c r="AG112" t="s">
        <v>403</v>
      </c>
      <c r="AI112">
        <v>1</v>
      </c>
      <c r="AL112">
        <v>194</v>
      </c>
      <c r="AM112">
        <v>194</v>
      </c>
      <c r="AN112">
        <v>76.8</v>
      </c>
      <c r="AO112">
        <v>76.8</v>
      </c>
      <c r="AV112">
        <v>0</v>
      </c>
      <c r="BC112">
        <v>0</v>
      </c>
      <c r="BJ112">
        <v>0</v>
      </c>
      <c r="BO112">
        <v>194</v>
      </c>
      <c r="BQ112">
        <v>194</v>
      </c>
      <c r="BX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194</v>
      </c>
      <c r="CK112">
        <v>0</v>
      </c>
      <c r="CL112">
        <v>194</v>
      </c>
      <c r="CS112">
        <v>0</v>
      </c>
      <c r="CZ112">
        <v>0</v>
      </c>
      <c r="DG112">
        <v>0</v>
      </c>
      <c r="DL112">
        <v>1</v>
      </c>
      <c r="DN112">
        <v>1</v>
      </c>
      <c r="DU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1</v>
      </c>
      <c r="EH112">
        <v>0</v>
      </c>
      <c r="EI112">
        <v>1</v>
      </c>
      <c r="EJ112" t="s">
        <v>404</v>
      </c>
      <c r="EK112" t="s">
        <v>404</v>
      </c>
      <c r="EL112" t="s">
        <v>404</v>
      </c>
      <c r="EM112" t="s">
        <v>404</v>
      </c>
      <c r="EN112" t="s">
        <v>404</v>
      </c>
      <c r="EO112" t="s">
        <v>404</v>
      </c>
      <c r="EP112" t="s">
        <v>404</v>
      </c>
      <c r="EQ112" t="s">
        <v>404</v>
      </c>
      <c r="ER112" t="s">
        <v>404</v>
      </c>
      <c r="ES112" t="s">
        <v>404</v>
      </c>
      <c r="ET112" t="s">
        <v>404</v>
      </c>
      <c r="EU112" t="s">
        <v>404</v>
      </c>
      <c r="EV112" t="s">
        <v>404</v>
      </c>
      <c r="EW112" t="s">
        <v>404</v>
      </c>
      <c r="EX112" t="s">
        <v>404</v>
      </c>
      <c r="EY112" t="s">
        <v>404</v>
      </c>
      <c r="EZ112" t="s">
        <v>404</v>
      </c>
      <c r="FA112" t="s">
        <v>404</v>
      </c>
      <c r="FB112" t="s">
        <v>404</v>
      </c>
      <c r="FC112" t="s">
        <v>404</v>
      </c>
      <c r="FD112" t="s">
        <v>404</v>
      </c>
      <c r="FE112" t="s">
        <v>404</v>
      </c>
      <c r="FF112" t="s">
        <v>405</v>
      </c>
      <c r="FG112" t="s">
        <v>404</v>
      </c>
      <c r="FH112" t="s">
        <v>404</v>
      </c>
      <c r="FI112" t="s">
        <v>404</v>
      </c>
      <c r="FJ112" t="s">
        <v>404</v>
      </c>
      <c r="FK112" t="s">
        <v>404</v>
      </c>
      <c r="FL112" t="s">
        <v>404</v>
      </c>
      <c r="FM112" t="s">
        <v>404</v>
      </c>
      <c r="FN112" t="s">
        <v>404</v>
      </c>
      <c r="FO112" t="s">
        <v>404</v>
      </c>
      <c r="FP112" t="s">
        <v>404</v>
      </c>
      <c r="FQ112" t="s">
        <v>404</v>
      </c>
      <c r="FR112" t="s">
        <v>404</v>
      </c>
      <c r="FS112" t="s">
        <v>404</v>
      </c>
      <c r="FX112">
        <v>125</v>
      </c>
      <c r="FZ112">
        <v>125</v>
      </c>
      <c r="GG112">
        <v>0</v>
      </c>
      <c r="GN112">
        <v>0</v>
      </c>
      <c r="GU112">
        <v>0</v>
      </c>
      <c r="GZ112">
        <v>20</v>
      </c>
      <c r="HB112">
        <v>20</v>
      </c>
      <c r="HI112">
        <v>0</v>
      </c>
      <c r="HN112">
        <v>44</v>
      </c>
      <c r="HP112">
        <v>44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189</v>
      </c>
      <c r="ID112">
        <v>0</v>
      </c>
      <c r="IE112">
        <v>189</v>
      </c>
      <c r="IL112">
        <v>0</v>
      </c>
      <c r="IQ112">
        <v>194</v>
      </c>
      <c r="IS112">
        <v>194</v>
      </c>
      <c r="IZ112">
        <v>0</v>
      </c>
      <c r="JG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194</v>
      </c>
      <c r="JT112">
        <v>0</v>
      </c>
      <c r="JU112">
        <v>194</v>
      </c>
      <c r="JX112">
        <v>100</v>
      </c>
      <c r="KA112">
        <v>1</v>
      </c>
      <c r="KB112">
        <v>2</v>
      </c>
      <c r="KC112">
        <v>1</v>
      </c>
      <c r="KD112" t="s">
        <v>407</v>
      </c>
      <c r="OG112" t="s">
        <v>408</v>
      </c>
      <c r="SJ112" t="s">
        <v>409</v>
      </c>
      <c r="WM112" t="s">
        <v>410</v>
      </c>
      <c r="AAP112" t="s">
        <v>411</v>
      </c>
      <c r="AES112" t="s">
        <v>412</v>
      </c>
    </row>
    <row r="113" spans="1:825" x14ac:dyDescent="0.2">
      <c r="A113" t="s">
        <v>1232</v>
      </c>
      <c r="B113" t="s">
        <v>414</v>
      </c>
      <c r="C113" t="s">
        <v>1233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>
        <v>779</v>
      </c>
      <c r="W113" s="20">
        <v>43516.77847222222</v>
      </c>
      <c r="X113" t="s">
        <v>1234</v>
      </c>
      <c r="Y113">
        <v>2019</v>
      </c>
      <c r="Z113" t="s">
        <v>1235</v>
      </c>
      <c r="AA113" t="s">
        <v>1233</v>
      </c>
      <c r="AB113" t="str">
        <f>VLOOKUP(MID(AD113,SEARCH("@",AD113,1),LEN(AD113)-SEARCH("@",AD113,1)+1),[2]Sheet1!$D:$F,3,FALSE)</f>
        <v>M0201</v>
      </c>
      <c r="AC113" t="s">
        <v>1236</v>
      </c>
      <c r="AD113" t="s">
        <v>1237</v>
      </c>
      <c r="AE113" t="s">
        <v>1238</v>
      </c>
      <c r="AF113" t="s">
        <v>571</v>
      </c>
      <c r="AG113" t="s">
        <v>538</v>
      </c>
      <c r="AI113">
        <v>2</v>
      </c>
      <c r="AJ113">
        <v>6</v>
      </c>
      <c r="AV113">
        <v>0</v>
      </c>
      <c r="BC113">
        <v>0</v>
      </c>
      <c r="BJ113">
        <v>0</v>
      </c>
      <c r="BQ113">
        <v>0</v>
      </c>
      <c r="BX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S113">
        <v>0</v>
      </c>
      <c r="CZ113">
        <v>0</v>
      </c>
      <c r="DG113">
        <v>0</v>
      </c>
      <c r="DN113">
        <v>0</v>
      </c>
      <c r="DU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 t="s">
        <v>404</v>
      </c>
      <c r="EK113" t="s">
        <v>404</v>
      </c>
      <c r="EL113" t="s">
        <v>404</v>
      </c>
      <c r="EM113" t="s">
        <v>404</v>
      </c>
      <c r="EN113" t="s">
        <v>404</v>
      </c>
      <c r="EO113" t="s">
        <v>404</v>
      </c>
      <c r="EP113" t="s">
        <v>404</v>
      </c>
      <c r="EQ113" t="s">
        <v>404</v>
      </c>
      <c r="ER113" t="s">
        <v>404</v>
      </c>
      <c r="ES113" t="s">
        <v>404</v>
      </c>
      <c r="ET113" t="s">
        <v>404</v>
      </c>
      <c r="EU113" t="s">
        <v>404</v>
      </c>
      <c r="EV113" t="s">
        <v>404</v>
      </c>
      <c r="EW113" t="s">
        <v>404</v>
      </c>
      <c r="EX113" t="s">
        <v>404</v>
      </c>
      <c r="EY113" t="s">
        <v>404</v>
      </c>
      <c r="EZ113" t="s">
        <v>404</v>
      </c>
      <c r="FA113" t="s">
        <v>404</v>
      </c>
      <c r="FB113" t="s">
        <v>404</v>
      </c>
      <c r="FC113" t="s">
        <v>404</v>
      </c>
      <c r="FD113" t="s">
        <v>404</v>
      </c>
      <c r="FE113" t="s">
        <v>404</v>
      </c>
      <c r="FF113" t="s">
        <v>404</v>
      </c>
      <c r="FG113" t="s">
        <v>404</v>
      </c>
      <c r="FH113" t="s">
        <v>404</v>
      </c>
      <c r="FI113" t="s">
        <v>404</v>
      </c>
      <c r="FJ113" t="s">
        <v>404</v>
      </c>
      <c r="FK113" t="s">
        <v>404</v>
      </c>
      <c r="FL113" t="s">
        <v>404</v>
      </c>
      <c r="FM113" t="s">
        <v>404</v>
      </c>
      <c r="FN113" t="s">
        <v>404</v>
      </c>
      <c r="FO113" t="s">
        <v>404</v>
      </c>
      <c r="FP113" t="s">
        <v>404</v>
      </c>
      <c r="FQ113" t="s">
        <v>404</v>
      </c>
      <c r="FR113" t="s">
        <v>404</v>
      </c>
      <c r="FS113" t="s">
        <v>404</v>
      </c>
      <c r="FZ113">
        <v>0</v>
      </c>
      <c r="GG113">
        <v>0</v>
      </c>
      <c r="GN113">
        <v>0</v>
      </c>
      <c r="GU113">
        <v>0</v>
      </c>
      <c r="HB113">
        <v>0</v>
      </c>
      <c r="HI113">
        <v>0</v>
      </c>
      <c r="HP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L113">
        <v>0</v>
      </c>
      <c r="IS113">
        <v>0</v>
      </c>
      <c r="IZ113">
        <v>0</v>
      </c>
      <c r="JG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KA113">
        <v>1</v>
      </c>
      <c r="KB113">
        <v>3</v>
      </c>
      <c r="KC113">
        <v>1</v>
      </c>
      <c r="KD113" t="s">
        <v>407</v>
      </c>
      <c r="OG113" t="s">
        <v>408</v>
      </c>
      <c r="SJ113" t="s">
        <v>409</v>
      </c>
      <c r="WM113" t="s">
        <v>410</v>
      </c>
      <c r="AAP113" t="s">
        <v>411</v>
      </c>
      <c r="AES113" t="s">
        <v>412</v>
      </c>
    </row>
    <row r="114" spans="1:825" x14ac:dyDescent="0.2">
      <c r="A114" t="s">
        <v>1239</v>
      </c>
      <c r="B114" t="s">
        <v>396</v>
      </c>
      <c r="C114" t="s">
        <v>1240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>
        <v>633</v>
      </c>
      <c r="W114" s="20">
        <v>43488.729861111111</v>
      </c>
      <c r="X114" t="s">
        <v>1241</v>
      </c>
      <c r="Y114">
        <v>2019</v>
      </c>
      <c r="Z114" t="s">
        <v>1242</v>
      </c>
      <c r="AA114" t="s">
        <v>1243</v>
      </c>
      <c r="AB114" t="str">
        <f>VLOOKUP(MID(AD114,SEARCH("@",AD114,1),LEN(AD114)-SEARCH("@",AD114,1)+1),[2]Sheet1!$D:$F,3,FALSE)</f>
        <v>M111</v>
      </c>
      <c r="AC114" t="s">
        <v>1244</v>
      </c>
      <c r="AD114" t="s">
        <v>1245</v>
      </c>
      <c r="AE114">
        <v>2078816857</v>
      </c>
      <c r="AF114" t="s">
        <v>491</v>
      </c>
      <c r="AG114" t="s">
        <v>403</v>
      </c>
      <c r="AI114">
        <v>1</v>
      </c>
      <c r="AL114">
        <v>375</v>
      </c>
      <c r="AM114">
        <v>375</v>
      </c>
      <c r="AN114">
        <v>300</v>
      </c>
      <c r="AO114">
        <v>300</v>
      </c>
      <c r="AV114">
        <v>0</v>
      </c>
      <c r="AW114">
        <v>175</v>
      </c>
      <c r="AX114">
        <v>200</v>
      </c>
      <c r="BC114">
        <v>375</v>
      </c>
      <c r="BJ114">
        <v>0</v>
      </c>
      <c r="BQ114">
        <v>0</v>
      </c>
      <c r="BX114">
        <v>0</v>
      </c>
      <c r="CE114">
        <v>0</v>
      </c>
      <c r="CF114">
        <v>175</v>
      </c>
      <c r="CG114">
        <v>200</v>
      </c>
      <c r="CH114">
        <v>0</v>
      </c>
      <c r="CI114">
        <v>0</v>
      </c>
      <c r="CJ114">
        <v>0</v>
      </c>
      <c r="CK114">
        <v>0</v>
      </c>
      <c r="CL114">
        <v>375</v>
      </c>
      <c r="CS114">
        <v>0</v>
      </c>
      <c r="CT114">
        <v>2</v>
      </c>
      <c r="CU114">
        <v>1</v>
      </c>
      <c r="CZ114">
        <v>3</v>
      </c>
      <c r="DG114">
        <v>0</v>
      </c>
      <c r="DN114">
        <v>0</v>
      </c>
      <c r="DU114">
        <v>0</v>
      </c>
      <c r="EB114">
        <v>0</v>
      </c>
      <c r="EC114">
        <v>2</v>
      </c>
      <c r="ED114">
        <v>1</v>
      </c>
      <c r="EE114">
        <v>0</v>
      </c>
      <c r="EF114">
        <v>0</v>
      </c>
      <c r="EG114">
        <v>0</v>
      </c>
      <c r="EH114">
        <v>0</v>
      </c>
      <c r="EI114">
        <v>3</v>
      </c>
      <c r="EJ114" t="s">
        <v>404</v>
      </c>
      <c r="EK114" t="s">
        <v>404</v>
      </c>
      <c r="EL114" t="s">
        <v>404</v>
      </c>
      <c r="EM114" t="s">
        <v>404</v>
      </c>
      <c r="EN114" t="s">
        <v>404</v>
      </c>
      <c r="EO114" t="s">
        <v>404</v>
      </c>
      <c r="EP114" t="s">
        <v>405</v>
      </c>
      <c r="EQ114" t="s">
        <v>405</v>
      </c>
      <c r="ER114" t="s">
        <v>404</v>
      </c>
      <c r="ES114" t="s">
        <v>404</v>
      </c>
      <c r="ET114" t="s">
        <v>404</v>
      </c>
      <c r="EU114" t="s">
        <v>404</v>
      </c>
      <c r="EV114" t="s">
        <v>404</v>
      </c>
      <c r="EW114" t="s">
        <v>404</v>
      </c>
      <c r="EX114" t="s">
        <v>404</v>
      </c>
      <c r="EY114" t="s">
        <v>404</v>
      </c>
      <c r="EZ114" t="s">
        <v>404</v>
      </c>
      <c r="FA114" t="s">
        <v>404</v>
      </c>
      <c r="FB114" t="s">
        <v>404</v>
      </c>
      <c r="FC114" t="s">
        <v>404</v>
      </c>
      <c r="FD114" t="s">
        <v>404</v>
      </c>
      <c r="FE114" t="s">
        <v>404</v>
      </c>
      <c r="FF114" t="s">
        <v>404</v>
      </c>
      <c r="FG114" t="s">
        <v>404</v>
      </c>
      <c r="FH114" t="s">
        <v>404</v>
      </c>
      <c r="FI114" t="s">
        <v>404</v>
      </c>
      <c r="FJ114" t="s">
        <v>404</v>
      </c>
      <c r="FK114" t="s">
        <v>404</v>
      </c>
      <c r="FL114" t="s">
        <v>404</v>
      </c>
      <c r="FM114" t="s">
        <v>404</v>
      </c>
      <c r="FN114" t="s">
        <v>404</v>
      </c>
      <c r="FO114" t="s">
        <v>404</v>
      </c>
      <c r="FP114" t="s">
        <v>404</v>
      </c>
      <c r="FQ114" t="s">
        <v>404</v>
      </c>
      <c r="FR114" t="s">
        <v>404</v>
      </c>
      <c r="FS114" t="s">
        <v>404</v>
      </c>
      <c r="FT114">
        <v>175</v>
      </c>
      <c r="FZ114">
        <v>175</v>
      </c>
      <c r="GG114">
        <v>0</v>
      </c>
      <c r="GN114">
        <v>0</v>
      </c>
      <c r="GU114">
        <v>0</v>
      </c>
      <c r="HB114">
        <v>0</v>
      </c>
      <c r="HI114">
        <v>0</v>
      </c>
      <c r="HP114">
        <v>0</v>
      </c>
      <c r="HQ114" t="s">
        <v>1246</v>
      </c>
      <c r="HS114">
        <v>200</v>
      </c>
      <c r="HX114">
        <v>200</v>
      </c>
      <c r="HY114">
        <v>175</v>
      </c>
      <c r="HZ114">
        <v>200</v>
      </c>
      <c r="IA114">
        <v>0</v>
      </c>
      <c r="IB114">
        <v>0</v>
      </c>
      <c r="IC114">
        <v>0</v>
      </c>
      <c r="ID114">
        <v>0</v>
      </c>
      <c r="IE114">
        <v>375</v>
      </c>
      <c r="IG114">
        <v>200</v>
      </c>
      <c r="IL114">
        <v>200</v>
      </c>
      <c r="IS114">
        <v>0</v>
      </c>
      <c r="IT114">
        <v>175</v>
      </c>
      <c r="IZ114">
        <v>175</v>
      </c>
      <c r="JG114">
        <v>0</v>
      </c>
      <c r="JN114">
        <v>0</v>
      </c>
      <c r="JO114">
        <v>175</v>
      </c>
      <c r="JP114">
        <v>200</v>
      </c>
      <c r="JQ114">
        <v>0</v>
      </c>
      <c r="JR114">
        <v>0</v>
      </c>
      <c r="JS114">
        <v>0</v>
      </c>
      <c r="JT114">
        <v>0</v>
      </c>
      <c r="JU114">
        <v>375</v>
      </c>
      <c r="JX114">
        <v>100</v>
      </c>
      <c r="KA114">
        <v>1</v>
      </c>
      <c r="KB114">
        <v>3</v>
      </c>
      <c r="KC114">
        <v>2</v>
      </c>
      <c r="KD114" t="s">
        <v>407</v>
      </c>
      <c r="OG114" t="s">
        <v>408</v>
      </c>
      <c r="SJ114" t="s">
        <v>409</v>
      </c>
      <c r="WM114" t="s">
        <v>410</v>
      </c>
      <c r="AAP114" t="s">
        <v>411</v>
      </c>
      <c r="AES114" t="s">
        <v>412</v>
      </c>
    </row>
    <row r="115" spans="1:825" x14ac:dyDescent="0.2">
      <c r="A115" t="s">
        <v>1247</v>
      </c>
      <c r="B115" t="s">
        <v>396</v>
      </c>
      <c r="C115" t="s">
        <v>1248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>
        <v>817</v>
      </c>
      <c r="W115" s="20">
        <v>43523.652083333334</v>
      </c>
      <c r="X115" t="s">
        <v>1249</v>
      </c>
      <c r="Y115">
        <v>2019</v>
      </c>
      <c r="Z115" t="s">
        <v>1250</v>
      </c>
      <c r="AA115" t="s">
        <v>1251</v>
      </c>
      <c r="AB115" t="str">
        <f>VLOOKUP(MID(AD115,SEARCH("@",AD115,1),LEN(AD115)-SEARCH("@",AD115,1)+1),[2]Sheet1!$D:$F,3,FALSE)</f>
        <v>M2762</v>
      </c>
      <c r="AC115" t="s">
        <v>852</v>
      </c>
      <c r="AD115" t="s">
        <v>1252</v>
      </c>
      <c r="AE115">
        <v>7493170122</v>
      </c>
      <c r="AF115" t="s">
        <v>491</v>
      </c>
      <c r="AG115" t="s">
        <v>492</v>
      </c>
      <c r="AI115">
        <v>1</v>
      </c>
      <c r="AL115">
        <v>355</v>
      </c>
      <c r="AM115">
        <v>355</v>
      </c>
      <c r="AV115">
        <v>0</v>
      </c>
      <c r="AW115">
        <v>155</v>
      </c>
      <c r="BB115">
        <v>200</v>
      </c>
      <c r="BC115">
        <v>355</v>
      </c>
      <c r="BJ115">
        <v>0</v>
      </c>
      <c r="BQ115">
        <v>0</v>
      </c>
      <c r="BX115">
        <v>0</v>
      </c>
      <c r="CE115">
        <v>0</v>
      </c>
      <c r="CF115">
        <v>155</v>
      </c>
      <c r="CG115">
        <v>0</v>
      </c>
      <c r="CH115">
        <v>0</v>
      </c>
      <c r="CI115">
        <v>0</v>
      </c>
      <c r="CJ115">
        <v>0</v>
      </c>
      <c r="CK115">
        <v>200</v>
      </c>
      <c r="CL115">
        <v>355</v>
      </c>
      <c r="CS115">
        <v>0</v>
      </c>
      <c r="CT115">
        <v>1</v>
      </c>
      <c r="CY115">
        <v>1</v>
      </c>
      <c r="CZ115">
        <v>2</v>
      </c>
      <c r="DG115">
        <v>0</v>
      </c>
      <c r="DN115">
        <v>0</v>
      </c>
      <c r="DU115">
        <v>0</v>
      </c>
      <c r="EB115">
        <v>0</v>
      </c>
      <c r="EC115">
        <v>1</v>
      </c>
      <c r="ED115">
        <v>0</v>
      </c>
      <c r="EE115">
        <v>0</v>
      </c>
      <c r="EF115">
        <v>0</v>
      </c>
      <c r="EG115">
        <v>0</v>
      </c>
      <c r="EH115">
        <v>1</v>
      </c>
      <c r="EI115">
        <v>2</v>
      </c>
      <c r="EJ115" t="s">
        <v>404</v>
      </c>
      <c r="EK115" t="s">
        <v>404</v>
      </c>
      <c r="EL115" t="s">
        <v>404</v>
      </c>
      <c r="EM115" t="s">
        <v>404</v>
      </c>
      <c r="EN115" t="s">
        <v>404</v>
      </c>
      <c r="EO115" t="s">
        <v>404</v>
      </c>
      <c r="EP115" t="s">
        <v>405</v>
      </c>
      <c r="EQ115" t="s">
        <v>404</v>
      </c>
      <c r="ER115" t="s">
        <v>404</v>
      </c>
      <c r="ES115" t="s">
        <v>404</v>
      </c>
      <c r="ET115" t="s">
        <v>404</v>
      </c>
      <c r="EU115" t="s">
        <v>405</v>
      </c>
      <c r="EV115" t="s">
        <v>404</v>
      </c>
      <c r="EW115" t="s">
        <v>404</v>
      </c>
      <c r="EX115" t="s">
        <v>404</v>
      </c>
      <c r="EY115" t="s">
        <v>404</v>
      </c>
      <c r="EZ115" t="s">
        <v>404</v>
      </c>
      <c r="FA115" t="s">
        <v>404</v>
      </c>
      <c r="FB115" t="s">
        <v>404</v>
      </c>
      <c r="FC115" t="s">
        <v>404</v>
      </c>
      <c r="FD115" t="s">
        <v>404</v>
      </c>
      <c r="FE115" t="s">
        <v>404</v>
      </c>
      <c r="FF115" t="s">
        <v>404</v>
      </c>
      <c r="FG115" t="s">
        <v>404</v>
      </c>
      <c r="FH115" t="s">
        <v>404</v>
      </c>
      <c r="FI115" t="s">
        <v>404</v>
      </c>
      <c r="FJ115" t="s">
        <v>404</v>
      </c>
      <c r="FK115" t="s">
        <v>404</v>
      </c>
      <c r="FL115" t="s">
        <v>404</v>
      </c>
      <c r="FM115" t="s">
        <v>404</v>
      </c>
      <c r="FN115" t="s">
        <v>404</v>
      </c>
      <c r="FO115" t="s">
        <v>404</v>
      </c>
      <c r="FP115" t="s">
        <v>404</v>
      </c>
      <c r="FQ115" t="s">
        <v>404</v>
      </c>
      <c r="FR115" t="s">
        <v>404</v>
      </c>
      <c r="FS115" t="s">
        <v>404</v>
      </c>
      <c r="FZ115">
        <v>0</v>
      </c>
      <c r="GG115">
        <v>0</v>
      </c>
      <c r="GN115">
        <v>0</v>
      </c>
      <c r="GU115">
        <v>0</v>
      </c>
      <c r="HB115">
        <v>0</v>
      </c>
      <c r="HI115">
        <v>0</v>
      </c>
      <c r="HP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L115">
        <v>0</v>
      </c>
      <c r="IM115">
        <v>155</v>
      </c>
      <c r="IR115">
        <v>200</v>
      </c>
      <c r="IS115">
        <v>355</v>
      </c>
      <c r="IZ115">
        <v>0</v>
      </c>
      <c r="JG115">
        <v>0</v>
      </c>
      <c r="JN115">
        <v>0</v>
      </c>
      <c r="JO115">
        <v>155</v>
      </c>
      <c r="JP115">
        <v>0</v>
      </c>
      <c r="JQ115">
        <v>0</v>
      </c>
      <c r="JR115">
        <v>0</v>
      </c>
      <c r="JS115">
        <v>0</v>
      </c>
      <c r="JT115">
        <v>200</v>
      </c>
      <c r="JU115">
        <v>355</v>
      </c>
      <c r="KA115">
        <v>1</v>
      </c>
      <c r="KB115">
        <v>3</v>
      </c>
      <c r="KC115">
        <v>1</v>
      </c>
      <c r="KD115" t="s">
        <v>407</v>
      </c>
      <c r="OG115" t="s">
        <v>408</v>
      </c>
      <c r="SJ115" t="s">
        <v>409</v>
      </c>
      <c r="WM115" t="s">
        <v>410</v>
      </c>
      <c r="AAP115" t="s">
        <v>411</v>
      </c>
      <c r="AES115" t="s">
        <v>412</v>
      </c>
    </row>
    <row r="116" spans="1:825" x14ac:dyDescent="0.2">
      <c r="A116" t="s">
        <v>1253</v>
      </c>
      <c r="B116" t="s">
        <v>414</v>
      </c>
      <c r="C116" t="s">
        <v>1254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>
        <v>540</v>
      </c>
      <c r="W116" s="20">
        <v>43486.325694444444</v>
      </c>
      <c r="X116" t="s">
        <v>1255</v>
      </c>
      <c r="Y116">
        <v>2019</v>
      </c>
      <c r="Z116" t="s">
        <v>1256</v>
      </c>
      <c r="AA116" t="s">
        <v>1257</v>
      </c>
      <c r="AB116" t="str">
        <f>VLOOKUP(MID(AD116,SEARCH("@",AD116,1),LEN(AD116)-SEARCH("@",AD116,1)+1),[2]Sheet1!$D:$F,3,FALSE)</f>
        <v>M0309</v>
      </c>
      <c r="AC116" t="s">
        <v>1258</v>
      </c>
      <c r="AD116" t="s">
        <v>1259</v>
      </c>
      <c r="AE116">
        <v>26008616</v>
      </c>
      <c r="AF116" t="s">
        <v>537</v>
      </c>
      <c r="AG116" t="s">
        <v>538</v>
      </c>
      <c r="AI116">
        <v>2</v>
      </c>
      <c r="AV116">
        <v>0</v>
      </c>
      <c r="BC116">
        <v>0</v>
      </c>
      <c r="BJ116">
        <v>0</v>
      </c>
      <c r="BQ116">
        <v>0</v>
      </c>
      <c r="BX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S116">
        <v>0</v>
      </c>
      <c r="CZ116">
        <v>0</v>
      </c>
      <c r="DG116">
        <v>0</v>
      </c>
      <c r="DN116">
        <v>0</v>
      </c>
      <c r="DU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 t="s">
        <v>404</v>
      </c>
      <c r="EK116" t="s">
        <v>404</v>
      </c>
      <c r="EL116" t="s">
        <v>404</v>
      </c>
      <c r="EM116" t="s">
        <v>404</v>
      </c>
      <c r="EN116" t="s">
        <v>404</v>
      </c>
      <c r="EO116" t="s">
        <v>404</v>
      </c>
      <c r="EP116" t="s">
        <v>404</v>
      </c>
      <c r="EQ116" t="s">
        <v>404</v>
      </c>
      <c r="ER116" t="s">
        <v>404</v>
      </c>
      <c r="ES116" t="s">
        <v>404</v>
      </c>
      <c r="ET116" t="s">
        <v>404</v>
      </c>
      <c r="EU116" t="s">
        <v>404</v>
      </c>
      <c r="EV116" t="s">
        <v>404</v>
      </c>
      <c r="EW116" t="s">
        <v>404</v>
      </c>
      <c r="EX116" t="s">
        <v>404</v>
      </c>
      <c r="EY116" t="s">
        <v>404</v>
      </c>
      <c r="EZ116" t="s">
        <v>404</v>
      </c>
      <c r="FA116" t="s">
        <v>404</v>
      </c>
      <c r="FB116" t="s">
        <v>404</v>
      </c>
      <c r="FC116" t="s">
        <v>404</v>
      </c>
      <c r="FD116" t="s">
        <v>404</v>
      </c>
      <c r="FE116" t="s">
        <v>404</v>
      </c>
      <c r="FF116" t="s">
        <v>404</v>
      </c>
      <c r="FG116" t="s">
        <v>404</v>
      </c>
      <c r="FH116" t="s">
        <v>404</v>
      </c>
      <c r="FI116" t="s">
        <v>404</v>
      </c>
      <c r="FJ116" t="s">
        <v>404</v>
      </c>
      <c r="FK116" t="s">
        <v>404</v>
      </c>
      <c r="FL116" t="s">
        <v>404</v>
      </c>
      <c r="FM116" t="s">
        <v>404</v>
      </c>
      <c r="FN116" t="s">
        <v>404</v>
      </c>
      <c r="FO116" t="s">
        <v>404</v>
      </c>
      <c r="FP116" t="s">
        <v>404</v>
      </c>
      <c r="FQ116" t="s">
        <v>404</v>
      </c>
      <c r="FR116" t="s">
        <v>404</v>
      </c>
      <c r="FS116" t="s">
        <v>404</v>
      </c>
      <c r="FZ116">
        <v>0</v>
      </c>
      <c r="GG116">
        <v>0</v>
      </c>
      <c r="GN116">
        <v>0</v>
      </c>
      <c r="GU116">
        <v>0</v>
      </c>
      <c r="HB116">
        <v>0</v>
      </c>
      <c r="HI116">
        <v>0</v>
      </c>
      <c r="HP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L116">
        <v>0</v>
      </c>
      <c r="IS116">
        <v>0</v>
      </c>
      <c r="IZ116">
        <v>0</v>
      </c>
      <c r="JG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KA116">
        <v>1</v>
      </c>
      <c r="KB116">
        <v>1</v>
      </c>
      <c r="KC116">
        <v>2</v>
      </c>
      <c r="KD116" t="s">
        <v>407</v>
      </c>
      <c r="OG116" t="s">
        <v>408</v>
      </c>
      <c r="SJ116" t="s">
        <v>409</v>
      </c>
      <c r="WM116" t="s">
        <v>410</v>
      </c>
      <c r="AAP116" t="s">
        <v>411</v>
      </c>
      <c r="AES116" t="s">
        <v>412</v>
      </c>
    </row>
    <row r="117" spans="1:825" x14ac:dyDescent="0.2">
      <c r="A117" t="s">
        <v>1260</v>
      </c>
      <c r="B117" t="s">
        <v>414</v>
      </c>
      <c r="C117" t="s">
        <v>1261</v>
      </c>
      <c r="D117" t="s">
        <v>478</v>
      </c>
      <c r="E117" s="3">
        <v>43528.269444444442</v>
      </c>
      <c r="H117" t="s">
        <v>1262</v>
      </c>
      <c r="I117" s="3">
        <v>43528.270138888889</v>
      </c>
      <c r="P117" t="b">
        <v>0</v>
      </c>
      <c r="Q117" t="b">
        <v>1</v>
      </c>
      <c r="R117" t="b">
        <v>1</v>
      </c>
      <c r="S117" t="b">
        <v>0</v>
      </c>
      <c r="T117" t="b">
        <v>0</v>
      </c>
      <c r="U117" t="b">
        <v>0</v>
      </c>
      <c r="V117">
        <v>655</v>
      </c>
      <c r="W117" s="20">
        <v>43528.268055555556</v>
      </c>
      <c r="X117" t="s">
        <v>978</v>
      </c>
      <c r="Y117">
        <v>2019</v>
      </c>
      <c r="Z117" t="s">
        <v>1263</v>
      </c>
      <c r="AA117" t="s">
        <v>1264</v>
      </c>
      <c r="AB117" t="str">
        <f>VLOOKUP(MID(AD117,SEARCH("@",AD117,1),LEN(AD117)-SEARCH("@",AD117,1)+1),[2]Sheet1!$D:$F,3,FALSE)</f>
        <v>M0082</v>
      </c>
      <c r="AC117" t="s">
        <v>1265</v>
      </c>
      <c r="AD117" t="s">
        <v>1266</v>
      </c>
      <c r="AE117">
        <v>439884241</v>
      </c>
      <c r="AF117" t="s">
        <v>420</v>
      </c>
      <c r="AG117" t="s">
        <v>421</v>
      </c>
      <c r="AI117">
        <v>1</v>
      </c>
      <c r="AL117">
        <v>2187</v>
      </c>
      <c r="AM117">
        <v>1729</v>
      </c>
      <c r="AN117">
        <v>2187</v>
      </c>
      <c r="AO117">
        <v>1729</v>
      </c>
      <c r="AP117">
        <v>1298</v>
      </c>
      <c r="AQ117">
        <v>419</v>
      </c>
      <c r="AV117">
        <v>1717</v>
      </c>
      <c r="BC117">
        <v>0</v>
      </c>
      <c r="BD117">
        <v>12</v>
      </c>
      <c r="BJ117">
        <v>12</v>
      </c>
      <c r="BQ117">
        <v>0</v>
      </c>
      <c r="BX117">
        <v>0</v>
      </c>
      <c r="CE117">
        <v>0</v>
      </c>
      <c r="CF117">
        <v>1310</v>
      </c>
      <c r="CG117">
        <v>419</v>
      </c>
      <c r="CH117">
        <v>0</v>
      </c>
      <c r="CI117">
        <v>0</v>
      </c>
      <c r="CJ117">
        <v>0</v>
      </c>
      <c r="CK117">
        <v>0</v>
      </c>
      <c r="CL117">
        <v>1729</v>
      </c>
      <c r="CM117">
        <v>3</v>
      </c>
      <c r="CN117">
        <v>3</v>
      </c>
      <c r="CS117">
        <v>6</v>
      </c>
      <c r="CZ117">
        <v>0</v>
      </c>
      <c r="DA117">
        <v>1</v>
      </c>
      <c r="DG117">
        <v>1</v>
      </c>
      <c r="DN117">
        <v>0</v>
      </c>
      <c r="DU117">
        <v>0</v>
      </c>
      <c r="EB117">
        <v>0</v>
      </c>
      <c r="EC117">
        <v>4</v>
      </c>
      <c r="ED117">
        <v>3</v>
      </c>
      <c r="EE117">
        <v>0</v>
      </c>
      <c r="EF117">
        <v>0</v>
      </c>
      <c r="EG117">
        <v>0</v>
      </c>
      <c r="EH117">
        <v>0</v>
      </c>
      <c r="EI117">
        <v>7</v>
      </c>
      <c r="EJ117" t="s">
        <v>405</v>
      </c>
      <c r="EK117" t="s">
        <v>405</v>
      </c>
      <c r="EL117" t="s">
        <v>404</v>
      </c>
      <c r="EM117" t="s">
        <v>404</v>
      </c>
      <c r="EN117" t="s">
        <v>404</v>
      </c>
      <c r="EO117" t="s">
        <v>404</v>
      </c>
      <c r="EP117" t="s">
        <v>404</v>
      </c>
      <c r="EQ117" t="s">
        <v>404</v>
      </c>
      <c r="ER117" t="s">
        <v>404</v>
      </c>
      <c r="ES117" t="s">
        <v>404</v>
      </c>
      <c r="ET117" t="s">
        <v>404</v>
      </c>
      <c r="EU117" t="s">
        <v>404</v>
      </c>
      <c r="EV117" t="s">
        <v>405</v>
      </c>
      <c r="EW117" t="s">
        <v>404</v>
      </c>
      <c r="EX117" t="s">
        <v>404</v>
      </c>
      <c r="EY117" t="s">
        <v>404</v>
      </c>
      <c r="EZ117" t="s">
        <v>404</v>
      </c>
      <c r="FA117" t="s">
        <v>404</v>
      </c>
      <c r="FB117" t="s">
        <v>404</v>
      </c>
      <c r="FC117" t="s">
        <v>404</v>
      </c>
      <c r="FD117" t="s">
        <v>404</v>
      </c>
      <c r="FE117" t="s">
        <v>404</v>
      </c>
      <c r="FF117" t="s">
        <v>404</v>
      </c>
      <c r="FG117" t="s">
        <v>404</v>
      </c>
      <c r="FH117" t="s">
        <v>404</v>
      </c>
      <c r="FI117" t="s">
        <v>404</v>
      </c>
      <c r="FJ117" t="s">
        <v>404</v>
      </c>
      <c r="FK117" t="s">
        <v>404</v>
      </c>
      <c r="FL117" t="s">
        <v>404</v>
      </c>
      <c r="FM117" t="s">
        <v>404</v>
      </c>
      <c r="FN117" t="s">
        <v>404</v>
      </c>
      <c r="FO117" t="s">
        <v>404</v>
      </c>
      <c r="FP117" t="s">
        <v>404</v>
      </c>
      <c r="FQ117" t="s">
        <v>404</v>
      </c>
      <c r="FR117" t="s">
        <v>404</v>
      </c>
      <c r="FS117" t="s">
        <v>404</v>
      </c>
      <c r="FT117">
        <v>903</v>
      </c>
      <c r="FU117">
        <v>163</v>
      </c>
      <c r="FZ117">
        <v>1066</v>
      </c>
      <c r="GA117">
        <v>5</v>
      </c>
      <c r="GB117">
        <v>256</v>
      </c>
      <c r="GG117">
        <v>261</v>
      </c>
      <c r="GH117">
        <v>5</v>
      </c>
      <c r="GN117">
        <v>5</v>
      </c>
      <c r="GO117">
        <v>283</v>
      </c>
      <c r="GU117">
        <v>283</v>
      </c>
      <c r="GV117">
        <v>8</v>
      </c>
      <c r="HB117">
        <v>8</v>
      </c>
      <c r="HI117">
        <v>0</v>
      </c>
      <c r="HP117">
        <v>0</v>
      </c>
      <c r="HQ117" t="s">
        <v>1267</v>
      </c>
      <c r="HR117">
        <v>106</v>
      </c>
      <c r="HX117">
        <v>106</v>
      </c>
      <c r="HY117">
        <v>1310</v>
      </c>
      <c r="HZ117">
        <v>419</v>
      </c>
      <c r="IA117">
        <v>0</v>
      </c>
      <c r="IB117">
        <v>0</v>
      </c>
      <c r="IC117">
        <v>0</v>
      </c>
      <c r="ID117">
        <v>0</v>
      </c>
      <c r="IE117">
        <v>1729</v>
      </c>
      <c r="IF117">
        <v>1176</v>
      </c>
      <c r="IG117">
        <v>163</v>
      </c>
      <c r="IL117">
        <v>1339</v>
      </c>
      <c r="IM117">
        <v>134</v>
      </c>
      <c r="IN117">
        <v>256</v>
      </c>
      <c r="IS117">
        <v>390</v>
      </c>
      <c r="IZ117">
        <v>0</v>
      </c>
      <c r="JG117">
        <v>0</v>
      </c>
      <c r="JN117">
        <v>0</v>
      </c>
      <c r="JO117">
        <v>1310</v>
      </c>
      <c r="JP117">
        <v>419</v>
      </c>
      <c r="JQ117">
        <v>0</v>
      </c>
      <c r="JR117">
        <v>0</v>
      </c>
      <c r="JS117">
        <v>0</v>
      </c>
      <c r="JT117">
        <v>0</v>
      </c>
      <c r="JU117">
        <v>1729</v>
      </c>
      <c r="JY117" t="s">
        <v>1268</v>
      </c>
      <c r="JZ117">
        <v>100</v>
      </c>
      <c r="KA117">
        <v>2</v>
      </c>
      <c r="KB117">
        <v>2</v>
      </c>
      <c r="KC117">
        <v>1</v>
      </c>
      <c r="KD117" t="s">
        <v>407</v>
      </c>
      <c r="KE117">
        <v>891</v>
      </c>
      <c r="KF117">
        <v>163</v>
      </c>
      <c r="KK117">
        <v>1054</v>
      </c>
      <c r="KL117">
        <v>5</v>
      </c>
      <c r="KM117">
        <v>256</v>
      </c>
      <c r="KR117">
        <v>261</v>
      </c>
      <c r="KS117">
        <v>5</v>
      </c>
      <c r="KY117">
        <v>5</v>
      </c>
      <c r="KZ117">
        <v>283</v>
      </c>
      <c r="LF117">
        <v>283</v>
      </c>
      <c r="LG117">
        <v>8</v>
      </c>
      <c r="LM117">
        <v>8</v>
      </c>
      <c r="LT117">
        <v>0</v>
      </c>
      <c r="MA117">
        <v>0</v>
      </c>
      <c r="MB117" t="s">
        <v>1267</v>
      </c>
      <c r="MC117">
        <v>106</v>
      </c>
      <c r="MI117">
        <v>106</v>
      </c>
      <c r="MJ117">
        <v>1298</v>
      </c>
      <c r="MK117">
        <v>419</v>
      </c>
      <c r="ML117">
        <v>0</v>
      </c>
      <c r="MM117">
        <v>0</v>
      </c>
      <c r="MN117">
        <v>0</v>
      </c>
      <c r="MO117">
        <v>0</v>
      </c>
      <c r="MP117">
        <v>1717</v>
      </c>
      <c r="MQ117">
        <v>134</v>
      </c>
      <c r="MR117">
        <v>256</v>
      </c>
      <c r="MW117">
        <v>390</v>
      </c>
      <c r="MX117">
        <v>1164</v>
      </c>
      <c r="MY117">
        <v>163</v>
      </c>
      <c r="ND117">
        <v>1327</v>
      </c>
      <c r="NK117">
        <v>0</v>
      </c>
      <c r="NR117">
        <v>0</v>
      </c>
      <c r="NY117">
        <v>0</v>
      </c>
      <c r="NZ117">
        <v>1298</v>
      </c>
      <c r="OA117">
        <v>419</v>
      </c>
      <c r="OB117">
        <v>0</v>
      </c>
      <c r="OC117">
        <v>0</v>
      </c>
      <c r="OD117">
        <v>0</v>
      </c>
      <c r="OE117">
        <v>0</v>
      </c>
      <c r="OF117">
        <v>1717</v>
      </c>
      <c r="OG117" t="s">
        <v>408</v>
      </c>
      <c r="SJ117" t="s">
        <v>409</v>
      </c>
      <c r="SK117">
        <v>12</v>
      </c>
      <c r="SQ117">
        <v>12</v>
      </c>
      <c r="SX117">
        <v>0</v>
      </c>
      <c r="TE117">
        <v>0</v>
      </c>
      <c r="TL117">
        <v>0</v>
      </c>
      <c r="TS117">
        <v>0</v>
      </c>
      <c r="TZ117">
        <v>0</v>
      </c>
      <c r="UG117">
        <v>0</v>
      </c>
      <c r="UO117">
        <v>0</v>
      </c>
      <c r="UP117">
        <v>12</v>
      </c>
      <c r="UQ117">
        <v>0</v>
      </c>
      <c r="UR117">
        <v>0</v>
      </c>
      <c r="US117">
        <v>0</v>
      </c>
      <c r="UT117">
        <v>0</v>
      </c>
      <c r="UU117">
        <v>0</v>
      </c>
      <c r="UV117">
        <v>12</v>
      </c>
      <c r="VC117">
        <v>0</v>
      </c>
      <c r="VD117">
        <v>12</v>
      </c>
      <c r="VJ117">
        <v>12</v>
      </c>
      <c r="VQ117">
        <v>0</v>
      </c>
      <c r="VX117">
        <v>0</v>
      </c>
      <c r="WE117">
        <v>0</v>
      </c>
      <c r="WF117">
        <v>12</v>
      </c>
      <c r="WG117">
        <v>0</v>
      </c>
      <c r="WH117">
        <v>0</v>
      </c>
      <c r="WI117">
        <v>0</v>
      </c>
      <c r="WJ117">
        <v>0</v>
      </c>
      <c r="WK117">
        <v>0</v>
      </c>
      <c r="WL117">
        <v>12</v>
      </c>
      <c r="WM117" t="s">
        <v>410</v>
      </c>
      <c r="AAP117" t="s">
        <v>411</v>
      </c>
      <c r="AES117" t="s">
        <v>412</v>
      </c>
    </row>
    <row r="118" spans="1:825" x14ac:dyDescent="0.2">
      <c r="A118" t="s">
        <v>1269</v>
      </c>
      <c r="B118" t="s">
        <v>414</v>
      </c>
      <c r="C118" t="s">
        <v>1270</v>
      </c>
      <c r="P118" t="b">
        <v>0</v>
      </c>
      <c r="Q118" t="b">
        <v>1</v>
      </c>
      <c r="R118" t="b">
        <v>1</v>
      </c>
      <c r="S118" t="b">
        <v>0</v>
      </c>
      <c r="T118" t="b">
        <v>0</v>
      </c>
      <c r="U118" t="b">
        <v>0</v>
      </c>
      <c r="V118">
        <v>780</v>
      </c>
      <c r="W118" s="20">
        <v>43521.282638888886</v>
      </c>
      <c r="X118" t="s">
        <v>1271</v>
      </c>
      <c r="Y118">
        <v>2019</v>
      </c>
      <c r="Z118" t="s">
        <v>1272</v>
      </c>
      <c r="AA118" t="s">
        <v>1273</v>
      </c>
      <c r="AB118" t="str">
        <f>VLOOKUP(MID(AD118,SEARCH("@",AD118,1),LEN(AD118)-SEARCH("@",AD118,1)+1),[2]Sheet1!$D:$F,3,FALSE)</f>
        <v>M0274</v>
      </c>
      <c r="AC118" t="s">
        <v>1274</v>
      </c>
      <c r="AD118" t="s">
        <v>1275</v>
      </c>
      <c r="AE118">
        <v>424173318</v>
      </c>
      <c r="AF118" t="s">
        <v>420</v>
      </c>
      <c r="AG118" t="s">
        <v>421</v>
      </c>
      <c r="AI118">
        <v>1</v>
      </c>
      <c r="AL118">
        <v>615</v>
      </c>
      <c r="AM118">
        <v>384</v>
      </c>
      <c r="AN118">
        <v>465</v>
      </c>
      <c r="AO118">
        <v>384</v>
      </c>
      <c r="AP118">
        <v>357</v>
      </c>
      <c r="AV118">
        <v>357</v>
      </c>
      <c r="BC118">
        <v>0</v>
      </c>
      <c r="BD118">
        <v>27</v>
      </c>
      <c r="BJ118">
        <v>27</v>
      </c>
      <c r="BQ118">
        <v>0</v>
      </c>
      <c r="BX118">
        <v>0</v>
      </c>
      <c r="CE118">
        <v>0</v>
      </c>
      <c r="CF118">
        <v>384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384</v>
      </c>
      <c r="CM118">
        <v>3</v>
      </c>
      <c r="CS118">
        <v>3</v>
      </c>
      <c r="CZ118">
        <v>0</v>
      </c>
      <c r="DA118">
        <v>1</v>
      </c>
      <c r="DG118">
        <v>1</v>
      </c>
      <c r="DN118">
        <v>0</v>
      </c>
      <c r="DU118">
        <v>0</v>
      </c>
      <c r="EB118">
        <v>0</v>
      </c>
      <c r="EC118">
        <v>4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4</v>
      </c>
      <c r="EJ118" t="s">
        <v>405</v>
      </c>
      <c r="EK118" t="s">
        <v>404</v>
      </c>
      <c r="EL118" t="s">
        <v>404</v>
      </c>
      <c r="EM118" t="s">
        <v>404</v>
      </c>
      <c r="EN118" t="s">
        <v>404</v>
      </c>
      <c r="EO118" t="s">
        <v>404</v>
      </c>
      <c r="EP118" t="s">
        <v>404</v>
      </c>
      <c r="EQ118" t="s">
        <v>404</v>
      </c>
      <c r="ER118" t="s">
        <v>404</v>
      </c>
      <c r="ES118" t="s">
        <v>404</v>
      </c>
      <c r="ET118" t="s">
        <v>404</v>
      </c>
      <c r="EU118" t="s">
        <v>404</v>
      </c>
      <c r="EV118" t="s">
        <v>405</v>
      </c>
      <c r="EW118" t="s">
        <v>404</v>
      </c>
      <c r="EX118" t="s">
        <v>404</v>
      </c>
      <c r="EY118" t="s">
        <v>404</v>
      </c>
      <c r="EZ118" t="s">
        <v>404</v>
      </c>
      <c r="FA118" t="s">
        <v>404</v>
      </c>
      <c r="FB118" t="s">
        <v>404</v>
      </c>
      <c r="FC118" t="s">
        <v>404</v>
      </c>
      <c r="FD118" t="s">
        <v>404</v>
      </c>
      <c r="FE118" t="s">
        <v>404</v>
      </c>
      <c r="FF118" t="s">
        <v>404</v>
      </c>
      <c r="FG118" t="s">
        <v>404</v>
      </c>
      <c r="FH118" t="s">
        <v>404</v>
      </c>
      <c r="FI118" t="s">
        <v>404</v>
      </c>
      <c r="FJ118" t="s">
        <v>404</v>
      </c>
      <c r="FK118" t="s">
        <v>404</v>
      </c>
      <c r="FL118" t="s">
        <v>404</v>
      </c>
      <c r="FM118" t="s">
        <v>404</v>
      </c>
      <c r="FN118" t="s">
        <v>404</v>
      </c>
      <c r="FO118" t="s">
        <v>404</v>
      </c>
      <c r="FP118" t="s">
        <v>404</v>
      </c>
      <c r="FQ118" t="s">
        <v>404</v>
      </c>
      <c r="FR118" t="s">
        <v>404</v>
      </c>
      <c r="FS118" t="s">
        <v>404</v>
      </c>
      <c r="FT118">
        <v>25</v>
      </c>
      <c r="FZ118">
        <v>25</v>
      </c>
      <c r="GA118">
        <v>38</v>
      </c>
      <c r="GG118">
        <v>38</v>
      </c>
      <c r="GN118">
        <v>0</v>
      </c>
      <c r="GU118">
        <v>0</v>
      </c>
      <c r="HB118">
        <v>0</v>
      </c>
      <c r="HI118">
        <v>0</v>
      </c>
      <c r="HP118">
        <v>0</v>
      </c>
      <c r="HQ118" t="s">
        <v>1276</v>
      </c>
      <c r="HR118">
        <v>321</v>
      </c>
      <c r="HX118">
        <v>321</v>
      </c>
      <c r="HY118">
        <v>384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384</v>
      </c>
      <c r="IF118">
        <v>359</v>
      </c>
      <c r="IL118">
        <v>359</v>
      </c>
      <c r="IM118">
        <v>25</v>
      </c>
      <c r="IS118">
        <v>25</v>
      </c>
      <c r="IZ118">
        <v>0</v>
      </c>
      <c r="JG118">
        <v>0</v>
      </c>
      <c r="JN118">
        <v>0</v>
      </c>
      <c r="JO118">
        <v>384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384</v>
      </c>
      <c r="JV118">
        <v>0</v>
      </c>
      <c r="JX118">
        <v>100</v>
      </c>
      <c r="KA118">
        <v>1</v>
      </c>
      <c r="KB118">
        <v>3</v>
      </c>
      <c r="KC118">
        <v>1</v>
      </c>
      <c r="KD118" t="s">
        <v>407</v>
      </c>
      <c r="OG118" t="s">
        <v>408</v>
      </c>
      <c r="SJ118" t="s">
        <v>409</v>
      </c>
      <c r="WM118" t="s">
        <v>410</v>
      </c>
      <c r="AAP118" t="s">
        <v>411</v>
      </c>
      <c r="AES118" t="s">
        <v>412</v>
      </c>
    </row>
    <row r="119" spans="1:825" x14ac:dyDescent="0.2">
      <c r="A119" t="s">
        <v>1277</v>
      </c>
      <c r="B119" t="s">
        <v>396</v>
      </c>
      <c r="C119" t="s">
        <v>1278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>
        <v>561</v>
      </c>
      <c r="W119" s="20">
        <v>43475.45416666667</v>
      </c>
      <c r="X119" t="s">
        <v>1279</v>
      </c>
      <c r="Y119">
        <v>2019</v>
      </c>
      <c r="Z119" t="s">
        <v>1280</v>
      </c>
      <c r="AA119" t="s">
        <v>1281</v>
      </c>
      <c r="AB119" t="str">
        <f>VLOOKUP(MID(AD119,SEARCH("@",AD119,1),LEN(AD119)-SEARCH("@",AD119,1)+1),[2]Sheet1!$D:$F,3,FALSE)</f>
        <v>M616</v>
      </c>
      <c r="AC119" t="s">
        <v>685</v>
      </c>
      <c r="AD119" t="s">
        <v>1282</v>
      </c>
      <c r="AE119" t="s">
        <v>1283</v>
      </c>
      <c r="AF119" t="s">
        <v>491</v>
      </c>
      <c r="AG119" t="s">
        <v>403</v>
      </c>
      <c r="AI119">
        <v>2</v>
      </c>
      <c r="AJ119">
        <v>6</v>
      </c>
      <c r="AK119" t="s">
        <v>1284</v>
      </c>
      <c r="AV119">
        <v>0</v>
      </c>
      <c r="BC119">
        <v>0</v>
      </c>
      <c r="BJ119">
        <v>0</v>
      </c>
      <c r="BQ119">
        <v>0</v>
      </c>
      <c r="BX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S119">
        <v>0</v>
      </c>
      <c r="CZ119">
        <v>0</v>
      </c>
      <c r="DG119">
        <v>0</v>
      </c>
      <c r="DN119">
        <v>0</v>
      </c>
      <c r="DU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 t="s">
        <v>404</v>
      </c>
      <c r="EK119" t="s">
        <v>404</v>
      </c>
      <c r="EL119" t="s">
        <v>404</v>
      </c>
      <c r="EM119" t="s">
        <v>404</v>
      </c>
      <c r="EN119" t="s">
        <v>404</v>
      </c>
      <c r="EO119" t="s">
        <v>404</v>
      </c>
      <c r="EP119" t="s">
        <v>404</v>
      </c>
      <c r="EQ119" t="s">
        <v>404</v>
      </c>
      <c r="ER119" t="s">
        <v>404</v>
      </c>
      <c r="ES119" t="s">
        <v>404</v>
      </c>
      <c r="ET119" t="s">
        <v>404</v>
      </c>
      <c r="EU119" t="s">
        <v>404</v>
      </c>
      <c r="EV119" t="s">
        <v>404</v>
      </c>
      <c r="EW119" t="s">
        <v>404</v>
      </c>
      <c r="EX119" t="s">
        <v>404</v>
      </c>
      <c r="EY119" t="s">
        <v>404</v>
      </c>
      <c r="EZ119" t="s">
        <v>404</v>
      </c>
      <c r="FA119" t="s">
        <v>404</v>
      </c>
      <c r="FB119" t="s">
        <v>404</v>
      </c>
      <c r="FC119" t="s">
        <v>404</v>
      </c>
      <c r="FD119" t="s">
        <v>404</v>
      </c>
      <c r="FE119" t="s">
        <v>404</v>
      </c>
      <c r="FF119" t="s">
        <v>404</v>
      </c>
      <c r="FG119" t="s">
        <v>404</v>
      </c>
      <c r="FH119" t="s">
        <v>404</v>
      </c>
      <c r="FI119" t="s">
        <v>404</v>
      </c>
      <c r="FJ119" t="s">
        <v>404</v>
      </c>
      <c r="FK119" t="s">
        <v>404</v>
      </c>
      <c r="FL119" t="s">
        <v>404</v>
      </c>
      <c r="FM119" t="s">
        <v>404</v>
      </c>
      <c r="FN119" t="s">
        <v>404</v>
      </c>
      <c r="FO119" t="s">
        <v>404</v>
      </c>
      <c r="FP119" t="s">
        <v>404</v>
      </c>
      <c r="FQ119" t="s">
        <v>404</v>
      </c>
      <c r="FR119" t="s">
        <v>404</v>
      </c>
      <c r="FS119" t="s">
        <v>404</v>
      </c>
      <c r="FZ119">
        <v>0</v>
      </c>
      <c r="GG119">
        <v>0</v>
      </c>
      <c r="GN119">
        <v>0</v>
      </c>
      <c r="GU119">
        <v>0</v>
      </c>
      <c r="HB119">
        <v>0</v>
      </c>
      <c r="HI119">
        <v>0</v>
      </c>
      <c r="HP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L119">
        <v>0</v>
      </c>
      <c r="IS119">
        <v>0</v>
      </c>
      <c r="IZ119">
        <v>0</v>
      </c>
      <c r="JG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KA119">
        <v>3</v>
      </c>
      <c r="KB119">
        <v>3</v>
      </c>
      <c r="KC119">
        <v>1</v>
      </c>
      <c r="KD119" t="s">
        <v>407</v>
      </c>
      <c r="OG119" t="s">
        <v>408</v>
      </c>
      <c r="SJ119" t="s">
        <v>409</v>
      </c>
      <c r="WM119" t="s">
        <v>410</v>
      </c>
      <c r="AAP119" t="s">
        <v>411</v>
      </c>
      <c r="AES119" t="s">
        <v>412</v>
      </c>
    </row>
    <row r="120" spans="1:825" x14ac:dyDescent="0.2">
      <c r="A120" t="s">
        <v>1285</v>
      </c>
      <c r="B120" t="s">
        <v>563</v>
      </c>
      <c r="C120" t="s">
        <v>1286</v>
      </c>
      <c r="P120" t="b">
        <v>0</v>
      </c>
      <c r="Q120" t="b">
        <v>0</v>
      </c>
      <c r="R120" t="b">
        <v>1</v>
      </c>
      <c r="S120" t="b">
        <v>0</v>
      </c>
      <c r="T120" t="b">
        <v>0</v>
      </c>
      <c r="U120" t="b">
        <v>0</v>
      </c>
      <c r="V120">
        <v>634</v>
      </c>
      <c r="W120" s="20">
        <v>43510.894444444442</v>
      </c>
      <c r="X120" t="s">
        <v>1287</v>
      </c>
      <c r="Y120">
        <v>2019</v>
      </c>
      <c r="Z120" t="s">
        <v>1288</v>
      </c>
      <c r="AA120" t="s">
        <v>1289</v>
      </c>
      <c r="AB120" t="str">
        <f>VLOOKUP(MID(AD120,SEARCH("@",AD120,1),LEN(AD120)-SEARCH("@",AD120,1)+1),[2]Sheet1!$D:$F,3,FALSE)</f>
        <v>M03851</v>
      </c>
      <c r="AC120" t="s">
        <v>1290</v>
      </c>
      <c r="AD120" t="s">
        <v>1291</v>
      </c>
      <c r="AE120" t="s">
        <v>1292</v>
      </c>
      <c r="AF120" t="s">
        <v>571</v>
      </c>
      <c r="AG120" t="s">
        <v>538</v>
      </c>
      <c r="AI120">
        <v>1</v>
      </c>
      <c r="AL120">
        <v>153.19999999999999</v>
      </c>
      <c r="AM120">
        <v>153.19999999999999</v>
      </c>
      <c r="AN120">
        <v>46.2</v>
      </c>
      <c r="AO120">
        <v>46.2</v>
      </c>
      <c r="AV120">
        <v>0</v>
      </c>
      <c r="BC120">
        <v>0</v>
      </c>
      <c r="BD120">
        <v>153.19999999999999</v>
      </c>
      <c r="BJ120">
        <v>153.19999999999999</v>
      </c>
      <c r="BQ120">
        <v>0</v>
      </c>
      <c r="BX120">
        <v>0</v>
      </c>
      <c r="CE120">
        <v>0</v>
      </c>
      <c r="CF120">
        <v>153.19999999999999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153.19999999999999</v>
      </c>
      <c r="CS120">
        <v>0</v>
      </c>
      <c r="CZ120">
        <v>0</v>
      </c>
      <c r="DA120">
        <v>2</v>
      </c>
      <c r="DG120">
        <v>2</v>
      </c>
      <c r="DN120">
        <v>0</v>
      </c>
      <c r="DU120">
        <v>0</v>
      </c>
      <c r="EB120">
        <v>0</v>
      </c>
      <c r="EC120">
        <v>2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2</v>
      </c>
      <c r="EJ120" t="s">
        <v>404</v>
      </c>
      <c r="EK120" t="s">
        <v>404</v>
      </c>
      <c r="EL120" t="s">
        <v>404</v>
      </c>
      <c r="EM120" t="s">
        <v>404</v>
      </c>
      <c r="EN120" t="s">
        <v>404</v>
      </c>
      <c r="EO120" t="s">
        <v>404</v>
      </c>
      <c r="EP120" t="s">
        <v>404</v>
      </c>
      <c r="EQ120" t="s">
        <v>404</v>
      </c>
      <c r="ER120" t="s">
        <v>404</v>
      </c>
      <c r="ES120" t="s">
        <v>404</v>
      </c>
      <c r="ET120" t="s">
        <v>404</v>
      </c>
      <c r="EU120" t="s">
        <v>404</v>
      </c>
      <c r="EV120" t="s">
        <v>405</v>
      </c>
      <c r="EW120" t="s">
        <v>404</v>
      </c>
      <c r="EX120" t="s">
        <v>404</v>
      </c>
      <c r="EY120" t="s">
        <v>404</v>
      </c>
      <c r="EZ120" t="s">
        <v>404</v>
      </c>
      <c r="FA120" t="s">
        <v>404</v>
      </c>
      <c r="FB120" t="s">
        <v>404</v>
      </c>
      <c r="FC120" t="s">
        <v>404</v>
      </c>
      <c r="FD120" t="s">
        <v>404</v>
      </c>
      <c r="FE120" t="s">
        <v>404</v>
      </c>
      <c r="FF120" t="s">
        <v>404</v>
      </c>
      <c r="FG120" t="s">
        <v>404</v>
      </c>
      <c r="FH120" t="s">
        <v>404</v>
      </c>
      <c r="FI120" t="s">
        <v>404</v>
      </c>
      <c r="FJ120" t="s">
        <v>404</v>
      </c>
      <c r="FK120" t="s">
        <v>404</v>
      </c>
      <c r="FL120" t="s">
        <v>404</v>
      </c>
      <c r="FM120" t="s">
        <v>404</v>
      </c>
      <c r="FN120" t="s">
        <v>404</v>
      </c>
      <c r="FO120" t="s">
        <v>404</v>
      </c>
      <c r="FP120" t="s">
        <v>404</v>
      </c>
      <c r="FQ120" t="s">
        <v>404</v>
      </c>
      <c r="FR120" t="s">
        <v>404</v>
      </c>
      <c r="FS120" t="s">
        <v>404</v>
      </c>
      <c r="FT120">
        <v>5.2</v>
      </c>
      <c r="FZ120">
        <v>5.2</v>
      </c>
      <c r="GA120">
        <v>148</v>
      </c>
      <c r="GG120">
        <v>148</v>
      </c>
      <c r="GN120">
        <v>0</v>
      </c>
      <c r="GU120">
        <v>0</v>
      </c>
      <c r="HB120">
        <v>0</v>
      </c>
      <c r="HI120">
        <v>0</v>
      </c>
      <c r="HP120">
        <v>0</v>
      </c>
      <c r="HX120">
        <v>0</v>
      </c>
      <c r="HY120">
        <v>153.19999999999999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153.19999999999999</v>
      </c>
      <c r="IL120">
        <v>0</v>
      </c>
      <c r="IS120">
        <v>0</v>
      </c>
      <c r="IT120">
        <v>153.19999999999999</v>
      </c>
      <c r="IZ120">
        <v>153.19999999999999</v>
      </c>
      <c r="JG120">
        <v>0</v>
      </c>
      <c r="JN120">
        <v>0</v>
      </c>
      <c r="JO120">
        <v>153.19999999999999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153.19999999999999</v>
      </c>
      <c r="JX120">
        <v>100</v>
      </c>
      <c r="KA120">
        <v>1</v>
      </c>
      <c r="KB120">
        <v>3</v>
      </c>
      <c r="KC120">
        <v>1</v>
      </c>
      <c r="KD120" t="s">
        <v>407</v>
      </c>
      <c r="OG120" t="s">
        <v>408</v>
      </c>
      <c r="SJ120" t="s">
        <v>409</v>
      </c>
      <c r="WM120" t="s">
        <v>410</v>
      </c>
      <c r="AAP120" t="s">
        <v>411</v>
      </c>
      <c r="AES120" t="s">
        <v>412</v>
      </c>
    </row>
    <row r="121" spans="1:825" x14ac:dyDescent="0.2">
      <c r="A121" t="s">
        <v>1293</v>
      </c>
      <c r="B121" t="s">
        <v>414</v>
      </c>
      <c r="C121" t="s">
        <v>1294</v>
      </c>
      <c r="P121" t="b">
        <v>1</v>
      </c>
      <c r="Q121" t="b">
        <v>0</v>
      </c>
      <c r="R121" t="b">
        <v>1</v>
      </c>
      <c r="S121" t="b">
        <v>0</v>
      </c>
      <c r="T121" t="b">
        <v>0</v>
      </c>
      <c r="U121" t="b">
        <v>0</v>
      </c>
      <c r="V121">
        <v>617</v>
      </c>
      <c r="W121" s="20">
        <v>43509.210416666669</v>
      </c>
      <c r="X121" t="s">
        <v>1295</v>
      </c>
      <c r="Y121">
        <v>2019</v>
      </c>
      <c r="Z121" t="s">
        <v>1296</v>
      </c>
      <c r="AA121" t="s">
        <v>1297</v>
      </c>
      <c r="AB121" t="str">
        <f>VLOOKUP(MID(AD121,SEARCH("@",AD121,1),LEN(AD121)-SEARCH("@",AD121,1)+1),[2]Sheet1!$D:$F,3,FALSE)</f>
        <v>N0287</v>
      </c>
      <c r="AC121" t="s">
        <v>685</v>
      </c>
      <c r="AD121" t="s">
        <v>1298</v>
      </c>
      <c r="AE121">
        <v>822</v>
      </c>
      <c r="AF121" t="s">
        <v>1299</v>
      </c>
      <c r="AG121" t="s">
        <v>538</v>
      </c>
      <c r="AI121">
        <v>1</v>
      </c>
      <c r="AL121">
        <v>1100</v>
      </c>
      <c r="AM121">
        <v>1100</v>
      </c>
      <c r="AN121">
        <v>1100</v>
      </c>
      <c r="AO121">
        <v>1100</v>
      </c>
      <c r="AV121">
        <v>0</v>
      </c>
      <c r="BA121">
        <v>50</v>
      </c>
      <c r="BC121">
        <v>50</v>
      </c>
      <c r="BD121">
        <v>600</v>
      </c>
      <c r="BG121">
        <v>200</v>
      </c>
      <c r="BH121">
        <v>250</v>
      </c>
      <c r="BJ121">
        <v>1050</v>
      </c>
      <c r="BQ121">
        <v>0</v>
      </c>
      <c r="BX121">
        <v>0</v>
      </c>
      <c r="CE121">
        <v>0</v>
      </c>
      <c r="CF121">
        <v>600</v>
      </c>
      <c r="CG121">
        <v>0</v>
      </c>
      <c r="CH121">
        <v>0</v>
      </c>
      <c r="CI121">
        <v>200</v>
      </c>
      <c r="CJ121">
        <v>300</v>
      </c>
      <c r="CK121">
        <v>0</v>
      </c>
      <c r="CL121">
        <v>1100</v>
      </c>
      <c r="CS121">
        <v>0</v>
      </c>
      <c r="CX121">
        <v>1</v>
      </c>
      <c r="CZ121">
        <v>1</v>
      </c>
      <c r="DA121">
        <v>6</v>
      </c>
      <c r="DD121">
        <v>2</v>
      </c>
      <c r="DE121">
        <v>1</v>
      </c>
      <c r="DG121">
        <v>9</v>
      </c>
      <c r="DN121">
        <v>0</v>
      </c>
      <c r="DU121">
        <v>0</v>
      </c>
      <c r="EB121">
        <v>0</v>
      </c>
      <c r="EC121">
        <v>6</v>
      </c>
      <c r="ED121">
        <v>0</v>
      </c>
      <c r="EE121">
        <v>0</v>
      </c>
      <c r="EF121">
        <v>2</v>
      </c>
      <c r="EG121">
        <v>2</v>
      </c>
      <c r="EH121">
        <v>0</v>
      </c>
      <c r="EI121">
        <v>10</v>
      </c>
      <c r="EJ121" t="s">
        <v>404</v>
      </c>
      <c r="EK121" t="s">
        <v>404</v>
      </c>
      <c r="EL121" t="s">
        <v>404</v>
      </c>
      <c r="EM121" t="s">
        <v>404</v>
      </c>
      <c r="EN121" t="s">
        <v>404</v>
      </c>
      <c r="EO121" t="s">
        <v>404</v>
      </c>
      <c r="EP121" t="s">
        <v>404</v>
      </c>
      <c r="EQ121" t="s">
        <v>404</v>
      </c>
      <c r="ER121" t="s">
        <v>404</v>
      </c>
      <c r="ES121" t="s">
        <v>404</v>
      </c>
      <c r="ET121" t="s">
        <v>405</v>
      </c>
      <c r="EU121" t="s">
        <v>404</v>
      </c>
      <c r="EV121" t="s">
        <v>405</v>
      </c>
      <c r="EW121" t="s">
        <v>404</v>
      </c>
      <c r="EX121" t="s">
        <v>404</v>
      </c>
      <c r="EY121" t="s">
        <v>405</v>
      </c>
      <c r="EZ121" t="s">
        <v>405</v>
      </c>
      <c r="FA121" t="s">
        <v>404</v>
      </c>
      <c r="FB121" t="s">
        <v>404</v>
      </c>
      <c r="FC121" t="s">
        <v>404</v>
      </c>
      <c r="FD121" t="s">
        <v>404</v>
      </c>
      <c r="FE121" t="s">
        <v>404</v>
      </c>
      <c r="FF121" t="s">
        <v>404</v>
      </c>
      <c r="FG121" t="s">
        <v>404</v>
      </c>
      <c r="FH121" t="s">
        <v>404</v>
      </c>
      <c r="FI121" t="s">
        <v>404</v>
      </c>
      <c r="FJ121" t="s">
        <v>404</v>
      </c>
      <c r="FK121" t="s">
        <v>404</v>
      </c>
      <c r="FL121" t="s">
        <v>404</v>
      </c>
      <c r="FM121" t="s">
        <v>404</v>
      </c>
      <c r="FN121" t="s">
        <v>404</v>
      </c>
      <c r="FO121" t="s">
        <v>404</v>
      </c>
      <c r="FP121" t="s">
        <v>404</v>
      </c>
      <c r="FQ121" t="s">
        <v>404</v>
      </c>
      <c r="FR121" t="s">
        <v>404</v>
      </c>
      <c r="FS121" t="s">
        <v>404</v>
      </c>
      <c r="FT121">
        <v>500</v>
      </c>
      <c r="FZ121">
        <v>500</v>
      </c>
      <c r="GA121">
        <v>500</v>
      </c>
      <c r="GG121">
        <v>500</v>
      </c>
      <c r="GH121">
        <v>100</v>
      </c>
      <c r="GN121">
        <v>100</v>
      </c>
      <c r="GU121">
        <v>0</v>
      </c>
      <c r="HB121">
        <v>0</v>
      </c>
      <c r="HI121">
        <v>0</v>
      </c>
      <c r="HP121">
        <v>0</v>
      </c>
      <c r="HX121">
        <v>0</v>
      </c>
      <c r="HY121">
        <v>1100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1100</v>
      </c>
      <c r="IF121">
        <v>500</v>
      </c>
      <c r="II121">
        <v>500</v>
      </c>
      <c r="IJ121">
        <v>100</v>
      </c>
      <c r="IL121">
        <v>1100</v>
      </c>
      <c r="IS121">
        <v>0</v>
      </c>
      <c r="IZ121">
        <v>0</v>
      </c>
      <c r="JG121">
        <v>0</v>
      </c>
      <c r="JN121">
        <v>0</v>
      </c>
      <c r="JO121">
        <v>500</v>
      </c>
      <c r="JP121">
        <v>0</v>
      </c>
      <c r="JQ121">
        <v>0</v>
      </c>
      <c r="JR121">
        <v>500</v>
      </c>
      <c r="JS121">
        <v>100</v>
      </c>
      <c r="JT121">
        <v>0</v>
      </c>
      <c r="JU121">
        <v>1100</v>
      </c>
      <c r="JX121">
        <v>100</v>
      </c>
      <c r="KA121">
        <v>1</v>
      </c>
      <c r="KB121">
        <v>3</v>
      </c>
      <c r="KC121">
        <v>1</v>
      </c>
      <c r="KD121" t="s">
        <v>407</v>
      </c>
      <c r="OG121" t="s">
        <v>408</v>
      </c>
      <c r="SJ121" t="s">
        <v>409</v>
      </c>
      <c r="WM121" t="s">
        <v>410</v>
      </c>
      <c r="AAP121" t="s">
        <v>411</v>
      </c>
      <c r="AES121" t="s">
        <v>412</v>
      </c>
    </row>
    <row r="122" spans="1:825" x14ac:dyDescent="0.2">
      <c r="A122" t="s">
        <v>1300</v>
      </c>
      <c r="B122" t="s">
        <v>396</v>
      </c>
      <c r="C122" t="s">
        <v>1301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>
        <v>580</v>
      </c>
      <c r="W122" s="20">
        <v>43489.467361111114</v>
      </c>
      <c r="X122" t="s">
        <v>1302</v>
      </c>
      <c r="Y122">
        <v>2019</v>
      </c>
      <c r="Z122" t="s">
        <v>1303</v>
      </c>
      <c r="AA122" t="s">
        <v>1304</v>
      </c>
      <c r="AB122" t="str">
        <f>VLOOKUP(MID(AD122,SEARCH("@",AD122,1),LEN(AD122)-SEARCH("@",AD122,1)+1),[2]Sheet1!$D:$F,3,FALSE)</f>
        <v>M2505</v>
      </c>
      <c r="AC122" t="s">
        <v>1305</v>
      </c>
      <c r="AD122" t="s">
        <v>1306</v>
      </c>
      <c r="AE122" t="s">
        <v>1307</v>
      </c>
      <c r="AF122" t="s">
        <v>491</v>
      </c>
      <c r="AG122" t="s">
        <v>403</v>
      </c>
      <c r="AI122">
        <v>1</v>
      </c>
      <c r="AL122">
        <v>196.21</v>
      </c>
      <c r="AM122">
        <v>196.21</v>
      </c>
      <c r="AN122">
        <v>196.21</v>
      </c>
      <c r="AO122">
        <v>196.21</v>
      </c>
      <c r="AV122">
        <v>0</v>
      </c>
      <c r="AW122">
        <v>146.21</v>
      </c>
      <c r="AY122">
        <v>50</v>
      </c>
      <c r="BC122">
        <v>196.21</v>
      </c>
      <c r="BJ122">
        <v>0</v>
      </c>
      <c r="BQ122">
        <v>0</v>
      </c>
      <c r="BX122">
        <v>0</v>
      </c>
      <c r="CE122">
        <v>0</v>
      </c>
      <c r="CF122">
        <v>146.21</v>
      </c>
      <c r="CG122">
        <v>0</v>
      </c>
      <c r="CH122">
        <v>50</v>
      </c>
      <c r="CI122">
        <v>0</v>
      </c>
      <c r="CJ122">
        <v>0</v>
      </c>
      <c r="CK122">
        <v>0</v>
      </c>
      <c r="CL122">
        <v>196.21</v>
      </c>
      <c r="CS122">
        <v>0</v>
      </c>
      <c r="CT122">
        <v>6</v>
      </c>
      <c r="CV122">
        <v>1</v>
      </c>
      <c r="CZ122">
        <v>7</v>
      </c>
      <c r="DG122">
        <v>0</v>
      </c>
      <c r="DN122">
        <v>0</v>
      </c>
      <c r="DU122">
        <v>0</v>
      </c>
      <c r="EB122">
        <v>0</v>
      </c>
      <c r="EC122">
        <v>6</v>
      </c>
      <c r="ED122">
        <v>0</v>
      </c>
      <c r="EE122">
        <v>1</v>
      </c>
      <c r="EF122">
        <v>0</v>
      </c>
      <c r="EG122">
        <v>0</v>
      </c>
      <c r="EH122">
        <v>0</v>
      </c>
      <c r="EI122">
        <v>7</v>
      </c>
      <c r="EJ122" t="s">
        <v>404</v>
      </c>
      <c r="EK122" t="s">
        <v>404</v>
      </c>
      <c r="EL122" t="s">
        <v>404</v>
      </c>
      <c r="EM122" t="s">
        <v>404</v>
      </c>
      <c r="EN122" t="s">
        <v>404</v>
      </c>
      <c r="EO122" t="s">
        <v>404</v>
      </c>
      <c r="EP122" t="s">
        <v>405</v>
      </c>
      <c r="EQ122" t="s">
        <v>404</v>
      </c>
      <c r="ER122" t="s">
        <v>405</v>
      </c>
      <c r="ES122" t="s">
        <v>404</v>
      </c>
      <c r="ET122" t="s">
        <v>404</v>
      </c>
      <c r="EU122" t="s">
        <v>404</v>
      </c>
      <c r="EV122" t="s">
        <v>404</v>
      </c>
      <c r="EW122" t="s">
        <v>404</v>
      </c>
      <c r="EX122" t="s">
        <v>404</v>
      </c>
      <c r="EY122" t="s">
        <v>404</v>
      </c>
      <c r="EZ122" t="s">
        <v>404</v>
      </c>
      <c r="FA122" t="s">
        <v>404</v>
      </c>
      <c r="FB122" t="s">
        <v>404</v>
      </c>
      <c r="FC122" t="s">
        <v>404</v>
      </c>
      <c r="FD122" t="s">
        <v>404</v>
      </c>
      <c r="FE122" t="s">
        <v>404</v>
      </c>
      <c r="FF122" t="s">
        <v>404</v>
      </c>
      <c r="FG122" t="s">
        <v>404</v>
      </c>
      <c r="FH122" t="s">
        <v>404</v>
      </c>
      <c r="FI122" t="s">
        <v>404</v>
      </c>
      <c r="FJ122" t="s">
        <v>404</v>
      </c>
      <c r="FK122" t="s">
        <v>404</v>
      </c>
      <c r="FL122" t="s">
        <v>404</v>
      </c>
      <c r="FM122" t="s">
        <v>404</v>
      </c>
      <c r="FN122" t="s">
        <v>404</v>
      </c>
      <c r="FO122" t="s">
        <v>404</v>
      </c>
      <c r="FP122" t="s">
        <v>404</v>
      </c>
      <c r="FQ122" t="s">
        <v>404</v>
      </c>
      <c r="FR122" t="s">
        <v>404</v>
      </c>
      <c r="FS122" t="s">
        <v>404</v>
      </c>
      <c r="FT122">
        <v>2.6680000000000001</v>
      </c>
      <c r="FZ122">
        <v>2.67</v>
      </c>
      <c r="GG122">
        <v>0</v>
      </c>
      <c r="GJ122">
        <v>50</v>
      </c>
      <c r="GN122">
        <v>50</v>
      </c>
      <c r="GU122">
        <v>0</v>
      </c>
      <c r="HB122">
        <v>0</v>
      </c>
      <c r="HI122">
        <v>0</v>
      </c>
      <c r="HJ122">
        <v>131.19999999999999</v>
      </c>
      <c r="HP122">
        <v>131.19999999999999</v>
      </c>
      <c r="HQ122" t="s">
        <v>1308</v>
      </c>
      <c r="HR122">
        <v>12.34</v>
      </c>
      <c r="HX122">
        <v>12.34</v>
      </c>
      <c r="HY122">
        <v>146.21</v>
      </c>
      <c r="HZ122">
        <v>0</v>
      </c>
      <c r="IA122">
        <v>50</v>
      </c>
      <c r="IB122">
        <v>0</v>
      </c>
      <c r="IC122">
        <v>0</v>
      </c>
      <c r="ID122">
        <v>0</v>
      </c>
      <c r="IE122">
        <v>196.21</v>
      </c>
      <c r="IF122">
        <v>63.722999999999999</v>
      </c>
      <c r="IH122">
        <v>50</v>
      </c>
      <c r="IL122">
        <v>113.72</v>
      </c>
      <c r="IM122">
        <v>72.701999999999998</v>
      </c>
      <c r="IS122">
        <v>72.7</v>
      </c>
      <c r="IT122">
        <v>9.75</v>
      </c>
      <c r="IZ122">
        <v>9.75</v>
      </c>
      <c r="JG122">
        <v>0</v>
      </c>
      <c r="JH122">
        <v>0.03</v>
      </c>
      <c r="JN122">
        <v>0.03</v>
      </c>
      <c r="JO122">
        <v>146.21</v>
      </c>
      <c r="JP122">
        <v>0</v>
      </c>
      <c r="JQ122">
        <v>50</v>
      </c>
      <c r="JR122">
        <v>0</v>
      </c>
      <c r="JS122">
        <v>0</v>
      </c>
      <c r="JT122">
        <v>0</v>
      </c>
      <c r="JU122">
        <v>196.21</v>
      </c>
      <c r="JV122">
        <v>30</v>
      </c>
      <c r="JW122">
        <v>2</v>
      </c>
      <c r="JX122">
        <v>68</v>
      </c>
      <c r="KA122">
        <v>1</v>
      </c>
      <c r="KB122">
        <v>3</v>
      </c>
      <c r="KC122">
        <v>1</v>
      </c>
      <c r="KD122" t="s">
        <v>407</v>
      </c>
      <c r="OG122" t="s">
        <v>408</v>
      </c>
      <c r="SJ122" t="s">
        <v>409</v>
      </c>
      <c r="WM122" t="s">
        <v>410</v>
      </c>
      <c r="AAP122" t="s">
        <v>411</v>
      </c>
      <c r="AES122" t="s">
        <v>412</v>
      </c>
    </row>
    <row r="123" spans="1:825" x14ac:dyDescent="0.2">
      <c r="A123" t="s">
        <v>1309</v>
      </c>
      <c r="B123" t="s">
        <v>563</v>
      </c>
      <c r="C123" t="s">
        <v>1310</v>
      </c>
      <c r="P123" t="b">
        <v>1</v>
      </c>
      <c r="Q123" t="b">
        <v>1</v>
      </c>
      <c r="R123" t="b">
        <v>1</v>
      </c>
      <c r="S123" t="b">
        <v>1</v>
      </c>
      <c r="T123" t="b">
        <v>0</v>
      </c>
      <c r="U123" t="b">
        <v>0</v>
      </c>
      <c r="V123">
        <v>685</v>
      </c>
      <c r="W123" s="20">
        <v>43511.870833333334</v>
      </c>
      <c r="X123" t="s">
        <v>1311</v>
      </c>
      <c r="Y123">
        <v>2019</v>
      </c>
      <c r="Z123" t="s">
        <v>1312</v>
      </c>
      <c r="AA123" t="s">
        <v>1310</v>
      </c>
      <c r="AB123" t="str">
        <f>VLOOKUP(MID(AD123,SEARCH("@",AD123,1),LEN(AD123)-SEARCH("@",AD123,1)+1),[2]Sheet1!$D:$F,3,FALSE)</f>
        <v>M114</v>
      </c>
      <c r="AC123" t="s">
        <v>1223</v>
      </c>
      <c r="AD123" t="s">
        <v>1313</v>
      </c>
      <c r="AE123">
        <v>16467619631</v>
      </c>
      <c r="AF123" t="s">
        <v>571</v>
      </c>
      <c r="AG123" t="s">
        <v>538</v>
      </c>
      <c r="AI123">
        <v>1</v>
      </c>
      <c r="AL123">
        <v>5523</v>
      </c>
      <c r="AM123">
        <v>5523</v>
      </c>
      <c r="AP123">
        <v>442.4</v>
      </c>
      <c r="AQ123">
        <v>74.5</v>
      </c>
      <c r="AV123">
        <v>516.9</v>
      </c>
      <c r="AW123">
        <v>988.1</v>
      </c>
      <c r="AX123">
        <v>803</v>
      </c>
      <c r="BC123">
        <v>1791.1</v>
      </c>
      <c r="BD123">
        <v>1594.9</v>
      </c>
      <c r="BE123">
        <v>1490.4</v>
      </c>
      <c r="BJ123">
        <v>3085.3</v>
      </c>
      <c r="BK123">
        <v>204.1</v>
      </c>
      <c r="BQ123">
        <v>204.1</v>
      </c>
      <c r="BX123">
        <v>0</v>
      </c>
      <c r="CE123">
        <v>0</v>
      </c>
      <c r="CF123">
        <v>3229.5</v>
      </c>
      <c r="CG123">
        <v>2367.9</v>
      </c>
      <c r="CH123">
        <v>0</v>
      </c>
      <c r="CI123">
        <v>0</v>
      </c>
      <c r="CJ123">
        <v>0</v>
      </c>
      <c r="CK123">
        <v>0</v>
      </c>
      <c r="CL123">
        <v>5597.4</v>
      </c>
      <c r="CM123">
        <v>1</v>
      </c>
      <c r="CN123">
        <v>2</v>
      </c>
      <c r="CS123">
        <v>3</v>
      </c>
      <c r="CT123">
        <v>3</v>
      </c>
      <c r="CU123">
        <v>6</v>
      </c>
      <c r="CZ123">
        <v>9</v>
      </c>
      <c r="DA123">
        <v>4</v>
      </c>
      <c r="DB123">
        <v>2</v>
      </c>
      <c r="DG123">
        <v>6</v>
      </c>
      <c r="DH123">
        <v>3</v>
      </c>
      <c r="DN123">
        <v>3</v>
      </c>
      <c r="DU123">
        <v>0</v>
      </c>
      <c r="EB123">
        <v>0</v>
      </c>
      <c r="EC123">
        <v>11</v>
      </c>
      <c r="ED123">
        <v>10</v>
      </c>
      <c r="EE123">
        <v>0</v>
      </c>
      <c r="EF123">
        <v>0</v>
      </c>
      <c r="EG123">
        <v>0</v>
      </c>
      <c r="EH123">
        <v>0</v>
      </c>
      <c r="EI123">
        <v>21</v>
      </c>
      <c r="EJ123" t="s">
        <v>405</v>
      </c>
      <c r="EK123" t="s">
        <v>405</v>
      </c>
      <c r="EL123" t="s">
        <v>404</v>
      </c>
      <c r="EM123" t="s">
        <v>404</v>
      </c>
      <c r="EN123" t="s">
        <v>404</v>
      </c>
      <c r="EO123" t="s">
        <v>404</v>
      </c>
      <c r="EP123" t="s">
        <v>405</v>
      </c>
      <c r="EQ123" t="s">
        <v>405</v>
      </c>
      <c r="ER123" t="s">
        <v>404</v>
      </c>
      <c r="ES123" t="s">
        <v>404</v>
      </c>
      <c r="ET123" t="s">
        <v>404</v>
      </c>
      <c r="EU123" t="s">
        <v>404</v>
      </c>
      <c r="EV123" t="s">
        <v>405</v>
      </c>
      <c r="EW123" t="s">
        <v>405</v>
      </c>
      <c r="EX123" t="s">
        <v>404</v>
      </c>
      <c r="EY123" t="s">
        <v>404</v>
      </c>
      <c r="EZ123" t="s">
        <v>404</v>
      </c>
      <c r="FA123" t="s">
        <v>404</v>
      </c>
      <c r="FB123" t="s">
        <v>405</v>
      </c>
      <c r="FC123" t="s">
        <v>404</v>
      </c>
      <c r="FD123" t="s">
        <v>404</v>
      </c>
      <c r="FE123" t="s">
        <v>404</v>
      </c>
      <c r="FF123" t="s">
        <v>404</v>
      </c>
      <c r="FG123" t="s">
        <v>404</v>
      </c>
      <c r="FH123" t="s">
        <v>404</v>
      </c>
      <c r="FI123" t="s">
        <v>404</v>
      </c>
      <c r="FJ123" t="s">
        <v>404</v>
      </c>
      <c r="FK123" t="s">
        <v>404</v>
      </c>
      <c r="FL123" t="s">
        <v>404</v>
      </c>
      <c r="FM123" t="s">
        <v>404</v>
      </c>
      <c r="FN123" t="s">
        <v>404</v>
      </c>
      <c r="FO123" t="s">
        <v>404</v>
      </c>
      <c r="FP123" t="s">
        <v>404</v>
      </c>
      <c r="FQ123" t="s">
        <v>404</v>
      </c>
      <c r="FR123" t="s">
        <v>404</v>
      </c>
      <c r="FS123" t="s">
        <v>404</v>
      </c>
      <c r="FZ123">
        <v>0</v>
      </c>
      <c r="GG123">
        <v>0</v>
      </c>
      <c r="GN123">
        <v>0</v>
      </c>
      <c r="GU123">
        <v>0</v>
      </c>
      <c r="HB123">
        <v>0</v>
      </c>
      <c r="HI123">
        <v>0</v>
      </c>
      <c r="HP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L123">
        <v>0</v>
      </c>
      <c r="IS123">
        <v>0</v>
      </c>
      <c r="IZ123">
        <v>0</v>
      </c>
      <c r="JG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X123">
        <v>100</v>
      </c>
      <c r="KA123">
        <v>3</v>
      </c>
      <c r="KB123">
        <v>2</v>
      </c>
      <c r="KC123">
        <v>1</v>
      </c>
      <c r="KD123" t="s">
        <v>407</v>
      </c>
      <c r="OG123" t="s">
        <v>408</v>
      </c>
      <c r="SJ123" t="s">
        <v>409</v>
      </c>
      <c r="WM123" t="s">
        <v>410</v>
      </c>
      <c r="AAP123" t="s">
        <v>411</v>
      </c>
      <c r="AES123" t="s">
        <v>412</v>
      </c>
    </row>
    <row r="124" spans="1:825" x14ac:dyDescent="0.2">
      <c r="A124" t="s">
        <v>1314</v>
      </c>
      <c r="B124" t="s">
        <v>563</v>
      </c>
      <c r="C124" t="s">
        <v>1315</v>
      </c>
      <c r="D124" t="s">
        <v>478</v>
      </c>
      <c r="E124" s="3">
        <v>43530.500694444447</v>
      </c>
      <c r="F124" t="s">
        <v>479</v>
      </c>
      <c r="G124" s="3">
        <v>43530.504166666666</v>
      </c>
      <c r="H124" t="s">
        <v>502</v>
      </c>
      <c r="I124" s="3">
        <v>43530.509722222225</v>
      </c>
      <c r="P124" t="b">
        <v>1</v>
      </c>
      <c r="Q124" t="b">
        <v>1</v>
      </c>
      <c r="R124" t="b">
        <v>1</v>
      </c>
      <c r="S124" t="b">
        <v>0</v>
      </c>
      <c r="T124" t="b">
        <v>0</v>
      </c>
      <c r="U124" t="b">
        <v>0</v>
      </c>
      <c r="V124">
        <v>649</v>
      </c>
      <c r="W124" s="20">
        <v>43530.486111111109</v>
      </c>
      <c r="X124" t="s">
        <v>1316</v>
      </c>
      <c r="Y124">
        <v>2019</v>
      </c>
      <c r="Z124" t="s">
        <v>1317</v>
      </c>
      <c r="AA124" t="s">
        <v>1318</v>
      </c>
      <c r="AB124" t="str">
        <f>VLOOKUP(MID(AD124,SEARCH("@",AD124,1),LEN(AD124)-SEARCH("@",AD124,1)+1),[2]Sheet1!$D:$F,3,FALSE)</f>
        <v>M042</v>
      </c>
      <c r="AC124" t="s">
        <v>1319</v>
      </c>
      <c r="AD124" t="s">
        <v>1320</v>
      </c>
      <c r="AE124" t="s">
        <v>1321</v>
      </c>
      <c r="AF124" t="s">
        <v>571</v>
      </c>
      <c r="AG124" t="s">
        <v>538</v>
      </c>
      <c r="AI124">
        <v>1</v>
      </c>
      <c r="AL124">
        <v>5438.2</v>
      </c>
      <c r="AM124">
        <v>5367.3</v>
      </c>
      <c r="AP124">
        <v>123.4</v>
      </c>
      <c r="AQ124">
        <v>1458.1</v>
      </c>
      <c r="AV124">
        <v>1581.5</v>
      </c>
      <c r="AW124">
        <v>290.7</v>
      </c>
      <c r="AX124">
        <v>557.5</v>
      </c>
      <c r="BC124">
        <v>848.2</v>
      </c>
      <c r="BD124">
        <v>1544.2</v>
      </c>
      <c r="BE124">
        <v>819.3</v>
      </c>
      <c r="BI124">
        <v>574.1</v>
      </c>
      <c r="BJ124">
        <v>2937.6</v>
      </c>
      <c r="BQ124">
        <v>0</v>
      </c>
      <c r="BX124">
        <v>0</v>
      </c>
      <c r="CE124">
        <v>0</v>
      </c>
      <c r="CF124">
        <v>1958.3</v>
      </c>
      <c r="CG124">
        <v>2834.9</v>
      </c>
      <c r="CH124">
        <v>0</v>
      </c>
      <c r="CI124">
        <v>0</v>
      </c>
      <c r="CJ124">
        <v>0</v>
      </c>
      <c r="CK124">
        <v>574.1</v>
      </c>
      <c r="CL124">
        <v>5367.3</v>
      </c>
      <c r="CM124">
        <v>2</v>
      </c>
      <c r="CN124">
        <v>5</v>
      </c>
      <c r="CS124">
        <v>7</v>
      </c>
      <c r="CT124">
        <v>3</v>
      </c>
      <c r="CU124">
        <v>5</v>
      </c>
      <c r="CZ124">
        <v>8</v>
      </c>
      <c r="DA124">
        <v>6</v>
      </c>
      <c r="DB124">
        <v>6</v>
      </c>
      <c r="DF124">
        <v>1</v>
      </c>
      <c r="DG124">
        <v>13</v>
      </c>
      <c r="DN124">
        <v>0</v>
      </c>
      <c r="DU124">
        <v>0</v>
      </c>
      <c r="EB124">
        <v>0</v>
      </c>
      <c r="EC124">
        <v>11</v>
      </c>
      <c r="ED124">
        <v>16</v>
      </c>
      <c r="EE124">
        <v>0</v>
      </c>
      <c r="EF124">
        <v>0</v>
      </c>
      <c r="EG124">
        <v>0</v>
      </c>
      <c r="EH124">
        <v>1</v>
      </c>
      <c r="EI124">
        <v>28</v>
      </c>
      <c r="EJ124" t="s">
        <v>405</v>
      </c>
      <c r="EK124" t="s">
        <v>405</v>
      </c>
      <c r="EL124" t="s">
        <v>404</v>
      </c>
      <c r="EM124" t="s">
        <v>404</v>
      </c>
      <c r="EN124" t="s">
        <v>404</v>
      </c>
      <c r="EO124" t="s">
        <v>404</v>
      </c>
      <c r="EP124" t="s">
        <v>405</v>
      </c>
      <c r="EQ124" t="s">
        <v>405</v>
      </c>
      <c r="ER124" t="s">
        <v>404</v>
      </c>
      <c r="ES124" t="s">
        <v>404</v>
      </c>
      <c r="ET124" t="s">
        <v>404</v>
      </c>
      <c r="EU124" t="s">
        <v>404</v>
      </c>
      <c r="EV124" t="s">
        <v>405</v>
      </c>
      <c r="EW124" t="s">
        <v>405</v>
      </c>
      <c r="EX124" t="s">
        <v>404</v>
      </c>
      <c r="EY124" t="s">
        <v>404</v>
      </c>
      <c r="EZ124" t="s">
        <v>404</v>
      </c>
      <c r="FA124" t="s">
        <v>405</v>
      </c>
      <c r="FB124" t="s">
        <v>404</v>
      </c>
      <c r="FC124" t="s">
        <v>404</v>
      </c>
      <c r="FD124" t="s">
        <v>404</v>
      </c>
      <c r="FE124" t="s">
        <v>404</v>
      </c>
      <c r="FF124" t="s">
        <v>404</v>
      </c>
      <c r="FG124" t="s">
        <v>404</v>
      </c>
      <c r="FH124" t="s">
        <v>404</v>
      </c>
      <c r="FI124" t="s">
        <v>404</v>
      </c>
      <c r="FJ124" t="s">
        <v>404</v>
      </c>
      <c r="FK124" t="s">
        <v>404</v>
      </c>
      <c r="FL124" t="s">
        <v>404</v>
      </c>
      <c r="FM124" t="s">
        <v>404</v>
      </c>
      <c r="FN124" t="s">
        <v>404</v>
      </c>
      <c r="FO124" t="s">
        <v>404</v>
      </c>
      <c r="FP124" t="s">
        <v>404</v>
      </c>
      <c r="FQ124" t="s">
        <v>404</v>
      </c>
      <c r="FR124" t="s">
        <v>404</v>
      </c>
      <c r="FS124" t="s">
        <v>404</v>
      </c>
      <c r="FT124">
        <v>1271.5</v>
      </c>
      <c r="FU124">
        <v>1137.0999999999999</v>
      </c>
      <c r="FY124">
        <v>343.7</v>
      </c>
      <c r="FZ124">
        <v>2752.3</v>
      </c>
      <c r="GA124">
        <v>256.3</v>
      </c>
      <c r="GB124">
        <v>591.70000000000005</v>
      </c>
      <c r="GF124">
        <v>50</v>
      </c>
      <c r="GG124">
        <v>898</v>
      </c>
      <c r="GH124">
        <v>150</v>
      </c>
      <c r="GN124">
        <v>150</v>
      </c>
      <c r="GU124">
        <v>0</v>
      </c>
      <c r="GV124">
        <v>18.3</v>
      </c>
      <c r="HB124">
        <v>18.3</v>
      </c>
      <c r="HC124">
        <v>22.4</v>
      </c>
      <c r="HH124">
        <v>155.4</v>
      </c>
      <c r="HI124">
        <v>177.8</v>
      </c>
      <c r="HJ124">
        <v>34.799999999999997</v>
      </c>
      <c r="HK124">
        <v>100</v>
      </c>
      <c r="HO124">
        <v>25</v>
      </c>
      <c r="HP124">
        <v>159.80000000000001</v>
      </c>
      <c r="HQ124" t="s">
        <v>1322</v>
      </c>
      <c r="HR124">
        <v>205.1</v>
      </c>
      <c r="HS124">
        <v>1006</v>
      </c>
      <c r="HX124">
        <v>1211.0999999999999</v>
      </c>
      <c r="HY124">
        <v>1958.4</v>
      </c>
      <c r="HZ124">
        <v>2834.8</v>
      </c>
      <c r="IA124">
        <v>0</v>
      </c>
      <c r="IB124">
        <v>0</v>
      </c>
      <c r="IC124">
        <v>0</v>
      </c>
      <c r="ID124">
        <v>574.1</v>
      </c>
      <c r="IE124">
        <v>5367.3</v>
      </c>
      <c r="IF124">
        <v>429.9</v>
      </c>
      <c r="IG124">
        <v>1032.8</v>
      </c>
      <c r="IK124">
        <v>333.6</v>
      </c>
      <c r="IL124">
        <v>1796.3</v>
      </c>
      <c r="IM124">
        <v>698.6</v>
      </c>
      <c r="IN124">
        <v>509.3</v>
      </c>
      <c r="IS124">
        <v>1207.9000000000001</v>
      </c>
      <c r="IT124">
        <v>820.6</v>
      </c>
      <c r="IU124">
        <v>1292.5999999999999</v>
      </c>
      <c r="IY124">
        <v>240.5</v>
      </c>
      <c r="IZ124">
        <v>2353.6999999999998</v>
      </c>
      <c r="JA124">
        <v>9.4</v>
      </c>
      <c r="JG124">
        <v>9.4</v>
      </c>
      <c r="JN124">
        <v>0</v>
      </c>
      <c r="JO124">
        <v>1958.5</v>
      </c>
      <c r="JP124">
        <v>2834.7</v>
      </c>
      <c r="JQ124">
        <v>0</v>
      </c>
      <c r="JR124">
        <v>0</v>
      </c>
      <c r="JS124">
        <v>0</v>
      </c>
      <c r="JT124">
        <v>574.1</v>
      </c>
      <c r="JU124">
        <v>5367.3</v>
      </c>
      <c r="JV124">
        <v>0.9</v>
      </c>
      <c r="JX124">
        <v>99.1</v>
      </c>
      <c r="KA124">
        <v>1</v>
      </c>
      <c r="KB124">
        <v>3</v>
      </c>
      <c r="KC124">
        <v>1</v>
      </c>
      <c r="KD124" t="s">
        <v>407</v>
      </c>
      <c r="KE124">
        <v>50</v>
      </c>
      <c r="KF124">
        <v>221.4</v>
      </c>
      <c r="KJ124">
        <v>0</v>
      </c>
      <c r="KK124">
        <v>271.39999999999998</v>
      </c>
      <c r="KL124">
        <v>73.5</v>
      </c>
      <c r="KM124">
        <v>320</v>
      </c>
      <c r="KQ124">
        <v>0</v>
      </c>
      <c r="KR124">
        <v>393.5</v>
      </c>
      <c r="KY124">
        <v>0</v>
      </c>
      <c r="LF124">
        <v>0</v>
      </c>
      <c r="LM124">
        <v>0</v>
      </c>
      <c r="LT124">
        <v>0</v>
      </c>
      <c r="MA124">
        <v>0</v>
      </c>
      <c r="MB124" t="s">
        <v>1322</v>
      </c>
      <c r="MD124">
        <v>916.6</v>
      </c>
      <c r="MI124">
        <v>916.6</v>
      </c>
      <c r="MJ124">
        <v>123.5</v>
      </c>
      <c r="MK124">
        <v>1458</v>
      </c>
      <c r="ML124">
        <v>0</v>
      </c>
      <c r="MM124">
        <v>0</v>
      </c>
      <c r="MN124">
        <v>0</v>
      </c>
      <c r="MO124">
        <v>0</v>
      </c>
      <c r="MP124">
        <v>1581.5</v>
      </c>
      <c r="MR124">
        <v>16.7</v>
      </c>
      <c r="MW124">
        <v>16.7</v>
      </c>
      <c r="MX124">
        <v>73.5</v>
      </c>
      <c r="MY124">
        <v>943.3</v>
      </c>
      <c r="ND124">
        <v>1016.8</v>
      </c>
      <c r="NE124">
        <v>50</v>
      </c>
      <c r="NF124">
        <v>498</v>
      </c>
      <c r="NK124">
        <v>548</v>
      </c>
      <c r="NR124">
        <v>0</v>
      </c>
      <c r="NY124">
        <v>0</v>
      </c>
      <c r="NZ124">
        <v>123.5</v>
      </c>
      <c r="OA124">
        <v>1458</v>
      </c>
      <c r="OB124">
        <v>0</v>
      </c>
      <c r="OC124">
        <v>0</v>
      </c>
      <c r="OD124">
        <v>0</v>
      </c>
      <c r="OE124">
        <v>0</v>
      </c>
      <c r="OF124">
        <v>1581.5</v>
      </c>
      <c r="OG124" t="s">
        <v>408</v>
      </c>
      <c r="OH124">
        <v>157.1</v>
      </c>
      <c r="OI124">
        <v>450.7</v>
      </c>
      <c r="ON124">
        <v>607.79999999999995</v>
      </c>
      <c r="OO124">
        <v>52.8</v>
      </c>
      <c r="OP124">
        <v>106.8</v>
      </c>
      <c r="OU124">
        <v>159.6</v>
      </c>
      <c r="PB124">
        <v>0</v>
      </c>
      <c r="PI124">
        <v>0</v>
      </c>
      <c r="PJ124">
        <v>2.4</v>
      </c>
      <c r="PP124">
        <v>2.4</v>
      </c>
      <c r="PQ124">
        <v>22.4</v>
      </c>
      <c r="PW124">
        <v>22.4</v>
      </c>
      <c r="QD124">
        <v>0</v>
      </c>
      <c r="QE124" t="s">
        <v>1322</v>
      </c>
      <c r="QF124">
        <v>56</v>
      </c>
      <c r="QL124">
        <v>56</v>
      </c>
      <c r="QM124">
        <v>290.7</v>
      </c>
      <c r="QN124">
        <v>557.5</v>
      </c>
      <c r="QO124">
        <v>0</v>
      </c>
      <c r="QP124">
        <v>0</v>
      </c>
      <c r="QQ124">
        <v>0</v>
      </c>
      <c r="QR124">
        <v>0</v>
      </c>
      <c r="QS124">
        <v>848.2</v>
      </c>
      <c r="QT124">
        <v>234.7</v>
      </c>
      <c r="QU124">
        <v>492.7</v>
      </c>
      <c r="QZ124">
        <v>727.4</v>
      </c>
      <c r="RA124">
        <v>56</v>
      </c>
      <c r="RG124">
        <v>56</v>
      </c>
      <c r="RI124">
        <v>64.8</v>
      </c>
      <c r="RN124">
        <v>64.8</v>
      </c>
      <c r="RU124">
        <v>0</v>
      </c>
      <c r="SB124">
        <v>0</v>
      </c>
      <c r="SC124">
        <v>290.7</v>
      </c>
      <c r="SD124">
        <v>557.5</v>
      </c>
      <c r="SE124">
        <v>0</v>
      </c>
      <c r="SF124">
        <v>0</v>
      </c>
      <c r="SG124">
        <v>0</v>
      </c>
      <c r="SH124">
        <v>0</v>
      </c>
      <c r="SI124">
        <v>848.2</v>
      </c>
      <c r="SJ124" t="s">
        <v>409</v>
      </c>
      <c r="SK124">
        <v>1064.4000000000001</v>
      </c>
      <c r="SL124">
        <v>465</v>
      </c>
      <c r="SP124">
        <v>343.7</v>
      </c>
      <c r="SQ124">
        <v>1873.1</v>
      </c>
      <c r="SR124">
        <v>130</v>
      </c>
      <c r="SS124">
        <v>164.9</v>
      </c>
      <c r="SW124">
        <v>50</v>
      </c>
      <c r="SX124">
        <v>344.9</v>
      </c>
      <c r="SY124">
        <v>150</v>
      </c>
      <c r="TE124">
        <v>150</v>
      </c>
      <c r="TL124">
        <v>0</v>
      </c>
      <c r="TN124">
        <v>15.9</v>
      </c>
      <c r="TS124">
        <v>15.9</v>
      </c>
      <c r="TY124">
        <v>155.4</v>
      </c>
      <c r="TZ124">
        <v>155.4</v>
      </c>
      <c r="UA124">
        <v>34.799999999999997</v>
      </c>
      <c r="UB124">
        <v>100</v>
      </c>
      <c r="UF124">
        <v>25</v>
      </c>
      <c r="UG124">
        <v>159.80000000000001</v>
      </c>
      <c r="UI124">
        <v>149.1</v>
      </c>
      <c r="UJ124">
        <v>89.4</v>
      </c>
      <c r="UO124">
        <v>238.5</v>
      </c>
      <c r="UP124">
        <v>1528.3</v>
      </c>
      <c r="UQ124">
        <v>835.2</v>
      </c>
      <c r="UR124">
        <v>0</v>
      </c>
      <c r="US124">
        <v>0</v>
      </c>
      <c r="UT124">
        <v>0</v>
      </c>
      <c r="UU124">
        <v>574.1</v>
      </c>
      <c r="UV124">
        <v>2937.6</v>
      </c>
      <c r="UW124">
        <v>463.9</v>
      </c>
      <c r="VC124">
        <v>463.9</v>
      </c>
      <c r="VD124">
        <v>300.39999999999998</v>
      </c>
      <c r="VE124">
        <v>89.4</v>
      </c>
      <c r="VI124">
        <v>333.6</v>
      </c>
      <c r="VJ124">
        <v>723.4</v>
      </c>
      <c r="VK124">
        <v>770.5</v>
      </c>
      <c r="VL124">
        <v>729.9</v>
      </c>
      <c r="VP124">
        <v>240.5</v>
      </c>
      <c r="VQ124">
        <v>1740.9</v>
      </c>
      <c r="VR124">
        <v>9.4</v>
      </c>
      <c r="VX124">
        <v>9.4</v>
      </c>
      <c r="WE124">
        <v>0</v>
      </c>
      <c r="WF124">
        <v>1544.2</v>
      </c>
      <c r="WG124">
        <v>819.3</v>
      </c>
      <c r="WH124">
        <v>0</v>
      </c>
      <c r="WI124">
        <v>0</v>
      </c>
      <c r="WJ124">
        <v>0</v>
      </c>
      <c r="WK124">
        <v>574.1</v>
      </c>
      <c r="WL124">
        <v>2937.6</v>
      </c>
      <c r="WM124" t="s">
        <v>410</v>
      </c>
      <c r="AAP124" t="s">
        <v>411</v>
      </c>
      <c r="AES124" t="s">
        <v>412</v>
      </c>
    </row>
    <row r="125" spans="1:825" x14ac:dyDescent="0.2">
      <c r="A125" t="s">
        <v>1323</v>
      </c>
      <c r="B125" t="s">
        <v>414</v>
      </c>
      <c r="C125" t="s">
        <v>1324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>
        <v>696</v>
      </c>
      <c r="W125" s="20">
        <v>43521.395833333336</v>
      </c>
      <c r="X125" t="s">
        <v>1325</v>
      </c>
      <c r="Y125">
        <v>2019</v>
      </c>
      <c r="Z125" t="s">
        <v>1326</v>
      </c>
      <c r="AA125" t="s">
        <v>1327</v>
      </c>
      <c r="AB125" t="str">
        <f>VLOOKUP(MID(AD125,SEARCH("@",AD125,1),LEN(AD125)-SEARCH("@",AD125,1)+1),[2]Sheet1!$D:$F,3,FALSE)</f>
        <v>M065</v>
      </c>
      <c r="AC125" t="s">
        <v>1328</v>
      </c>
      <c r="AD125" t="s">
        <v>1329</v>
      </c>
      <c r="AE125">
        <v>61402058182</v>
      </c>
      <c r="AF125" t="s">
        <v>420</v>
      </c>
      <c r="AG125" t="s">
        <v>421</v>
      </c>
      <c r="AI125">
        <v>2</v>
      </c>
      <c r="AJ125">
        <v>6</v>
      </c>
      <c r="AK125" t="s">
        <v>1330</v>
      </c>
      <c r="AV125">
        <v>0</v>
      </c>
      <c r="BC125">
        <v>0</v>
      </c>
      <c r="BJ125">
        <v>0</v>
      </c>
      <c r="BQ125">
        <v>0</v>
      </c>
      <c r="BX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S125">
        <v>0</v>
      </c>
      <c r="CZ125">
        <v>0</v>
      </c>
      <c r="DG125">
        <v>0</v>
      </c>
      <c r="DN125">
        <v>0</v>
      </c>
      <c r="DU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 t="s">
        <v>404</v>
      </c>
      <c r="EK125" t="s">
        <v>404</v>
      </c>
      <c r="EL125" t="s">
        <v>404</v>
      </c>
      <c r="EM125" t="s">
        <v>404</v>
      </c>
      <c r="EN125" t="s">
        <v>404</v>
      </c>
      <c r="EO125" t="s">
        <v>404</v>
      </c>
      <c r="EP125" t="s">
        <v>404</v>
      </c>
      <c r="EQ125" t="s">
        <v>404</v>
      </c>
      <c r="ER125" t="s">
        <v>404</v>
      </c>
      <c r="ES125" t="s">
        <v>404</v>
      </c>
      <c r="ET125" t="s">
        <v>404</v>
      </c>
      <c r="EU125" t="s">
        <v>404</v>
      </c>
      <c r="EV125" t="s">
        <v>404</v>
      </c>
      <c r="EW125" t="s">
        <v>404</v>
      </c>
      <c r="EX125" t="s">
        <v>404</v>
      </c>
      <c r="EY125" t="s">
        <v>404</v>
      </c>
      <c r="EZ125" t="s">
        <v>404</v>
      </c>
      <c r="FA125" t="s">
        <v>404</v>
      </c>
      <c r="FB125" t="s">
        <v>404</v>
      </c>
      <c r="FC125" t="s">
        <v>404</v>
      </c>
      <c r="FD125" t="s">
        <v>404</v>
      </c>
      <c r="FE125" t="s">
        <v>404</v>
      </c>
      <c r="FF125" t="s">
        <v>404</v>
      </c>
      <c r="FG125" t="s">
        <v>404</v>
      </c>
      <c r="FH125" t="s">
        <v>404</v>
      </c>
      <c r="FI125" t="s">
        <v>404</v>
      </c>
      <c r="FJ125" t="s">
        <v>404</v>
      </c>
      <c r="FK125" t="s">
        <v>404</v>
      </c>
      <c r="FL125" t="s">
        <v>404</v>
      </c>
      <c r="FM125" t="s">
        <v>404</v>
      </c>
      <c r="FN125" t="s">
        <v>404</v>
      </c>
      <c r="FO125" t="s">
        <v>404</v>
      </c>
      <c r="FP125" t="s">
        <v>404</v>
      </c>
      <c r="FQ125" t="s">
        <v>404</v>
      </c>
      <c r="FR125" t="s">
        <v>404</v>
      </c>
      <c r="FS125" t="s">
        <v>404</v>
      </c>
      <c r="FZ125">
        <v>0</v>
      </c>
      <c r="GG125">
        <v>0</v>
      </c>
      <c r="GN125">
        <v>0</v>
      </c>
      <c r="GU125">
        <v>0</v>
      </c>
      <c r="HB125">
        <v>0</v>
      </c>
      <c r="HI125">
        <v>0</v>
      </c>
      <c r="HP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L125">
        <v>0</v>
      </c>
      <c r="IS125">
        <v>0</v>
      </c>
      <c r="IZ125">
        <v>0</v>
      </c>
      <c r="JG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KA125">
        <v>1</v>
      </c>
      <c r="KB125">
        <v>3</v>
      </c>
      <c r="KC125">
        <v>2</v>
      </c>
      <c r="KD125" t="s">
        <v>407</v>
      </c>
      <c r="OG125" t="s">
        <v>408</v>
      </c>
      <c r="SJ125" t="s">
        <v>409</v>
      </c>
      <c r="WM125" t="s">
        <v>410</v>
      </c>
      <c r="AAP125" t="s">
        <v>411</v>
      </c>
      <c r="AES125" t="s">
        <v>412</v>
      </c>
    </row>
    <row r="126" spans="1:825" x14ac:dyDescent="0.2">
      <c r="A126" t="s">
        <v>1331</v>
      </c>
      <c r="B126" t="s">
        <v>396</v>
      </c>
      <c r="C126" t="s">
        <v>1332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>
        <v>681</v>
      </c>
      <c r="W126" s="20">
        <v>43494.831250000003</v>
      </c>
      <c r="X126" t="s">
        <v>1333</v>
      </c>
      <c r="Y126">
        <v>2019</v>
      </c>
      <c r="Z126" t="s">
        <v>1334</v>
      </c>
      <c r="AA126" t="s">
        <v>1332</v>
      </c>
      <c r="AB126" t="str">
        <f>VLOOKUP(MID(AD126,SEARCH("@",AD126,1),LEN(AD126)-SEARCH("@",AD126,1)+1),[2]Sheet1!$D:$F,3,FALSE)</f>
        <v>M03207</v>
      </c>
      <c r="AC126" t="s">
        <v>1335</v>
      </c>
      <c r="AD126" t="s">
        <v>1336</v>
      </c>
      <c r="AE126" t="s">
        <v>1337</v>
      </c>
      <c r="AF126" t="s">
        <v>491</v>
      </c>
      <c r="AG126" t="s">
        <v>403</v>
      </c>
      <c r="AI126">
        <v>2</v>
      </c>
      <c r="AJ126">
        <v>6</v>
      </c>
      <c r="AK126" t="s">
        <v>1338</v>
      </c>
      <c r="AV126">
        <v>0</v>
      </c>
      <c r="BC126">
        <v>0</v>
      </c>
      <c r="BJ126">
        <v>0</v>
      </c>
      <c r="BQ126">
        <v>0</v>
      </c>
      <c r="BX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S126">
        <v>0</v>
      </c>
      <c r="CZ126">
        <v>0</v>
      </c>
      <c r="DG126">
        <v>0</v>
      </c>
      <c r="DN126">
        <v>0</v>
      </c>
      <c r="DU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 t="s">
        <v>404</v>
      </c>
      <c r="EK126" t="s">
        <v>404</v>
      </c>
      <c r="EL126" t="s">
        <v>404</v>
      </c>
      <c r="EM126" t="s">
        <v>404</v>
      </c>
      <c r="EN126" t="s">
        <v>404</v>
      </c>
      <c r="EO126" t="s">
        <v>404</v>
      </c>
      <c r="EP126" t="s">
        <v>404</v>
      </c>
      <c r="EQ126" t="s">
        <v>404</v>
      </c>
      <c r="ER126" t="s">
        <v>404</v>
      </c>
      <c r="ES126" t="s">
        <v>404</v>
      </c>
      <c r="ET126" t="s">
        <v>404</v>
      </c>
      <c r="EU126" t="s">
        <v>404</v>
      </c>
      <c r="EV126" t="s">
        <v>404</v>
      </c>
      <c r="EW126" t="s">
        <v>404</v>
      </c>
      <c r="EX126" t="s">
        <v>404</v>
      </c>
      <c r="EY126" t="s">
        <v>404</v>
      </c>
      <c r="EZ126" t="s">
        <v>404</v>
      </c>
      <c r="FA126" t="s">
        <v>404</v>
      </c>
      <c r="FB126" t="s">
        <v>404</v>
      </c>
      <c r="FC126" t="s">
        <v>404</v>
      </c>
      <c r="FD126" t="s">
        <v>404</v>
      </c>
      <c r="FE126" t="s">
        <v>404</v>
      </c>
      <c r="FF126" t="s">
        <v>404</v>
      </c>
      <c r="FG126" t="s">
        <v>404</v>
      </c>
      <c r="FH126" t="s">
        <v>404</v>
      </c>
      <c r="FI126" t="s">
        <v>404</v>
      </c>
      <c r="FJ126" t="s">
        <v>404</v>
      </c>
      <c r="FK126" t="s">
        <v>404</v>
      </c>
      <c r="FL126" t="s">
        <v>404</v>
      </c>
      <c r="FM126" t="s">
        <v>404</v>
      </c>
      <c r="FN126" t="s">
        <v>404</v>
      </c>
      <c r="FO126" t="s">
        <v>404</v>
      </c>
      <c r="FP126" t="s">
        <v>404</v>
      </c>
      <c r="FQ126" t="s">
        <v>404</v>
      </c>
      <c r="FR126" t="s">
        <v>404</v>
      </c>
      <c r="FS126" t="s">
        <v>404</v>
      </c>
      <c r="FZ126">
        <v>0</v>
      </c>
      <c r="GG126">
        <v>0</v>
      </c>
      <c r="GN126">
        <v>0</v>
      </c>
      <c r="GU126">
        <v>0</v>
      </c>
      <c r="HB126">
        <v>0</v>
      </c>
      <c r="HI126">
        <v>0</v>
      </c>
      <c r="HP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L126">
        <v>0</v>
      </c>
      <c r="IS126">
        <v>0</v>
      </c>
      <c r="IZ126">
        <v>0</v>
      </c>
      <c r="JG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KA126">
        <v>1</v>
      </c>
      <c r="KB126">
        <v>3</v>
      </c>
      <c r="KC126">
        <v>1</v>
      </c>
      <c r="KD126" t="s">
        <v>407</v>
      </c>
      <c r="OG126" t="s">
        <v>408</v>
      </c>
      <c r="SJ126" t="s">
        <v>409</v>
      </c>
      <c r="WM126" t="s">
        <v>410</v>
      </c>
      <c r="AAP126" t="s">
        <v>411</v>
      </c>
      <c r="AES126" t="s">
        <v>412</v>
      </c>
    </row>
    <row r="127" spans="1:825" x14ac:dyDescent="0.2">
      <c r="A127" t="s">
        <v>1339</v>
      </c>
      <c r="B127" t="s">
        <v>414</v>
      </c>
      <c r="C127" t="s">
        <v>1340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>
        <v>616</v>
      </c>
      <c r="W127" s="20">
        <v>43489.993750000001</v>
      </c>
      <c r="X127" t="s">
        <v>1341</v>
      </c>
      <c r="Y127">
        <v>2019</v>
      </c>
      <c r="Z127" t="s">
        <v>1342</v>
      </c>
      <c r="AA127" t="s">
        <v>1343</v>
      </c>
      <c r="AB127" t="str">
        <f>VLOOKUP(MID(AD127,SEARCH("@",AD127,1),LEN(AD127)-SEARCH("@",AD127,1)+1),[2]Sheet1!$D:$F,3,FALSE)</f>
        <v>M0077</v>
      </c>
      <c r="AC127" t="s">
        <v>1094</v>
      </c>
      <c r="AD127" t="s">
        <v>1344</v>
      </c>
      <c r="AE127">
        <v>421336846</v>
      </c>
      <c r="AF127" t="s">
        <v>420</v>
      </c>
      <c r="AG127" t="s">
        <v>421</v>
      </c>
      <c r="AI127">
        <v>2</v>
      </c>
      <c r="AJ127">
        <v>6</v>
      </c>
      <c r="AK127" t="s">
        <v>1345</v>
      </c>
      <c r="AV127">
        <v>0</v>
      </c>
      <c r="BC127">
        <v>0</v>
      </c>
      <c r="BJ127">
        <v>0</v>
      </c>
      <c r="BQ127">
        <v>0</v>
      </c>
      <c r="BX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S127">
        <v>0</v>
      </c>
      <c r="CZ127">
        <v>0</v>
      </c>
      <c r="DG127">
        <v>0</v>
      </c>
      <c r="DN127">
        <v>0</v>
      </c>
      <c r="DU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 t="s">
        <v>404</v>
      </c>
      <c r="EK127" t="s">
        <v>404</v>
      </c>
      <c r="EL127" t="s">
        <v>404</v>
      </c>
      <c r="EM127" t="s">
        <v>404</v>
      </c>
      <c r="EN127" t="s">
        <v>404</v>
      </c>
      <c r="EO127" t="s">
        <v>404</v>
      </c>
      <c r="EP127" t="s">
        <v>404</v>
      </c>
      <c r="EQ127" t="s">
        <v>404</v>
      </c>
      <c r="ER127" t="s">
        <v>404</v>
      </c>
      <c r="ES127" t="s">
        <v>404</v>
      </c>
      <c r="ET127" t="s">
        <v>404</v>
      </c>
      <c r="EU127" t="s">
        <v>404</v>
      </c>
      <c r="EV127" t="s">
        <v>404</v>
      </c>
      <c r="EW127" t="s">
        <v>404</v>
      </c>
      <c r="EX127" t="s">
        <v>404</v>
      </c>
      <c r="EY127" t="s">
        <v>404</v>
      </c>
      <c r="EZ127" t="s">
        <v>404</v>
      </c>
      <c r="FA127" t="s">
        <v>404</v>
      </c>
      <c r="FB127" t="s">
        <v>404</v>
      </c>
      <c r="FC127" t="s">
        <v>404</v>
      </c>
      <c r="FD127" t="s">
        <v>404</v>
      </c>
      <c r="FE127" t="s">
        <v>404</v>
      </c>
      <c r="FF127" t="s">
        <v>404</v>
      </c>
      <c r="FG127" t="s">
        <v>404</v>
      </c>
      <c r="FH127" t="s">
        <v>404</v>
      </c>
      <c r="FI127" t="s">
        <v>404</v>
      </c>
      <c r="FJ127" t="s">
        <v>404</v>
      </c>
      <c r="FK127" t="s">
        <v>404</v>
      </c>
      <c r="FL127" t="s">
        <v>404</v>
      </c>
      <c r="FM127" t="s">
        <v>404</v>
      </c>
      <c r="FN127" t="s">
        <v>404</v>
      </c>
      <c r="FO127" t="s">
        <v>404</v>
      </c>
      <c r="FP127" t="s">
        <v>404</v>
      </c>
      <c r="FQ127" t="s">
        <v>404</v>
      </c>
      <c r="FR127" t="s">
        <v>404</v>
      </c>
      <c r="FS127" t="s">
        <v>404</v>
      </c>
      <c r="FZ127">
        <v>0</v>
      </c>
      <c r="GG127">
        <v>0</v>
      </c>
      <c r="GN127">
        <v>0</v>
      </c>
      <c r="GU127">
        <v>0</v>
      </c>
      <c r="HB127">
        <v>0</v>
      </c>
      <c r="HI127">
        <v>0</v>
      </c>
      <c r="HP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L127">
        <v>0</v>
      </c>
      <c r="IS127">
        <v>0</v>
      </c>
      <c r="IZ127">
        <v>0</v>
      </c>
      <c r="JG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KA127">
        <v>1</v>
      </c>
      <c r="KB127">
        <v>3</v>
      </c>
      <c r="KC127">
        <v>1</v>
      </c>
      <c r="KD127" t="s">
        <v>407</v>
      </c>
      <c r="OG127" t="s">
        <v>408</v>
      </c>
      <c r="SJ127" t="s">
        <v>409</v>
      </c>
      <c r="WM127" t="s">
        <v>410</v>
      </c>
      <c r="AAP127" t="s">
        <v>411</v>
      </c>
      <c r="AES127" t="s">
        <v>412</v>
      </c>
    </row>
    <row r="128" spans="1:825" x14ac:dyDescent="0.2">
      <c r="A128" t="s">
        <v>1346</v>
      </c>
      <c r="B128" t="s">
        <v>414</v>
      </c>
      <c r="C128" t="s">
        <v>1347</v>
      </c>
      <c r="P128" t="b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>
        <v>637</v>
      </c>
      <c r="W128" s="20">
        <v>43511.512499999997</v>
      </c>
      <c r="X128" t="s">
        <v>1348</v>
      </c>
      <c r="Y128">
        <v>2019</v>
      </c>
      <c r="Z128" t="s">
        <v>1349</v>
      </c>
      <c r="AA128" t="s">
        <v>1350</v>
      </c>
      <c r="AB128" t="str">
        <f>VLOOKUP(MID(AD128,SEARCH("@",AD128,1),LEN(AD128)-SEARCH("@",AD128,1)+1),[2]Sheet1!$D:$F,3,FALSE)</f>
        <v>M0182</v>
      </c>
      <c r="AC128" t="s">
        <v>1351</v>
      </c>
      <c r="AD128" t="s">
        <v>1352</v>
      </c>
      <c r="AE128" t="s">
        <v>1353</v>
      </c>
      <c r="AF128" t="s">
        <v>884</v>
      </c>
      <c r="AG128" t="s">
        <v>538</v>
      </c>
      <c r="AI128">
        <v>1</v>
      </c>
      <c r="AL128">
        <v>377</v>
      </c>
      <c r="AM128">
        <v>0</v>
      </c>
      <c r="AN128">
        <v>0</v>
      </c>
      <c r="AO128">
        <v>0</v>
      </c>
      <c r="AP128">
        <v>377</v>
      </c>
      <c r="AV128">
        <v>377</v>
      </c>
      <c r="BC128">
        <v>0</v>
      </c>
      <c r="BJ128">
        <v>0</v>
      </c>
      <c r="BQ128">
        <v>0</v>
      </c>
      <c r="BX128">
        <v>0</v>
      </c>
      <c r="CE128">
        <v>0</v>
      </c>
      <c r="CF128">
        <v>377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377</v>
      </c>
      <c r="CM128">
        <v>1</v>
      </c>
      <c r="CS128">
        <v>1</v>
      </c>
      <c r="CZ128">
        <v>0</v>
      </c>
      <c r="DG128">
        <v>0</v>
      </c>
      <c r="DN128">
        <v>0</v>
      </c>
      <c r="DU128">
        <v>0</v>
      </c>
      <c r="EB128">
        <v>0</v>
      </c>
      <c r="EC128">
        <v>1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1</v>
      </c>
      <c r="EJ128" t="s">
        <v>405</v>
      </c>
      <c r="EK128" t="s">
        <v>404</v>
      </c>
      <c r="EL128" t="s">
        <v>404</v>
      </c>
      <c r="EM128" t="s">
        <v>404</v>
      </c>
      <c r="EN128" t="s">
        <v>404</v>
      </c>
      <c r="EO128" t="s">
        <v>404</v>
      </c>
      <c r="EP128" t="s">
        <v>404</v>
      </c>
      <c r="EQ128" t="s">
        <v>404</v>
      </c>
      <c r="ER128" t="s">
        <v>404</v>
      </c>
      <c r="ES128" t="s">
        <v>404</v>
      </c>
      <c r="ET128" t="s">
        <v>404</v>
      </c>
      <c r="EU128" t="s">
        <v>404</v>
      </c>
      <c r="EV128" t="s">
        <v>404</v>
      </c>
      <c r="EW128" t="s">
        <v>404</v>
      </c>
      <c r="EX128" t="s">
        <v>404</v>
      </c>
      <c r="EY128" t="s">
        <v>404</v>
      </c>
      <c r="EZ128" t="s">
        <v>404</v>
      </c>
      <c r="FA128" t="s">
        <v>404</v>
      </c>
      <c r="FB128" t="s">
        <v>404</v>
      </c>
      <c r="FC128" t="s">
        <v>404</v>
      </c>
      <c r="FD128" t="s">
        <v>404</v>
      </c>
      <c r="FE128" t="s">
        <v>404</v>
      </c>
      <c r="FF128" t="s">
        <v>404</v>
      </c>
      <c r="FG128" t="s">
        <v>404</v>
      </c>
      <c r="FH128" t="s">
        <v>404</v>
      </c>
      <c r="FI128" t="s">
        <v>404</v>
      </c>
      <c r="FJ128" t="s">
        <v>404</v>
      </c>
      <c r="FK128" t="s">
        <v>404</v>
      </c>
      <c r="FL128" t="s">
        <v>404</v>
      </c>
      <c r="FM128" t="s">
        <v>404</v>
      </c>
      <c r="FN128" t="s">
        <v>404</v>
      </c>
      <c r="FO128" t="s">
        <v>404</v>
      </c>
      <c r="FP128" t="s">
        <v>404</v>
      </c>
      <c r="FQ128" t="s">
        <v>404</v>
      </c>
      <c r="FR128" t="s">
        <v>404</v>
      </c>
      <c r="FS128" t="s">
        <v>404</v>
      </c>
      <c r="FT128">
        <v>293</v>
      </c>
      <c r="FZ128">
        <v>293</v>
      </c>
      <c r="GA128">
        <v>55</v>
      </c>
      <c r="GG128">
        <v>55</v>
      </c>
      <c r="GN128">
        <v>0</v>
      </c>
      <c r="GU128">
        <v>0</v>
      </c>
      <c r="GV128">
        <v>25</v>
      </c>
      <c r="HB128">
        <v>25</v>
      </c>
      <c r="HI128">
        <v>0</v>
      </c>
      <c r="HJ128">
        <v>2</v>
      </c>
      <c r="HP128">
        <v>2</v>
      </c>
      <c r="HQ128" t="s">
        <v>1209</v>
      </c>
      <c r="HR128">
        <v>2</v>
      </c>
      <c r="HX128">
        <v>2</v>
      </c>
      <c r="HY128">
        <v>377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377</v>
      </c>
      <c r="IF128">
        <v>4</v>
      </c>
      <c r="IL128">
        <v>4</v>
      </c>
      <c r="IM128">
        <v>373</v>
      </c>
      <c r="IS128">
        <v>373</v>
      </c>
      <c r="IZ128">
        <v>0</v>
      </c>
      <c r="JG128">
        <v>0</v>
      </c>
      <c r="JN128">
        <v>0</v>
      </c>
      <c r="JO128">
        <v>377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377</v>
      </c>
      <c r="JV128">
        <v>71</v>
      </c>
      <c r="JX128">
        <v>28</v>
      </c>
      <c r="JY128" t="s">
        <v>1209</v>
      </c>
      <c r="JZ128">
        <v>1</v>
      </c>
      <c r="KA128">
        <v>1</v>
      </c>
      <c r="KB128">
        <v>2</v>
      </c>
      <c r="KC128">
        <v>2</v>
      </c>
      <c r="KD128" t="s">
        <v>407</v>
      </c>
      <c r="OG128" t="s">
        <v>408</v>
      </c>
      <c r="SJ128" t="s">
        <v>409</v>
      </c>
      <c r="WM128" t="s">
        <v>410</v>
      </c>
      <c r="AAP128" t="s">
        <v>411</v>
      </c>
      <c r="AES128" t="s">
        <v>412</v>
      </c>
    </row>
    <row r="129" spans="1:825" x14ac:dyDescent="0.2">
      <c r="A129" t="s">
        <v>1354</v>
      </c>
      <c r="B129" t="s">
        <v>396</v>
      </c>
      <c r="C129" t="s">
        <v>1355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>
        <v>774</v>
      </c>
      <c r="W129" s="20">
        <v>43521.468055555553</v>
      </c>
      <c r="X129" t="s">
        <v>816</v>
      </c>
      <c r="Y129">
        <v>2019</v>
      </c>
      <c r="Z129" t="s">
        <v>1356</v>
      </c>
      <c r="AA129" t="s">
        <v>1355</v>
      </c>
      <c r="AB129" t="str">
        <f>VLOOKUP(MID(AD129,SEARCH("@",AD129,1),LEN(AD129)-SEARCH("@",AD129,1)+1),[2]Sheet1!$D:$F,3,FALSE)</f>
        <v>M582</v>
      </c>
      <c r="AC129" t="s">
        <v>450</v>
      </c>
      <c r="AD129" t="s">
        <v>1357</v>
      </c>
      <c r="AE129" t="s">
        <v>1358</v>
      </c>
      <c r="AF129" t="s">
        <v>491</v>
      </c>
      <c r="AG129" t="s">
        <v>492</v>
      </c>
      <c r="AI129">
        <v>1</v>
      </c>
      <c r="AL129">
        <v>292</v>
      </c>
      <c r="AM129">
        <v>292</v>
      </c>
      <c r="AN129">
        <v>292</v>
      </c>
      <c r="AO129">
        <v>292</v>
      </c>
      <c r="AV129">
        <v>0</v>
      </c>
      <c r="AX129">
        <v>292</v>
      </c>
      <c r="BC129">
        <v>292</v>
      </c>
      <c r="BJ129">
        <v>0</v>
      </c>
      <c r="BQ129">
        <v>0</v>
      </c>
      <c r="BX129">
        <v>0</v>
      </c>
      <c r="CE129">
        <v>0</v>
      </c>
      <c r="CF129">
        <v>0</v>
      </c>
      <c r="CG129">
        <v>292</v>
      </c>
      <c r="CH129">
        <v>0</v>
      </c>
      <c r="CI129">
        <v>0</v>
      </c>
      <c r="CJ129">
        <v>0</v>
      </c>
      <c r="CK129">
        <v>0</v>
      </c>
      <c r="CL129">
        <v>292</v>
      </c>
      <c r="CS129">
        <v>0</v>
      </c>
      <c r="CU129">
        <v>2</v>
      </c>
      <c r="CZ129">
        <v>2</v>
      </c>
      <c r="DG129">
        <v>0</v>
      </c>
      <c r="DN129">
        <v>0</v>
      </c>
      <c r="DU129">
        <v>0</v>
      </c>
      <c r="EB129">
        <v>0</v>
      </c>
      <c r="EC129">
        <v>0</v>
      </c>
      <c r="ED129">
        <v>2</v>
      </c>
      <c r="EE129">
        <v>0</v>
      </c>
      <c r="EF129">
        <v>0</v>
      </c>
      <c r="EG129">
        <v>0</v>
      </c>
      <c r="EH129">
        <v>0</v>
      </c>
      <c r="EI129">
        <v>2</v>
      </c>
      <c r="EJ129" t="s">
        <v>404</v>
      </c>
      <c r="EK129" t="s">
        <v>404</v>
      </c>
      <c r="EL129" t="s">
        <v>404</v>
      </c>
      <c r="EM129" t="s">
        <v>404</v>
      </c>
      <c r="EN129" t="s">
        <v>404</v>
      </c>
      <c r="EO129" t="s">
        <v>404</v>
      </c>
      <c r="EP129" t="s">
        <v>404</v>
      </c>
      <c r="EQ129" t="s">
        <v>405</v>
      </c>
      <c r="ER129" t="s">
        <v>404</v>
      </c>
      <c r="ES129" t="s">
        <v>404</v>
      </c>
      <c r="ET129" t="s">
        <v>404</v>
      </c>
      <c r="EU129" t="s">
        <v>404</v>
      </c>
      <c r="EV129" t="s">
        <v>404</v>
      </c>
      <c r="EW129" t="s">
        <v>404</v>
      </c>
      <c r="EX129" t="s">
        <v>404</v>
      </c>
      <c r="EY129" t="s">
        <v>404</v>
      </c>
      <c r="EZ129" t="s">
        <v>404</v>
      </c>
      <c r="FA129" t="s">
        <v>404</v>
      </c>
      <c r="FB129" t="s">
        <v>404</v>
      </c>
      <c r="FC129" t="s">
        <v>404</v>
      </c>
      <c r="FD129" t="s">
        <v>404</v>
      </c>
      <c r="FE129" t="s">
        <v>404</v>
      </c>
      <c r="FF129" t="s">
        <v>404</v>
      </c>
      <c r="FG129" t="s">
        <v>404</v>
      </c>
      <c r="FH129" t="s">
        <v>404</v>
      </c>
      <c r="FI129" t="s">
        <v>404</v>
      </c>
      <c r="FJ129" t="s">
        <v>404</v>
      </c>
      <c r="FK129" t="s">
        <v>404</v>
      </c>
      <c r="FL129" t="s">
        <v>404</v>
      </c>
      <c r="FM129" t="s">
        <v>404</v>
      </c>
      <c r="FN129" t="s">
        <v>404</v>
      </c>
      <c r="FO129" t="s">
        <v>404</v>
      </c>
      <c r="FP129" t="s">
        <v>404</v>
      </c>
      <c r="FQ129" t="s">
        <v>404</v>
      </c>
      <c r="FR129" t="s">
        <v>404</v>
      </c>
      <c r="FS129" t="s">
        <v>404</v>
      </c>
      <c r="FU129">
        <v>165</v>
      </c>
      <c r="FZ129">
        <v>165</v>
      </c>
      <c r="GB129">
        <v>25</v>
      </c>
      <c r="GG129">
        <v>25</v>
      </c>
      <c r="GN129">
        <v>0</v>
      </c>
      <c r="GU129">
        <v>0</v>
      </c>
      <c r="HB129">
        <v>0</v>
      </c>
      <c r="HI129">
        <v>0</v>
      </c>
      <c r="HP129">
        <v>0</v>
      </c>
      <c r="HQ129" t="s">
        <v>1359</v>
      </c>
      <c r="HS129">
        <v>102</v>
      </c>
      <c r="HX129">
        <v>102</v>
      </c>
      <c r="HY129">
        <v>0</v>
      </c>
      <c r="HZ129">
        <v>292</v>
      </c>
      <c r="IA129">
        <v>0</v>
      </c>
      <c r="IB129">
        <v>0</v>
      </c>
      <c r="IC129">
        <v>0</v>
      </c>
      <c r="ID129">
        <v>0</v>
      </c>
      <c r="IE129">
        <v>292</v>
      </c>
      <c r="IL129">
        <v>0</v>
      </c>
      <c r="IN129">
        <v>292</v>
      </c>
      <c r="IS129">
        <v>292</v>
      </c>
      <c r="IZ129">
        <v>0</v>
      </c>
      <c r="JG129">
        <v>0</v>
      </c>
      <c r="JN129">
        <v>0</v>
      </c>
      <c r="JO129">
        <v>0</v>
      </c>
      <c r="JP129">
        <v>292</v>
      </c>
      <c r="JQ129">
        <v>0</v>
      </c>
      <c r="JR129">
        <v>0</v>
      </c>
      <c r="JS129">
        <v>0</v>
      </c>
      <c r="JT129">
        <v>0</v>
      </c>
      <c r="JU129">
        <v>292</v>
      </c>
      <c r="JX129">
        <v>100</v>
      </c>
      <c r="KA129">
        <v>1</v>
      </c>
      <c r="KB129">
        <v>3</v>
      </c>
      <c r="KC129">
        <v>1</v>
      </c>
      <c r="KD129" t="s">
        <v>407</v>
      </c>
      <c r="OG129" t="s">
        <v>408</v>
      </c>
      <c r="SJ129" t="s">
        <v>409</v>
      </c>
      <c r="WM129" t="s">
        <v>410</v>
      </c>
      <c r="AAP129" t="s">
        <v>411</v>
      </c>
      <c r="AES129" t="s">
        <v>412</v>
      </c>
    </row>
    <row r="130" spans="1:825" x14ac:dyDescent="0.2">
      <c r="A130" t="s">
        <v>1360</v>
      </c>
      <c r="B130" t="s">
        <v>396</v>
      </c>
      <c r="C130" t="s">
        <v>1361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>
        <v>823</v>
      </c>
      <c r="W130" s="20">
        <v>43529.65347222222</v>
      </c>
      <c r="X130" t="s">
        <v>816</v>
      </c>
      <c r="Y130">
        <v>2019</v>
      </c>
      <c r="Z130" t="s">
        <v>396</v>
      </c>
      <c r="AA130" t="s">
        <v>1362</v>
      </c>
      <c r="AB130" t="str">
        <f>VLOOKUP(MID(AD130,SEARCH("@",AD130,1),LEN(AD130)-SEARCH("@",AD130,1)+1),[2]Sheet1!$D:$F,3,FALSE)</f>
        <v>M636</v>
      </c>
      <c r="AD130" t="s">
        <v>888</v>
      </c>
      <c r="AF130" t="s">
        <v>437</v>
      </c>
      <c r="AG130" t="s">
        <v>403</v>
      </c>
      <c r="AI130">
        <v>1</v>
      </c>
      <c r="AL130">
        <v>523</v>
      </c>
      <c r="AV130">
        <v>0</v>
      </c>
      <c r="AW130">
        <v>523</v>
      </c>
      <c r="BC130">
        <v>523</v>
      </c>
      <c r="BJ130">
        <v>0</v>
      </c>
      <c r="BQ130">
        <v>0</v>
      </c>
      <c r="BX130">
        <v>0</v>
      </c>
      <c r="CE130">
        <v>0</v>
      </c>
      <c r="CF130">
        <v>523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523</v>
      </c>
      <c r="CS130">
        <v>0</v>
      </c>
      <c r="CT130">
        <v>2</v>
      </c>
      <c r="CZ130">
        <v>2</v>
      </c>
      <c r="DG130">
        <v>0</v>
      </c>
      <c r="DN130">
        <v>0</v>
      </c>
      <c r="DU130">
        <v>0</v>
      </c>
      <c r="EB130">
        <v>0</v>
      </c>
      <c r="EC130">
        <v>2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2</v>
      </c>
      <c r="EJ130" t="s">
        <v>404</v>
      </c>
      <c r="EK130" t="s">
        <v>404</v>
      </c>
      <c r="EL130" t="s">
        <v>404</v>
      </c>
      <c r="EM130" t="s">
        <v>404</v>
      </c>
      <c r="EN130" t="s">
        <v>404</v>
      </c>
      <c r="EO130" t="s">
        <v>404</v>
      </c>
      <c r="EP130" t="s">
        <v>405</v>
      </c>
      <c r="EQ130" t="s">
        <v>404</v>
      </c>
      <c r="ER130" t="s">
        <v>404</v>
      </c>
      <c r="ES130" t="s">
        <v>404</v>
      </c>
      <c r="ET130" t="s">
        <v>404</v>
      </c>
      <c r="EU130" t="s">
        <v>404</v>
      </c>
      <c r="EV130" t="s">
        <v>404</v>
      </c>
      <c r="EW130" t="s">
        <v>404</v>
      </c>
      <c r="EX130" t="s">
        <v>404</v>
      </c>
      <c r="EY130" t="s">
        <v>404</v>
      </c>
      <c r="EZ130" t="s">
        <v>404</v>
      </c>
      <c r="FA130" t="s">
        <v>404</v>
      </c>
      <c r="FB130" t="s">
        <v>404</v>
      </c>
      <c r="FC130" t="s">
        <v>404</v>
      </c>
      <c r="FD130" t="s">
        <v>404</v>
      </c>
      <c r="FE130" t="s">
        <v>404</v>
      </c>
      <c r="FF130" t="s">
        <v>404</v>
      </c>
      <c r="FG130" t="s">
        <v>404</v>
      </c>
      <c r="FH130" t="s">
        <v>404</v>
      </c>
      <c r="FI130" t="s">
        <v>404</v>
      </c>
      <c r="FJ130" t="s">
        <v>404</v>
      </c>
      <c r="FK130" t="s">
        <v>404</v>
      </c>
      <c r="FL130" t="s">
        <v>404</v>
      </c>
      <c r="FM130" t="s">
        <v>404</v>
      </c>
      <c r="FN130" t="s">
        <v>404</v>
      </c>
      <c r="FO130" t="s">
        <v>404</v>
      </c>
      <c r="FP130" t="s">
        <v>404</v>
      </c>
      <c r="FQ130" t="s">
        <v>404</v>
      </c>
      <c r="FR130" t="s">
        <v>404</v>
      </c>
      <c r="FS130" t="s">
        <v>404</v>
      </c>
      <c r="FT130">
        <v>417</v>
      </c>
      <c r="FZ130">
        <v>417</v>
      </c>
      <c r="GA130">
        <v>15</v>
      </c>
      <c r="GG130">
        <v>15</v>
      </c>
      <c r="GN130">
        <v>0</v>
      </c>
      <c r="GU130">
        <v>0</v>
      </c>
      <c r="HB130">
        <v>0</v>
      </c>
      <c r="HC130">
        <v>55</v>
      </c>
      <c r="HI130">
        <v>55</v>
      </c>
      <c r="HJ130">
        <v>36</v>
      </c>
      <c r="HP130">
        <v>36</v>
      </c>
      <c r="HX130">
        <v>0</v>
      </c>
      <c r="HY130">
        <v>523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523</v>
      </c>
      <c r="IL130">
        <v>0</v>
      </c>
      <c r="IM130">
        <v>523</v>
      </c>
      <c r="IS130">
        <v>523</v>
      </c>
      <c r="IZ130">
        <v>0</v>
      </c>
      <c r="JG130">
        <v>0</v>
      </c>
      <c r="JN130">
        <v>0</v>
      </c>
      <c r="JO130">
        <v>523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523</v>
      </c>
      <c r="JX130">
        <v>87.89</v>
      </c>
      <c r="JZ130">
        <v>12.11</v>
      </c>
      <c r="KA130">
        <v>2</v>
      </c>
      <c r="KC130">
        <v>2</v>
      </c>
      <c r="KD130" t="s">
        <v>407</v>
      </c>
      <c r="OG130" t="s">
        <v>408</v>
      </c>
      <c r="SJ130" t="s">
        <v>409</v>
      </c>
      <c r="WM130" t="s">
        <v>410</v>
      </c>
      <c r="AAP130" t="s">
        <v>411</v>
      </c>
      <c r="AES130" t="s">
        <v>412</v>
      </c>
    </row>
    <row r="131" spans="1:825" x14ac:dyDescent="0.2">
      <c r="A131" t="s">
        <v>1363</v>
      </c>
      <c r="B131" t="s">
        <v>414</v>
      </c>
      <c r="C131" t="s">
        <v>1364</v>
      </c>
      <c r="D131" t="s">
        <v>697</v>
      </c>
      <c r="E131" s="3">
        <v>43515.237500000003</v>
      </c>
      <c r="F131" t="s">
        <v>479</v>
      </c>
      <c r="G131" s="3">
        <v>43515.240277777775</v>
      </c>
      <c r="H131" t="s">
        <v>502</v>
      </c>
      <c r="I131" s="3">
        <v>43515.242361111108</v>
      </c>
      <c r="J131" t="s">
        <v>709</v>
      </c>
      <c r="K131" s="3">
        <v>43515.244444444441</v>
      </c>
      <c r="P131" t="b">
        <v>1</v>
      </c>
      <c r="Q131" t="b">
        <v>1</v>
      </c>
      <c r="R131" t="b">
        <v>1</v>
      </c>
      <c r="S131" t="b">
        <v>1</v>
      </c>
      <c r="T131" t="b">
        <v>0</v>
      </c>
      <c r="U131" t="b">
        <v>0</v>
      </c>
      <c r="V131">
        <v>542</v>
      </c>
      <c r="W131" s="20">
        <v>43515.231944444444</v>
      </c>
      <c r="X131" t="s">
        <v>1365</v>
      </c>
      <c r="Y131">
        <v>2019</v>
      </c>
      <c r="Z131" t="s">
        <v>1366</v>
      </c>
      <c r="AA131" t="s">
        <v>1364</v>
      </c>
      <c r="AB131" t="str">
        <f>VLOOKUP(MID(AD131,SEARCH("@",AD131,1),LEN(AD131)-SEARCH("@",AD131,1)+1),[2]Sheet1!$D:$F,3,FALSE)</f>
        <v>M0333</v>
      </c>
      <c r="AC131" t="s">
        <v>1367</v>
      </c>
      <c r="AD131" t="s">
        <v>1368</v>
      </c>
      <c r="AE131">
        <f>82-2-6959-3102</f>
        <v>-9981</v>
      </c>
      <c r="AF131" t="s">
        <v>1299</v>
      </c>
      <c r="AG131" t="s">
        <v>1369</v>
      </c>
      <c r="AI131">
        <v>1</v>
      </c>
      <c r="AL131">
        <v>3135897.8</v>
      </c>
      <c r="AM131">
        <v>2548574.6</v>
      </c>
      <c r="AN131">
        <v>2701897.8</v>
      </c>
      <c r="AO131">
        <v>2114574.6</v>
      </c>
      <c r="AP131">
        <v>400000</v>
      </c>
      <c r="AQ131">
        <v>0</v>
      </c>
      <c r="AR131">
        <v>0</v>
      </c>
      <c r="AS131">
        <v>1125293.2</v>
      </c>
      <c r="AT131">
        <v>10075</v>
      </c>
      <c r="AU131">
        <v>298500</v>
      </c>
      <c r="AV131">
        <v>1833868.2</v>
      </c>
      <c r="AW131">
        <v>134000</v>
      </c>
      <c r="AX131">
        <v>0</v>
      </c>
      <c r="AY131">
        <v>0</v>
      </c>
      <c r="AZ131">
        <v>53172.4</v>
      </c>
      <c r="BA131">
        <v>0</v>
      </c>
      <c r="BB131">
        <v>0</v>
      </c>
      <c r="BC131">
        <v>187172.4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507082.9</v>
      </c>
      <c r="BJ131">
        <v>507082.9</v>
      </c>
      <c r="BK131">
        <v>0</v>
      </c>
      <c r="BL131">
        <v>0</v>
      </c>
      <c r="BM131">
        <v>0</v>
      </c>
      <c r="BN131">
        <v>0</v>
      </c>
      <c r="BO131">
        <v>20451.099999999999</v>
      </c>
      <c r="BP131">
        <v>0</v>
      </c>
      <c r="BQ131">
        <v>20451.099999999999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534000</v>
      </c>
      <c r="CG131">
        <v>0</v>
      </c>
      <c r="CH131">
        <v>0</v>
      </c>
      <c r="CI131">
        <v>1178465.6000000001</v>
      </c>
      <c r="CJ131">
        <v>30526.1</v>
      </c>
      <c r="CK131">
        <v>805582.9</v>
      </c>
      <c r="CL131">
        <v>2548574.6</v>
      </c>
      <c r="CM131">
        <v>1</v>
      </c>
      <c r="CP131">
        <v>11</v>
      </c>
      <c r="CQ131">
        <v>2</v>
      </c>
      <c r="CR131">
        <v>16</v>
      </c>
      <c r="CS131">
        <v>30</v>
      </c>
      <c r="CT131">
        <v>1</v>
      </c>
      <c r="CW131">
        <v>2</v>
      </c>
      <c r="CZ131">
        <v>3</v>
      </c>
      <c r="DF131">
        <v>6</v>
      </c>
      <c r="DG131">
        <v>6</v>
      </c>
      <c r="DL131">
        <v>1</v>
      </c>
      <c r="DN131">
        <v>1</v>
      </c>
      <c r="DU131">
        <v>0</v>
      </c>
      <c r="EB131">
        <v>0</v>
      </c>
      <c r="EC131">
        <v>2</v>
      </c>
      <c r="ED131">
        <v>0</v>
      </c>
      <c r="EE131">
        <v>0</v>
      </c>
      <c r="EF131">
        <v>13</v>
      </c>
      <c r="EG131">
        <v>3</v>
      </c>
      <c r="EH131">
        <v>22</v>
      </c>
      <c r="EI131">
        <v>40</v>
      </c>
      <c r="EJ131" t="s">
        <v>405</v>
      </c>
      <c r="EK131" t="s">
        <v>404</v>
      </c>
      <c r="EL131" t="s">
        <v>404</v>
      </c>
      <c r="EM131" t="s">
        <v>405</v>
      </c>
      <c r="EN131" t="s">
        <v>405</v>
      </c>
      <c r="EO131" t="s">
        <v>405</v>
      </c>
      <c r="EP131" t="s">
        <v>405</v>
      </c>
      <c r="EQ131" t="s">
        <v>404</v>
      </c>
      <c r="ER131" t="s">
        <v>404</v>
      </c>
      <c r="ES131" t="s">
        <v>405</v>
      </c>
      <c r="ET131" t="s">
        <v>404</v>
      </c>
      <c r="EU131" t="s">
        <v>404</v>
      </c>
      <c r="EV131" t="s">
        <v>404</v>
      </c>
      <c r="EW131" t="s">
        <v>404</v>
      </c>
      <c r="EX131" t="s">
        <v>404</v>
      </c>
      <c r="EY131" t="s">
        <v>404</v>
      </c>
      <c r="EZ131" t="s">
        <v>404</v>
      </c>
      <c r="FA131" t="s">
        <v>405</v>
      </c>
      <c r="FB131" t="s">
        <v>404</v>
      </c>
      <c r="FC131" t="s">
        <v>404</v>
      </c>
      <c r="FD131" t="s">
        <v>404</v>
      </c>
      <c r="FE131" t="s">
        <v>404</v>
      </c>
      <c r="FF131" t="s">
        <v>405</v>
      </c>
      <c r="FG131" t="s">
        <v>404</v>
      </c>
      <c r="FH131" t="s">
        <v>404</v>
      </c>
      <c r="FI131" t="s">
        <v>404</v>
      </c>
      <c r="FJ131" t="s">
        <v>404</v>
      </c>
      <c r="FK131" t="s">
        <v>404</v>
      </c>
      <c r="FL131" t="s">
        <v>404</v>
      </c>
      <c r="FM131" t="s">
        <v>404</v>
      </c>
      <c r="FN131" t="s">
        <v>404</v>
      </c>
      <c r="FO131" t="s">
        <v>404</v>
      </c>
      <c r="FP131" t="s">
        <v>404</v>
      </c>
      <c r="FQ131" t="s">
        <v>404</v>
      </c>
      <c r="FR131" t="s">
        <v>404</v>
      </c>
      <c r="FS131" t="s">
        <v>404</v>
      </c>
      <c r="FT131">
        <v>200000</v>
      </c>
      <c r="FW131">
        <v>597500</v>
      </c>
      <c r="FX131">
        <v>0</v>
      </c>
      <c r="FY131">
        <v>53500</v>
      </c>
      <c r="FZ131">
        <v>851000</v>
      </c>
      <c r="GA131">
        <v>0</v>
      </c>
      <c r="GD131">
        <v>0</v>
      </c>
      <c r="GE131">
        <v>0</v>
      </c>
      <c r="GF131">
        <v>353780.5</v>
      </c>
      <c r="GG131">
        <v>353780.5</v>
      </c>
      <c r="GH131">
        <v>0</v>
      </c>
      <c r="GK131">
        <v>0</v>
      </c>
      <c r="GL131">
        <v>0</v>
      </c>
      <c r="GM131">
        <v>0</v>
      </c>
      <c r="GN131">
        <v>0</v>
      </c>
      <c r="GO131">
        <v>192000</v>
      </c>
      <c r="GR131">
        <v>33846</v>
      </c>
      <c r="GS131">
        <v>7669.2</v>
      </c>
      <c r="GT131">
        <v>0</v>
      </c>
      <c r="GU131">
        <v>233515.2</v>
      </c>
      <c r="GV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M131">
        <v>0</v>
      </c>
      <c r="HN131">
        <v>0</v>
      </c>
      <c r="HO131">
        <v>0</v>
      </c>
      <c r="HP131">
        <v>0</v>
      </c>
      <c r="HQ131" t="s">
        <v>1370</v>
      </c>
      <c r="HR131">
        <v>142000</v>
      </c>
      <c r="HU131">
        <v>547119.6</v>
      </c>
      <c r="HV131">
        <v>22856.9</v>
      </c>
      <c r="HW131">
        <v>398302.4</v>
      </c>
      <c r="HX131">
        <v>1110278.8999999999</v>
      </c>
      <c r="HY131">
        <v>534000</v>
      </c>
      <c r="HZ131">
        <v>0</v>
      </c>
      <c r="IA131">
        <v>0</v>
      </c>
      <c r="IB131">
        <v>1178465.6000000001</v>
      </c>
      <c r="IC131">
        <v>30526.1</v>
      </c>
      <c r="ID131">
        <v>805582.9</v>
      </c>
      <c r="IE131">
        <v>2548574.6</v>
      </c>
      <c r="IF131">
        <v>534000</v>
      </c>
      <c r="II131">
        <v>914065.6</v>
      </c>
      <c r="IJ131">
        <v>30526.1</v>
      </c>
      <c r="IK131">
        <v>805582.9</v>
      </c>
      <c r="IL131">
        <v>2284174.6</v>
      </c>
      <c r="IM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W131">
        <v>264400</v>
      </c>
      <c r="IX131">
        <v>0</v>
      </c>
      <c r="IY131">
        <v>0</v>
      </c>
      <c r="IZ131">
        <v>264400</v>
      </c>
      <c r="JA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K131">
        <v>0</v>
      </c>
      <c r="JL131">
        <v>0</v>
      </c>
      <c r="JM131">
        <v>0</v>
      </c>
      <c r="JN131">
        <v>0</v>
      </c>
      <c r="JO131">
        <v>534000</v>
      </c>
      <c r="JP131">
        <v>0</v>
      </c>
      <c r="JQ131">
        <v>0</v>
      </c>
      <c r="JR131">
        <v>1178465.6000000001</v>
      </c>
      <c r="JS131">
        <v>30526.1</v>
      </c>
      <c r="JT131">
        <v>805582.9</v>
      </c>
      <c r="JU131">
        <v>2548574.6</v>
      </c>
      <c r="JV131">
        <v>15.7</v>
      </c>
      <c r="JW131">
        <v>84.3</v>
      </c>
      <c r="JX131">
        <v>0</v>
      </c>
      <c r="JZ131">
        <v>0</v>
      </c>
      <c r="KA131">
        <v>1</v>
      </c>
      <c r="KB131">
        <v>3</v>
      </c>
      <c r="KC131">
        <v>1</v>
      </c>
      <c r="KD131" t="s">
        <v>407</v>
      </c>
      <c r="KE131">
        <v>200000</v>
      </c>
      <c r="KH131">
        <v>597500</v>
      </c>
      <c r="KI131">
        <v>0</v>
      </c>
      <c r="KJ131">
        <v>0</v>
      </c>
      <c r="KK131">
        <v>797500</v>
      </c>
      <c r="KL131">
        <v>0</v>
      </c>
      <c r="KO131">
        <v>0</v>
      </c>
      <c r="KP131">
        <v>0</v>
      </c>
      <c r="KQ131">
        <v>66000</v>
      </c>
      <c r="KR131">
        <v>66000</v>
      </c>
      <c r="KS131">
        <v>0</v>
      </c>
      <c r="KV131">
        <v>0</v>
      </c>
      <c r="KW131">
        <v>0</v>
      </c>
      <c r="KX131">
        <v>0</v>
      </c>
      <c r="KY131">
        <v>0</v>
      </c>
      <c r="KZ131">
        <v>192000</v>
      </c>
      <c r="LC131">
        <v>33846</v>
      </c>
      <c r="LD131">
        <v>0</v>
      </c>
      <c r="LE131">
        <v>0</v>
      </c>
      <c r="LF131">
        <v>225846</v>
      </c>
      <c r="LG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X131">
        <v>0</v>
      </c>
      <c r="LY131">
        <v>0</v>
      </c>
      <c r="LZ131">
        <v>0</v>
      </c>
      <c r="MA131">
        <v>0</v>
      </c>
      <c r="MB131" t="s">
        <v>1370</v>
      </c>
      <c r="MC131">
        <v>8000</v>
      </c>
      <c r="MF131">
        <v>493947.2</v>
      </c>
      <c r="MG131">
        <v>10075</v>
      </c>
      <c r="MH131">
        <v>232500</v>
      </c>
      <c r="MI131">
        <v>744522.2</v>
      </c>
      <c r="MJ131">
        <v>400000</v>
      </c>
      <c r="MK131">
        <v>0</v>
      </c>
      <c r="ML131">
        <v>0</v>
      </c>
      <c r="MM131">
        <v>1125293.2</v>
      </c>
      <c r="MN131">
        <v>10075</v>
      </c>
      <c r="MO131">
        <v>298500</v>
      </c>
      <c r="MP131">
        <v>1833868.2</v>
      </c>
      <c r="MQ131">
        <v>0</v>
      </c>
      <c r="MT131">
        <v>0</v>
      </c>
      <c r="MU131">
        <v>0</v>
      </c>
      <c r="MV131">
        <v>0</v>
      </c>
      <c r="MW131">
        <v>0</v>
      </c>
      <c r="MX131">
        <v>400000</v>
      </c>
      <c r="NA131">
        <v>860893.2</v>
      </c>
      <c r="NB131">
        <v>10075</v>
      </c>
      <c r="NC131">
        <v>298500</v>
      </c>
      <c r="ND131">
        <v>1569468.2</v>
      </c>
      <c r="NE131">
        <v>0</v>
      </c>
      <c r="NH131">
        <v>264400</v>
      </c>
      <c r="NI131">
        <v>0</v>
      </c>
      <c r="NJ131">
        <v>0</v>
      </c>
      <c r="NK131">
        <v>264400</v>
      </c>
      <c r="NL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V131">
        <v>0</v>
      </c>
      <c r="NW131">
        <v>0</v>
      </c>
      <c r="NX131">
        <v>0</v>
      </c>
      <c r="NY131">
        <v>0</v>
      </c>
      <c r="NZ131">
        <v>400000</v>
      </c>
      <c r="OA131">
        <v>0</v>
      </c>
      <c r="OB131">
        <v>0</v>
      </c>
      <c r="OC131">
        <v>1125293.2</v>
      </c>
      <c r="OD131">
        <v>10075</v>
      </c>
      <c r="OE131">
        <v>298500</v>
      </c>
      <c r="OF131">
        <v>1833868.2</v>
      </c>
      <c r="OG131" t="s">
        <v>408</v>
      </c>
      <c r="OH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QA131">
        <v>0</v>
      </c>
      <c r="QB131">
        <v>0</v>
      </c>
      <c r="QC131">
        <v>0</v>
      </c>
      <c r="QD131">
        <v>0</v>
      </c>
      <c r="QE131" t="s">
        <v>1370</v>
      </c>
      <c r="QF131">
        <v>134000</v>
      </c>
      <c r="QI131">
        <v>53172.4</v>
      </c>
      <c r="QL131">
        <v>187172.4</v>
      </c>
      <c r="QM131">
        <v>134000</v>
      </c>
      <c r="QN131">
        <v>0</v>
      </c>
      <c r="QO131">
        <v>0</v>
      </c>
      <c r="QP131">
        <v>53172.4</v>
      </c>
      <c r="QQ131">
        <v>0</v>
      </c>
      <c r="QR131">
        <v>0</v>
      </c>
      <c r="QS131">
        <v>187172.4</v>
      </c>
      <c r="QT131">
        <v>0</v>
      </c>
      <c r="QW131">
        <v>0</v>
      </c>
      <c r="QX131">
        <v>0</v>
      </c>
      <c r="QY131">
        <v>0</v>
      </c>
      <c r="QZ131">
        <v>0</v>
      </c>
      <c r="RA131">
        <v>134000</v>
      </c>
      <c r="RD131">
        <v>53172.4</v>
      </c>
      <c r="RE131">
        <v>0</v>
      </c>
      <c r="RF131">
        <v>0</v>
      </c>
      <c r="RG131">
        <v>187172.4</v>
      </c>
      <c r="RH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R131">
        <v>0</v>
      </c>
      <c r="RS131">
        <v>0</v>
      </c>
      <c r="RT131">
        <v>0</v>
      </c>
      <c r="RU131">
        <v>0</v>
      </c>
      <c r="RV131">
        <v>0</v>
      </c>
      <c r="RY131">
        <v>0</v>
      </c>
      <c r="RZ131">
        <v>0</v>
      </c>
      <c r="SA131">
        <v>0</v>
      </c>
      <c r="SB131">
        <v>0</v>
      </c>
      <c r="SC131">
        <v>134000</v>
      </c>
      <c r="SD131">
        <v>0</v>
      </c>
      <c r="SE131">
        <v>0</v>
      </c>
      <c r="SF131">
        <v>53172.4</v>
      </c>
      <c r="SG131">
        <v>0</v>
      </c>
      <c r="SH131">
        <v>0</v>
      </c>
      <c r="SI131">
        <v>187172.4</v>
      </c>
      <c r="SJ131" t="s">
        <v>409</v>
      </c>
      <c r="SK131">
        <v>0</v>
      </c>
      <c r="SN131">
        <v>0</v>
      </c>
      <c r="SO131">
        <v>0</v>
      </c>
      <c r="SP131">
        <v>53500</v>
      </c>
      <c r="SQ131">
        <v>53500</v>
      </c>
      <c r="SR131">
        <v>0</v>
      </c>
      <c r="SU131">
        <v>0</v>
      </c>
      <c r="SV131">
        <v>0</v>
      </c>
      <c r="SW131">
        <v>287780.59999999998</v>
      </c>
      <c r="SX131">
        <v>287780.59999999998</v>
      </c>
      <c r="SY131">
        <v>0</v>
      </c>
      <c r="TB131">
        <v>0</v>
      </c>
      <c r="TC131">
        <v>0</v>
      </c>
      <c r="TD131">
        <v>0</v>
      </c>
      <c r="TE131">
        <v>0</v>
      </c>
      <c r="TF131">
        <v>0</v>
      </c>
      <c r="TI131">
        <v>0</v>
      </c>
      <c r="TJ131">
        <v>0</v>
      </c>
      <c r="TK131">
        <v>0</v>
      </c>
      <c r="TL131">
        <v>0</v>
      </c>
      <c r="TM131">
        <v>0</v>
      </c>
      <c r="TP131">
        <v>0</v>
      </c>
      <c r="TQ131">
        <v>0</v>
      </c>
      <c r="TR131">
        <v>0</v>
      </c>
      <c r="TS131">
        <v>0</v>
      </c>
      <c r="TT131">
        <v>0</v>
      </c>
      <c r="TW131">
        <v>0</v>
      </c>
      <c r="TX131">
        <v>0</v>
      </c>
      <c r="TY131">
        <v>0</v>
      </c>
      <c r="TZ131">
        <v>0</v>
      </c>
      <c r="UA131">
        <v>0</v>
      </c>
      <c r="UD131">
        <v>0</v>
      </c>
      <c r="UE131">
        <v>0</v>
      </c>
      <c r="UF131">
        <v>0</v>
      </c>
      <c r="UG131">
        <v>0</v>
      </c>
      <c r="UH131" t="s">
        <v>1371</v>
      </c>
      <c r="UI131">
        <v>0</v>
      </c>
      <c r="UL131">
        <v>0</v>
      </c>
      <c r="UM131">
        <v>0</v>
      </c>
      <c r="UN131">
        <v>165802.29999999999</v>
      </c>
      <c r="UO131">
        <v>165802.29999999999</v>
      </c>
      <c r="UP131">
        <v>0</v>
      </c>
      <c r="UQ131">
        <v>0</v>
      </c>
      <c r="UR131">
        <v>0</v>
      </c>
      <c r="US131">
        <v>0</v>
      </c>
      <c r="UT131">
        <v>0</v>
      </c>
      <c r="UU131">
        <v>507082.9</v>
      </c>
      <c r="UV131">
        <v>507082.9</v>
      </c>
      <c r="UW131">
        <v>0</v>
      </c>
      <c r="UZ131">
        <v>0</v>
      </c>
      <c r="VA131">
        <v>0</v>
      </c>
      <c r="VB131">
        <v>0</v>
      </c>
      <c r="VC131">
        <v>0</v>
      </c>
      <c r="VD131">
        <v>0</v>
      </c>
      <c r="VG131">
        <v>0</v>
      </c>
      <c r="VH131">
        <v>0</v>
      </c>
      <c r="VI131">
        <v>507082.9</v>
      </c>
      <c r="VJ131">
        <v>507082.9</v>
      </c>
      <c r="VK131">
        <v>0</v>
      </c>
      <c r="VN131">
        <v>0</v>
      </c>
      <c r="VO131">
        <v>0</v>
      </c>
      <c r="VP131">
        <v>0</v>
      </c>
      <c r="VQ131">
        <v>0</v>
      </c>
      <c r="VR131">
        <v>0</v>
      </c>
      <c r="VU131">
        <v>0</v>
      </c>
      <c r="VV131">
        <v>0</v>
      </c>
      <c r="VW131">
        <v>0</v>
      </c>
      <c r="VX131">
        <v>0</v>
      </c>
      <c r="VY131">
        <v>0</v>
      </c>
      <c r="WB131">
        <v>0</v>
      </c>
      <c r="WC131">
        <v>0</v>
      </c>
      <c r="WD131">
        <v>0</v>
      </c>
      <c r="WE131">
        <v>0</v>
      </c>
      <c r="WF131">
        <v>0</v>
      </c>
      <c r="WG131">
        <v>0</v>
      </c>
      <c r="WH131">
        <v>0</v>
      </c>
      <c r="WI131">
        <v>0</v>
      </c>
      <c r="WJ131">
        <v>0</v>
      </c>
      <c r="WK131">
        <v>507082.9</v>
      </c>
      <c r="WL131">
        <v>507082.9</v>
      </c>
      <c r="WM131" t="s">
        <v>410</v>
      </c>
      <c r="WN131">
        <v>0</v>
      </c>
      <c r="WQ131">
        <v>0</v>
      </c>
      <c r="WR131">
        <v>0</v>
      </c>
      <c r="WS131">
        <v>0</v>
      </c>
      <c r="WT131">
        <v>0</v>
      </c>
      <c r="WU131">
        <v>0</v>
      </c>
      <c r="WX131">
        <v>0</v>
      </c>
      <c r="WY131">
        <v>0</v>
      </c>
      <c r="WZ131">
        <v>0</v>
      </c>
      <c r="XA131">
        <v>0</v>
      </c>
      <c r="XB131">
        <v>0</v>
      </c>
      <c r="XE131">
        <v>0</v>
      </c>
      <c r="XF131">
        <v>0</v>
      </c>
      <c r="XG131">
        <v>0</v>
      </c>
      <c r="XH131">
        <v>0</v>
      </c>
      <c r="XI131">
        <v>0</v>
      </c>
      <c r="XL131">
        <v>0</v>
      </c>
      <c r="XM131">
        <v>7669.2</v>
      </c>
      <c r="XN131">
        <v>0</v>
      </c>
      <c r="XO131">
        <v>7669.2</v>
      </c>
      <c r="XP131">
        <v>0</v>
      </c>
      <c r="XS131">
        <v>0</v>
      </c>
      <c r="XT131">
        <v>0</v>
      </c>
      <c r="XU131">
        <v>0</v>
      </c>
      <c r="XV131">
        <v>0</v>
      </c>
      <c r="XW131">
        <v>0</v>
      </c>
      <c r="XZ131">
        <v>0</v>
      </c>
      <c r="YA131">
        <v>0</v>
      </c>
      <c r="YB131">
        <v>0</v>
      </c>
      <c r="YC131">
        <v>0</v>
      </c>
      <c r="YD131">
        <v>0</v>
      </c>
      <c r="YG131">
        <v>0</v>
      </c>
      <c r="YH131">
        <v>0</v>
      </c>
      <c r="YI131">
        <v>0</v>
      </c>
      <c r="YJ131">
        <v>0</v>
      </c>
      <c r="YK131" t="s">
        <v>1372</v>
      </c>
      <c r="YL131">
        <v>0</v>
      </c>
      <c r="YO131">
        <v>0</v>
      </c>
      <c r="YP131">
        <v>12781.9</v>
      </c>
      <c r="YQ131">
        <v>0</v>
      </c>
      <c r="YR131">
        <v>12781.9</v>
      </c>
      <c r="YS131">
        <v>0</v>
      </c>
      <c r="YT131">
        <v>0</v>
      </c>
      <c r="YU131">
        <v>0</v>
      </c>
      <c r="YV131">
        <v>0</v>
      </c>
      <c r="YW131">
        <v>20451.099999999999</v>
      </c>
      <c r="YX131">
        <v>0</v>
      </c>
      <c r="YY131">
        <v>20451.099999999999</v>
      </c>
      <c r="YZ131">
        <v>0</v>
      </c>
      <c r="ZC131">
        <v>0</v>
      </c>
      <c r="ZD131">
        <v>0</v>
      </c>
      <c r="ZE131">
        <v>0</v>
      </c>
      <c r="ZF131">
        <v>0</v>
      </c>
      <c r="ZG131">
        <v>0</v>
      </c>
      <c r="ZJ131">
        <v>0</v>
      </c>
      <c r="ZK131">
        <v>20451.099999999999</v>
      </c>
      <c r="ZL131">
        <v>0</v>
      </c>
      <c r="ZM131">
        <v>20451.099999999999</v>
      </c>
      <c r="ZN131">
        <v>0</v>
      </c>
      <c r="ZQ131">
        <v>0</v>
      </c>
      <c r="ZR131">
        <v>0</v>
      </c>
      <c r="ZS131">
        <v>0</v>
      </c>
      <c r="ZT131">
        <v>0</v>
      </c>
      <c r="ZU131">
        <v>0</v>
      </c>
      <c r="ZX131">
        <v>0</v>
      </c>
      <c r="ZY131">
        <v>0</v>
      </c>
      <c r="ZZ131">
        <v>0</v>
      </c>
      <c r="AAA131">
        <v>0</v>
      </c>
      <c r="AAB131">
        <v>0</v>
      </c>
      <c r="AAE131">
        <v>0</v>
      </c>
      <c r="AAF131">
        <v>0</v>
      </c>
      <c r="AAG131">
        <v>0</v>
      </c>
      <c r="AAH131">
        <v>0</v>
      </c>
      <c r="AAI131">
        <v>0</v>
      </c>
      <c r="AAJ131">
        <v>0</v>
      </c>
      <c r="AAK131">
        <v>0</v>
      </c>
      <c r="AAL131">
        <v>0</v>
      </c>
      <c r="AAM131">
        <v>20451.099999999999</v>
      </c>
      <c r="AAN131">
        <v>0</v>
      </c>
      <c r="AAO131">
        <v>20451.099999999999</v>
      </c>
      <c r="AAP131" t="s">
        <v>411</v>
      </c>
      <c r="AES131" t="s">
        <v>412</v>
      </c>
    </row>
    <row r="132" spans="1:825" x14ac:dyDescent="0.2">
      <c r="A132" t="s">
        <v>1373</v>
      </c>
      <c r="B132" t="s">
        <v>396</v>
      </c>
      <c r="C132" t="s">
        <v>1374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>
        <v>582</v>
      </c>
      <c r="W132" s="20">
        <v>43476.736805555556</v>
      </c>
      <c r="X132" t="s">
        <v>1375</v>
      </c>
      <c r="Y132">
        <v>2019</v>
      </c>
      <c r="Z132" t="s">
        <v>1376</v>
      </c>
      <c r="AA132" t="s">
        <v>1377</v>
      </c>
      <c r="AB132" t="str">
        <f>VLOOKUP(MID(AD132,SEARCH("@",AD132,1),LEN(AD132)-SEARCH("@",AD132,1)+1),[2]Sheet1!$D:$F,3,FALSE)</f>
        <v>M2529</v>
      </c>
      <c r="AC132" t="s">
        <v>1378</v>
      </c>
      <c r="AD132" t="s">
        <v>1379</v>
      </c>
      <c r="AF132" t="s">
        <v>491</v>
      </c>
      <c r="AG132" t="s">
        <v>403</v>
      </c>
      <c r="AI132">
        <v>2</v>
      </c>
      <c r="AJ132">
        <v>6</v>
      </c>
      <c r="AK132" t="s">
        <v>1380</v>
      </c>
      <c r="AV132">
        <v>0</v>
      </c>
      <c r="BC132">
        <v>0</v>
      </c>
      <c r="BJ132">
        <v>0</v>
      </c>
      <c r="BQ132">
        <v>0</v>
      </c>
      <c r="BX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S132">
        <v>0</v>
      </c>
      <c r="CZ132">
        <v>0</v>
      </c>
      <c r="DG132">
        <v>0</v>
      </c>
      <c r="DN132">
        <v>0</v>
      </c>
      <c r="DU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 t="s">
        <v>404</v>
      </c>
      <c r="EK132" t="s">
        <v>404</v>
      </c>
      <c r="EL132" t="s">
        <v>404</v>
      </c>
      <c r="EM132" t="s">
        <v>404</v>
      </c>
      <c r="EN132" t="s">
        <v>404</v>
      </c>
      <c r="EO132" t="s">
        <v>404</v>
      </c>
      <c r="EP132" t="s">
        <v>404</v>
      </c>
      <c r="EQ132" t="s">
        <v>404</v>
      </c>
      <c r="ER132" t="s">
        <v>404</v>
      </c>
      <c r="ES132" t="s">
        <v>404</v>
      </c>
      <c r="ET132" t="s">
        <v>404</v>
      </c>
      <c r="EU132" t="s">
        <v>404</v>
      </c>
      <c r="EV132" t="s">
        <v>404</v>
      </c>
      <c r="EW132" t="s">
        <v>404</v>
      </c>
      <c r="EX132" t="s">
        <v>404</v>
      </c>
      <c r="EY132" t="s">
        <v>404</v>
      </c>
      <c r="EZ132" t="s">
        <v>404</v>
      </c>
      <c r="FA132" t="s">
        <v>404</v>
      </c>
      <c r="FB132" t="s">
        <v>404</v>
      </c>
      <c r="FC132" t="s">
        <v>404</v>
      </c>
      <c r="FD132" t="s">
        <v>404</v>
      </c>
      <c r="FE132" t="s">
        <v>404</v>
      </c>
      <c r="FF132" t="s">
        <v>404</v>
      </c>
      <c r="FG132" t="s">
        <v>404</v>
      </c>
      <c r="FH132" t="s">
        <v>404</v>
      </c>
      <c r="FI132" t="s">
        <v>404</v>
      </c>
      <c r="FJ132" t="s">
        <v>404</v>
      </c>
      <c r="FK132" t="s">
        <v>404</v>
      </c>
      <c r="FL132" t="s">
        <v>404</v>
      </c>
      <c r="FM132" t="s">
        <v>404</v>
      </c>
      <c r="FN132" t="s">
        <v>404</v>
      </c>
      <c r="FO132" t="s">
        <v>404</v>
      </c>
      <c r="FP132" t="s">
        <v>404</v>
      </c>
      <c r="FQ132" t="s">
        <v>404</v>
      </c>
      <c r="FR132" t="s">
        <v>404</v>
      </c>
      <c r="FS132" t="s">
        <v>404</v>
      </c>
      <c r="FZ132">
        <v>0</v>
      </c>
      <c r="GG132">
        <v>0</v>
      </c>
      <c r="GN132">
        <v>0</v>
      </c>
      <c r="GU132">
        <v>0</v>
      </c>
      <c r="HB132">
        <v>0</v>
      </c>
      <c r="HI132">
        <v>0</v>
      </c>
      <c r="HP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L132">
        <v>0</v>
      </c>
      <c r="IS132">
        <v>0</v>
      </c>
      <c r="IZ132">
        <v>0</v>
      </c>
      <c r="JG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KA132">
        <v>1</v>
      </c>
      <c r="KB132">
        <v>2</v>
      </c>
      <c r="KC132">
        <v>1</v>
      </c>
      <c r="KD132" t="s">
        <v>407</v>
      </c>
      <c r="OG132" t="s">
        <v>408</v>
      </c>
      <c r="SJ132" t="s">
        <v>409</v>
      </c>
      <c r="WM132" t="s">
        <v>410</v>
      </c>
      <c r="AAP132" t="s">
        <v>411</v>
      </c>
      <c r="AES132" t="s">
        <v>412</v>
      </c>
    </row>
    <row r="133" spans="1:825" x14ac:dyDescent="0.2">
      <c r="A133" t="s">
        <v>1381</v>
      </c>
      <c r="B133" t="s">
        <v>396</v>
      </c>
      <c r="C133" t="s">
        <v>1382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>
        <v>706</v>
      </c>
      <c r="W133" s="20">
        <v>43505.805555555555</v>
      </c>
      <c r="X133" t="s">
        <v>1383</v>
      </c>
      <c r="Y133">
        <v>2019</v>
      </c>
      <c r="Z133" t="s">
        <v>1384</v>
      </c>
      <c r="AA133" t="s">
        <v>1385</v>
      </c>
      <c r="AB133" t="str">
        <f>VLOOKUP(MID(AD133,SEARCH("@",AD133,1),LEN(AD133)-SEARCH("@",AD133,1)+1),[2]Sheet1!$D:$F,3,FALSE)</f>
        <v>M657</v>
      </c>
      <c r="AC133" t="s">
        <v>1158</v>
      </c>
      <c r="AD133" t="s">
        <v>1386</v>
      </c>
      <c r="AE133">
        <v>26785929</v>
      </c>
      <c r="AF133" t="s">
        <v>1073</v>
      </c>
      <c r="AG133" t="s">
        <v>403</v>
      </c>
      <c r="AI133">
        <v>2</v>
      </c>
      <c r="AJ133">
        <v>6</v>
      </c>
      <c r="AK133" t="s">
        <v>1387</v>
      </c>
      <c r="AV133">
        <v>0</v>
      </c>
      <c r="BC133">
        <v>0</v>
      </c>
      <c r="BJ133">
        <v>0</v>
      </c>
      <c r="BQ133">
        <v>0</v>
      </c>
      <c r="BX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S133">
        <v>0</v>
      </c>
      <c r="CZ133">
        <v>0</v>
      </c>
      <c r="DG133">
        <v>0</v>
      </c>
      <c r="DN133">
        <v>0</v>
      </c>
      <c r="DU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 t="s">
        <v>404</v>
      </c>
      <c r="EK133" t="s">
        <v>404</v>
      </c>
      <c r="EL133" t="s">
        <v>404</v>
      </c>
      <c r="EM133" t="s">
        <v>404</v>
      </c>
      <c r="EN133" t="s">
        <v>404</v>
      </c>
      <c r="EO133" t="s">
        <v>404</v>
      </c>
      <c r="EP133" t="s">
        <v>404</v>
      </c>
      <c r="EQ133" t="s">
        <v>404</v>
      </c>
      <c r="ER133" t="s">
        <v>404</v>
      </c>
      <c r="ES133" t="s">
        <v>404</v>
      </c>
      <c r="ET133" t="s">
        <v>404</v>
      </c>
      <c r="EU133" t="s">
        <v>404</v>
      </c>
      <c r="EV133" t="s">
        <v>404</v>
      </c>
      <c r="EW133" t="s">
        <v>404</v>
      </c>
      <c r="EX133" t="s">
        <v>404</v>
      </c>
      <c r="EY133" t="s">
        <v>404</v>
      </c>
      <c r="EZ133" t="s">
        <v>404</v>
      </c>
      <c r="FA133" t="s">
        <v>404</v>
      </c>
      <c r="FB133" t="s">
        <v>404</v>
      </c>
      <c r="FC133" t="s">
        <v>404</v>
      </c>
      <c r="FD133" t="s">
        <v>404</v>
      </c>
      <c r="FE133" t="s">
        <v>404</v>
      </c>
      <c r="FF133" t="s">
        <v>404</v>
      </c>
      <c r="FG133" t="s">
        <v>404</v>
      </c>
      <c r="FH133" t="s">
        <v>404</v>
      </c>
      <c r="FI133" t="s">
        <v>404</v>
      </c>
      <c r="FJ133" t="s">
        <v>404</v>
      </c>
      <c r="FK133" t="s">
        <v>404</v>
      </c>
      <c r="FL133" t="s">
        <v>404</v>
      </c>
      <c r="FM133" t="s">
        <v>404</v>
      </c>
      <c r="FN133" t="s">
        <v>404</v>
      </c>
      <c r="FO133" t="s">
        <v>404</v>
      </c>
      <c r="FP133" t="s">
        <v>404</v>
      </c>
      <c r="FQ133" t="s">
        <v>404</v>
      </c>
      <c r="FR133" t="s">
        <v>404</v>
      </c>
      <c r="FS133" t="s">
        <v>404</v>
      </c>
      <c r="FZ133">
        <v>0</v>
      </c>
      <c r="GG133">
        <v>0</v>
      </c>
      <c r="GN133">
        <v>0</v>
      </c>
      <c r="GU133">
        <v>0</v>
      </c>
      <c r="HB133">
        <v>0</v>
      </c>
      <c r="HI133">
        <v>0</v>
      </c>
      <c r="HP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L133">
        <v>0</v>
      </c>
      <c r="IS133">
        <v>0</v>
      </c>
      <c r="IZ133">
        <v>0</v>
      </c>
      <c r="JG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KA133">
        <v>1</v>
      </c>
      <c r="KB133">
        <v>2</v>
      </c>
      <c r="KC133">
        <v>1</v>
      </c>
      <c r="KD133" t="s">
        <v>407</v>
      </c>
      <c r="OG133" t="s">
        <v>408</v>
      </c>
      <c r="SJ133" t="s">
        <v>409</v>
      </c>
      <c r="WM133" t="s">
        <v>410</v>
      </c>
      <c r="AAP133" t="s">
        <v>411</v>
      </c>
      <c r="AES133" t="s">
        <v>412</v>
      </c>
    </row>
    <row r="134" spans="1:825" x14ac:dyDescent="0.2">
      <c r="A134" t="s">
        <v>1388</v>
      </c>
      <c r="B134" t="s">
        <v>396</v>
      </c>
      <c r="C134" t="s">
        <v>1389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>
        <v>773</v>
      </c>
      <c r="W134" s="20">
        <v>43516.644444444442</v>
      </c>
      <c r="X134" t="s">
        <v>1390</v>
      </c>
      <c r="Y134">
        <v>2019</v>
      </c>
      <c r="Z134" t="s">
        <v>1391</v>
      </c>
      <c r="AA134" t="s">
        <v>1392</v>
      </c>
      <c r="AB134" t="str">
        <f>VLOOKUP(MID(AD134,SEARCH("@",AD134,1),LEN(AD134)-SEARCH("@",AD134,1)+1),[2]Sheet1!$D:$F,3,FALSE)</f>
        <v>M093</v>
      </c>
      <c r="AC134" t="s">
        <v>1393</v>
      </c>
      <c r="AD134" t="s">
        <v>1394</v>
      </c>
      <c r="AE134" t="s">
        <v>1395</v>
      </c>
      <c r="AF134" t="s">
        <v>491</v>
      </c>
      <c r="AG134" t="s">
        <v>403</v>
      </c>
      <c r="AI134">
        <v>2</v>
      </c>
      <c r="AJ134">
        <v>6</v>
      </c>
      <c r="AK134" t="s">
        <v>1396</v>
      </c>
      <c r="AV134">
        <v>0</v>
      </c>
      <c r="BC134">
        <v>0</v>
      </c>
      <c r="BJ134">
        <v>0</v>
      </c>
      <c r="BQ134">
        <v>0</v>
      </c>
      <c r="BX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S134">
        <v>0</v>
      </c>
      <c r="CZ134">
        <v>0</v>
      </c>
      <c r="DG134">
        <v>0</v>
      </c>
      <c r="DN134">
        <v>0</v>
      </c>
      <c r="DU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 t="s">
        <v>404</v>
      </c>
      <c r="EK134" t="s">
        <v>404</v>
      </c>
      <c r="EL134" t="s">
        <v>404</v>
      </c>
      <c r="EM134" t="s">
        <v>404</v>
      </c>
      <c r="EN134" t="s">
        <v>404</v>
      </c>
      <c r="EO134" t="s">
        <v>404</v>
      </c>
      <c r="EP134" t="s">
        <v>404</v>
      </c>
      <c r="EQ134" t="s">
        <v>404</v>
      </c>
      <c r="ER134" t="s">
        <v>404</v>
      </c>
      <c r="ES134" t="s">
        <v>404</v>
      </c>
      <c r="ET134" t="s">
        <v>404</v>
      </c>
      <c r="EU134" t="s">
        <v>404</v>
      </c>
      <c r="EV134" t="s">
        <v>404</v>
      </c>
      <c r="EW134" t="s">
        <v>404</v>
      </c>
      <c r="EX134" t="s">
        <v>404</v>
      </c>
      <c r="EY134" t="s">
        <v>404</v>
      </c>
      <c r="EZ134" t="s">
        <v>404</v>
      </c>
      <c r="FA134" t="s">
        <v>404</v>
      </c>
      <c r="FB134" t="s">
        <v>404</v>
      </c>
      <c r="FC134" t="s">
        <v>404</v>
      </c>
      <c r="FD134" t="s">
        <v>404</v>
      </c>
      <c r="FE134" t="s">
        <v>404</v>
      </c>
      <c r="FF134" t="s">
        <v>404</v>
      </c>
      <c r="FG134" t="s">
        <v>404</v>
      </c>
      <c r="FH134" t="s">
        <v>404</v>
      </c>
      <c r="FI134" t="s">
        <v>404</v>
      </c>
      <c r="FJ134" t="s">
        <v>404</v>
      </c>
      <c r="FK134" t="s">
        <v>404</v>
      </c>
      <c r="FL134" t="s">
        <v>404</v>
      </c>
      <c r="FM134" t="s">
        <v>404</v>
      </c>
      <c r="FN134" t="s">
        <v>404</v>
      </c>
      <c r="FO134" t="s">
        <v>404</v>
      </c>
      <c r="FP134" t="s">
        <v>404</v>
      </c>
      <c r="FQ134" t="s">
        <v>404</v>
      </c>
      <c r="FR134" t="s">
        <v>404</v>
      </c>
      <c r="FS134" t="s">
        <v>404</v>
      </c>
      <c r="FZ134">
        <v>0</v>
      </c>
      <c r="GG134">
        <v>0</v>
      </c>
      <c r="GN134">
        <v>0</v>
      </c>
      <c r="GU134">
        <v>0</v>
      </c>
      <c r="HB134">
        <v>0</v>
      </c>
      <c r="HI134">
        <v>0</v>
      </c>
      <c r="HP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L134">
        <v>0</v>
      </c>
      <c r="IS134">
        <v>0</v>
      </c>
      <c r="IZ134">
        <v>0</v>
      </c>
      <c r="JG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KA134">
        <v>1</v>
      </c>
      <c r="KB134">
        <v>2</v>
      </c>
      <c r="KC134">
        <v>1</v>
      </c>
      <c r="KD134" t="s">
        <v>407</v>
      </c>
      <c r="OG134" t="s">
        <v>408</v>
      </c>
      <c r="SJ134" t="s">
        <v>409</v>
      </c>
      <c r="WM134" t="s">
        <v>410</v>
      </c>
      <c r="AAP134" t="s">
        <v>411</v>
      </c>
      <c r="AES134" t="s">
        <v>412</v>
      </c>
    </row>
    <row r="135" spans="1:825" x14ac:dyDescent="0.2">
      <c r="A135" t="s">
        <v>1397</v>
      </c>
      <c r="B135" t="s">
        <v>563</v>
      </c>
      <c r="C135" t="s">
        <v>1398</v>
      </c>
      <c r="P135" t="b">
        <v>0</v>
      </c>
      <c r="Q135" t="b">
        <v>0</v>
      </c>
      <c r="R135" t="b">
        <v>1</v>
      </c>
      <c r="S135" t="b">
        <v>0</v>
      </c>
      <c r="T135" t="b">
        <v>0</v>
      </c>
      <c r="U135" t="b">
        <v>0</v>
      </c>
      <c r="V135">
        <v>601</v>
      </c>
      <c r="W135" s="20">
        <v>43518.931250000001</v>
      </c>
      <c r="X135" t="s">
        <v>1399</v>
      </c>
      <c r="Y135">
        <v>2019</v>
      </c>
      <c r="Z135" t="s">
        <v>1400</v>
      </c>
      <c r="AA135" t="s">
        <v>1401</v>
      </c>
      <c r="AB135" t="str">
        <f>VLOOKUP(MID(AD135,SEARCH("@",AD135,1),LEN(AD135)-SEARCH("@",AD135,1)+1),[2]Sheet1!$D:$F,3,FALSE)</f>
        <v>M551</v>
      </c>
      <c r="AC135" t="s">
        <v>1402</v>
      </c>
      <c r="AD135" t="s">
        <v>1403</v>
      </c>
      <c r="AE135" t="s">
        <v>1404</v>
      </c>
      <c r="AF135" t="s">
        <v>571</v>
      </c>
      <c r="AG135" t="s">
        <v>538</v>
      </c>
      <c r="AI135">
        <v>1</v>
      </c>
      <c r="AM135">
        <v>112.6</v>
      </c>
      <c r="AO135">
        <v>25.2</v>
      </c>
      <c r="AV135">
        <v>0</v>
      </c>
      <c r="BC135">
        <v>0</v>
      </c>
      <c r="BD135">
        <v>112.6</v>
      </c>
      <c r="BJ135">
        <v>112.6</v>
      </c>
      <c r="BQ135">
        <v>0</v>
      </c>
      <c r="BX135">
        <v>0</v>
      </c>
      <c r="CE135">
        <v>0</v>
      </c>
      <c r="CF135">
        <v>112.6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112.6</v>
      </c>
      <c r="CS135">
        <v>0</v>
      </c>
      <c r="CZ135">
        <v>0</v>
      </c>
      <c r="DA135">
        <v>2</v>
      </c>
      <c r="DG135">
        <v>2</v>
      </c>
      <c r="DN135">
        <v>0</v>
      </c>
      <c r="DU135">
        <v>0</v>
      </c>
      <c r="EB135">
        <v>0</v>
      </c>
      <c r="EC135">
        <v>2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2</v>
      </c>
      <c r="EJ135" t="s">
        <v>404</v>
      </c>
      <c r="EK135" t="s">
        <v>404</v>
      </c>
      <c r="EL135" t="s">
        <v>404</v>
      </c>
      <c r="EM135" t="s">
        <v>404</v>
      </c>
      <c r="EN135" t="s">
        <v>404</v>
      </c>
      <c r="EO135" t="s">
        <v>404</v>
      </c>
      <c r="EP135" t="s">
        <v>404</v>
      </c>
      <c r="EQ135" t="s">
        <v>404</v>
      </c>
      <c r="ER135" t="s">
        <v>404</v>
      </c>
      <c r="ES135" t="s">
        <v>404</v>
      </c>
      <c r="ET135" t="s">
        <v>404</v>
      </c>
      <c r="EU135" t="s">
        <v>404</v>
      </c>
      <c r="EV135" t="s">
        <v>405</v>
      </c>
      <c r="EW135" t="s">
        <v>404</v>
      </c>
      <c r="EX135" t="s">
        <v>404</v>
      </c>
      <c r="EY135" t="s">
        <v>404</v>
      </c>
      <c r="EZ135" t="s">
        <v>404</v>
      </c>
      <c r="FA135" t="s">
        <v>404</v>
      </c>
      <c r="FB135" t="s">
        <v>404</v>
      </c>
      <c r="FC135" t="s">
        <v>404</v>
      </c>
      <c r="FD135" t="s">
        <v>404</v>
      </c>
      <c r="FE135" t="s">
        <v>404</v>
      </c>
      <c r="FF135" t="s">
        <v>404</v>
      </c>
      <c r="FG135" t="s">
        <v>404</v>
      </c>
      <c r="FH135" t="s">
        <v>404</v>
      </c>
      <c r="FI135" t="s">
        <v>404</v>
      </c>
      <c r="FJ135" t="s">
        <v>404</v>
      </c>
      <c r="FK135" t="s">
        <v>404</v>
      </c>
      <c r="FL135" t="s">
        <v>404</v>
      </c>
      <c r="FM135" t="s">
        <v>404</v>
      </c>
      <c r="FN135" t="s">
        <v>404</v>
      </c>
      <c r="FO135" t="s">
        <v>404</v>
      </c>
      <c r="FP135" t="s">
        <v>404</v>
      </c>
      <c r="FQ135" t="s">
        <v>404</v>
      </c>
      <c r="FR135" t="s">
        <v>404</v>
      </c>
      <c r="FS135" t="s">
        <v>404</v>
      </c>
      <c r="FT135">
        <v>57.45</v>
      </c>
      <c r="FZ135">
        <v>57.45</v>
      </c>
      <c r="GG135">
        <v>0</v>
      </c>
      <c r="GN135">
        <v>0</v>
      </c>
      <c r="GU135">
        <v>0</v>
      </c>
      <c r="GV135">
        <v>1.45</v>
      </c>
      <c r="HB135">
        <v>1.45</v>
      </c>
      <c r="HC135">
        <v>50</v>
      </c>
      <c r="HI135">
        <v>50</v>
      </c>
      <c r="HJ135">
        <v>0.81</v>
      </c>
      <c r="HP135">
        <v>0.81</v>
      </c>
      <c r="HQ135" t="s">
        <v>1405</v>
      </c>
      <c r="HR135">
        <v>2.85</v>
      </c>
      <c r="HX135">
        <v>2.85</v>
      </c>
      <c r="HY135">
        <v>112.56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112.56</v>
      </c>
      <c r="IL135">
        <v>0</v>
      </c>
      <c r="IM135">
        <v>2.95</v>
      </c>
      <c r="IS135">
        <v>2.95</v>
      </c>
      <c r="IT135">
        <v>109.61</v>
      </c>
      <c r="IZ135">
        <v>109.61</v>
      </c>
      <c r="JG135">
        <v>0</v>
      </c>
      <c r="JN135">
        <v>0</v>
      </c>
      <c r="JO135">
        <v>112.56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112.56</v>
      </c>
      <c r="JX135">
        <v>100</v>
      </c>
      <c r="KA135">
        <v>1</v>
      </c>
      <c r="KB135">
        <v>3</v>
      </c>
      <c r="KC135">
        <v>1</v>
      </c>
      <c r="KD135" t="s">
        <v>407</v>
      </c>
      <c r="OG135" t="s">
        <v>408</v>
      </c>
      <c r="SJ135" t="s">
        <v>409</v>
      </c>
      <c r="WM135" t="s">
        <v>410</v>
      </c>
      <c r="AAP135" t="s">
        <v>411</v>
      </c>
      <c r="AES135" t="s">
        <v>412</v>
      </c>
    </row>
    <row r="136" spans="1:825" x14ac:dyDescent="0.2">
      <c r="A136" t="s">
        <v>1406</v>
      </c>
      <c r="B136" t="s">
        <v>396</v>
      </c>
      <c r="C136" t="s">
        <v>1407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>
        <v>555</v>
      </c>
      <c r="W136" s="20">
        <v>43521.438194444447</v>
      </c>
      <c r="X136" t="s">
        <v>1408</v>
      </c>
      <c r="Y136">
        <v>2019</v>
      </c>
      <c r="Z136" t="s">
        <v>1409</v>
      </c>
      <c r="AA136" t="s">
        <v>1410</v>
      </c>
      <c r="AB136" t="str">
        <f>VLOOKUP(MID(AD136,SEARCH("@",AD136,1),LEN(AD136)-SEARCH("@",AD136,1)+1),[2]Sheet1!$D:$F,3,FALSE)</f>
        <v>M037</v>
      </c>
      <c r="AC136" t="s">
        <v>1411</v>
      </c>
      <c r="AD136" t="s">
        <v>1412</v>
      </c>
      <c r="AE136">
        <v>442076583444</v>
      </c>
      <c r="AF136" t="s">
        <v>491</v>
      </c>
      <c r="AG136" t="s">
        <v>492</v>
      </c>
      <c r="AI136">
        <v>1</v>
      </c>
      <c r="AL136">
        <v>485.8</v>
      </c>
      <c r="AM136">
        <v>386.4</v>
      </c>
      <c r="AN136">
        <v>371.4</v>
      </c>
      <c r="AO136">
        <v>272</v>
      </c>
      <c r="AV136">
        <v>0</v>
      </c>
      <c r="AW136">
        <v>94.4</v>
      </c>
      <c r="AZ136">
        <v>193.3</v>
      </c>
      <c r="BB136">
        <v>98.7</v>
      </c>
      <c r="BC136">
        <v>386.4</v>
      </c>
      <c r="BJ136">
        <v>0</v>
      </c>
      <c r="BQ136">
        <v>0</v>
      </c>
      <c r="BX136">
        <v>0</v>
      </c>
      <c r="CE136">
        <v>0</v>
      </c>
      <c r="CF136">
        <v>94.4</v>
      </c>
      <c r="CG136">
        <v>0</v>
      </c>
      <c r="CH136">
        <v>0</v>
      </c>
      <c r="CI136">
        <v>193.3</v>
      </c>
      <c r="CJ136">
        <v>0</v>
      </c>
      <c r="CK136">
        <v>98.7</v>
      </c>
      <c r="CL136">
        <v>386.4</v>
      </c>
      <c r="CS136">
        <v>0</v>
      </c>
      <c r="CT136">
        <v>3</v>
      </c>
      <c r="CW136">
        <v>3</v>
      </c>
      <c r="CY136">
        <v>1</v>
      </c>
      <c r="CZ136">
        <v>7</v>
      </c>
      <c r="DG136">
        <v>0</v>
      </c>
      <c r="DN136">
        <v>0</v>
      </c>
      <c r="DU136">
        <v>0</v>
      </c>
      <c r="EB136">
        <v>0</v>
      </c>
      <c r="EC136">
        <v>3</v>
      </c>
      <c r="ED136">
        <v>0</v>
      </c>
      <c r="EE136">
        <v>0</v>
      </c>
      <c r="EF136">
        <v>3</v>
      </c>
      <c r="EG136">
        <v>0</v>
      </c>
      <c r="EH136">
        <v>1</v>
      </c>
      <c r="EI136">
        <v>7</v>
      </c>
      <c r="EJ136" t="s">
        <v>404</v>
      </c>
      <c r="EK136" t="s">
        <v>404</v>
      </c>
      <c r="EL136" t="s">
        <v>404</v>
      </c>
      <c r="EM136" t="s">
        <v>404</v>
      </c>
      <c r="EN136" t="s">
        <v>404</v>
      </c>
      <c r="EO136" t="s">
        <v>404</v>
      </c>
      <c r="EP136" t="s">
        <v>405</v>
      </c>
      <c r="EQ136" t="s">
        <v>404</v>
      </c>
      <c r="ER136" t="s">
        <v>404</v>
      </c>
      <c r="ES136" t="s">
        <v>405</v>
      </c>
      <c r="ET136" t="s">
        <v>404</v>
      </c>
      <c r="EU136" t="s">
        <v>405</v>
      </c>
      <c r="EV136" t="s">
        <v>404</v>
      </c>
      <c r="EW136" t="s">
        <v>404</v>
      </c>
      <c r="EX136" t="s">
        <v>404</v>
      </c>
      <c r="EY136" t="s">
        <v>404</v>
      </c>
      <c r="EZ136" t="s">
        <v>404</v>
      </c>
      <c r="FA136" t="s">
        <v>404</v>
      </c>
      <c r="FB136" t="s">
        <v>404</v>
      </c>
      <c r="FC136" t="s">
        <v>404</v>
      </c>
      <c r="FD136" t="s">
        <v>404</v>
      </c>
      <c r="FE136" t="s">
        <v>404</v>
      </c>
      <c r="FF136" t="s">
        <v>404</v>
      </c>
      <c r="FG136" t="s">
        <v>404</v>
      </c>
      <c r="FH136" t="s">
        <v>404</v>
      </c>
      <c r="FI136" t="s">
        <v>404</v>
      </c>
      <c r="FJ136" t="s">
        <v>404</v>
      </c>
      <c r="FK136" t="s">
        <v>404</v>
      </c>
      <c r="FL136" t="s">
        <v>404</v>
      </c>
      <c r="FM136" t="s">
        <v>404</v>
      </c>
      <c r="FN136" t="s">
        <v>404</v>
      </c>
      <c r="FO136" t="s">
        <v>404</v>
      </c>
      <c r="FP136" t="s">
        <v>404</v>
      </c>
      <c r="FQ136" t="s">
        <v>404</v>
      </c>
      <c r="FR136" t="s">
        <v>404</v>
      </c>
      <c r="FS136" t="s">
        <v>404</v>
      </c>
      <c r="FT136">
        <v>85.9</v>
      </c>
      <c r="FW136">
        <v>61.9</v>
      </c>
      <c r="FY136">
        <v>98.7</v>
      </c>
      <c r="FZ136">
        <v>246.5</v>
      </c>
      <c r="GA136">
        <v>0.5</v>
      </c>
      <c r="GG136">
        <v>0.5</v>
      </c>
      <c r="GN136">
        <v>0</v>
      </c>
      <c r="GU136">
        <v>0</v>
      </c>
      <c r="HB136">
        <v>0</v>
      </c>
      <c r="HC136">
        <v>8</v>
      </c>
      <c r="HI136">
        <v>8</v>
      </c>
      <c r="HM136">
        <v>52.1</v>
      </c>
      <c r="HP136">
        <v>52.1</v>
      </c>
      <c r="HQ136" t="s">
        <v>1413</v>
      </c>
      <c r="HU136">
        <v>79.3</v>
      </c>
      <c r="HX136">
        <v>79.3</v>
      </c>
      <c r="HY136">
        <v>94.4</v>
      </c>
      <c r="HZ136">
        <v>0</v>
      </c>
      <c r="IA136">
        <v>0</v>
      </c>
      <c r="IB136">
        <v>193.3</v>
      </c>
      <c r="IC136">
        <v>0</v>
      </c>
      <c r="ID136">
        <v>98.7</v>
      </c>
      <c r="IE136">
        <v>386.4</v>
      </c>
      <c r="II136">
        <v>61.9</v>
      </c>
      <c r="IL136">
        <v>61.9</v>
      </c>
      <c r="IM136">
        <v>94.4</v>
      </c>
      <c r="IP136">
        <v>114</v>
      </c>
      <c r="IR136">
        <v>98.7</v>
      </c>
      <c r="IS136">
        <v>307.10000000000002</v>
      </c>
      <c r="IW136">
        <v>17.399999999999999</v>
      </c>
      <c r="IZ136">
        <v>17.399999999999999</v>
      </c>
      <c r="JG136">
        <v>0</v>
      </c>
      <c r="JN136">
        <v>0</v>
      </c>
      <c r="JO136">
        <v>94.4</v>
      </c>
      <c r="JP136">
        <v>0</v>
      </c>
      <c r="JQ136">
        <v>0</v>
      </c>
      <c r="JR136">
        <v>193.3</v>
      </c>
      <c r="JS136">
        <v>0</v>
      </c>
      <c r="JT136">
        <v>98.7</v>
      </c>
      <c r="JU136">
        <v>386.4</v>
      </c>
      <c r="JX136">
        <v>100</v>
      </c>
      <c r="KA136">
        <v>1</v>
      </c>
      <c r="KB136">
        <v>3</v>
      </c>
      <c r="KC136">
        <v>1</v>
      </c>
      <c r="KD136" t="s">
        <v>407</v>
      </c>
      <c r="OG136" t="s">
        <v>408</v>
      </c>
      <c r="SJ136" t="s">
        <v>409</v>
      </c>
      <c r="WM136" t="s">
        <v>410</v>
      </c>
      <c r="AAP136" t="s">
        <v>411</v>
      </c>
      <c r="AES136" t="s">
        <v>412</v>
      </c>
    </row>
    <row r="137" spans="1:825" x14ac:dyDescent="0.2">
      <c r="A137" t="s">
        <v>1414</v>
      </c>
      <c r="B137" t="s">
        <v>396</v>
      </c>
      <c r="C137" t="s">
        <v>1415</v>
      </c>
      <c r="P137" t="b">
        <v>1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>
        <v>734</v>
      </c>
      <c r="W137" s="20">
        <v>43514.406944444447</v>
      </c>
      <c r="X137" t="s">
        <v>1416</v>
      </c>
      <c r="Y137">
        <v>2019</v>
      </c>
      <c r="Z137" t="s">
        <v>1417</v>
      </c>
      <c r="AA137" t="s">
        <v>1418</v>
      </c>
      <c r="AB137" t="str">
        <f>VLOOKUP(MID(AD137,SEARCH("@",AD137,1),LEN(AD137)-SEARCH("@",AD137,1)+1),[2]Sheet1!$D:$F,3,FALSE)</f>
        <v>M079</v>
      </c>
      <c r="AC137" t="s">
        <v>1419</v>
      </c>
      <c r="AD137" t="s">
        <v>1420</v>
      </c>
      <c r="AF137" t="s">
        <v>491</v>
      </c>
      <c r="AG137" t="s">
        <v>403</v>
      </c>
      <c r="AI137">
        <v>1</v>
      </c>
      <c r="AL137">
        <v>2677</v>
      </c>
      <c r="AM137">
        <v>2677</v>
      </c>
      <c r="AN137">
        <v>1850</v>
      </c>
      <c r="AO137">
        <v>1850</v>
      </c>
      <c r="AP137">
        <v>302</v>
      </c>
      <c r="AV137">
        <v>302</v>
      </c>
      <c r="AW137">
        <v>520</v>
      </c>
      <c r="AX137">
        <v>1050</v>
      </c>
      <c r="AZ137">
        <v>805</v>
      </c>
      <c r="BC137">
        <v>2375</v>
      </c>
      <c r="BJ137">
        <v>0</v>
      </c>
      <c r="BQ137">
        <v>0</v>
      </c>
      <c r="BX137">
        <v>0</v>
      </c>
      <c r="CE137">
        <v>0</v>
      </c>
      <c r="CF137">
        <v>822</v>
      </c>
      <c r="CG137">
        <v>1050</v>
      </c>
      <c r="CH137">
        <v>0</v>
      </c>
      <c r="CI137">
        <v>805</v>
      </c>
      <c r="CJ137">
        <v>0</v>
      </c>
      <c r="CK137">
        <v>0</v>
      </c>
      <c r="CL137">
        <v>2677</v>
      </c>
      <c r="CM137">
        <v>1</v>
      </c>
      <c r="CS137">
        <v>1</v>
      </c>
      <c r="CT137">
        <v>6</v>
      </c>
      <c r="CU137">
        <v>6</v>
      </c>
      <c r="CW137">
        <v>6</v>
      </c>
      <c r="CZ137">
        <v>18</v>
      </c>
      <c r="DG137">
        <v>0</v>
      </c>
      <c r="DN137">
        <v>0</v>
      </c>
      <c r="DU137">
        <v>0</v>
      </c>
      <c r="EB137">
        <v>0</v>
      </c>
      <c r="EC137">
        <v>7</v>
      </c>
      <c r="ED137">
        <v>6</v>
      </c>
      <c r="EE137">
        <v>0</v>
      </c>
      <c r="EF137">
        <v>6</v>
      </c>
      <c r="EG137">
        <v>0</v>
      </c>
      <c r="EH137">
        <v>0</v>
      </c>
      <c r="EI137">
        <v>19</v>
      </c>
      <c r="EJ137" t="s">
        <v>405</v>
      </c>
      <c r="EK137" t="s">
        <v>404</v>
      </c>
      <c r="EL137" t="s">
        <v>404</v>
      </c>
      <c r="EM137" t="s">
        <v>404</v>
      </c>
      <c r="EN137" t="s">
        <v>404</v>
      </c>
      <c r="EO137" t="s">
        <v>404</v>
      </c>
      <c r="EP137" t="s">
        <v>405</v>
      </c>
      <c r="EQ137" t="s">
        <v>405</v>
      </c>
      <c r="ER137" t="s">
        <v>404</v>
      </c>
      <c r="ES137" t="s">
        <v>405</v>
      </c>
      <c r="ET137" t="s">
        <v>404</v>
      </c>
      <c r="EU137" t="s">
        <v>404</v>
      </c>
      <c r="EV137" t="s">
        <v>404</v>
      </c>
      <c r="EW137" t="s">
        <v>404</v>
      </c>
      <c r="EX137" t="s">
        <v>404</v>
      </c>
      <c r="EY137" t="s">
        <v>404</v>
      </c>
      <c r="EZ137" t="s">
        <v>404</v>
      </c>
      <c r="FA137" t="s">
        <v>404</v>
      </c>
      <c r="FB137" t="s">
        <v>404</v>
      </c>
      <c r="FC137" t="s">
        <v>404</v>
      </c>
      <c r="FD137" t="s">
        <v>404</v>
      </c>
      <c r="FE137" t="s">
        <v>404</v>
      </c>
      <c r="FF137" t="s">
        <v>404</v>
      </c>
      <c r="FG137" t="s">
        <v>404</v>
      </c>
      <c r="FH137" t="s">
        <v>404</v>
      </c>
      <c r="FI137" t="s">
        <v>404</v>
      </c>
      <c r="FJ137" t="s">
        <v>404</v>
      </c>
      <c r="FK137" t="s">
        <v>404</v>
      </c>
      <c r="FL137" t="s">
        <v>404</v>
      </c>
      <c r="FM137" t="s">
        <v>404</v>
      </c>
      <c r="FN137" t="s">
        <v>404</v>
      </c>
      <c r="FO137" t="s">
        <v>404</v>
      </c>
      <c r="FP137" t="s">
        <v>404</v>
      </c>
      <c r="FQ137" t="s">
        <v>404</v>
      </c>
      <c r="FR137" t="s">
        <v>404</v>
      </c>
      <c r="FS137" t="s">
        <v>404</v>
      </c>
      <c r="FT137">
        <v>315</v>
      </c>
      <c r="FU137">
        <v>310</v>
      </c>
      <c r="FW137">
        <v>302</v>
      </c>
      <c r="FZ137">
        <v>927</v>
      </c>
      <c r="GA137">
        <v>258</v>
      </c>
      <c r="GB137">
        <v>60</v>
      </c>
      <c r="GD137">
        <v>402</v>
      </c>
      <c r="GG137">
        <v>720</v>
      </c>
      <c r="GH137">
        <v>28</v>
      </c>
      <c r="GI137">
        <v>560</v>
      </c>
      <c r="GK137">
        <v>65</v>
      </c>
      <c r="GN137">
        <v>653</v>
      </c>
      <c r="GU137">
        <v>0</v>
      </c>
      <c r="GV137">
        <v>72</v>
      </c>
      <c r="HB137">
        <v>72</v>
      </c>
      <c r="HI137">
        <v>0</v>
      </c>
      <c r="HJ137">
        <v>29</v>
      </c>
      <c r="HK137">
        <v>35</v>
      </c>
      <c r="HP137">
        <v>64</v>
      </c>
      <c r="HQ137" t="s">
        <v>1421</v>
      </c>
      <c r="HR137">
        <v>120</v>
      </c>
      <c r="HS137">
        <v>85</v>
      </c>
      <c r="HU137">
        <v>36</v>
      </c>
      <c r="HX137">
        <v>241</v>
      </c>
      <c r="HY137">
        <v>822</v>
      </c>
      <c r="HZ137">
        <v>1050</v>
      </c>
      <c r="IA137">
        <v>0</v>
      </c>
      <c r="IB137">
        <v>805</v>
      </c>
      <c r="IC137">
        <v>0</v>
      </c>
      <c r="ID137">
        <v>0</v>
      </c>
      <c r="IE137">
        <v>2677</v>
      </c>
      <c r="IF137">
        <v>302</v>
      </c>
      <c r="IG137">
        <v>542</v>
      </c>
      <c r="II137">
        <v>420</v>
      </c>
      <c r="IL137">
        <v>1264</v>
      </c>
      <c r="IM137">
        <v>520</v>
      </c>
      <c r="IN137">
        <v>508</v>
      </c>
      <c r="IP137">
        <v>385</v>
      </c>
      <c r="IS137">
        <v>1413</v>
      </c>
      <c r="IZ137">
        <v>0</v>
      </c>
      <c r="JG137">
        <v>0</v>
      </c>
      <c r="JN137">
        <v>0</v>
      </c>
      <c r="JO137">
        <v>822</v>
      </c>
      <c r="JP137">
        <v>1050</v>
      </c>
      <c r="JQ137">
        <v>0</v>
      </c>
      <c r="JR137">
        <v>805</v>
      </c>
      <c r="JS137">
        <v>0</v>
      </c>
      <c r="JT137">
        <v>0</v>
      </c>
      <c r="JU137">
        <v>2677</v>
      </c>
      <c r="JV137">
        <v>5</v>
      </c>
      <c r="JW137">
        <v>8</v>
      </c>
      <c r="JX137">
        <v>87</v>
      </c>
      <c r="KA137">
        <v>1</v>
      </c>
      <c r="KB137">
        <v>3</v>
      </c>
      <c r="KC137">
        <v>1</v>
      </c>
      <c r="KD137" t="s">
        <v>407</v>
      </c>
      <c r="OG137" t="s">
        <v>408</v>
      </c>
      <c r="SJ137" t="s">
        <v>409</v>
      </c>
      <c r="WM137" t="s">
        <v>410</v>
      </c>
      <c r="AAP137" t="s">
        <v>411</v>
      </c>
      <c r="AES137" t="s">
        <v>412</v>
      </c>
    </row>
    <row r="138" spans="1:825" x14ac:dyDescent="0.2">
      <c r="A138" t="s">
        <v>1422</v>
      </c>
      <c r="B138" t="s">
        <v>396</v>
      </c>
      <c r="C138" t="s">
        <v>1423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>
        <v>687</v>
      </c>
      <c r="W138" s="20">
        <v>43495.655555555553</v>
      </c>
      <c r="X138" t="s">
        <v>1424</v>
      </c>
      <c r="Y138">
        <v>2019</v>
      </c>
      <c r="Z138" t="s">
        <v>1425</v>
      </c>
      <c r="AA138" t="s">
        <v>1423</v>
      </c>
      <c r="AB138" t="str">
        <f>VLOOKUP(MID(AD138,SEARCH("@",AD138,1),LEN(AD138)-SEARCH("@",AD138,1)+1),[2]Sheet1!$D:$F,3,FALSE)</f>
        <v>M2638</v>
      </c>
      <c r="AC138" t="s">
        <v>450</v>
      </c>
      <c r="AD138" t="s">
        <v>1426</v>
      </c>
      <c r="AE138">
        <v>33140626649</v>
      </c>
      <c r="AF138" t="s">
        <v>592</v>
      </c>
      <c r="AG138" t="s">
        <v>403</v>
      </c>
      <c r="AI138">
        <v>1</v>
      </c>
      <c r="AM138">
        <v>500</v>
      </c>
      <c r="AO138">
        <v>500</v>
      </c>
      <c r="AV138">
        <v>0</v>
      </c>
      <c r="AW138">
        <v>500</v>
      </c>
      <c r="BC138">
        <v>500</v>
      </c>
      <c r="BJ138">
        <v>0</v>
      </c>
      <c r="BQ138">
        <v>0</v>
      </c>
      <c r="BX138">
        <v>0</v>
      </c>
      <c r="CE138">
        <v>0</v>
      </c>
      <c r="CF138">
        <v>500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500</v>
      </c>
      <c r="CS138">
        <v>0</v>
      </c>
      <c r="CT138">
        <v>1</v>
      </c>
      <c r="CZ138">
        <v>1</v>
      </c>
      <c r="DG138">
        <v>0</v>
      </c>
      <c r="DN138">
        <v>0</v>
      </c>
      <c r="DU138">
        <v>0</v>
      </c>
      <c r="EB138">
        <v>0</v>
      </c>
      <c r="EC138">
        <v>1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1</v>
      </c>
      <c r="EJ138" t="s">
        <v>404</v>
      </c>
      <c r="EK138" t="s">
        <v>404</v>
      </c>
      <c r="EL138" t="s">
        <v>404</v>
      </c>
      <c r="EM138" t="s">
        <v>404</v>
      </c>
      <c r="EN138" t="s">
        <v>404</v>
      </c>
      <c r="EO138" t="s">
        <v>404</v>
      </c>
      <c r="EP138" t="s">
        <v>405</v>
      </c>
      <c r="EQ138" t="s">
        <v>404</v>
      </c>
      <c r="ER138" t="s">
        <v>404</v>
      </c>
      <c r="ES138" t="s">
        <v>404</v>
      </c>
      <c r="ET138" t="s">
        <v>404</v>
      </c>
      <c r="EU138" t="s">
        <v>404</v>
      </c>
      <c r="EV138" t="s">
        <v>404</v>
      </c>
      <c r="EW138" t="s">
        <v>404</v>
      </c>
      <c r="EX138" t="s">
        <v>404</v>
      </c>
      <c r="EY138" t="s">
        <v>404</v>
      </c>
      <c r="EZ138" t="s">
        <v>404</v>
      </c>
      <c r="FA138" t="s">
        <v>404</v>
      </c>
      <c r="FB138" t="s">
        <v>404</v>
      </c>
      <c r="FC138" t="s">
        <v>404</v>
      </c>
      <c r="FD138" t="s">
        <v>404</v>
      </c>
      <c r="FE138" t="s">
        <v>404</v>
      </c>
      <c r="FF138" t="s">
        <v>404</v>
      </c>
      <c r="FG138" t="s">
        <v>404</v>
      </c>
      <c r="FH138" t="s">
        <v>404</v>
      </c>
      <c r="FI138" t="s">
        <v>404</v>
      </c>
      <c r="FJ138" t="s">
        <v>404</v>
      </c>
      <c r="FK138" t="s">
        <v>404</v>
      </c>
      <c r="FL138" t="s">
        <v>404</v>
      </c>
      <c r="FM138" t="s">
        <v>404</v>
      </c>
      <c r="FN138" t="s">
        <v>404</v>
      </c>
      <c r="FO138" t="s">
        <v>404</v>
      </c>
      <c r="FP138" t="s">
        <v>404</v>
      </c>
      <c r="FQ138" t="s">
        <v>404</v>
      </c>
      <c r="FR138" t="s">
        <v>404</v>
      </c>
      <c r="FS138" t="s">
        <v>404</v>
      </c>
      <c r="FZ138">
        <v>0</v>
      </c>
      <c r="GA138">
        <v>165</v>
      </c>
      <c r="GG138">
        <v>165</v>
      </c>
      <c r="GN138">
        <v>0</v>
      </c>
      <c r="GU138">
        <v>0</v>
      </c>
      <c r="GV138">
        <v>30</v>
      </c>
      <c r="HB138">
        <v>30</v>
      </c>
      <c r="HI138">
        <v>0</v>
      </c>
      <c r="HJ138">
        <v>305</v>
      </c>
      <c r="HP138">
        <v>305</v>
      </c>
      <c r="HX138">
        <v>0</v>
      </c>
      <c r="HY138">
        <v>500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500</v>
      </c>
      <c r="IL138">
        <v>0</v>
      </c>
      <c r="IM138">
        <v>500</v>
      </c>
      <c r="IS138">
        <v>500</v>
      </c>
      <c r="IZ138">
        <v>0</v>
      </c>
      <c r="JG138">
        <v>0</v>
      </c>
      <c r="JN138">
        <v>0</v>
      </c>
      <c r="JO138">
        <v>500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500</v>
      </c>
      <c r="JX138">
        <v>100</v>
      </c>
      <c r="KA138">
        <v>1</v>
      </c>
      <c r="KB138">
        <v>3</v>
      </c>
      <c r="KC138">
        <v>1</v>
      </c>
      <c r="KD138" t="s">
        <v>407</v>
      </c>
      <c r="OG138" t="s">
        <v>408</v>
      </c>
      <c r="SJ138" t="s">
        <v>409</v>
      </c>
      <c r="WM138" t="s">
        <v>410</v>
      </c>
      <c r="AAP138" t="s">
        <v>411</v>
      </c>
      <c r="AES138" t="s">
        <v>412</v>
      </c>
    </row>
    <row r="139" spans="1:825" x14ac:dyDescent="0.2">
      <c r="A139" t="s">
        <v>1427</v>
      </c>
      <c r="B139" t="s">
        <v>396</v>
      </c>
      <c r="C139" t="s">
        <v>1428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>
        <v>755</v>
      </c>
      <c r="W139" s="20">
        <v>43523.636111111111</v>
      </c>
      <c r="X139" t="s">
        <v>1429</v>
      </c>
      <c r="Y139">
        <v>2019</v>
      </c>
      <c r="Z139" t="s">
        <v>396</v>
      </c>
      <c r="AA139" t="s">
        <v>1428</v>
      </c>
      <c r="AB139" t="str">
        <f>VLOOKUP(MID(AD139,SEARCH("@",AD139,1),LEN(AD139)-SEARCH("@",AD139,1)+1),[2]Sheet1!$D:$F,3,FALSE)</f>
        <v>M636</v>
      </c>
      <c r="AD139" t="s">
        <v>888</v>
      </c>
      <c r="AF139" t="s">
        <v>1073</v>
      </c>
      <c r="AG139" t="s">
        <v>403</v>
      </c>
      <c r="AI139">
        <v>2</v>
      </c>
      <c r="AV139">
        <v>0</v>
      </c>
      <c r="BC139">
        <v>0</v>
      </c>
      <c r="BJ139">
        <v>0</v>
      </c>
      <c r="BQ139">
        <v>0</v>
      </c>
      <c r="BX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S139">
        <v>0</v>
      </c>
      <c r="CZ139">
        <v>0</v>
      </c>
      <c r="DG139">
        <v>0</v>
      </c>
      <c r="DN139">
        <v>0</v>
      </c>
      <c r="DU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 t="s">
        <v>404</v>
      </c>
      <c r="EK139" t="s">
        <v>404</v>
      </c>
      <c r="EL139" t="s">
        <v>404</v>
      </c>
      <c r="EM139" t="s">
        <v>404</v>
      </c>
      <c r="EN139" t="s">
        <v>404</v>
      </c>
      <c r="EO139" t="s">
        <v>404</v>
      </c>
      <c r="EP139" t="s">
        <v>404</v>
      </c>
      <c r="EQ139" t="s">
        <v>404</v>
      </c>
      <c r="ER139" t="s">
        <v>404</v>
      </c>
      <c r="ES139" t="s">
        <v>404</v>
      </c>
      <c r="ET139" t="s">
        <v>404</v>
      </c>
      <c r="EU139" t="s">
        <v>404</v>
      </c>
      <c r="EV139" t="s">
        <v>404</v>
      </c>
      <c r="EW139" t="s">
        <v>404</v>
      </c>
      <c r="EX139" t="s">
        <v>404</v>
      </c>
      <c r="EY139" t="s">
        <v>404</v>
      </c>
      <c r="EZ139" t="s">
        <v>404</v>
      </c>
      <c r="FA139" t="s">
        <v>404</v>
      </c>
      <c r="FB139" t="s">
        <v>404</v>
      </c>
      <c r="FC139" t="s">
        <v>404</v>
      </c>
      <c r="FD139" t="s">
        <v>404</v>
      </c>
      <c r="FE139" t="s">
        <v>404</v>
      </c>
      <c r="FF139" t="s">
        <v>404</v>
      </c>
      <c r="FG139" t="s">
        <v>404</v>
      </c>
      <c r="FH139" t="s">
        <v>404</v>
      </c>
      <c r="FI139" t="s">
        <v>404</v>
      </c>
      <c r="FJ139" t="s">
        <v>404</v>
      </c>
      <c r="FK139" t="s">
        <v>404</v>
      </c>
      <c r="FL139" t="s">
        <v>404</v>
      </c>
      <c r="FM139" t="s">
        <v>404</v>
      </c>
      <c r="FN139" t="s">
        <v>404</v>
      </c>
      <c r="FO139" t="s">
        <v>404</v>
      </c>
      <c r="FP139" t="s">
        <v>404</v>
      </c>
      <c r="FQ139" t="s">
        <v>404</v>
      </c>
      <c r="FR139" t="s">
        <v>404</v>
      </c>
      <c r="FS139" t="s">
        <v>404</v>
      </c>
      <c r="FZ139">
        <v>0</v>
      </c>
      <c r="GG139">
        <v>0</v>
      </c>
      <c r="GN139">
        <v>0</v>
      </c>
      <c r="GU139">
        <v>0</v>
      </c>
      <c r="HB139">
        <v>0</v>
      </c>
      <c r="HI139">
        <v>0</v>
      </c>
      <c r="HP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L139">
        <v>0</v>
      </c>
      <c r="IS139">
        <v>0</v>
      </c>
      <c r="IZ139">
        <v>0</v>
      </c>
      <c r="JG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KC139">
        <v>2</v>
      </c>
      <c r="KD139" t="s">
        <v>407</v>
      </c>
      <c r="OG139" t="s">
        <v>408</v>
      </c>
      <c r="SJ139" t="s">
        <v>409</v>
      </c>
      <c r="WM139" t="s">
        <v>410</v>
      </c>
      <c r="AAP139" t="s">
        <v>411</v>
      </c>
      <c r="AES139" t="s">
        <v>412</v>
      </c>
    </row>
    <row r="140" spans="1:825" x14ac:dyDescent="0.2">
      <c r="A140" t="s">
        <v>1430</v>
      </c>
      <c r="B140" t="s">
        <v>396</v>
      </c>
      <c r="C140" t="s">
        <v>1431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>
        <v>689</v>
      </c>
      <c r="W140" s="20">
        <v>43496.59652777778</v>
      </c>
      <c r="X140" t="s">
        <v>1432</v>
      </c>
      <c r="Y140">
        <v>2019</v>
      </c>
      <c r="Z140" t="s">
        <v>1433</v>
      </c>
      <c r="AA140" t="s">
        <v>1434</v>
      </c>
      <c r="AB140" t="str">
        <f>VLOOKUP(MID(AD140,SEARCH("@",AD140,1),LEN(AD140)-SEARCH("@",AD140,1)+1),[2]Sheet1!$D:$F,3,FALSE)</f>
        <v>M015</v>
      </c>
      <c r="AC140" t="s">
        <v>1435</v>
      </c>
      <c r="AD140" t="s">
        <v>1436</v>
      </c>
      <c r="AE140">
        <v>622755282</v>
      </c>
      <c r="AF140" t="s">
        <v>611</v>
      </c>
      <c r="AG140" t="s">
        <v>403</v>
      </c>
      <c r="AI140">
        <v>2</v>
      </c>
      <c r="AJ140">
        <v>6</v>
      </c>
      <c r="AK140" t="s">
        <v>1437</v>
      </c>
      <c r="AV140">
        <v>0</v>
      </c>
      <c r="BC140">
        <v>0</v>
      </c>
      <c r="BJ140">
        <v>0</v>
      </c>
      <c r="BQ140">
        <v>0</v>
      </c>
      <c r="BX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S140">
        <v>0</v>
      </c>
      <c r="CZ140">
        <v>0</v>
      </c>
      <c r="DG140">
        <v>0</v>
      </c>
      <c r="DN140">
        <v>0</v>
      </c>
      <c r="DU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 t="s">
        <v>404</v>
      </c>
      <c r="EK140" t="s">
        <v>404</v>
      </c>
      <c r="EL140" t="s">
        <v>404</v>
      </c>
      <c r="EM140" t="s">
        <v>404</v>
      </c>
      <c r="EN140" t="s">
        <v>404</v>
      </c>
      <c r="EO140" t="s">
        <v>404</v>
      </c>
      <c r="EP140" t="s">
        <v>404</v>
      </c>
      <c r="EQ140" t="s">
        <v>404</v>
      </c>
      <c r="ER140" t="s">
        <v>404</v>
      </c>
      <c r="ES140" t="s">
        <v>404</v>
      </c>
      <c r="ET140" t="s">
        <v>404</v>
      </c>
      <c r="EU140" t="s">
        <v>404</v>
      </c>
      <c r="EV140" t="s">
        <v>404</v>
      </c>
      <c r="EW140" t="s">
        <v>404</v>
      </c>
      <c r="EX140" t="s">
        <v>404</v>
      </c>
      <c r="EY140" t="s">
        <v>404</v>
      </c>
      <c r="EZ140" t="s">
        <v>404</v>
      </c>
      <c r="FA140" t="s">
        <v>404</v>
      </c>
      <c r="FB140" t="s">
        <v>404</v>
      </c>
      <c r="FC140" t="s">
        <v>404</v>
      </c>
      <c r="FD140" t="s">
        <v>404</v>
      </c>
      <c r="FE140" t="s">
        <v>404</v>
      </c>
      <c r="FF140" t="s">
        <v>404</v>
      </c>
      <c r="FG140" t="s">
        <v>404</v>
      </c>
      <c r="FH140" t="s">
        <v>404</v>
      </c>
      <c r="FI140" t="s">
        <v>404</v>
      </c>
      <c r="FJ140" t="s">
        <v>404</v>
      </c>
      <c r="FK140" t="s">
        <v>404</v>
      </c>
      <c r="FL140" t="s">
        <v>404</v>
      </c>
      <c r="FM140" t="s">
        <v>404</v>
      </c>
      <c r="FN140" t="s">
        <v>404</v>
      </c>
      <c r="FO140" t="s">
        <v>404</v>
      </c>
      <c r="FP140" t="s">
        <v>404</v>
      </c>
      <c r="FQ140" t="s">
        <v>404</v>
      </c>
      <c r="FR140" t="s">
        <v>404</v>
      </c>
      <c r="FS140" t="s">
        <v>404</v>
      </c>
      <c r="FZ140">
        <v>0</v>
      </c>
      <c r="GG140">
        <v>0</v>
      </c>
      <c r="GN140">
        <v>0</v>
      </c>
      <c r="GU140">
        <v>0</v>
      </c>
      <c r="HB140">
        <v>0</v>
      </c>
      <c r="HI140">
        <v>0</v>
      </c>
      <c r="HP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L140">
        <v>0</v>
      </c>
      <c r="IS140">
        <v>0</v>
      </c>
      <c r="IZ140">
        <v>0</v>
      </c>
      <c r="JG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KA140">
        <v>2</v>
      </c>
      <c r="KB140">
        <v>2</v>
      </c>
      <c r="KC140">
        <v>1</v>
      </c>
      <c r="KD140" t="s">
        <v>407</v>
      </c>
      <c r="OG140" t="s">
        <v>408</v>
      </c>
      <c r="SJ140" t="s">
        <v>409</v>
      </c>
      <c r="WM140" t="s">
        <v>410</v>
      </c>
      <c r="AAP140" t="s">
        <v>411</v>
      </c>
      <c r="AES140" t="s">
        <v>412</v>
      </c>
    </row>
    <row r="141" spans="1:825" x14ac:dyDescent="0.2">
      <c r="A141" t="s">
        <v>1438</v>
      </c>
      <c r="B141" t="s">
        <v>563</v>
      </c>
      <c r="C141" t="s">
        <v>1439</v>
      </c>
      <c r="D141" t="s">
        <v>478</v>
      </c>
      <c r="E141" s="3">
        <v>43517.697916666664</v>
      </c>
      <c r="F141" t="s">
        <v>479</v>
      </c>
      <c r="G141" s="3">
        <v>43517.702777777777</v>
      </c>
      <c r="H141" t="s">
        <v>502</v>
      </c>
      <c r="I141" s="3">
        <v>43517.704861111109</v>
      </c>
      <c r="J141" t="s">
        <v>709</v>
      </c>
      <c r="K141" s="3">
        <v>43517.704861111109</v>
      </c>
      <c r="P141" t="b">
        <v>1</v>
      </c>
      <c r="Q141" t="b">
        <v>1</v>
      </c>
      <c r="R141" t="b">
        <v>1</v>
      </c>
      <c r="S141" t="b">
        <v>1</v>
      </c>
      <c r="T141" t="b">
        <v>0</v>
      </c>
      <c r="U141" t="b">
        <v>0</v>
      </c>
      <c r="V141">
        <v>607</v>
      </c>
      <c r="W141" s="20">
        <v>43517.690972222219</v>
      </c>
      <c r="X141" t="s">
        <v>1440</v>
      </c>
      <c r="Y141">
        <v>2019</v>
      </c>
      <c r="Z141" t="s">
        <v>1441</v>
      </c>
      <c r="AA141" t="s">
        <v>1442</v>
      </c>
      <c r="AB141" t="str">
        <f>VLOOKUP(MID(AD141,SEARCH("@",AD141,1),LEN(AD141)-SEARCH("@",AD141,1)+1),[2]Sheet1!$D:$F,3,FALSE)</f>
        <v>M020</v>
      </c>
      <c r="AC141" t="s">
        <v>545</v>
      </c>
      <c r="AD141" t="s">
        <v>1443</v>
      </c>
      <c r="AE141">
        <v>3128974039</v>
      </c>
      <c r="AF141" t="s">
        <v>571</v>
      </c>
      <c r="AG141" t="s">
        <v>538</v>
      </c>
      <c r="AI141">
        <v>1</v>
      </c>
      <c r="AL141">
        <v>7157</v>
      </c>
      <c r="AM141">
        <v>6434</v>
      </c>
      <c r="AN141">
        <v>2492</v>
      </c>
      <c r="AO141">
        <v>2492</v>
      </c>
      <c r="AP141">
        <v>567</v>
      </c>
      <c r="AQ141">
        <v>82</v>
      </c>
      <c r="AS141">
        <v>586</v>
      </c>
      <c r="AV141">
        <v>1235</v>
      </c>
      <c r="AW141">
        <v>312</v>
      </c>
      <c r="AX141">
        <v>1594</v>
      </c>
      <c r="AZ141">
        <v>433</v>
      </c>
      <c r="BC141">
        <v>2339</v>
      </c>
      <c r="BD141">
        <v>1640</v>
      </c>
      <c r="BE141">
        <v>1025</v>
      </c>
      <c r="BJ141">
        <v>2665</v>
      </c>
      <c r="BL141">
        <v>195</v>
      </c>
      <c r="BQ141">
        <v>195</v>
      </c>
      <c r="BX141">
        <v>0</v>
      </c>
      <c r="CE141">
        <v>0</v>
      </c>
      <c r="CF141">
        <v>2519</v>
      </c>
      <c r="CG141">
        <v>2896</v>
      </c>
      <c r="CH141">
        <v>0</v>
      </c>
      <c r="CI141">
        <v>1019</v>
      </c>
      <c r="CJ141">
        <v>0</v>
      </c>
      <c r="CK141">
        <v>0</v>
      </c>
      <c r="CL141">
        <v>6434</v>
      </c>
      <c r="CM141">
        <v>3</v>
      </c>
      <c r="CN141">
        <v>1</v>
      </c>
      <c r="CP141">
        <v>7</v>
      </c>
      <c r="CS141">
        <v>11</v>
      </c>
      <c r="CT141">
        <v>2</v>
      </c>
      <c r="CU141">
        <v>4</v>
      </c>
      <c r="CW141">
        <v>2</v>
      </c>
      <c r="CZ141">
        <v>8</v>
      </c>
      <c r="DA141">
        <v>4</v>
      </c>
      <c r="DB141">
        <v>4</v>
      </c>
      <c r="DG141">
        <v>8</v>
      </c>
      <c r="DI141">
        <v>1</v>
      </c>
      <c r="DN141">
        <v>1</v>
      </c>
      <c r="DU141">
        <v>0</v>
      </c>
      <c r="EB141">
        <v>0</v>
      </c>
      <c r="EC141">
        <v>9</v>
      </c>
      <c r="ED141">
        <v>10</v>
      </c>
      <c r="EE141">
        <v>0</v>
      </c>
      <c r="EF141">
        <v>9</v>
      </c>
      <c r="EG141">
        <v>0</v>
      </c>
      <c r="EH141">
        <v>0</v>
      </c>
      <c r="EI141">
        <v>28</v>
      </c>
      <c r="EJ141" t="s">
        <v>405</v>
      </c>
      <c r="EK141" t="s">
        <v>405</v>
      </c>
      <c r="EL141" t="s">
        <v>404</v>
      </c>
      <c r="EM141" t="s">
        <v>405</v>
      </c>
      <c r="EN141" t="s">
        <v>404</v>
      </c>
      <c r="EO141" t="s">
        <v>404</v>
      </c>
      <c r="EP141" t="s">
        <v>405</v>
      </c>
      <c r="EQ141" t="s">
        <v>405</v>
      </c>
      <c r="ER141" t="s">
        <v>404</v>
      </c>
      <c r="ES141" t="s">
        <v>405</v>
      </c>
      <c r="ET141" t="s">
        <v>404</v>
      </c>
      <c r="EU141" t="s">
        <v>404</v>
      </c>
      <c r="EV141" t="s">
        <v>405</v>
      </c>
      <c r="EW141" t="s">
        <v>405</v>
      </c>
      <c r="EX141" t="s">
        <v>404</v>
      </c>
      <c r="EY141" t="s">
        <v>404</v>
      </c>
      <c r="EZ141" t="s">
        <v>404</v>
      </c>
      <c r="FA141" t="s">
        <v>404</v>
      </c>
      <c r="FB141" t="s">
        <v>404</v>
      </c>
      <c r="FC141" t="s">
        <v>405</v>
      </c>
      <c r="FD141" t="s">
        <v>404</v>
      </c>
      <c r="FE141" t="s">
        <v>404</v>
      </c>
      <c r="FF141" t="s">
        <v>404</v>
      </c>
      <c r="FG141" t="s">
        <v>404</v>
      </c>
      <c r="FH141" t="s">
        <v>404</v>
      </c>
      <c r="FI141" t="s">
        <v>404</v>
      </c>
      <c r="FJ141" t="s">
        <v>404</v>
      </c>
      <c r="FK141" t="s">
        <v>404</v>
      </c>
      <c r="FL141" t="s">
        <v>404</v>
      </c>
      <c r="FM141" t="s">
        <v>404</v>
      </c>
      <c r="FN141" t="s">
        <v>404</v>
      </c>
      <c r="FO141" t="s">
        <v>404</v>
      </c>
      <c r="FP141" t="s">
        <v>404</v>
      </c>
      <c r="FQ141" t="s">
        <v>404</v>
      </c>
      <c r="FR141" t="s">
        <v>404</v>
      </c>
      <c r="FS141" t="s">
        <v>404</v>
      </c>
      <c r="FT141">
        <v>1121</v>
      </c>
      <c r="FU141">
        <v>2272</v>
      </c>
      <c r="FW141">
        <v>418</v>
      </c>
      <c r="FZ141">
        <v>3811</v>
      </c>
      <c r="GA141">
        <v>52</v>
      </c>
      <c r="GB141">
        <v>542</v>
      </c>
      <c r="GG141">
        <v>594</v>
      </c>
      <c r="GH141">
        <v>451</v>
      </c>
      <c r="GI141">
        <v>0</v>
      </c>
      <c r="GN141">
        <v>451</v>
      </c>
      <c r="GO141">
        <v>0</v>
      </c>
      <c r="GP141">
        <v>0</v>
      </c>
      <c r="GU141">
        <v>0</v>
      </c>
      <c r="GV141">
        <v>61</v>
      </c>
      <c r="GW141">
        <v>0</v>
      </c>
      <c r="HB141">
        <v>61</v>
      </c>
      <c r="HC141">
        <v>350</v>
      </c>
      <c r="HD141">
        <v>82</v>
      </c>
      <c r="HI141">
        <v>432</v>
      </c>
      <c r="HJ141">
        <v>171</v>
      </c>
      <c r="HK141">
        <v>0</v>
      </c>
      <c r="HM141">
        <v>376</v>
      </c>
      <c r="HP141">
        <v>547</v>
      </c>
      <c r="HQ141" t="s">
        <v>1444</v>
      </c>
      <c r="HR141">
        <v>313</v>
      </c>
      <c r="HS141">
        <v>0</v>
      </c>
      <c r="HU141">
        <v>225</v>
      </c>
      <c r="HX141">
        <v>538</v>
      </c>
      <c r="HY141">
        <v>2519</v>
      </c>
      <c r="HZ141">
        <v>2896</v>
      </c>
      <c r="IA141">
        <v>0</v>
      </c>
      <c r="IB141">
        <v>1019</v>
      </c>
      <c r="IC141">
        <v>0</v>
      </c>
      <c r="ID141">
        <v>0</v>
      </c>
      <c r="IE141">
        <v>6434</v>
      </c>
      <c r="IF141">
        <v>461</v>
      </c>
      <c r="IG141">
        <v>82</v>
      </c>
      <c r="II141">
        <v>252</v>
      </c>
      <c r="IL141">
        <v>795</v>
      </c>
      <c r="IM141">
        <v>866</v>
      </c>
      <c r="IN141">
        <v>1989</v>
      </c>
      <c r="IP141">
        <v>767</v>
      </c>
      <c r="IS141">
        <v>3622</v>
      </c>
      <c r="IT141">
        <v>1192</v>
      </c>
      <c r="IU141">
        <v>825</v>
      </c>
      <c r="IZ141">
        <v>2017</v>
      </c>
      <c r="JG141">
        <v>0</v>
      </c>
      <c r="JN141">
        <v>0</v>
      </c>
      <c r="JO141">
        <v>2519</v>
      </c>
      <c r="JP141">
        <v>2896</v>
      </c>
      <c r="JQ141">
        <v>0</v>
      </c>
      <c r="JR141">
        <v>1019</v>
      </c>
      <c r="JS141">
        <v>0</v>
      </c>
      <c r="JT141">
        <v>0</v>
      </c>
      <c r="JU141">
        <v>6434</v>
      </c>
      <c r="JX141">
        <v>100</v>
      </c>
      <c r="KD141" t="s">
        <v>407</v>
      </c>
      <c r="KE141">
        <v>90</v>
      </c>
      <c r="KF141">
        <v>0</v>
      </c>
      <c r="KH141">
        <v>361</v>
      </c>
      <c r="KK141">
        <v>451</v>
      </c>
      <c r="KL141">
        <v>0</v>
      </c>
      <c r="KM141">
        <v>0</v>
      </c>
      <c r="KO141">
        <v>0</v>
      </c>
      <c r="KR141">
        <v>0</v>
      </c>
      <c r="KS141">
        <v>140</v>
      </c>
      <c r="KT141">
        <v>0</v>
      </c>
      <c r="KV141">
        <v>0</v>
      </c>
      <c r="KY141">
        <v>140</v>
      </c>
      <c r="KZ141">
        <v>0</v>
      </c>
      <c r="LA141">
        <v>0</v>
      </c>
      <c r="LC141">
        <v>0</v>
      </c>
      <c r="LF141">
        <v>0</v>
      </c>
      <c r="LG141">
        <v>0</v>
      </c>
      <c r="LH141">
        <v>0</v>
      </c>
      <c r="LJ141">
        <v>0</v>
      </c>
      <c r="LM141">
        <v>0</v>
      </c>
      <c r="LN141">
        <v>82</v>
      </c>
      <c r="LO141">
        <v>82</v>
      </c>
      <c r="LQ141">
        <v>0</v>
      </c>
      <c r="LT141">
        <v>164</v>
      </c>
      <c r="LU141">
        <v>33</v>
      </c>
      <c r="LV141">
        <v>0</v>
      </c>
      <c r="LX141">
        <v>0</v>
      </c>
      <c r="MA141">
        <v>33</v>
      </c>
      <c r="MB141" t="s">
        <v>1445</v>
      </c>
      <c r="MC141">
        <v>222</v>
      </c>
      <c r="MD141">
        <v>0</v>
      </c>
      <c r="MF141">
        <v>225</v>
      </c>
      <c r="MI141">
        <v>447</v>
      </c>
      <c r="MJ141">
        <v>567</v>
      </c>
      <c r="MK141">
        <v>82</v>
      </c>
      <c r="ML141">
        <v>0</v>
      </c>
      <c r="MM141">
        <v>586</v>
      </c>
      <c r="MN141">
        <v>0</v>
      </c>
      <c r="MO141">
        <v>0</v>
      </c>
      <c r="MP141">
        <v>1235</v>
      </c>
      <c r="MQ141">
        <v>144</v>
      </c>
      <c r="MT141">
        <v>334</v>
      </c>
      <c r="MW141">
        <v>478</v>
      </c>
      <c r="MX141">
        <v>341</v>
      </c>
      <c r="MY141">
        <v>82</v>
      </c>
      <c r="NA141">
        <v>252</v>
      </c>
      <c r="ND141">
        <v>675</v>
      </c>
      <c r="NE141">
        <v>82</v>
      </c>
      <c r="NK141">
        <v>82</v>
      </c>
      <c r="NR141">
        <v>0</v>
      </c>
      <c r="NY141">
        <v>0</v>
      </c>
      <c r="NZ141">
        <v>567</v>
      </c>
      <c r="OA141">
        <v>82</v>
      </c>
      <c r="OB141">
        <v>0</v>
      </c>
      <c r="OC141">
        <v>586</v>
      </c>
      <c r="OD141">
        <v>0</v>
      </c>
      <c r="OE141">
        <v>0</v>
      </c>
      <c r="OF141">
        <v>1235</v>
      </c>
      <c r="OG141" t="s">
        <v>408</v>
      </c>
      <c r="OH141">
        <v>105</v>
      </c>
      <c r="OI141">
        <v>1252</v>
      </c>
      <c r="OK141">
        <v>57</v>
      </c>
      <c r="ON141">
        <v>1414</v>
      </c>
      <c r="OO141">
        <v>17</v>
      </c>
      <c r="OP141">
        <v>342</v>
      </c>
      <c r="OR141">
        <v>0</v>
      </c>
      <c r="OU141">
        <v>359</v>
      </c>
      <c r="OV141">
        <v>21</v>
      </c>
      <c r="OW141">
        <v>0</v>
      </c>
      <c r="OY141">
        <v>0</v>
      </c>
      <c r="PB141">
        <v>21</v>
      </c>
      <c r="PC141">
        <v>0</v>
      </c>
      <c r="PD141">
        <v>0</v>
      </c>
      <c r="PF141">
        <v>0</v>
      </c>
      <c r="PI141">
        <v>0</v>
      </c>
      <c r="PJ141">
        <v>4</v>
      </c>
      <c r="PK141">
        <v>0</v>
      </c>
      <c r="PM141">
        <v>0</v>
      </c>
      <c r="PP141">
        <v>4</v>
      </c>
      <c r="PQ141">
        <v>140</v>
      </c>
      <c r="PR141">
        <v>0</v>
      </c>
      <c r="PT141">
        <v>0</v>
      </c>
      <c r="PW141">
        <v>140</v>
      </c>
      <c r="PX141">
        <v>0</v>
      </c>
      <c r="PY141">
        <v>0</v>
      </c>
      <c r="QA141">
        <v>376</v>
      </c>
      <c r="QD141">
        <v>376</v>
      </c>
      <c r="QE141" t="s">
        <v>1446</v>
      </c>
      <c r="QF141">
        <v>25</v>
      </c>
      <c r="QG141">
        <v>0</v>
      </c>
      <c r="QI141">
        <v>0</v>
      </c>
      <c r="QL141">
        <v>25</v>
      </c>
      <c r="QM141">
        <v>312</v>
      </c>
      <c r="QN141">
        <v>1594</v>
      </c>
      <c r="QO141">
        <v>0</v>
      </c>
      <c r="QP141">
        <v>433</v>
      </c>
      <c r="QQ141">
        <v>0</v>
      </c>
      <c r="QR141">
        <v>0</v>
      </c>
      <c r="QS141">
        <v>2339</v>
      </c>
      <c r="QT141">
        <v>295</v>
      </c>
      <c r="QU141">
        <v>1594</v>
      </c>
      <c r="QW141">
        <v>433</v>
      </c>
      <c r="QZ141">
        <v>2322</v>
      </c>
      <c r="RA141">
        <v>17</v>
      </c>
      <c r="RG141">
        <v>17</v>
      </c>
      <c r="RN141">
        <v>0</v>
      </c>
      <c r="RU141">
        <v>0</v>
      </c>
      <c r="SB141">
        <v>0</v>
      </c>
      <c r="SC141">
        <v>312</v>
      </c>
      <c r="SD141">
        <v>1594</v>
      </c>
      <c r="SE141">
        <v>0</v>
      </c>
      <c r="SF141">
        <v>433</v>
      </c>
      <c r="SG141">
        <v>0</v>
      </c>
      <c r="SH141">
        <v>0</v>
      </c>
      <c r="SI141">
        <v>2339</v>
      </c>
      <c r="SJ141" t="s">
        <v>409</v>
      </c>
      <c r="SK141">
        <v>927</v>
      </c>
      <c r="SL141">
        <v>825</v>
      </c>
      <c r="SQ141">
        <v>1752</v>
      </c>
      <c r="SR141">
        <v>35</v>
      </c>
      <c r="SS141">
        <v>200</v>
      </c>
      <c r="SX141">
        <v>235</v>
      </c>
      <c r="SY141">
        <v>290</v>
      </c>
      <c r="SZ141">
        <v>0</v>
      </c>
      <c r="TE141">
        <v>290</v>
      </c>
      <c r="TF141">
        <v>0</v>
      </c>
      <c r="TG141">
        <v>0</v>
      </c>
      <c r="TL141">
        <v>0</v>
      </c>
      <c r="TM141">
        <v>57</v>
      </c>
      <c r="TN141">
        <v>0</v>
      </c>
      <c r="TS141">
        <v>57</v>
      </c>
      <c r="TT141">
        <v>126</v>
      </c>
      <c r="TU141">
        <v>0</v>
      </c>
      <c r="TZ141">
        <v>126</v>
      </c>
      <c r="UA141">
        <v>138</v>
      </c>
      <c r="UB141">
        <v>0</v>
      </c>
      <c r="UG141">
        <v>138</v>
      </c>
      <c r="UH141" t="s">
        <v>643</v>
      </c>
      <c r="UI141">
        <v>67</v>
      </c>
      <c r="UJ141">
        <v>0</v>
      </c>
      <c r="UO141">
        <v>67</v>
      </c>
      <c r="UP141">
        <v>1640</v>
      </c>
      <c r="UQ141">
        <v>1025</v>
      </c>
      <c r="UR141">
        <v>0</v>
      </c>
      <c r="US141">
        <v>0</v>
      </c>
      <c r="UT141">
        <v>0</v>
      </c>
      <c r="UU141">
        <v>0</v>
      </c>
      <c r="UV141">
        <v>2665</v>
      </c>
      <c r="UW141">
        <v>427</v>
      </c>
      <c r="UX141">
        <v>200</v>
      </c>
      <c r="VC141">
        <v>627</v>
      </c>
      <c r="VD141">
        <v>102</v>
      </c>
      <c r="VE141">
        <v>0</v>
      </c>
      <c r="VJ141">
        <v>102</v>
      </c>
      <c r="VK141">
        <v>1111</v>
      </c>
      <c r="VL141">
        <v>825</v>
      </c>
      <c r="VQ141">
        <v>1936</v>
      </c>
      <c r="VX141">
        <v>0</v>
      </c>
      <c r="WE141">
        <v>0</v>
      </c>
      <c r="WF141">
        <v>1640</v>
      </c>
      <c r="WG141">
        <v>1025</v>
      </c>
      <c r="WH141">
        <v>0</v>
      </c>
      <c r="WI141">
        <v>0</v>
      </c>
      <c r="WJ141">
        <v>0</v>
      </c>
      <c r="WK141">
        <v>0</v>
      </c>
      <c r="WL141">
        <v>2665</v>
      </c>
      <c r="WM141" t="s">
        <v>410</v>
      </c>
      <c r="WO141">
        <v>195</v>
      </c>
      <c r="WT141">
        <v>195</v>
      </c>
      <c r="XA141">
        <v>0</v>
      </c>
      <c r="XH141">
        <v>0</v>
      </c>
      <c r="XO141">
        <v>0</v>
      </c>
      <c r="XV141">
        <v>0</v>
      </c>
      <c r="YC141">
        <v>0</v>
      </c>
      <c r="YJ141">
        <v>0</v>
      </c>
      <c r="YR141">
        <v>0</v>
      </c>
      <c r="YS141">
        <v>0</v>
      </c>
      <c r="YT141">
        <v>195</v>
      </c>
      <c r="YU141">
        <v>0</v>
      </c>
      <c r="YV141">
        <v>0</v>
      </c>
      <c r="YW141">
        <v>0</v>
      </c>
      <c r="YX141">
        <v>0</v>
      </c>
      <c r="YY141">
        <v>195</v>
      </c>
      <c r="ZA141">
        <v>195</v>
      </c>
      <c r="ZF141">
        <v>195</v>
      </c>
      <c r="ZM141">
        <v>0</v>
      </c>
      <c r="ZT141">
        <v>0</v>
      </c>
      <c r="AAA141">
        <v>0</v>
      </c>
      <c r="AAH141">
        <v>0</v>
      </c>
      <c r="AAI141">
        <v>0</v>
      </c>
      <c r="AAJ141">
        <v>195</v>
      </c>
      <c r="AAK141">
        <v>0</v>
      </c>
      <c r="AAL141">
        <v>0</v>
      </c>
      <c r="AAM141">
        <v>0</v>
      </c>
      <c r="AAN141">
        <v>0</v>
      </c>
      <c r="AAO141">
        <v>195</v>
      </c>
      <c r="AAP141" t="s">
        <v>411</v>
      </c>
      <c r="AES141" t="s">
        <v>412</v>
      </c>
    </row>
    <row r="142" spans="1:825" x14ac:dyDescent="0.2">
      <c r="A142" t="s">
        <v>1447</v>
      </c>
      <c r="B142" t="s">
        <v>396</v>
      </c>
      <c r="C142" t="s">
        <v>1448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>
        <v>762</v>
      </c>
      <c r="W142" s="20">
        <v>43515.763194444444</v>
      </c>
      <c r="X142" t="s">
        <v>1449</v>
      </c>
      <c r="Y142">
        <v>2019</v>
      </c>
      <c r="Z142" t="s">
        <v>1450</v>
      </c>
      <c r="AA142" t="s">
        <v>1448</v>
      </c>
      <c r="AB142" t="str">
        <f>VLOOKUP(MID(AD142,SEARCH("@",AD142,1),LEN(AD142)-SEARCH("@",AD142,1)+1),[2]Sheet1!$D:$F,3,FALSE)</f>
        <v>M734</v>
      </c>
      <c r="AC142" t="s">
        <v>1451</v>
      </c>
      <c r="AD142" t="s">
        <v>1452</v>
      </c>
      <c r="AE142">
        <v>496994548581180</v>
      </c>
      <c r="AF142" t="s">
        <v>444</v>
      </c>
      <c r="AG142" t="s">
        <v>403</v>
      </c>
      <c r="AI142">
        <v>1</v>
      </c>
      <c r="AL142">
        <v>108</v>
      </c>
      <c r="AM142">
        <v>108</v>
      </c>
      <c r="AN142">
        <v>108</v>
      </c>
      <c r="AO142">
        <v>108</v>
      </c>
      <c r="AV142">
        <v>0</v>
      </c>
      <c r="AW142">
        <v>108</v>
      </c>
      <c r="BC142">
        <v>108</v>
      </c>
      <c r="BJ142">
        <v>0</v>
      </c>
      <c r="BQ142">
        <v>0</v>
      </c>
      <c r="BX142">
        <v>0</v>
      </c>
      <c r="CE142">
        <v>0</v>
      </c>
      <c r="CF142">
        <v>108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108</v>
      </c>
      <c r="CS142">
        <v>0</v>
      </c>
      <c r="CT142">
        <v>4</v>
      </c>
      <c r="CZ142">
        <v>4</v>
      </c>
      <c r="DG142">
        <v>0</v>
      </c>
      <c r="DN142">
        <v>0</v>
      </c>
      <c r="DU142">
        <v>0</v>
      </c>
      <c r="EB142">
        <v>0</v>
      </c>
      <c r="EC142">
        <v>4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4</v>
      </c>
      <c r="EJ142" t="s">
        <v>404</v>
      </c>
      <c r="EK142" t="s">
        <v>404</v>
      </c>
      <c r="EL142" t="s">
        <v>404</v>
      </c>
      <c r="EM142" t="s">
        <v>404</v>
      </c>
      <c r="EN142" t="s">
        <v>404</v>
      </c>
      <c r="EO142" t="s">
        <v>404</v>
      </c>
      <c r="EP142" t="s">
        <v>405</v>
      </c>
      <c r="EQ142" t="s">
        <v>404</v>
      </c>
      <c r="ER142" t="s">
        <v>404</v>
      </c>
      <c r="ES142" t="s">
        <v>404</v>
      </c>
      <c r="ET142" t="s">
        <v>404</v>
      </c>
      <c r="EU142" t="s">
        <v>404</v>
      </c>
      <c r="EV142" t="s">
        <v>404</v>
      </c>
      <c r="EW142" t="s">
        <v>404</v>
      </c>
      <c r="EX142" t="s">
        <v>404</v>
      </c>
      <c r="EY142" t="s">
        <v>404</v>
      </c>
      <c r="EZ142" t="s">
        <v>404</v>
      </c>
      <c r="FA142" t="s">
        <v>404</v>
      </c>
      <c r="FB142" t="s">
        <v>404</v>
      </c>
      <c r="FC142" t="s">
        <v>404</v>
      </c>
      <c r="FD142" t="s">
        <v>404</v>
      </c>
      <c r="FE142" t="s">
        <v>404</v>
      </c>
      <c r="FF142" t="s">
        <v>404</v>
      </c>
      <c r="FG142" t="s">
        <v>404</v>
      </c>
      <c r="FH142" t="s">
        <v>404</v>
      </c>
      <c r="FI142" t="s">
        <v>404</v>
      </c>
      <c r="FJ142" t="s">
        <v>404</v>
      </c>
      <c r="FK142" t="s">
        <v>404</v>
      </c>
      <c r="FL142" t="s">
        <v>404</v>
      </c>
      <c r="FM142" t="s">
        <v>404</v>
      </c>
      <c r="FN142" t="s">
        <v>404</v>
      </c>
      <c r="FO142" t="s">
        <v>404</v>
      </c>
      <c r="FP142" t="s">
        <v>404</v>
      </c>
      <c r="FQ142" t="s">
        <v>404</v>
      </c>
      <c r="FR142" t="s">
        <v>404</v>
      </c>
      <c r="FS142" t="s">
        <v>404</v>
      </c>
      <c r="FT142">
        <v>15</v>
      </c>
      <c r="FZ142">
        <v>15</v>
      </c>
      <c r="GG142">
        <v>0</v>
      </c>
      <c r="GN142">
        <v>0</v>
      </c>
      <c r="GU142">
        <v>0</v>
      </c>
      <c r="GV142">
        <v>20</v>
      </c>
      <c r="HB142">
        <v>20</v>
      </c>
      <c r="HI142">
        <v>0</v>
      </c>
      <c r="HP142">
        <v>0</v>
      </c>
      <c r="HQ142" t="s">
        <v>1453</v>
      </c>
      <c r="HR142">
        <v>73</v>
      </c>
      <c r="HX142">
        <v>73</v>
      </c>
      <c r="HY142">
        <v>108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108</v>
      </c>
      <c r="IL142">
        <v>0</v>
      </c>
      <c r="IM142">
        <v>108</v>
      </c>
      <c r="IS142">
        <v>108</v>
      </c>
      <c r="IZ142">
        <v>0</v>
      </c>
      <c r="JG142">
        <v>0</v>
      </c>
      <c r="JN142">
        <v>0</v>
      </c>
      <c r="JO142">
        <v>108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108</v>
      </c>
      <c r="JX142">
        <v>100</v>
      </c>
      <c r="KA142">
        <v>1</v>
      </c>
      <c r="KB142">
        <v>3</v>
      </c>
      <c r="KC142">
        <v>2</v>
      </c>
      <c r="KD142" t="s">
        <v>407</v>
      </c>
      <c r="OG142" t="s">
        <v>408</v>
      </c>
      <c r="SJ142" t="s">
        <v>409</v>
      </c>
      <c r="WM142" t="s">
        <v>410</v>
      </c>
      <c r="AAP142" t="s">
        <v>411</v>
      </c>
      <c r="AES142" t="s">
        <v>412</v>
      </c>
    </row>
    <row r="143" spans="1:825" x14ac:dyDescent="0.2">
      <c r="A143" t="s">
        <v>1454</v>
      </c>
      <c r="B143" t="s">
        <v>396</v>
      </c>
      <c r="C143" t="s">
        <v>1455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>
        <v>808</v>
      </c>
      <c r="W143" s="20">
        <v>43522.722222222219</v>
      </c>
      <c r="X143" t="s">
        <v>1456</v>
      </c>
      <c r="Y143">
        <v>2019</v>
      </c>
      <c r="Z143" t="s">
        <v>1457</v>
      </c>
      <c r="AA143" t="s">
        <v>1458</v>
      </c>
      <c r="AB143" t="str">
        <f>VLOOKUP(MID(AD143,SEARCH("@",AD143,1),LEN(AD143)-SEARCH("@",AD143,1)+1),[2]Sheet1!$D:$F,3,FALSE)</f>
        <v>M278</v>
      </c>
      <c r="AC143" t="s">
        <v>1459</v>
      </c>
      <c r="AD143" t="s">
        <v>1460</v>
      </c>
      <c r="AE143">
        <v>653311680</v>
      </c>
      <c r="AF143" t="s">
        <v>611</v>
      </c>
      <c r="AG143" t="s">
        <v>403</v>
      </c>
      <c r="AI143">
        <v>1</v>
      </c>
      <c r="AL143">
        <v>600</v>
      </c>
      <c r="AM143">
        <v>600</v>
      </c>
      <c r="AN143">
        <v>500</v>
      </c>
      <c r="AO143">
        <v>500</v>
      </c>
      <c r="AV143">
        <v>0</v>
      </c>
      <c r="AW143">
        <v>600</v>
      </c>
      <c r="BC143">
        <v>600</v>
      </c>
      <c r="BJ143">
        <v>0</v>
      </c>
      <c r="BQ143">
        <v>0</v>
      </c>
      <c r="BX143">
        <v>0</v>
      </c>
      <c r="CE143">
        <v>0</v>
      </c>
      <c r="CF143">
        <v>600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600</v>
      </c>
      <c r="CS143">
        <v>0</v>
      </c>
      <c r="CT143">
        <v>3</v>
      </c>
      <c r="CZ143">
        <v>3</v>
      </c>
      <c r="DG143">
        <v>0</v>
      </c>
      <c r="DN143">
        <v>0</v>
      </c>
      <c r="DU143">
        <v>0</v>
      </c>
      <c r="EB143">
        <v>0</v>
      </c>
      <c r="EC143">
        <v>3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3</v>
      </c>
      <c r="EJ143" t="s">
        <v>404</v>
      </c>
      <c r="EK143" t="s">
        <v>404</v>
      </c>
      <c r="EL143" t="s">
        <v>404</v>
      </c>
      <c r="EM143" t="s">
        <v>404</v>
      </c>
      <c r="EN143" t="s">
        <v>404</v>
      </c>
      <c r="EO143" t="s">
        <v>404</v>
      </c>
      <c r="EP143" t="s">
        <v>405</v>
      </c>
      <c r="EQ143" t="s">
        <v>404</v>
      </c>
      <c r="ER143" t="s">
        <v>404</v>
      </c>
      <c r="ES143" t="s">
        <v>404</v>
      </c>
      <c r="ET143" t="s">
        <v>404</v>
      </c>
      <c r="EU143" t="s">
        <v>404</v>
      </c>
      <c r="EV143" t="s">
        <v>404</v>
      </c>
      <c r="EW143" t="s">
        <v>404</v>
      </c>
      <c r="EX143" t="s">
        <v>404</v>
      </c>
      <c r="EY143" t="s">
        <v>404</v>
      </c>
      <c r="EZ143" t="s">
        <v>404</v>
      </c>
      <c r="FA143" t="s">
        <v>404</v>
      </c>
      <c r="FB143" t="s">
        <v>404</v>
      </c>
      <c r="FC143" t="s">
        <v>404</v>
      </c>
      <c r="FD143" t="s">
        <v>404</v>
      </c>
      <c r="FE143" t="s">
        <v>404</v>
      </c>
      <c r="FF143" t="s">
        <v>404</v>
      </c>
      <c r="FG143" t="s">
        <v>404</v>
      </c>
      <c r="FH143" t="s">
        <v>404</v>
      </c>
      <c r="FI143" t="s">
        <v>404</v>
      </c>
      <c r="FJ143" t="s">
        <v>404</v>
      </c>
      <c r="FK143" t="s">
        <v>404</v>
      </c>
      <c r="FL143" t="s">
        <v>404</v>
      </c>
      <c r="FM143" t="s">
        <v>404</v>
      </c>
      <c r="FN143" t="s">
        <v>404</v>
      </c>
      <c r="FO143" t="s">
        <v>404</v>
      </c>
      <c r="FP143" t="s">
        <v>404</v>
      </c>
      <c r="FQ143" t="s">
        <v>404</v>
      </c>
      <c r="FR143" t="s">
        <v>404</v>
      </c>
      <c r="FS143" t="s">
        <v>404</v>
      </c>
      <c r="FT143">
        <v>400</v>
      </c>
      <c r="FZ143">
        <v>400</v>
      </c>
      <c r="GA143">
        <v>180</v>
      </c>
      <c r="GG143">
        <v>180</v>
      </c>
      <c r="GN143">
        <v>0</v>
      </c>
      <c r="GU143">
        <v>0</v>
      </c>
      <c r="GV143">
        <v>20</v>
      </c>
      <c r="HB143">
        <v>20</v>
      </c>
      <c r="HI143">
        <v>0</v>
      </c>
      <c r="HP143">
        <v>0</v>
      </c>
      <c r="HX143">
        <v>0</v>
      </c>
      <c r="HY143">
        <v>600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600</v>
      </c>
      <c r="IL143">
        <v>0</v>
      </c>
      <c r="IM143">
        <v>600</v>
      </c>
      <c r="IS143">
        <v>600</v>
      </c>
      <c r="IZ143">
        <v>0</v>
      </c>
      <c r="JG143">
        <v>0</v>
      </c>
      <c r="JN143">
        <v>0</v>
      </c>
      <c r="JO143">
        <v>600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600</v>
      </c>
      <c r="JV143">
        <v>5</v>
      </c>
      <c r="JW143">
        <v>5</v>
      </c>
      <c r="JX143">
        <v>90</v>
      </c>
      <c r="KA143">
        <v>1</v>
      </c>
      <c r="KB143">
        <v>3</v>
      </c>
      <c r="KC143">
        <v>2</v>
      </c>
      <c r="KD143" t="s">
        <v>407</v>
      </c>
      <c r="OG143" t="s">
        <v>408</v>
      </c>
      <c r="SJ143" t="s">
        <v>409</v>
      </c>
      <c r="WM143" t="s">
        <v>410</v>
      </c>
      <c r="AAP143" t="s">
        <v>411</v>
      </c>
      <c r="AES143" t="s">
        <v>412</v>
      </c>
    </row>
    <row r="144" spans="1:825" x14ac:dyDescent="0.2">
      <c r="A144" t="s">
        <v>1461</v>
      </c>
      <c r="B144" t="s">
        <v>414</v>
      </c>
      <c r="C144" t="s">
        <v>1462</v>
      </c>
      <c r="P144" t="b">
        <v>0</v>
      </c>
      <c r="Q144" t="b">
        <v>1</v>
      </c>
      <c r="R144" t="b">
        <v>0</v>
      </c>
      <c r="S144" t="b">
        <v>0</v>
      </c>
      <c r="T144" t="b">
        <v>0</v>
      </c>
      <c r="U144" t="b">
        <v>0</v>
      </c>
      <c r="V144">
        <v>665</v>
      </c>
      <c r="W144" s="20">
        <v>43494.383333333331</v>
      </c>
      <c r="X144" t="s">
        <v>1463</v>
      </c>
      <c r="Y144">
        <v>2019</v>
      </c>
      <c r="Z144" t="s">
        <v>1464</v>
      </c>
      <c r="AA144" t="s">
        <v>1462</v>
      </c>
      <c r="AB144" t="str">
        <f>VLOOKUP(MID(AD144,SEARCH("@",AD144,1),LEN(AD144)-SEARCH("@",AD144,1)+1),[2]Sheet1!$D:$F,3,FALSE)</f>
        <v>M0159</v>
      </c>
      <c r="AC144" t="s">
        <v>1465</v>
      </c>
      <c r="AD144" t="s">
        <v>1466</v>
      </c>
      <c r="AE144">
        <v>6584286021</v>
      </c>
      <c r="AF144" t="s">
        <v>884</v>
      </c>
      <c r="AG144" t="s">
        <v>538</v>
      </c>
      <c r="AI144">
        <v>1</v>
      </c>
      <c r="AL144">
        <v>560</v>
      </c>
      <c r="AM144">
        <v>560</v>
      </c>
      <c r="AN144">
        <v>183</v>
      </c>
      <c r="AO144">
        <v>183</v>
      </c>
      <c r="AP144">
        <v>560</v>
      </c>
      <c r="AV144">
        <v>560</v>
      </c>
      <c r="BC144">
        <v>0</v>
      </c>
      <c r="BJ144">
        <v>0</v>
      </c>
      <c r="BQ144">
        <v>0</v>
      </c>
      <c r="BX144">
        <v>0</v>
      </c>
      <c r="CE144">
        <v>0</v>
      </c>
      <c r="CF144">
        <v>560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560</v>
      </c>
      <c r="CM144">
        <v>1</v>
      </c>
      <c r="CS144">
        <v>1</v>
      </c>
      <c r="CZ144">
        <v>0</v>
      </c>
      <c r="DG144">
        <v>0</v>
      </c>
      <c r="DN144">
        <v>0</v>
      </c>
      <c r="DU144">
        <v>0</v>
      </c>
      <c r="EB144">
        <v>0</v>
      </c>
      <c r="EC144">
        <v>1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1</v>
      </c>
      <c r="EJ144" t="s">
        <v>405</v>
      </c>
      <c r="EK144" t="s">
        <v>404</v>
      </c>
      <c r="EL144" t="s">
        <v>404</v>
      </c>
      <c r="EM144" t="s">
        <v>404</v>
      </c>
      <c r="EN144" t="s">
        <v>404</v>
      </c>
      <c r="EO144" t="s">
        <v>404</v>
      </c>
      <c r="EP144" t="s">
        <v>404</v>
      </c>
      <c r="EQ144" t="s">
        <v>404</v>
      </c>
      <c r="ER144" t="s">
        <v>404</v>
      </c>
      <c r="ES144" t="s">
        <v>404</v>
      </c>
      <c r="ET144" t="s">
        <v>404</v>
      </c>
      <c r="EU144" t="s">
        <v>404</v>
      </c>
      <c r="EV144" t="s">
        <v>404</v>
      </c>
      <c r="EW144" t="s">
        <v>404</v>
      </c>
      <c r="EX144" t="s">
        <v>404</v>
      </c>
      <c r="EY144" t="s">
        <v>404</v>
      </c>
      <c r="EZ144" t="s">
        <v>404</v>
      </c>
      <c r="FA144" t="s">
        <v>404</v>
      </c>
      <c r="FB144" t="s">
        <v>404</v>
      </c>
      <c r="FC144" t="s">
        <v>404</v>
      </c>
      <c r="FD144" t="s">
        <v>404</v>
      </c>
      <c r="FE144" t="s">
        <v>404</v>
      </c>
      <c r="FF144" t="s">
        <v>404</v>
      </c>
      <c r="FG144" t="s">
        <v>404</v>
      </c>
      <c r="FH144" t="s">
        <v>404</v>
      </c>
      <c r="FI144" t="s">
        <v>404</v>
      </c>
      <c r="FJ144" t="s">
        <v>404</v>
      </c>
      <c r="FK144" t="s">
        <v>404</v>
      </c>
      <c r="FL144" t="s">
        <v>404</v>
      </c>
      <c r="FM144" t="s">
        <v>404</v>
      </c>
      <c r="FN144" t="s">
        <v>404</v>
      </c>
      <c r="FO144" t="s">
        <v>404</v>
      </c>
      <c r="FP144" t="s">
        <v>404</v>
      </c>
      <c r="FQ144" t="s">
        <v>404</v>
      </c>
      <c r="FR144" t="s">
        <v>404</v>
      </c>
      <c r="FS144" t="s">
        <v>404</v>
      </c>
      <c r="FT144">
        <v>277</v>
      </c>
      <c r="FZ144">
        <v>277</v>
      </c>
      <c r="GA144">
        <v>18</v>
      </c>
      <c r="GG144">
        <v>18</v>
      </c>
      <c r="GH144">
        <v>0</v>
      </c>
      <c r="GN144">
        <v>0</v>
      </c>
      <c r="GO144">
        <v>0</v>
      </c>
      <c r="GU144">
        <v>0</v>
      </c>
      <c r="GV144">
        <v>95</v>
      </c>
      <c r="HB144">
        <v>95</v>
      </c>
      <c r="HC144">
        <v>5</v>
      </c>
      <c r="HI144">
        <v>5</v>
      </c>
      <c r="HJ144">
        <v>65</v>
      </c>
      <c r="HP144">
        <v>65</v>
      </c>
      <c r="HQ144" t="s">
        <v>1413</v>
      </c>
      <c r="HR144">
        <v>100</v>
      </c>
      <c r="HX144">
        <v>100</v>
      </c>
      <c r="HY144">
        <v>560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560</v>
      </c>
      <c r="IF144">
        <v>167</v>
      </c>
      <c r="IL144">
        <v>167</v>
      </c>
      <c r="IM144">
        <v>233</v>
      </c>
      <c r="IS144">
        <v>233</v>
      </c>
      <c r="IT144">
        <v>160</v>
      </c>
      <c r="IZ144">
        <v>160</v>
      </c>
      <c r="JG144">
        <v>0</v>
      </c>
      <c r="JN144">
        <v>0</v>
      </c>
      <c r="JO144">
        <v>560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560</v>
      </c>
      <c r="JV144">
        <v>1.7</v>
      </c>
      <c r="JX144">
        <v>98.3</v>
      </c>
      <c r="KA144">
        <v>2</v>
      </c>
      <c r="KB144">
        <v>2</v>
      </c>
      <c r="KC144">
        <v>1</v>
      </c>
      <c r="KD144" t="s">
        <v>407</v>
      </c>
      <c r="OG144" t="s">
        <v>408</v>
      </c>
      <c r="SJ144" t="s">
        <v>409</v>
      </c>
      <c r="WM144" t="s">
        <v>410</v>
      </c>
      <c r="AAP144" t="s">
        <v>411</v>
      </c>
      <c r="AES144" t="s">
        <v>412</v>
      </c>
    </row>
    <row r="145" spans="1:825" x14ac:dyDescent="0.2">
      <c r="A145" t="s">
        <v>1467</v>
      </c>
      <c r="B145" t="s">
        <v>563</v>
      </c>
      <c r="C145" t="s">
        <v>1468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>
        <v>602</v>
      </c>
      <c r="W145" s="20">
        <v>43482.100694444445</v>
      </c>
      <c r="X145" t="s">
        <v>1469</v>
      </c>
      <c r="Y145">
        <v>2019</v>
      </c>
      <c r="Z145" t="s">
        <v>1470</v>
      </c>
      <c r="AA145" t="s">
        <v>1471</v>
      </c>
      <c r="AB145" t="str">
        <f>VLOOKUP(MID(AD145,SEARCH("@",AD145,1),LEN(AD145)-SEARCH("@",AD145,1)+1),[2]Sheet1!$D:$F,3,FALSE)</f>
        <v>NC021</v>
      </c>
      <c r="AC145" t="s">
        <v>1472</v>
      </c>
      <c r="AD145" t="s">
        <v>1473</v>
      </c>
      <c r="AE145">
        <v>8013656227</v>
      </c>
      <c r="AF145" t="s">
        <v>571</v>
      </c>
      <c r="AG145" t="s">
        <v>538</v>
      </c>
      <c r="AI145">
        <v>2</v>
      </c>
      <c r="AJ145">
        <v>6</v>
      </c>
      <c r="AK145" t="s">
        <v>1474</v>
      </c>
      <c r="AV145">
        <v>0</v>
      </c>
      <c r="BC145">
        <v>0</v>
      </c>
      <c r="BJ145">
        <v>0</v>
      </c>
      <c r="BQ145">
        <v>0</v>
      </c>
      <c r="BX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S145">
        <v>0</v>
      </c>
      <c r="CZ145">
        <v>0</v>
      </c>
      <c r="DG145">
        <v>0</v>
      </c>
      <c r="DN145">
        <v>0</v>
      </c>
      <c r="DU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 t="s">
        <v>404</v>
      </c>
      <c r="EK145" t="s">
        <v>404</v>
      </c>
      <c r="EL145" t="s">
        <v>404</v>
      </c>
      <c r="EM145" t="s">
        <v>404</v>
      </c>
      <c r="EN145" t="s">
        <v>404</v>
      </c>
      <c r="EO145" t="s">
        <v>404</v>
      </c>
      <c r="EP145" t="s">
        <v>404</v>
      </c>
      <c r="EQ145" t="s">
        <v>404</v>
      </c>
      <c r="ER145" t="s">
        <v>404</v>
      </c>
      <c r="ES145" t="s">
        <v>404</v>
      </c>
      <c r="ET145" t="s">
        <v>404</v>
      </c>
      <c r="EU145" t="s">
        <v>404</v>
      </c>
      <c r="EV145" t="s">
        <v>404</v>
      </c>
      <c r="EW145" t="s">
        <v>404</v>
      </c>
      <c r="EX145" t="s">
        <v>404</v>
      </c>
      <c r="EY145" t="s">
        <v>404</v>
      </c>
      <c r="EZ145" t="s">
        <v>404</v>
      </c>
      <c r="FA145" t="s">
        <v>404</v>
      </c>
      <c r="FB145" t="s">
        <v>404</v>
      </c>
      <c r="FC145" t="s">
        <v>404</v>
      </c>
      <c r="FD145" t="s">
        <v>404</v>
      </c>
      <c r="FE145" t="s">
        <v>404</v>
      </c>
      <c r="FF145" t="s">
        <v>404</v>
      </c>
      <c r="FG145" t="s">
        <v>404</v>
      </c>
      <c r="FH145" t="s">
        <v>404</v>
      </c>
      <c r="FI145" t="s">
        <v>404</v>
      </c>
      <c r="FJ145" t="s">
        <v>404</v>
      </c>
      <c r="FK145" t="s">
        <v>404</v>
      </c>
      <c r="FL145" t="s">
        <v>404</v>
      </c>
      <c r="FM145" t="s">
        <v>404</v>
      </c>
      <c r="FN145" t="s">
        <v>404</v>
      </c>
      <c r="FO145" t="s">
        <v>404</v>
      </c>
      <c r="FP145" t="s">
        <v>404</v>
      </c>
      <c r="FQ145" t="s">
        <v>404</v>
      </c>
      <c r="FR145" t="s">
        <v>404</v>
      </c>
      <c r="FS145" t="s">
        <v>404</v>
      </c>
      <c r="FZ145">
        <v>0</v>
      </c>
      <c r="GG145">
        <v>0</v>
      </c>
      <c r="GN145">
        <v>0</v>
      </c>
      <c r="GU145">
        <v>0</v>
      </c>
      <c r="HB145">
        <v>0</v>
      </c>
      <c r="HI145">
        <v>0</v>
      </c>
      <c r="HP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L145">
        <v>0</v>
      </c>
      <c r="IS145">
        <v>0</v>
      </c>
      <c r="IZ145">
        <v>0</v>
      </c>
      <c r="JG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KA145">
        <v>1</v>
      </c>
      <c r="KB145">
        <v>3</v>
      </c>
      <c r="KC145">
        <v>2</v>
      </c>
      <c r="KD145" t="s">
        <v>407</v>
      </c>
      <c r="OG145" t="s">
        <v>408</v>
      </c>
      <c r="SJ145" t="s">
        <v>409</v>
      </c>
      <c r="WM145" t="s">
        <v>410</v>
      </c>
      <c r="AAP145" t="s">
        <v>411</v>
      </c>
      <c r="AES145" t="s">
        <v>412</v>
      </c>
    </row>
    <row r="146" spans="1:825" x14ac:dyDescent="0.2">
      <c r="A146" t="s">
        <v>1475</v>
      </c>
      <c r="B146" t="s">
        <v>396</v>
      </c>
      <c r="C146" t="s">
        <v>1476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>
        <v>680</v>
      </c>
      <c r="W146" s="20">
        <v>43494.680555555555</v>
      </c>
      <c r="X146" t="s">
        <v>1477</v>
      </c>
      <c r="Y146">
        <v>2019</v>
      </c>
      <c r="Z146" t="s">
        <v>1478</v>
      </c>
      <c r="AA146" t="s">
        <v>1476</v>
      </c>
      <c r="AB146" t="str">
        <f>VLOOKUP(MID(AD146,SEARCH("@",AD146,1),LEN(AD146)-SEARCH("@",AD146,1)+1),[2]Sheet1!$D:$F,3,FALSE)</f>
        <v>M03032</v>
      </c>
      <c r="AC146" t="s">
        <v>734</v>
      </c>
      <c r="AD146" t="s">
        <v>1479</v>
      </c>
      <c r="AE146">
        <v>2070431005</v>
      </c>
      <c r="AF146" t="s">
        <v>491</v>
      </c>
      <c r="AG146" t="s">
        <v>492</v>
      </c>
      <c r="AI146">
        <v>2</v>
      </c>
      <c r="AJ146">
        <v>6</v>
      </c>
      <c r="AK146" t="s">
        <v>1480</v>
      </c>
      <c r="AV146">
        <v>0</v>
      </c>
      <c r="BC146">
        <v>0</v>
      </c>
      <c r="BJ146">
        <v>0</v>
      </c>
      <c r="BQ146">
        <v>0</v>
      </c>
      <c r="BX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S146">
        <v>0</v>
      </c>
      <c r="CZ146">
        <v>0</v>
      </c>
      <c r="DG146">
        <v>0</v>
      </c>
      <c r="DN146">
        <v>0</v>
      </c>
      <c r="DU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 t="s">
        <v>404</v>
      </c>
      <c r="EK146" t="s">
        <v>404</v>
      </c>
      <c r="EL146" t="s">
        <v>404</v>
      </c>
      <c r="EM146" t="s">
        <v>404</v>
      </c>
      <c r="EN146" t="s">
        <v>404</v>
      </c>
      <c r="EO146" t="s">
        <v>404</v>
      </c>
      <c r="EP146" t="s">
        <v>404</v>
      </c>
      <c r="EQ146" t="s">
        <v>404</v>
      </c>
      <c r="ER146" t="s">
        <v>404</v>
      </c>
      <c r="ES146" t="s">
        <v>404</v>
      </c>
      <c r="ET146" t="s">
        <v>404</v>
      </c>
      <c r="EU146" t="s">
        <v>404</v>
      </c>
      <c r="EV146" t="s">
        <v>404</v>
      </c>
      <c r="EW146" t="s">
        <v>404</v>
      </c>
      <c r="EX146" t="s">
        <v>404</v>
      </c>
      <c r="EY146" t="s">
        <v>404</v>
      </c>
      <c r="EZ146" t="s">
        <v>404</v>
      </c>
      <c r="FA146" t="s">
        <v>404</v>
      </c>
      <c r="FB146" t="s">
        <v>404</v>
      </c>
      <c r="FC146" t="s">
        <v>404</v>
      </c>
      <c r="FD146" t="s">
        <v>404</v>
      </c>
      <c r="FE146" t="s">
        <v>404</v>
      </c>
      <c r="FF146" t="s">
        <v>404</v>
      </c>
      <c r="FG146" t="s">
        <v>404</v>
      </c>
      <c r="FH146" t="s">
        <v>404</v>
      </c>
      <c r="FI146" t="s">
        <v>404</v>
      </c>
      <c r="FJ146" t="s">
        <v>404</v>
      </c>
      <c r="FK146" t="s">
        <v>404</v>
      </c>
      <c r="FL146" t="s">
        <v>404</v>
      </c>
      <c r="FM146" t="s">
        <v>404</v>
      </c>
      <c r="FN146" t="s">
        <v>404</v>
      </c>
      <c r="FO146" t="s">
        <v>404</v>
      </c>
      <c r="FP146" t="s">
        <v>404</v>
      </c>
      <c r="FQ146" t="s">
        <v>404</v>
      </c>
      <c r="FR146" t="s">
        <v>404</v>
      </c>
      <c r="FS146" t="s">
        <v>404</v>
      </c>
      <c r="FZ146">
        <v>0</v>
      </c>
      <c r="GG146">
        <v>0</v>
      </c>
      <c r="GN146">
        <v>0</v>
      </c>
      <c r="GU146">
        <v>0</v>
      </c>
      <c r="HB146">
        <v>0</v>
      </c>
      <c r="HI146">
        <v>0</v>
      </c>
      <c r="HP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L146">
        <v>0</v>
      </c>
      <c r="IS146">
        <v>0</v>
      </c>
      <c r="IZ146">
        <v>0</v>
      </c>
      <c r="JG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KA146">
        <v>1</v>
      </c>
      <c r="KB146">
        <v>3</v>
      </c>
      <c r="KC146">
        <v>2</v>
      </c>
      <c r="KD146" t="s">
        <v>407</v>
      </c>
      <c r="OG146" t="s">
        <v>408</v>
      </c>
      <c r="SJ146" t="s">
        <v>409</v>
      </c>
      <c r="WM146" t="s">
        <v>410</v>
      </c>
      <c r="AAP146" t="s">
        <v>411</v>
      </c>
      <c r="AES146" t="s">
        <v>412</v>
      </c>
    </row>
    <row r="147" spans="1:825" x14ac:dyDescent="0.2">
      <c r="A147" t="s">
        <v>1481</v>
      </c>
      <c r="B147" t="s">
        <v>396</v>
      </c>
      <c r="C147" t="s">
        <v>1482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>
        <v>676</v>
      </c>
      <c r="W147" s="20">
        <v>43504.276388888888</v>
      </c>
      <c r="X147" t="s">
        <v>1483</v>
      </c>
      <c r="Y147">
        <v>2019</v>
      </c>
      <c r="Z147" t="s">
        <v>1484</v>
      </c>
      <c r="AA147" t="s">
        <v>1482</v>
      </c>
      <c r="AB147" t="str">
        <f>VLOOKUP(MID(AD147,SEARCH("@",AD147,1),LEN(AD147)-SEARCH("@",AD147,1)+1),[2]Sheet1!$D:$F,3,FALSE)</f>
        <v>M672</v>
      </c>
      <c r="AD147" t="s">
        <v>1485</v>
      </c>
      <c r="AF147" t="s">
        <v>437</v>
      </c>
      <c r="AG147" t="s">
        <v>403</v>
      </c>
      <c r="AI147">
        <v>1</v>
      </c>
      <c r="AL147">
        <v>1711</v>
      </c>
      <c r="AM147">
        <v>1711</v>
      </c>
      <c r="AV147">
        <v>0</v>
      </c>
      <c r="BC147">
        <v>0</v>
      </c>
      <c r="BJ147">
        <v>0</v>
      </c>
      <c r="BQ147">
        <v>0</v>
      </c>
      <c r="BX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S147">
        <v>0</v>
      </c>
      <c r="CZ147">
        <v>0</v>
      </c>
      <c r="DG147">
        <v>0</v>
      </c>
      <c r="DN147">
        <v>0</v>
      </c>
      <c r="DU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 t="s">
        <v>404</v>
      </c>
      <c r="EK147" t="s">
        <v>404</v>
      </c>
      <c r="EL147" t="s">
        <v>404</v>
      </c>
      <c r="EM147" t="s">
        <v>404</v>
      </c>
      <c r="EN147" t="s">
        <v>404</v>
      </c>
      <c r="EO147" t="s">
        <v>404</v>
      </c>
      <c r="EP147" t="s">
        <v>404</v>
      </c>
      <c r="EQ147" t="s">
        <v>404</v>
      </c>
      <c r="ER147" t="s">
        <v>404</v>
      </c>
      <c r="ES147" t="s">
        <v>404</v>
      </c>
      <c r="ET147" t="s">
        <v>404</v>
      </c>
      <c r="EU147" t="s">
        <v>404</v>
      </c>
      <c r="EV147" t="s">
        <v>404</v>
      </c>
      <c r="EW147" t="s">
        <v>404</v>
      </c>
      <c r="EX147" t="s">
        <v>404</v>
      </c>
      <c r="EY147" t="s">
        <v>404</v>
      </c>
      <c r="EZ147" t="s">
        <v>404</v>
      </c>
      <c r="FA147" t="s">
        <v>404</v>
      </c>
      <c r="FB147" t="s">
        <v>404</v>
      </c>
      <c r="FC147" t="s">
        <v>404</v>
      </c>
      <c r="FD147" t="s">
        <v>404</v>
      </c>
      <c r="FE147" t="s">
        <v>404</v>
      </c>
      <c r="FF147" t="s">
        <v>404</v>
      </c>
      <c r="FG147" t="s">
        <v>404</v>
      </c>
      <c r="FH147" t="s">
        <v>404</v>
      </c>
      <c r="FI147" t="s">
        <v>404</v>
      </c>
      <c r="FJ147" t="s">
        <v>404</v>
      </c>
      <c r="FK147" t="s">
        <v>404</v>
      </c>
      <c r="FL147" t="s">
        <v>404</v>
      </c>
      <c r="FM147" t="s">
        <v>404</v>
      </c>
      <c r="FN147" t="s">
        <v>404</v>
      </c>
      <c r="FO147" t="s">
        <v>404</v>
      </c>
      <c r="FP147" t="s">
        <v>404</v>
      </c>
      <c r="FQ147" t="s">
        <v>404</v>
      </c>
      <c r="FR147" t="s">
        <v>404</v>
      </c>
      <c r="FS147" t="s">
        <v>404</v>
      </c>
      <c r="FZ147">
        <v>0</v>
      </c>
      <c r="GG147">
        <v>0</v>
      </c>
      <c r="GN147">
        <v>0</v>
      </c>
      <c r="GU147">
        <v>0</v>
      </c>
      <c r="HB147">
        <v>0</v>
      </c>
      <c r="HI147">
        <v>0</v>
      </c>
      <c r="HP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L147">
        <v>0</v>
      </c>
      <c r="IS147">
        <v>0</v>
      </c>
      <c r="IZ147">
        <v>0</v>
      </c>
      <c r="JG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KA147">
        <v>1</v>
      </c>
      <c r="KB147">
        <v>3</v>
      </c>
      <c r="KC147">
        <v>2</v>
      </c>
      <c r="KD147" t="s">
        <v>407</v>
      </c>
      <c r="OG147" t="s">
        <v>408</v>
      </c>
      <c r="SJ147" t="s">
        <v>409</v>
      </c>
      <c r="WM147" t="s">
        <v>410</v>
      </c>
      <c r="AAP147" t="s">
        <v>411</v>
      </c>
      <c r="AES147" t="s">
        <v>412</v>
      </c>
    </row>
    <row r="148" spans="1:825" x14ac:dyDescent="0.2">
      <c r="A148" t="s">
        <v>1486</v>
      </c>
      <c r="B148" t="s">
        <v>414</v>
      </c>
      <c r="C148" t="s">
        <v>1487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>
        <v>695</v>
      </c>
      <c r="W148" s="20">
        <v>43501.892361111109</v>
      </c>
      <c r="X148" t="s">
        <v>1488</v>
      </c>
      <c r="Y148">
        <v>2019</v>
      </c>
      <c r="Z148" t="s">
        <v>1489</v>
      </c>
      <c r="AA148" t="s">
        <v>1487</v>
      </c>
      <c r="AB148" t="str">
        <f>VLOOKUP(MID(AD148,SEARCH("@",AD148,1),LEN(AD148)-SEARCH("@",AD148,1)+1),[2]Sheet1!$D:$F,3,FALSE)</f>
        <v>M126</v>
      </c>
      <c r="AC148" t="s">
        <v>1419</v>
      </c>
      <c r="AD148" t="s">
        <v>1490</v>
      </c>
      <c r="AE148" t="s">
        <v>1491</v>
      </c>
      <c r="AF148" t="s">
        <v>420</v>
      </c>
      <c r="AG148" t="s">
        <v>403</v>
      </c>
      <c r="AI148">
        <v>2</v>
      </c>
      <c r="AJ148">
        <v>6</v>
      </c>
      <c r="AK148" t="s">
        <v>1492</v>
      </c>
      <c r="AV148">
        <v>0</v>
      </c>
      <c r="BC148">
        <v>0</v>
      </c>
      <c r="BJ148">
        <v>0</v>
      </c>
      <c r="BQ148">
        <v>0</v>
      </c>
      <c r="BX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S148">
        <v>0</v>
      </c>
      <c r="CZ148">
        <v>0</v>
      </c>
      <c r="DG148">
        <v>0</v>
      </c>
      <c r="DN148">
        <v>0</v>
      </c>
      <c r="DU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 t="s">
        <v>404</v>
      </c>
      <c r="EK148" t="s">
        <v>404</v>
      </c>
      <c r="EL148" t="s">
        <v>404</v>
      </c>
      <c r="EM148" t="s">
        <v>404</v>
      </c>
      <c r="EN148" t="s">
        <v>404</v>
      </c>
      <c r="EO148" t="s">
        <v>404</v>
      </c>
      <c r="EP148" t="s">
        <v>404</v>
      </c>
      <c r="EQ148" t="s">
        <v>404</v>
      </c>
      <c r="ER148" t="s">
        <v>404</v>
      </c>
      <c r="ES148" t="s">
        <v>404</v>
      </c>
      <c r="ET148" t="s">
        <v>404</v>
      </c>
      <c r="EU148" t="s">
        <v>404</v>
      </c>
      <c r="EV148" t="s">
        <v>404</v>
      </c>
      <c r="EW148" t="s">
        <v>404</v>
      </c>
      <c r="EX148" t="s">
        <v>404</v>
      </c>
      <c r="EY148" t="s">
        <v>404</v>
      </c>
      <c r="EZ148" t="s">
        <v>404</v>
      </c>
      <c r="FA148" t="s">
        <v>404</v>
      </c>
      <c r="FB148" t="s">
        <v>404</v>
      </c>
      <c r="FC148" t="s">
        <v>404</v>
      </c>
      <c r="FD148" t="s">
        <v>404</v>
      </c>
      <c r="FE148" t="s">
        <v>404</v>
      </c>
      <c r="FF148" t="s">
        <v>404</v>
      </c>
      <c r="FG148" t="s">
        <v>404</v>
      </c>
      <c r="FH148" t="s">
        <v>404</v>
      </c>
      <c r="FI148" t="s">
        <v>404</v>
      </c>
      <c r="FJ148" t="s">
        <v>404</v>
      </c>
      <c r="FK148" t="s">
        <v>404</v>
      </c>
      <c r="FL148" t="s">
        <v>404</v>
      </c>
      <c r="FM148" t="s">
        <v>404</v>
      </c>
      <c r="FN148" t="s">
        <v>404</v>
      </c>
      <c r="FO148" t="s">
        <v>404</v>
      </c>
      <c r="FP148" t="s">
        <v>404</v>
      </c>
      <c r="FQ148" t="s">
        <v>404</v>
      </c>
      <c r="FR148" t="s">
        <v>404</v>
      </c>
      <c r="FS148" t="s">
        <v>404</v>
      </c>
      <c r="FZ148">
        <v>0</v>
      </c>
      <c r="GG148">
        <v>0</v>
      </c>
      <c r="GN148">
        <v>0</v>
      </c>
      <c r="GU148">
        <v>0</v>
      </c>
      <c r="HB148">
        <v>0</v>
      </c>
      <c r="HI148">
        <v>0</v>
      </c>
      <c r="HP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L148">
        <v>0</v>
      </c>
      <c r="IS148">
        <v>0</v>
      </c>
      <c r="IZ148">
        <v>0</v>
      </c>
      <c r="JG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KA148">
        <v>1</v>
      </c>
      <c r="KB148">
        <v>3</v>
      </c>
      <c r="KC148">
        <v>1</v>
      </c>
      <c r="KD148" t="s">
        <v>407</v>
      </c>
      <c r="OG148" t="s">
        <v>408</v>
      </c>
      <c r="SJ148" t="s">
        <v>409</v>
      </c>
      <c r="WM148" t="s">
        <v>410</v>
      </c>
      <c r="AAP148" t="s">
        <v>411</v>
      </c>
      <c r="AES148" t="s">
        <v>412</v>
      </c>
    </row>
    <row r="149" spans="1:825" x14ac:dyDescent="0.2">
      <c r="A149" t="s">
        <v>1493</v>
      </c>
      <c r="B149" t="s">
        <v>396</v>
      </c>
      <c r="C149" t="s">
        <v>1494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>
        <v>683</v>
      </c>
      <c r="W149" s="20">
        <v>43494.775000000001</v>
      </c>
      <c r="X149" t="s">
        <v>1495</v>
      </c>
      <c r="Y149">
        <v>2019</v>
      </c>
      <c r="Z149" t="s">
        <v>1496</v>
      </c>
      <c r="AA149" t="s">
        <v>1497</v>
      </c>
      <c r="AB149" t="str">
        <f>VLOOKUP(MID(AD149,SEARCH("@",AD149,1),LEN(AD149)-SEARCH("@",AD149,1)+1),[2]Sheet1!$D:$F,3,FALSE)</f>
        <v>M2739</v>
      </c>
      <c r="AC149" t="s">
        <v>734</v>
      </c>
      <c r="AD149" t="s">
        <v>1498</v>
      </c>
      <c r="AE149" t="s">
        <v>1499</v>
      </c>
      <c r="AF149" t="s">
        <v>1073</v>
      </c>
      <c r="AG149" t="s">
        <v>403</v>
      </c>
      <c r="AI149">
        <v>2</v>
      </c>
      <c r="AJ149">
        <v>6</v>
      </c>
      <c r="AK149" t="s">
        <v>1500</v>
      </c>
      <c r="AV149">
        <v>0</v>
      </c>
      <c r="BC149">
        <v>0</v>
      </c>
      <c r="BJ149">
        <v>0</v>
      </c>
      <c r="BQ149">
        <v>0</v>
      </c>
      <c r="BX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S149">
        <v>0</v>
      </c>
      <c r="CZ149">
        <v>0</v>
      </c>
      <c r="DG149">
        <v>0</v>
      </c>
      <c r="DN149">
        <v>0</v>
      </c>
      <c r="DU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 t="s">
        <v>404</v>
      </c>
      <c r="EK149" t="s">
        <v>404</v>
      </c>
      <c r="EL149" t="s">
        <v>404</v>
      </c>
      <c r="EM149" t="s">
        <v>404</v>
      </c>
      <c r="EN149" t="s">
        <v>404</v>
      </c>
      <c r="EO149" t="s">
        <v>404</v>
      </c>
      <c r="EP149" t="s">
        <v>404</v>
      </c>
      <c r="EQ149" t="s">
        <v>404</v>
      </c>
      <c r="ER149" t="s">
        <v>404</v>
      </c>
      <c r="ES149" t="s">
        <v>404</v>
      </c>
      <c r="ET149" t="s">
        <v>404</v>
      </c>
      <c r="EU149" t="s">
        <v>404</v>
      </c>
      <c r="EV149" t="s">
        <v>404</v>
      </c>
      <c r="EW149" t="s">
        <v>404</v>
      </c>
      <c r="EX149" t="s">
        <v>404</v>
      </c>
      <c r="EY149" t="s">
        <v>404</v>
      </c>
      <c r="EZ149" t="s">
        <v>404</v>
      </c>
      <c r="FA149" t="s">
        <v>404</v>
      </c>
      <c r="FB149" t="s">
        <v>404</v>
      </c>
      <c r="FC149" t="s">
        <v>404</v>
      </c>
      <c r="FD149" t="s">
        <v>404</v>
      </c>
      <c r="FE149" t="s">
        <v>404</v>
      </c>
      <c r="FF149" t="s">
        <v>404</v>
      </c>
      <c r="FG149" t="s">
        <v>404</v>
      </c>
      <c r="FH149" t="s">
        <v>404</v>
      </c>
      <c r="FI149" t="s">
        <v>404</v>
      </c>
      <c r="FJ149" t="s">
        <v>404</v>
      </c>
      <c r="FK149" t="s">
        <v>404</v>
      </c>
      <c r="FL149" t="s">
        <v>404</v>
      </c>
      <c r="FM149" t="s">
        <v>404</v>
      </c>
      <c r="FN149" t="s">
        <v>404</v>
      </c>
      <c r="FO149" t="s">
        <v>404</v>
      </c>
      <c r="FP149" t="s">
        <v>404</v>
      </c>
      <c r="FQ149" t="s">
        <v>404</v>
      </c>
      <c r="FR149" t="s">
        <v>404</v>
      </c>
      <c r="FS149" t="s">
        <v>404</v>
      </c>
      <c r="FZ149">
        <v>0</v>
      </c>
      <c r="GG149">
        <v>0</v>
      </c>
      <c r="GN149">
        <v>0</v>
      </c>
      <c r="GU149">
        <v>0</v>
      </c>
      <c r="HB149">
        <v>0</v>
      </c>
      <c r="HI149">
        <v>0</v>
      </c>
      <c r="HP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L149">
        <v>0</v>
      </c>
      <c r="IS149">
        <v>0</v>
      </c>
      <c r="IZ149">
        <v>0</v>
      </c>
      <c r="JG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KA149">
        <v>1</v>
      </c>
      <c r="KB149">
        <v>3</v>
      </c>
      <c r="KC149">
        <v>1</v>
      </c>
      <c r="KD149" t="s">
        <v>407</v>
      </c>
      <c r="OG149" t="s">
        <v>408</v>
      </c>
      <c r="SJ149" t="s">
        <v>409</v>
      </c>
      <c r="WM149" t="s">
        <v>410</v>
      </c>
      <c r="AAP149" t="s">
        <v>411</v>
      </c>
      <c r="AES149" t="s">
        <v>412</v>
      </c>
    </row>
    <row r="150" spans="1:825" x14ac:dyDescent="0.2">
      <c r="A150" t="s">
        <v>1501</v>
      </c>
      <c r="B150" t="s">
        <v>396</v>
      </c>
      <c r="C150" t="s">
        <v>1502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>
        <v>624</v>
      </c>
      <c r="W150" s="20">
        <v>43514.529166666667</v>
      </c>
      <c r="X150" t="s">
        <v>1503</v>
      </c>
      <c r="Y150">
        <v>2019</v>
      </c>
      <c r="Z150" t="s">
        <v>1504</v>
      </c>
      <c r="AA150" t="s">
        <v>1505</v>
      </c>
      <c r="AB150" t="str">
        <f>VLOOKUP(MID(AD150,SEARCH("@",AD150,1),LEN(AD150)-SEARCH("@",AD150,1)+1),[2]Sheet1!$D:$F,3,FALSE)</f>
        <v>M647</v>
      </c>
      <c r="AC150" t="s">
        <v>734</v>
      </c>
      <c r="AD150" t="s">
        <v>1506</v>
      </c>
      <c r="AF150" t="s">
        <v>611</v>
      </c>
      <c r="AG150" t="s">
        <v>403</v>
      </c>
      <c r="AI150">
        <v>2</v>
      </c>
      <c r="AJ150">
        <v>6</v>
      </c>
      <c r="AK150" t="s">
        <v>1507</v>
      </c>
      <c r="AV150">
        <v>0</v>
      </c>
      <c r="BC150">
        <v>0</v>
      </c>
      <c r="BJ150">
        <v>0</v>
      </c>
      <c r="BQ150">
        <v>0</v>
      </c>
      <c r="BX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S150">
        <v>0</v>
      </c>
      <c r="CZ150">
        <v>0</v>
      </c>
      <c r="DG150">
        <v>0</v>
      </c>
      <c r="DN150">
        <v>0</v>
      </c>
      <c r="DU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 t="s">
        <v>404</v>
      </c>
      <c r="EK150" t="s">
        <v>404</v>
      </c>
      <c r="EL150" t="s">
        <v>404</v>
      </c>
      <c r="EM150" t="s">
        <v>404</v>
      </c>
      <c r="EN150" t="s">
        <v>404</v>
      </c>
      <c r="EO150" t="s">
        <v>404</v>
      </c>
      <c r="EP150" t="s">
        <v>404</v>
      </c>
      <c r="EQ150" t="s">
        <v>404</v>
      </c>
      <c r="ER150" t="s">
        <v>404</v>
      </c>
      <c r="ES150" t="s">
        <v>404</v>
      </c>
      <c r="ET150" t="s">
        <v>404</v>
      </c>
      <c r="EU150" t="s">
        <v>404</v>
      </c>
      <c r="EV150" t="s">
        <v>404</v>
      </c>
      <c r="EW150" t="s">
        <v>404</v>
      </c>
      <c r="EX150" t="s">
        <v>404</v>
      </c>
      <c r="EY150" t="s">
        <v>404</v>
      </c>
      <c r="EZ150" t="s">
        <v>404</v>
      </c>
      <c r="FA150" t="s">
        <v>404</v>
      </c>
      <c r="FB150" t="s">
        <v>404</v>
      </c>
      <c r="FC150" t="s">
        <v>404</v>
      </c>
      <c r="FD150" t="s">
        <v>404</v>
      </c>
      <c r="FE150" t="s">
        <v>404</v>
      </c>
      <c r="FF150" t="s">
        <v>404</v>
      </c>
      <c r="FG150" t="s">
        <v>404</v>
      </c>
      <c r="FH150" t="s">
        <v>404</v>
      </c>
      <c r="FI150" t="s">
        <v>404</v>
      </c>
      <c r="FJ150" t="s">
        <v>404</v>
      </c>
      <c r="FK150" t="s">
        <v>404</v>
      </c>
      <c r="FL150" t="s">
        <v>404</v>
      </c>
      <c r="FM150" t="s">
        <v>404</v>
      </c>
      <c r="FN150" t="s">
        <v>404</v>
      </c>
      <c r="FO150" t="s">
        <v>404</v>
      </c>
      <c r="FP150" t="s">
        <v>404</v>
      </c>
      <c r="FQ150" t="s">
        <v>404</v>
      </c>
      <c r="FR150" t="s">
        <v>404</v>
      </c>
      <c r="FS150" t="s">
        <v>404</v>
      </c>
      <c r="FZ150">
        <v>0</v>
      </c>
      <c r="GG150">
        <v>0</v>
      </c>
      <c r="GN150">
        <v>0</v>
      </c>
      <c r="GU150">
        <v>0</v>
      </c>
      <c r="HB150">
        <v>0</v>
      </c>
      <c r="HI150">
        <v>0</v>
      </c>
      <c r="HP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L150">
        <v>0</v>
      </c>
      <c r="IS150">
        <v>0</v>
      </c>
      <c r="IZ150">
        <v>0</v>
      </c>
      <c r="JG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KA150">
        <v>2</v>
      </c>
      <c r="KB150">
        <v>2</v>
      </c>
      <c r="KC150">
        <v>2</v>
      </c>
      <c r="KD150" t="s">
        <v>407</v>
      </c>
      <c r="OG150" t="s">
        <v>408</v>
      </c>
      <c r="SJ150" t="s">
        <v>409</v>
      </c>
      <c r="WM150" t="s">
        <v>410</v>
      </c>
      <c r="AAP150" t="s">
        <v>411</v>
      </c>
      <c r="AES150" t="s">
        <v>412</v>
      </c>
    </row>
    <row r="151" spans="1:825" x14ac:dyDescent="0.2">
      <c r="A151" t="s">
        <v>1508</v>
      </c>
      <c r="B151" t="s">
        <v>414</v>
      </c>
      <c r="C151" t="s">
        <v>1509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>
        <v>618</v>
      </c>
      <c r="W151" s="20">
        <v>43514.956250000003</v>
      </c>
      <c r="X151" t="s">
        <v>978</v>
      </c>
      <c r="Y151">
        <v>2019</v>
      </c>
      <c r="Z151" t="s">
        <v>1510</v>
      </c>
      <c r="AA151" t="s">
        <v>1509</v>
      </c>
      <c r="AB151" t="str">
        <f>VLOOKUP(MID(AD151,SEARCH("@",AD151,1),LEN(AD151)-SEARCH("@",AD151,1)+1),[2]Sheet1!$D:$F,3,FALSE)</f>
        <v>M0249</v>
      </c>
      <c r="AC151" t="s">
        <v>1027</v>
      </c>
      <c r="AD151" t="s">
        <v>1511</v>
      </c>
      <c r="AE151">
        <v>405193991</v>
      </c>
      <c r="AF151" t="s">
        <v>420</v>
      </c>
      <c r="AG151" t="s">
        <v>421</v>
      </c>
      <c r="AI151">
        <v>2</v>
      </c>
      <c r="AJ151">
        <v>6</v>
      </c>
      <c r="AK151" t="s">
        <v>1512</v>
      </c>
      <c r="AV151">
        <v>0</v>
      </c>
      <c r="BC151">
        <v>0</v>
      </c>
      <c r="BJ151">
        <v>0</v>
      </c>
      <c r="BQ151">
        <v>0</v>
      </c>
      <c r="BX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S151">
        <v>0</v>
      </c>
      <c r="CZ151">
        <v>0</v>
      </c>
      <c r="DG151">
        <v>0</v>
      </c>
      <c r="DN151">
        <v>0</v>
      </c>
      <c r="DU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 t="s">
        <v>404</v>
      </c>
      <c r="EK151" t="s">
        <v>404</v>
      </c>
      <c r="EL151" t="s">
        <v>404</v>
      </c>
      <c r="EM151" t="s">
        <v>404</v>
      </c>
      <c r="EN151" t="s">
        <v>404</v>
      </c>
      <c r="EO151" t="s">
        <v>404</v>
      </c>
      <c r="EP151" t="s">
        <v>404</v>
      </c>
      <c r="EQ151" t="s">
        <v>404</v>
      </c>
      <c r="ER151" t="s">
        <v>404</v>
      </c>
      <c r="ES151" t="s">
        <v>404</v>
      </c>
      <c r="ET151" t="s">
        <v>404</v>
      </c>
      <c r="EU151" t="s">
        <v>404</v>
      </c>
      <c r="EV151" t="s">
        <v>404</v>
      </c>
      <c r="EW151" t="s">
        <v>404</v>
      </c>
      <c r="EX151" t="s">
        <v>404</v>
      </c>
      <c r="EY151" t="s">
        <v>404</v>
      </c>
      <c r="EZ151" t="s">
        <v>404</v>
      </c>
      <c r="FA151" t="s">
        <v>404</v>
      </c>
      <c r="FB151" t="s">
        <v>404</v>
      </c>
      <c r="FC151" t="s">
        <v>404</v>
      </c>
      <c r="FD151" t="s">
        <v>404</v>
      </c>
      <c r="FE151" t="s">
        <v>404</v>
      </c>
      <c r="FF151" t="s">
        <v>404</v>
      </c>
      <c r="FG151" t="s">
        <v>404</v>
      </c>
      <c r="FH151" t="s">
        <v>404</v>
      </c>
      <c r="FI151" t="s">
        <v>404</v>
      </c>
      <c r="FJ151" t="s">
        <v>404</v>
      </c>
      <c r="FK151" t="s">
        <v>404</v>
      </c>
      <c r="FL151" t="s">
        <v>404</v>
      </c>
      <c r="FM151" t="s">
        <v>404</v>
      </c>
      <c r="FN151" t="s">
        <v>404</v>
      </c>
      <c r="FO151" t="s">
        <v>404</v>
      </c>
      <c r="FP151" t="s">
        <v>404</v>
      </c>
      <c r="FQ151" t="s">
        <v>404</v>
      </c>
      <c r="FR151" t="s">
        <v>404</v>
      </c>
      <c r="FS151" t="s">
        <v>404</v>
      </c>
      <c r="FZ151">
        <v>0</v>
      </c>
      <c r="GG151">
        <v>0</v>
      </c>
      <c r="GN151">
        <v>0</v>
      </c>
      <c r="GU151">
        <v>0</v>
      </c>
      <c r="HB151">
        <v>0</v>
      </c>
      <c r="HI151">
        <v>0</v>
      </c>
      <c r="HP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L151">
        <v>0</v>
      </c>
      <c r="IS151">
        <v>0</v>
      </c>
      <c r="IZ151">
        <v>0</v>
      </c>
      <c r="JG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KA151">
        <v>1</v>
      </c>
      <c r="KB151">
        <v>2</v>
      </c>
      <c r="KC151">
        <v>2</v>
      </c>
      <c r="KD151" t="s">
        <v>407</v>
      </c>
      <c r="OG151" t="s">
        <v>408</v>
      </c>
      <c r="SJ151" t="s">
        <v>409</v>
      </c>
      <c r="WM151" t="s">
        <v>410</v>
      </c>
      <c r="AAP151" t="s">
        <v>411</v>
      </c>
      <c r="AES151" t="s">
        <v>412</v>
      </c>
    </row>
    <row r="152" spans="1:825" x14ac:dyDescent="0.2">
      <c r="A152" t="s">
        <v>1513</v>
      </c>
      <c r="B152" t="s">
        <v>396</v>
      </c>
      <c r="C152" t="s">
        <v>1514</v>
      </c>
      <c r="P152" t="b">
        <v>1</v>
      </c>
      <c r="Q152" t="b">
        <v>0</v>
      </c>
      <c r="R152" t="b">
        <v>1</v>
      </c>
      <c r="S152" t="b">
        <v>0</v>
      </c>
      <c r="T152" t="b">
        <v>0</v>
      </c>
      <c r="U152" t="b">
        <v>0</v>
      </c>
      <c r="V152">
        <v>750</v>
      </c>
      <c r="W152" s="20">
        <v>43514.760416666664</v>
      </c>
      <c r="X152" t="s">
        <v>1515</v>
      </c>
      <c r="Y152">
        <v>2019</v>
      </c>
      <c r="Z152" t="s">
        <v>1516</v>
      </c>
      <c r="AA152" t="s">
        <v>1517</v>
      </c>
      <c r="AB152" t="str">
        <f>VLOOKUP(MID(AD152,SEARCH("@",AD152,1),LEN(AD152)-SEARCH("@",AD152,1)+1),[2]Sheet1!$D:$F,3,FALSE)</f>
        <v>M091</v>
      </c>
      <c r="AC152" t="s">
        <v>1518</v>
      </c>
      <c r="AD152" t="s">
        <v>1519</v>
      </c>
      <c r="AE152">
        <v>2074346320</v>
      </c>
      <c r="AF152" t="s">
        <v>571</v>
      </c>
      <c r="AG152" t="s">
        <v>538</v>
      </c>
      <c r="AI152">
        <v>1</v>
      </c>
      <c r="AL152">
        <v>2923</v>
      </c>
      <c r="AM152">
        <v>2923</v>
      </c>
      <c r="AN152">
        <v>1299</v>
      </c>
      <c r="AO152">
        <v>1299</v>
      </c>
      <c r="AV152">
        <v>0</v>
      </c>
      <c r="AW152">
        <v>1457</v>
      </c>
      <c r="BC152">
        <v>1457</v>
      </c>
      <c r="BD152">
        <v>1466</v>
      </c>
      <c r="BJ152">
        <v>1466</v>
      </c>
      <c r="BQ152">
        <v>0</v>
      </c>
      <c r="BX152">
        <v>0</v>
      </c>
      <c r="CE152">
        <v>0</v>
      </c>
      <c r="CF152">
        <v>2923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2923</v>
      </c>
      <c r="CS152">
        <v>0</v>
      </c>
      <c r="CT152">
        <v>1</v>
      </c>
      <c r="CZ152">
        <v>1</v>
      </c>
      <c r="DA152">
        <v>3</v>
      </c>
      <c r="DG152">
        <v>3</v>
      </c>
      <c r="DN152">
        <v>0</v>
      </c>
      <c r="DU152">
        <v>0</v>
      </c>
      <c r="EB152">
        <v>0</v>
      </c>
      <c r="EC152">
        <v>4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4</v>
      </c>
      <c r="EJ152" t="s">
        <v>404</v>
      </c>
      <c r="EK152" t="s">
        <v>404</v>
      </c>
      <c r="EL152" t="s">
        <v>404</v>
      </c>
      <c r="EM152" t="s">
        <v>404</v>
      </c>
      <c r="EN152" t="s">
        <v>404</v>
      </c>
      <c r="EO152" t="s">
        <v>404</v>
      </c>
      <c r="EP152" t="s">
        <v>405</v>
      </c>
      <c r="EQ152" t="s">
        <v>404</v>
      </c>
      <c r="ER152" t="s">
        <v>404</v>
      </c>
      <c r="ES152" t="s">
        <v>404</v>
      </c>
      <c r="ET152" t="s">
        <v>404</v>
      </c>
      <c r="EU152" t="s">
        <v>404</v>
      </c>
      <c r="EV152" t="s">
        <v>405</v>
      </c>
      <c r="EW152" t="s">
        <v>404</v>
      </c>
      <c r="EX152" t="s">
        <v>404</v>
      </c>
      <c r="EY152" t="s">
        <v>404</v>
      </c>
      <c r="EZ152" t="s">
        <v>404</v>
      </c>
      <c r="FA152" t="s">
        <v>404</v>
      </c>
      <c r="FB152" t="s">
        <v>404</v>
      </c>
      <c r="FC152" t="s">
        <v>404</v>
      </c>
      <c r="FD152" t="s">
        <v>404</v>
      </c>
      <c r="FE152" t="s">
        <v>404</v>
      </c>
      <c r="FF152" t="s">
        <v>404</v>
      </c>
      <c r="FG152" t="s">
        <v>404</v>
      </c>
      <c r="FH152" t="s">
        <v>404</v>
      </c>
      <c r="FI152" t="s">
        <v>404</v>
      </c>
      <c r="FJ152" t="s">
        <v>404</v>
      </c>
      <c r="FK152" t="s">
        <v>404</v>
      </c>
      <c r="FL152" t="s">
        <v>404</v>
      </c>
      <c r="FM152" t="s">
        <v>404</v>
      </c>
      <c r="FN152" t="s">
        <v>404</v>
      </c>
      <c r="FO152" t="s">
        <v>404</v>
      </c>
      <c r="FP152" t="s">
        <v>404</v>
      </c>
      <c r="FQ152" t="s">
        <v>404</v>
      </c>
      <c r="FR152" t="s">
        <v>404</v>
      </c>
      <c r="FS152" t="s">
        <v>404</v>
      </c>
      <c r="FT152">
        <v>1462</v>
      </c>
      <c r="FZ152">
        <v>1462</v>
      </c>
      <c r="GA152">
        <v>526</v>
      </c>
      <c r="GG152">
        <v>526</v>
      </c>
      <c r="GH152">
        <v>292</v>
      </c>
      <c r="GN152">
        <v>292</v>
      </c>
      <c r="GU152">
        <v>0</v>
      </c>
      <c r="HB152">
        <v>0</v>
      </c>
      <c r="HC152">
        <v>59</v>
      </c>
      <c r="HI152">
        <v>59</v>
      </c>
      <c r="HJ152">
        <v>584</v>
      </c>
      <c r="HP152">
        <v>584</v>
      </c>
      <c r="HX152">
        <v>0</v>
      </c>
      <c r="HY152">
        <v>2923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2923</v>
      </c>
      <c r="IL152">
        <v>0</v>
      </c>
      <c r="IM152">
        <v>1462</v>
      </c>
      <c r="IS152">
        <v>1462</v>
      </c>
      <c r="IT152">
        <v>1461</v>
      </c>
      <c r="IZ152">
        <v>1461</v>
      </c>
      <c r="JG152">
        <v>0</v>
      </c>
      <c r="JN152">
        <v>0</v>
      </c>
      <c r="JO152">
        <v>2923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2923</v>
      </c>
      <c r="JV152">
        <v>0</v>
      </c>
      <c r="JW152">
        <v>25</v>
      </c>
      <c r="JX152">
        <v>75</v>
      </c>
      <c r="KA152">
        <v>1</v>
      </c>
      <c r="KB152">
        <v>2</v>
      </c>
      <c r="KC152">
        <v>2</v>
      </c>
      <c r="KD152" t="s">
        <v>407</v>
      </c>
      <c r="OG152" t="s">
        <v>408</v>
      </c>
      <c r="SJ152" t="s">
        <v>409</v>
      </c>
      <c r="WM152" t="s">
        <v>410</v>
      </c>
      <c r="AAP152" t="s">
        <v>411</v>
      </c>
      <c r="AES152" t="s">
        <v>412</v>
      </c>
    </row>
    <row r="153" spans="1:825" x14ac:dyDescent="0.2">
      <c r="A153" t="s">
        <v>1520</v>
      </c>
      <c r="B153" t="s">
        <v>396</v>
      </c>
      <c r="C153" t="s">
        <v>1521</v>
      </c>
      <c r="P153" t="b">
        <v>0</v>
      </c>
      <c r="Q153" t="b">
        <v>0</v>
      </c>
      <c r="R153" t="b">
        <v>1</v>
      </c>
      <c r="S153" t="b">
        <v>0</v>
      </c>
      <c r="T153" t="b">
        <v>0</v>
      </c>
      <c r="U153" t="b">
        <v>0</v>
      </c>
      <c r="V153">
        <v>736</v>
      </c>
      <c r="W153" s="20">
        <v>43514.473611111112</v>
      </c>
      <c r="X153" t="s">
        <v>1522</v>
      </c>
      <c r="Y153">
        <v>2019</v>
      </c>
      <c r="Z153" t="s">
        <v>1523</v>
      </c>
      <c r="AA153" t="s">
        <v>1524</v>
      </c>
      <c r="AB153" t="str">
        <f>VLOOKUP(MID(AD153,SEARCH("@",AD153,1),LEN(AD153)-SEARCH("@",AD153,1)+1),[2]Sheet1!$D:$F,3,FALSE)</f>
        <v>M2875</v>
      </c>
      <c r="AC153" t="s">
        <v>1011</v>
      </c>
      <c r="AD153" t="s">
        <v>1525</v>
      </c>
      <c r="AE153">
        <v>49896495630</v>
      </c>
      <c r="AF153" t="s">
        <v>444</v>
      </c>
      <c r="AG153" t="s">
        <v>403</v>
      </c>
      <c r="AI153">
        <v>1</v>
      </c>
      <c r="AL153">
        <v>275</v>
      </c>
      <c r="AM153">
        <v>275</v>
      </c>
      <c r="AN153">
        <v>275</v>
      </c>
      <c r="AO153">
        <v>275</v>
      </c>
      <c r="AV153">
        <v>0</v>
      </c>
      <c r="BC153">
        <v>0</v>
      </c>
      <c r="BE153">
        <v>275</v>
      </c>
      <c r="BJ153">
        <v>275</v>
      </c>
      <c r="BQ153">
        <v>0</v>
      </c>
      <c r="BX153">
        <v>0</v>
      </c>
      <c r="CE153">
        <v>0</v>
      </c>
      <c r="CF153">
        <v>0</v>
      </c>
      <c r="CG153">
        <v>275</v>
      </c>
      <c r="CH153">
        <v>0</v>
      </c>
      <c r="CI153">
        <v>0</v>
      </c>
      <c r="CJ153">
        <v>0</v>
      </c>
      <c r="CK153">
        <v>0</v>
      </c>
      <c r="CL153">
        <v>275</v>
      </c>
      <c r="CS153">
        <v>0</v>
      </c>
      <c r="CZ153">
        <v>0</v>
      </c>
      <c r="DB153">
        <v>3</v>
      </c>
      <c r="DG153">
        <v>3</v>
      </c>
      <c r="DN153">
        <v>0</v>
      </c>
      <c r="DU153">
        <v>0</v>
      </c>
      <c r="EB153">
        <v>0</v>
      </c>
      <c r="EC153">
        <v>0</v>
      </c>
      <c r="ED153">
        <v>3</v>
      </c>
      <c r="EE153">
        <v>0</v>
      </c>
      <c r="EF153">
        <v>0</v>
      </c>
      <c r="EG153">
        <v>0</v>
      </c>
      <c r="EH153">
        <v>0</v>
      </c>
      <c r="EI153">
        <v>3</v>
      </c>
      <c r="EJ153" t="s">
        <v>404</v>
      </c>
      <c r="EK153" t="s">
        <v>404</v>
      </c>
      <c r="EL153" t="s">
        <v>404</v>
      </c>
      <c r="EM153" t="s">
        <v>404</v>
      </c>
      <c r="EN153" t="s">
        <v>404</v>
      </c>
      <c r="EO153" t="s">
        <v>404</v>
      </c>
      <c r="EP153" t="s">
        <v>404</v>
      </c>
      <c r="EQ153" t="s">
        <v>404</v>
      </c>
      <c r="ER153" t="s">
        <v>404</v>
      </c>
      <c r="ES153" t="s">
        <v>404</v>
      </c>
      <c r="ET153" t="s">
        <v>404</v>
      </c>
      <c r="EU153" t="s">
        <v>404</v>
      </c>
      <c r="EV153" t="s">
        <v>404</v>
      </c>
      <c r="EW153" t="s">
        <v>405</v>
      </c>
      <c r="EX153" t="s">
        <v>404</v>
      </c>
      <c r="EY153" t="s">
        <v>404</v>
      </c>
      <c r="EZ153" t="s">
        <v>404</v>
      </c>
      <c r="FA153" t="s">
        <v>404</v>
      </c>
      <c r="FB153" t="s">
        <v>404</v>
      </c>
      <c r="FC153" t="s">
        <v>404</v>
      </c>
      <c r="FD153" t="s">
        <v>404</v>
      </c>
      <c r="FE153" t="s">
        <v>404</v>
      </c>
      <c r="FF153" t="s">
        <v>404</v>
      </c>
      <c r="FG153" t="s">
        <v>404</v>
      </c>
      <c r="FH153" t="s">
        <v>404</v>
      </c>
      <c r="FI153" t="s">
        <v>404</v>
      </c>
      <c r="FJ153" t="s">
        <v>404</v>
      </c>
      <c r="FK153" t="s">
        <v>404</v>
      </c>
      <c r="FL153" t="s">
        <v>404</v>
      </c>
      <c r="FM153" t="s">
        <v>404</v>
      </c>
      <c r="FN153" t="s">
        <v>404</v>
      </c>
      <c r="FO153" t="s">
        <v>404</v>
      </c>
      <c r="FP153" t="s">
        <v>404</v>
      </c>
      <c r="FQ153" t="s">
        <v>404</v>
      </c>
      <c r="FR153" t="s">
        <v>404</v>
      </c>
      <c r="FS153" t="s">
        <v>404</v>
      </c>
      <c r="FU153">
        <v>175</v>
      </c>
      <c r="FZ153">
        <v>175</v>
      </c>
      <c r="GB153">
        <v>100</v>
      </c>
      <c r="GG153">
        <v>100</v>
      </c>
      <c r="GN153">
        <v>0</v>
      </c>
      <c r="GU153">
        <v>0</v>
      </c>
      <c r="HB153">
        <v>0</v>
      </c>
      <c r="HI153">
        <v>0</v>
      </c>
      <c r="HP153">
        <v>0</v>
      </c>
      <c r="HX153">
        <v>0</v>
      </c>
      <c r="HY153">
        <v>0</v>
      </c>
      <c r="HZ153">
        <v>275</v>
      </c>
      <c r="IA153">
        <v>0</v>
      </c>
      <c r="IB153">
        <v>0</v>
      </c>
      <c r="IC153">
        <v>0</v>
      </c>
      <c r="ID153">
        <v>0</v>
      </c>
      <c r="IE153">
        <v>275</v>
      </c>
      <c r="IL153">
        <v>0</v>
      </c>
      <c r="IS153">
        <v>0</v>
      </c>
      <c r="IU153">
        <v>275</v>
      </c>
      <c r="IZ153">
        <v>275</v>
      </c>
      <c r="JG153">
        <v>0</v>
      </c>
      <c r="JN153">
        <v>0</v>
      </c>
      <c r="JO153">
        <v>0</v>
      </c>
      <c r="JP153">
        <v>275</v>
      </c>
      <c r="JQ153">
        <v>0</v>
      </c>
      <c r="JR153">
        <v>0</v>
      </c>
      <c r="JS153">
        <v>0</v>
      </c>
      <c r="JT153">
        <v>0</v>
      </c>
      <c r="JU153">
        <v>275</v>
      </c>
      <c r="JX153">
        <v>100</v>
      </c>
      <c r="KA153">
        <v>1</v>
      </c>
      <c r="KB153">
        <v>1</v>
      </c>
      <c r="KC153">
        <v>2</v>
      </c>
      <c r="KD153" t="s">
        <v>407</v>
      </c>
      <c r="OG153" t="s">
        <v>408</v>
      </c>
      <c r="SJ153" t="s">
        <v>409</v>
      </c>
      <c r="WM153" t="s">
        <v>410</v>
      </c>
      <c r="AAP153" t="s">
        <v>411</v>
      </c>
      <c r="AES153" t="s">
        <v>412</v>
      </c>
    </row>
    <row r="154" spans="1:825" x14ac:dyDescent="0.2">
      <c r="A154" t="s">
        <v>1526</v>
      </c>
      <c r="B154" t="s">
        <v>414</v>
      </c>
      <c r="C154" t="s">
        <v>1527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>
        <v>815</v>
      </c>
      <c r="W154" s="20">
        <v>43523.606249999997</v>
      </c>
      <c r="X154" t="s">
        <v>1528</v>
      </c>
      <c r="Y154">
        <v>2019</v>
      </c>
      <c r="Z154" t="s">
        <v>1529</v>
      </c>
      <c r="AA154" t="s">
        <v>1530</v>
      </c>
      <c r="AB154" t="str">
        <f>VLOOKUP(MID(AD154,SEARCH("@",AD154,1),LEN(AD154)-SEARCH("@",AD154,1)+1),[2]Sheet1!$D:$F,3,FALSE)</f>
        <v>M0335</v>
      </c>
      <c r="AC154" t="s">
        <v>1531</v>
      </c>
      <c r="AD154" t="s">
        <v>1532</v>
      </c>
      <c r="AE154">
        <v>7825842842</v>
      </c>
      <c r="AF154" t="s">
        <v>491</v>
      </c>
      <c r="AG154" t="s">
        <v>538</v>
      </c>
      <c r="AI154">
        <v>2</v>
      </c>
      <c r="AJ154">
        <v>6</v>
      </c>
      <c r="AK154" t="s">
        <v>1533</v>
      </c>
      <c r="AV154">
        <v>0</v>
      </c>
      <c r="BC154">
        <v>0</v>
      </c>
      <c r="BJ154">
        <v>0</v>
      </c>
      <c r="BQ154">
        <v>0</v>
      </c>
      <c r="BX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S154">
        <v>0</v>
      </c>
      <c r="CZ154">
        <v>0</v>
      </c>
      <c r="DG154">
        <v>0</v>
      </c>
      <c r="DN154">
        <v>0</v>
      </c>
      <c r="DU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 t="s">
        <v>404</v>
      </c>
      <c r="EK154" t="s">
        <v>404</v>
      </c>
      <c r="EL154" t="s">
        <v>404</v>
      </c>
      <c r="EM154" t="s">
        <v>404</v>
      </c>
      <c r="EN154" t="s">
        <v>404</v>
      </c>
      <c r="EO154" t="s">
        <v>404</v>
      </c>
      <c r="EP154" t="s">
        <v>404</v>
      </c>
      <c r="EQ154" t="s">
        <v>404</v>
      </c>
      <c r="ER154" t="s">
        <v>404</v>
      </c>
      <c r="ES154" t="s">
        <v>404</v>
      </c>
      <c r="ET154" t="s">
        <v>404</v>
      </c>
      <c r="EU154" t="s">
        <v>404</v>
      </c>
      <c r="EV154" t="s">
        <v>404</v>
      </c>
      <c r="EW154" t="s">
        <v>404</v>
      </c>
      <c r="EX154" t="s">
        <v>404</v>
      </c>
      <c r="EY154" t="s">
        <v>404</v>
      </c>
      <c r="EZ154" t="s">
        <v>404</v>
      </c>
      <c r="FA154" t="s">
        <v>404</v>
      </c>
      <c r="FB154" t="s">
        <v>404</v>
      </c>
      <c r="FC154" t="s">
        <v>404</v>
      </c>
      <c r="FD154" t="s">
        <v>404</v>
      </c>
      <c r="FE154" t="s">
        <v>404</v>
      </c>
      <c r="FF154" t="s">
        <v>404</v>
      </c>
      <c r="FG154" t="s">
        <v>404</v>
      </c>
      <c r="FH154" t="s">
        <v>404</v>
      </c>
      <c r="FI154" t="s">
        <v>404</v>
      </c>
      <c r="FJ154" t="s">
        <v>404</v>
      </c>
      <c r="FK154" t="s">
        <v>404</v>
      </c>
      <c r="FL154" t="s">
        <v>404</v>
      </c>
      <c r="FM154" t="s">
        <v>404</v>
      </c>
      <c r="FN154" t="s">
        <v>404</v>
      </c>
      <c r="FO154" t="s">
        <v>404</v>
      </c>
      <c r="FP154" t="s">
        <v>404</v>
      </c>
      <c r="FQ154" t="s">
        <v>404</v>
      </c>
      <c r="FR154" t="s">
        <v>404</v>
      </c>
      <c r="FS154" t="s">
        <v>404</v>
      </c>
      <c r="FZ154">
        <v>0</v>
      </c>
      <c r="GG154">
        <v>0</v>
      </c>
      <c r="GN154">
        <v>0</v>
      </c>
      <c r="GU154">
        <v>0</v>
      </c>
      <c r="HB154">
        <v>0</v>
      </c>
      <c r="HI154">
        <v>0</v>
      </c>
      <c r="HP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L154">
        <v>0</v>
      </c>
      <c r="IS154">
        <v>0</v>
      </c>
      <c r="IZ154">
        <v>0</v>
      </c>
      <c r="JG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KA154">
        <v>1</v>
      </c>
      <c r="KB154">
        <v>3</v>
      </c>
      <c r="KC154">
        <v>1</v>
      </c>
      <c r="KD154" t="s">
        <v>407</v>
      </c>
      <c r="OG154" t="s">
        <v>408</v>
      </c>
      <c r="SJ154" t="s">
        <v>409</v>
      </c>
      <c r="WM154" t="s">
        <v>410</v>
      </c>
      <c r="AAP154" t="s">
        <v>411</v>
      </c>
      <c r="AES154" t="s">
        <v>412</v>
      </c>
    </row>
    <row r="155" spans="1:825" x14ac:dyDescent="0.2">
      <c r="A155" t="s">
        <v>1534</v>
      </c>
      <c r="B155" t="s">
        <v>563</v>
      </c>
      <c r="C155" t="s">
        <v>1535</v>
      </c>
      <c r="D155" t="s">
        <v>478</v>
      </c>
      <c r="E155" s="3">
        <v>43529.434027777781</v>
      </c>
      <c r="H155" t="s">
        <v>502</v>
      </c>
      <c r="I155" s="3">
        <v>43529.435416666667</v>
      </c>
      <c r="P155" t="b">
        <v>0</v>
      </c>
      <c r="Q155" t="b">
        <v>1</v>
      </c>
      <c r="R155" t="b">
        <v>1</v>
      </c>
      <c r="S155" t="b">
        <v>0</v>
      </c>
      <c r="T155" t="b">
        <v>0</v>
      </c>
      <c r="U155" t="b">
        <v>0</v>
      </c>
      <c r="V155">
        <v>752</v>
      </c>
      <c r="W155" s="20">
        <v>43529.433333333334</v>
      </c>
      <c r="X155" t="s">
        <v>1536</v>
      </c>
      <c r="Y155">
        <v>2019</v>
      </c>
      <c r="Z155" t="s">
        <v>1537</v>
      </c>
      <c r="AA155" t="s">
        <v>1538</v>
      </c>
      <c r="AB155" t="str">
        <f>VLOOKUP(MID(AD155,SEARCH("@",AD155,1),LEN(AD155)-SEARCH("@",AD155,1)+1),[2]Sheet1!$D:$F,3,FALSE)</f>
        <v>M0045</v>
      </c>
      <c r="AC155" t="s">
        <v>1158</v>
      </c>
      <c r="AD155" t="s">
        <v>1539</v>
      </c>
      <c r="AE155" t="s">
        <v>1540</v>
      </c>
      <c r="AF155" t="s">
        <v>571</v>
      </c>
      <c r="AG155" t="s">
        <v>538</v>
      </c>
      <c r="AI155">
        <v>1</v>
      </c>
      <c r="AL155">
        <v>2610.56</v>
      </c>
      <c r="AN155">
        <v>2610.56</v>
      </c>
      <c r="AP155">
        <v>315</v>
      </c>
      <c r="AV155">
        <v>315</v>
      </c>
      <c r="BC155">
        <v>0</v>
      </c>
      <c r="BD155">
        <v>2295.56</v>
      </c>
      <c r="BJ155">
        <v>2295.56</v>
      </c>
      <c r="BQ155">
        <v>0</v>
      </c>
      <c r="BX155">
        <v>0</v>
      </c>
      <c r="CE155">
        <v>0</v>
      </c>
      <c r="CF155">
        <v>2610.56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2610.56</v>
      </c>
      <c r="CM155">
        <v>1</v>
      </c>
      <c r="CS155">
        <v>1</v>
      </c>
      <c r="CZ155">
        <v>0</v>
      </c>
      <c r="DA155">
        <v>1</v>
      </c>
      <c r="DG155">
        <v>1</v>
      </c>
      <c r="DN155">
        <v>0</v>
      </c>
      <c r="DU155">
        <v>0</v>
      </c>
      <c r="EB155">
        <v>0</v>
      </c>
      <c r="EC155">
        <v>2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2</v>
      </c>
      <c r="EJ155" t="s">
        <v>405</v>
      </c>
      <c r="EK155" t="s">
        <v>404</v>
      </c>
      <c r="EL155" t="s">
        <v>404</v>
      </c>
      <c r="EM155" t="s">
        <v>404</v>
      </c>
      <c r="EN155" t="s">
        <v>404</v>
      </c>
      <c r="EO155" t="s">
        <v>404</v>
      </c>
      <c r="EP155" t="s">
        <v>404</v>
      </c>
      <c r="EQ155" t="s">
        <v>404</v>
      </c>
      <c r="ER155" t="s">
        <v>404</v>
      </c>
      <c r="ES155" t="s">
        <v>404</v>
      </c>
      <c r="ET155" t="s">
        <v>404</v>
      </c>
      <c r="EU155" t="s">
        <v>404</v>
      </c>
      <c r="EV155" t="s">
        <v>405</v>
      </c>
      <c r="EW155" t="s">
        <v>404</v>
      </c>
      <c r="EX155" t="s">
        <v>404</v>
      </c>
      <c r="EY155" t="s">
        <v>404</v>
      </c>
      <c r="EZ155" t="s">
        <v>404</v>
      </c>
      <c r="FA155" t="s">
        <v>404</v>
      </c>
      <c r="FB155" t="s">
        <v>404</v>
      </c>
      <c r="FC155" t="s">
        <v>404</v>
      </c>
      <c r="FD155" t="s">
        <v>404</v>
      </c>
      <c r="FE155" t="s">
        <v>404</v>
      </c>
      <c r="FF155" t="s">
        <v>404</v>
      </c>
      <c r="FG155" t="s">
        <v>404</v>
      </c>
      <c r="FH155" t="s">
        <v>404</v>
      </c>
      <c r="FI155" t="s">
        <v>404</v>
      </c>
      <c r="FJ155" t="s">
        <v>404</v>
      </c>
      <c r="FK155" t="s">
        <v>404</v>
      </c>
      <c r="FL155" t="s">
        <v>404</v>
      </c>
      <c r="FM155" t="s">
        <v>404</v>
      </c>
      <c r="FN155" t="s">
        <v>404</v>
      </c>
      <c r="FO155" t="s">
        <v>404</v>
      </c>
      <c r="FP155" t="s">
        <v>404</v>
      </c>
      <c r="FQ155" t="s">
        <v>404</v>
      </c>
      <c r="FR155" t="s">
        <v>404</v>
      </c>
      <c r="FS155" t="s">
        <v>404</v>
      </c>
      <c r="FT155">
        <v>1328.91</v>
      </c>
      <c r="FZ155">
        <v>1328.91</v>
      </c>
      <c r="GA155">
        <v>151.44999999999999</v>
      </c>
      <c r="GG155">
        <v>151.44999999999999</v>
      </c>
      <c r="GN155">
        <v>0</v>
      </c>
      <c r="GO155">
        <v>520.1</v>
      </c>
      <c r="GU155">
        <v>520.1</v>
      </c>
      <c r="GV155">
        <v>151.78</v>
      </c>
      <c r="HB155">
        <v>151.78</v>
      </c>
      <c r="HC155">
        <v>295.82</v>
      </c>
      <c r="HI155">
        <v>295.82</v>
      </c>
      <c r="HJ155">
        <v>4</v>
      </c>
      <c r="HP155">
        <v>4</v>
      </c>
      <c r="HQ155" t="s">
        <v>1541</v>
      </c>
      <c r="HR155">
        <v>158.5</v>
      </c>
      <c r="HX155">
        <v>158.5</v>
      </c>
      <c r="HY155">
        <v>2610.56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2610.56</v>
      </c>
      <c r="IF155">
        <v>450.81</v>
      </c>
      <c r="IL155">
        <v>450.81</v>
      </c>
      <c r="IM155">
        <v>341.52</v>
      </c>
      <c r="IS155">
        <v>341.52</v>
      </c>
      <c r="IT155">
        <v>1818.23</v>
      </c>
      <c r="IZ155">
        <v>1818.23</v>
      </c>
      <c r="JG155">
        <v>0</v>
      </c>
      <c r="JN155">
        <v>0</v>
      </c>
      <c r="JO155">
        <v>2610.56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2610.56</v>
      </c>
      <c r="JX155">
        <v>100</v>
      </c>
      <c r="KA155">
        <v>3</v>
      </c>
      <c r="KB155">
        <v>3</v>
      </c>
      <c r="KC155">
        <v>1</v>
      </c>
      <c r="KD155" t="s">
        <v>407</v>
      </c>
      <c r="KE155">
        <v>100</v>
      </c>
      <c r="KK155">
        <v>100</v>
      </c>
      <c r="KL155">
        <v>97.18</v>
      </c>
      <c r="KR155">
        <v>97.18</v>
      </c>
      <c r="KY155">
        <v>0</v>
      </c>
      <c r="LF155">
        <v>0</v>
      </c>
      <c r="LM155">
        <v>0</v>
      </c>
      <c r="LN155">
        <v>117.82</v>
      </c>
      <c r="LT155">
        <v>117.82</v>
      </c>
      <c r="MA155">
        <v>0</v>
      </c>
      <c r="MI155">
        <v>0</v>
      </c>
      <c r="MJ155">
        <v>315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315</v>
      </c>
      <c r="MQ155">
        <v>234.59</v>
      </c>
      <c r="MW155">
        <v>234.59</v>
      </c>
      <c r="MX155">
        <v>80.41</v>
      </c>
      <c r="ND155">
        <v>80.41</v>
      </c>
      <c r="NK155">
        <v>0</v>
      </c>
      <c r="NR155">
        <v>0</v>
      </c>
      <c r="NY155">
        <v>0</v>
      </c>
      <c r="NZ155">
        <v>315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315</v>
      </c>
      <c r="OG155" t="s">
        <v>408</v>
      </c>
      <c r="SJ155" t="s">
        <v>409</v>
      </c>
      <c r="SK155">
        <v>1228.9100000000001</v>
      </c>
      <c r="SQ155">
        <v>1228.9100000000001</v>
      </c>
      <c r="SR155">
        <v>54.28</v>
      </c>
      <c r="SX155">
        <v>54.28</v>
      </c>
      <c r="TE155">
        <v>0</v>
      </c>
      <c r="TF155">
        <v>520.1</v>
      </c>
      <c r="TL155">
        <v>520.1</v>
      </c>
      <c r="TM155">
        <v>151.78</v>
      </c>
      <c r="TS155">
        <v>151.78</v>
      </c>
      <c r="TT155">
        <v>178</v>
      </c>
      <c r="TZ155">
        <v>178</v>
      </c>
      <c r="UA155">
        <v>4</v>
      </c>
      <c r="UG155">
        <v>4</v>
      </c>
      <c r="UH155" t="s">
        <v>1542</v>
      </c>
      <c r="UI155">
        <v>158.5</v>
      </c>
      <c r="UO155">
        <v>158.5</v>
      </c>
      <c r="UP155">
        <v>2295.5700000000002</v>
      </c>
      <c r="UQ155">
        <v>0</v>
      </c>
      <c r="UR155">
        <v>0</v>
      </c>
      <c r="US155">
        <v>0</v>
      </c>
      <c r="UT155">
        <v>0</v>
      </c>
      <c r="UU155">
        <v>0</v>
      </c>
      <c r="UV155">
        <v>2295.5700000000002</v>
      </c>
      <c r="UW155">
        <v>216.22</v>
      </c>
      <c r="VC155">
        <v>216.22</v>
      </c>
      <c r="VD155">
        <v>261.11</v>
      </c>
      <c r="VJ155">
        <v>261.11</v>
      </c>
      <c r="VK155">
        <v>1818.23</v>
      </c>
      <c r="VQ155">
        <v>1818.23</v>
      </c>
      <c r="VX155">
        <v>0</v>
      </c>
      <c r="WE155">
        <v>0</v>
      </c>
      <c r="WF155">
        <v>2295.56</v>
      </c>
      <c r="WG155">
        <v>0</v>
      </c>
      <c r="WH155">
        <v>0</v>
      </c>
      <c r="WI155">
        <v>0</v>
      </c>
      <c r="WJ155">
        <v>0</v>
      </c>
      <c r="WK155">
        <v>0</v>
      </c>
      <c r="WL155">
        <v>2295.56</v>
      </c>
      <c r="WM155" t="s">
        <v>410</v>
      </c>
      <c r="AAP155" t="s">
        <v>411</v>
      </c>
      <c r="AES155" t="s">
        <v>412</v>
      </c>
    </row>
    <row r="156" spans="1:825" x14ac:dyDescent="0.2">
      <c r="A156" t="s">
        <v>1543</v>
      </c>
      <c r="B156" t="s">
        <v>396</v>
      </c>
      <c r="C156" t="s">
        <v>1544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>
        <v>650</v>
      </c>
      <c r="W156" s="20">
        <v>43530.457638888889</v>
      </c>
      <c r="X156" t="s">
        <v>1545</v>
      </c>
      <c r="Y156">
        <v>2019</v>
      </c>
      <c r="Z156" t="s">
        <v>1546</v>
      </c>
      <c r="AA156" t="s">
        <v>1544</v>
      </c>
      <c r="AB156" t="str">
        <f>VLOOKUP(MID(AD156,SEARCH("@",AD156,1),LEN(AD156)-SEARCH("@",AD156,1)+1),[2]Sheet1!$D:$F,3,FALSE)</f>
        <v>M318</v>
      </c>
      <c r="AC156" t="s">
        <v>1547</v>
      </c>
      <c r="AD156" t="s">
        <v>1548</v>
      </c>
      <c r="AE156">
        <v>352621625665</v>
      </c>
      <c r="AF156" t="s">
        <v>592</v>
      </c>
      <c r="AG156" t="s">
        <v>403</v>
      </c>
      <c r="AI156">
        <v>1</v>
      </c>
      <c r="AL156">
        <v>2522</v>
      </c>
      <c r="AM156">
        <v>2522</v>
      </c>
      <c r="AN156">
        <v>630</v>
      </c>
      <c r="AO156">
        <v>630</v>
      </c>
      <c r="AV156">
        <v>0</v>
      </c>
      <c r="AW156">
        <v>389</v>
      </c>
      <c r="AX156">
        <v>2133</v>
      </c>
      <c r="BC156">
        <v>2522</v>
      </c>
      <c r="BJ156">
        <v>0</v>
      </c>
      <c r="BQ156">
        <v>0</v>
      </c>
      <c r="BX156">
        <v>0</v>
      </c>
      <c r="CE156">
        <v>0</v>
      </c>
      <c r="CF156">
        <v>389</v>
      </c>
      <c r="CG156">
        <v>2133</v>
      </c>
      <c r="CH156">
        <v>0</v>
      </c>
      <c r="CI156">
        <v>0</v>
      </c>
      <c r="CJ156">
        <v>0</v>
      </c>
      <c r="CK156">
        <v>0</v>
      </c>
      <c r="CL156">
        <v>2522</v>
      </c>
      <c r="CS156">
        <v>0</v>
      </c>
      <c r="CT156">
        <v>6</v>
      </c>
      <c r="CU156">
        <v>9</v>
      </c>
      <c r="CZ156">
        <v>15</v>
      </c>
      <c r="DG156">
        <v>0</v>
      </c>
      <c r="DN156">
        <v>0</v>
      </c>
      <c r="DU156">
        <v>0</v>
      </c>
      <c r="EB156">
        <v>0</v>
      </c>
      <c r="EC156">
        <v>6</v>
      </c>
      <c r="ED156">
        <v>9</v>
      </c>
      <c r="EE156">
        <v>0</v>
      </c>
      <c r="EF156">
        <v>0</v>
      </c>
      <c r="EG156">
        <v>0</v>
      </c>
      <c r="EH156">
        <v>0</v>
      </c>
      <c r="EI156">
        <v>15</v>
      </c>
      <c r="EJ156" t="s">
        <v>404</v>
      </c>
      <c r="EK156" t="s">
        <v>404</v>
      </c>
      <c r="EL156" t="s">
        <v>404</v>
      </c>
      <c r="EM156" t="s">
        <v>404</v>
      </c>
      <c r="EN156" t="s">
        <v>404</v>
      </c>
      <c r="EO156" t="s">
        <v>404</v>
      </c>
      <c r="EP156" t="s">
        <v>405</v>
      </c>
      <c r="EQ156" t="s">
        <v>405</v>
      </c>
      <c r="ER156" t="s">
        <v>404</v>
      </c>
      <c r="ES156" t="s">
        <v>404</v>
      </c>
      <c r="ET156" t="s">
        <v>404</v>
      </c>
      <c r="EU156" t="s">
        <v>404</v>
      </c>
      <c r="EV156" t="s">
        <v>404</v>
      </c>
      <c r="EW156" t="s">
        <v>404</v>
      </c>
      <c r="EX156" t="s">
        <v>404</v>
      </c>
      <c r="EY156" t="s">
        <v>404</v>
      </c>
      <c r="EZ156" t="s">
        <v>404</v>
      </c>
      <c r="FA156" t="s">
        <v>404</v>
      </c>
      <c r="FB156" t="s">
        <v>404</v>
      </c>
      <c r="FC156" t="s">
        <v>404</v>
      </c>
      <c r="FD156" t="s">
        <v>404</v>
      </c>
      <c r="FE156" t="s">
        <v>404</v>
      </c>
      <c r="FF156" t="s">
        <v>404</v>
      </c>
      <c r="FG156" t="s">
        <v>404</v>
      </c>
      <c r="FH156" t="s">
        <v>404</v>
      </c>
      <c r="FI156" t="s">
        <v>404</v>
      </c>
      <c r="FJ156" t="s">
        <v>404</v>
      </c>
      <c r="FK156" t="s">
        <v>404</v>
      </c>
      <c r="FL156" t="s">
        <v>404</v>
      </c>
      <c r="FM156" t="s">
        <v>404</v>
      </c>
      <c r="FN156" t="s">
        <v>404</v>
      </c>
      <c r="FO156" t="s">
        <v>404</v>
      </c>
      <c r="FP156" t="s">
        <v>404</v>
      </c>
      <c r="FQ156" t="s">
        <v>404</v>
      </c>
      <c r="FR156" t="s">
        <v>404</v>
      </c>
      <c r="FS156" t="s">
        <v>404</v>
      </c>
      <c r="FT156">
        <v>176</v>
      </c>
      <c r="FU156">
        <v>150</v>
      </c>
      <c r="FZ156">
        <v>326</v>
      </c>
      <c r="GA156">
        <v>161</v>
      </c>
      <c r="GB156">
        <v>1750</v>
      </c>
      <c r="GG156">
        <v>1911</v>
      </c>
      <c r="GN156">
        <v>0</v>
      </c>
      <c r="GU156">
        <v>0</v>
      </c>
      <c r="HB156">
        <v>0</v>
      </c>
      <c r="HI156">
        <v>0</v>
      </c>
      <c r="HP156">
        <v>0</v>
      </c>
      <c r="HR156">
        <v>52</v>
      </c>
      <c r="HS156">
        <v>233</v>
      </c>
      <c r="HX156">
        <v>285</v>
      </c>
      <c r="HY156">
        <v>389</v>
      </c>
      <c r="HZ156">
        <v>2133</v>
      </c>
      <c r="IA156">
        <v>0</v>
      </c>
      <c r="IB156">
        <v>0</v>
      </c>
      <c r="IC156">
        <v>0</v>
      </c>
      <c r="ID156">
        <v>0</v>
      </c>
      <c r="IE156">
        <v>2522</v>
      </c>
      <c r="IF156">
        <v>0</v>
      </c>
      <c r="IG156">
        <v>233</v>
      </c>
      <c r="IL156">
        <v>233</v>
      </c>
      <c r="IM156">
        <v>389</v>
      </c>
      <c r="IN156">
        <v>1900</v>
      </c>
      <c r="IS156">
        <v>2289</v>
      </c>
      <c r="IZ156">
        <v>0</v>
      </c>
      <c r="JG156">
        <v>0</v>
      </c>
      <c r="JN156">
        <v>0</v>
      </c>
      <c r="JO156">
        <v>389</v>
      </c>
      <c r="JP156">
        <v>2133</v>
      </c>
      <c r="JQ156">
        <v>0</v>
      </c>
      <c r="JR156">
        <v>0</v>
      </c>
      <c r="JS156">
        <v>0</v>
      </c>
      <c r="JT156">
        <v>0</v>
      </c>
      <c r="JU156">
        <v>2522</v>
      </c>
      <c r="JV156">
        <v>10</v>
      </c>
      <c r="JW156">
        <v>20</v>
      </c>
      <c r="JX156">
        <v>70</v>
      </c>
      <c r="KA156">
        <v>1</v>
      </c>
      <c r="KB156">
        <v>3</v>
      </c>
      <c r="KC156">
        <v>1</v>
      </c>
      <c r="KD156" t="s">
        <v>407</v>
      </c>
      <c r="OG156" t="s">
        <v>408</v>
      </c>
      <c r="SJ156" t="s">
        <v>409</v>
      </c>
      <c r="WM156" t="s">
        <v>410</v>
      </c>
      <c r="AAP156" t="s">
        <v>411</v>
      </c>
      <c r="AES156" t="s">
        <v>412</v>
      </c>
    </row>
    <row r="157" spans="1:825" x14ac:dyDescent="0.2">
      <c r="A157" t="s">
        <v>1549</v>
      </c>
      <c r="B157" t="s">
        <v>414</v>
      </c>
      <c r="C157" t="s">
        <v>1550</v>
      </c>
      <c r="P157" t="b">
        <v>0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>
        <v>648</v>
      </c>
      <c r="W157" s="20">
        <v>43490.347916666666</v>
      </c>
      <c r="X157" t="s">
        <v>1551</v>
      </c>
      <c r="Y157">
        <v>2019</v>
      </c>
      <c r="Z157" t="s">
        <v>1552</v>
      </c>
      <c r="AA157" t="s">
        <v>1550</v>
      </c>
      <c r="AB157" t="str">
        <f>VLOOKUP(MID(AD157,SEARCH("@",AD157,1),LEN(AD157)-SEARCH("@",AD157,1)+1),[2]Sheet1!$D:$F,3,FALSE)</f>
        <v>M0088</v>
      </c>
      <c r="AC157" t="s">
        <v>852</v>
      </c>
      <c r="AD157" t="s">
        <v>1553</v>
      </c>
      <c r="AF157" t="s">
        <v>537</v>
      </c>
      <c r="AG157" t="s">
        <v>538</v>
      </c>
      <c r="AI157">
        <v>1</v>
      </c>
      <c r="AL157">
        <v>1144.4000000000001</v>
      </c>
      <c r="AM157">
        <v>1144.4000000000001</v>
      </c>
      <c r="AN157">
        <v>450.45</v>
      </c>
      <c r="AO157">
        <v>450.45</v>
      </c>
      <c r="AP157">
        <v>836.53</v>
      </c>
      <c r="AQ157">
        <v>249.6</v>
      </c>
      <c r="AU157">
        <v>58.28</v>
      </c>
      <c r="AV157">
        <v>1144.4100000000001</v>
      </c>
      <c r="BC157">
        <v>0</v>
      </c>
      <c r="BJ157">
        <v>0</v>
      </c>
      <c r="BQ157">
        <v>0</v>
      </c>
      <c r="BX157">
        <v>0</v>
      </c>
      <c r="CE157">
        <v>0</v>
      </c>
      <c r="CF157">
        <v>836.53</v>
      </c>
      <c r="CG157">
        <v>249.6</v>
      </c>
      <c r="CH157">
        <v>0</v>
      </c>
      <c r="CI157">
        <v>0</v>
      </c>
      <c r="CJ157">
        <v>0</v>
      </c>
      <c r="CK157">
        <v>58.28</v>
      </c>
      <c r="CL157">
        <v>1144.4100000000001</v>
      </c>
      <c r="CM157">
        <v>1</v>
      </c>
      <c r="CN157">
        <v>1</v>
      </c>
      <c r="CR157">
        <v>1</v>
      </c>
      <c r="CS157">
        <v>3</v>
      </c>
      <c r="CZ157">
        <v>0</v>
      </c>
      <c r="DG157">
        <v>0</v>
      </c>
      <c r="DN157">
        <v>0</v>
      </c>
      <c r="DU157">
        <v>0</v>
      </c>
      <c r="EB157">
        <v>0</v>
      </c>
      <c r="EC157">
        <v>1</v>
      </c>
      <c r="ED157">
        <v>1</v>
      </c>
      <c r="EE157">
        <v>0</v>
      </c>
      <c r="EF157">
        <v>0</v>
      </c>
      <c r="EG157">
        <v>0</v>
      </c>
      <c r="EH157">
        <v>1</v>
      </c>
      <c r="EI157">
        <v>3</v>
      </c>
      <c r="EJ157" t="s">
        <v>405</v>
      </c>
      <c r="EK157" t="s">
        <v>405</v>
      </c>
      <c r="EL157" t="s">
        <v>404</v>
      </c>
      <c r="EM157" t="s">
        <v>404</v>
      </c>
      <c r="EN157" t="s">
        <v>404</v>
      </c>
      <c r="EO157" t="s">
        <v>405</v>
      </c>
      <c r="EP157" t="s">
        <v>404</v>
      </c>
      <c r="EQ157" t="s">
        <v>404</v>
      </c>
      <c r="ER157" t="s">
        <v>404</v>
      </c>
      <c r="ES157" t="s">
        <v>404</v>
      </c>
      <c r="ET157" t="s">
        <v>404</v>
      </c>
      <c r="EU157" t="s">
        <v>404</v>
      </c>
      <c r="EV157" t="s">
        <v>404</v>
      </c>
      <c r="EW157" t="s">
        <v>404</v>
      </c>
      <c r="EX157" t="s">
        <v>404</v>
      </c>
      <c r="EY157" t="s">
        <v>404</v>
      </c>
      <c r="EZ157" t="s">
        <v>404</v>
      </c>
      <c r="FA157" t="s">
        <v>404</v>
      </c>
      <c r="FB157" t="s">
        <v>404</v>
      </c>
      <c r="FC157" t="s">
        <v>404</v>
      </c>
      <c r="FD157" t="s">
        <v>404</v>
      </c>
      <c r="FE157" t="s">
        <v>404</v>
      </c>
      <c r="FF157" t="s">
        <v>404</v>
      </c>
      <c r="FG157" t="s">
        <v>404</v>
      </c>
      <c r="FH157" t="s">
        <v>404</v>
      </c>
      <c r="FI157" t="s">
        <v>404</v>
      </c>
      <c r="FJ157" t="s">
        <v>404</v>
      </c>
      <c r="FK157" t="s">
        <v>404</v>
      </c>
      <c r="FL157" t="s">
        <v>404</v>
      </c>
      <c r="FM157" t="s">
        <v>404</v>
      </c>
      <c r="FN157" t="s">
        <v>404</v>
      </c>
      <c r="FO157" t="s">
        <v>404</v>
      </c>
      <c r="FP157" t="s">
        <v>404</v>
      </c>
      <c r="FQ157" t="s">
        <v>404</v>
      </c>
      <c r="FR157" t="s">
        <v>404</v>
      </c>
      <c r="FS157" t="s">
        <v>404</v>
      </c>
      <c r="FZ157">
        <v>0</v>
      </c>
      <c r="GG157">
        <v>0</v>
      </c>
      <c r="GN157">
        <v>0</v>
      </c>
      <c r="GU157">
        <v>0</v>
      </c>
      <c r="HB157">
        <v>0</v>
      </c>
      <c r="HI157">
        <v>0</v>
      </c>
      <c r="HP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L157">
        <v>0</v>
      </c>
      <c r="IS157">
        <v>0</v>
      </c>
      <c r="IZ157">
        <v>0</v>
      </c>
      <c r="JG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KA157">
        <v>1</v>
      </c>
      <c r="KB157">
        <v>3</v>
      </c>
      <c r="KC157">
        <v>2</v>
      </c>
      <c r="KD157" t="s">
        <v>407</v>
      </c>
      <c r="OG157" t="s">
        <v>408</v>
      </c>
      <c r="SJ157" t="s">
        <v>409</v>
      </c>
      <c r="WM157" t="s">
        <v>410</v>
      </c>
      <c r="AAP157" t="s">
        <v>411</v>
      </c>
      <c r="AES157" t="s">
        <v>412</v>
      </c>
    </row>
    <row r="158" spans="1:825" ht="15" x14ac:dyDescent="0.25">
      <c r="A158" t="s">
        <v>1554</v>
      </c>
      <c r="B158" t="s">
        <v>396</v>
      </c>
      <c r="C158" t="s">
        <v>1555</v>
      </c>
      <c r="D158" t="s">
        <v>478</v>
      </c>
      <c r="E158" s="3">
        <v>43524.795138888891</v>
      </c>
      <c r="F158" t="s">
        <v>479</v>
      </c>
      <c r="G158" s="3">
        <v>43524.79583333333</v>
      </c>
      <c r="P158" t="b">
        <v>1</v>
      </c>
      <c r="Q158" t="b">
        <v>1</v>
      </c>
      <c r="R158" t="b">
        <v>0</v>
      </c>
      <c r="S158" t="b">
        <v>0</v>
      </c>
      <c r="T158" t="b">
        <v>0</v>
      </c>
      <c r="U158" t="b">
        <v>0</v>
      </c>
      <c r="V158">
        <v>701</v>
      </c>
      <c r="W158" s="20">
        <v>43524.795138888891</v>
      </c>
      <c r="X158" t="s">
        <v>1556</v>
      </c>
      <c r="Y158">
        <v>2019</v>
      </c>
      <c r="Z158" t="s">
        <v>1557</v>
      </c>
      <c r="AA158" t="s">
        <v>1558</v>
      </c>
      <c r="AB158" s="23" t="s">
        <v>5641</v>
      </c>
      <c r="AC158" t="s">
        <v>1559</v>
      </c>
      <c r="AD158" t="s">
        <v>1560</v>
      </c>
      <c r="AE158">
        <v>2074841867</v>
      </c>
      <c r="AF158" t="s">
        <v>491</v>
      </c>
      <c r="AG158" t="s">
        <v>538</v>
      </c>
      <c r="AI158">
        <v>1</v>
      </c>
      <c r="AL158">
        <v>533</v>
      </c>
      <c r="AM158">
        <v>533</v>
      </c>
      <c r="AN158">
        <v>245</v>
      </c>
      <c r="AO158">
        <v>245</v>
      </c>
      <c r="AP158">
        <v>136</v>
      </c>
      <c r="AV158">
        <v>136</v>
      </c>
      <c r="AW158">
        <v>397</v>
      </c>
      <c r="BC158">
        <v>397</v>
      </c>
      <c r="BJ158">
        <v>0</v>
      </c>
      <c r="BQ158">
        <v>0</v>
      </c>
      <c r="BX158">
        <v>0</v>
      </c>
      <c r="CE158">
        <v>0</v>
      </c>
      <c r="CF158">
        <v>533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533</v>
      </c>
      <c r="CM158">
        <v>1</v>
      </c>
      <c r="CS158">
        <v>1</v>
      </c>
      <c r="CT158">
        <v>3</v>
      </c>
      <c r="CZ158">
        <v>3</v>
      </c>
      <c r="DG158">
        <v>0</v>
      </c>
      <c r="DN158">
        <v>0</v>
      </c>
      <c r="DU158">
        <v>0</v>
      </c>
      <c r="EB158">
        <v>0</v>
      </c>
      <c r="EC158">
        <v>4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4</v>
      </c>
      <c r="EJ158" t="s">
        <v>405</v>
      </c>
      <c r="EK158" t="s">
        <v>404</v>
      </c>
      <c r="EL158" t="s">
        <v>404</v>
      </c>
      <c r="EM158" t="s">
        <v>404</v>
      </c>
      <c r="EN158" t="s">
        <v>404</v>
      </c>
      <c r="EO158" t="s">
        <v>404</v>
      </c>
      <c r="EP158" t="s">
        <v>405</v>
      </c>
      <c r="EQ158" t="s">
        <v>404</v>
      </c>
      <c r="ER158" t="s">
        <v>404</v>
      </c>
      <c r="ES158" t="s">
        <v>404</v>
      </c>
      <c r="ET158" t="s">
        <v>404</v>
      </c>
      <c r="EU158" t="s">
        <v>404</v>
      </c>
      <c r="EV158" t="s">
        <v>404</v>
      </c>
      <c r="EW158" t="s">
        <v>404</v>
      </c>
      <c r="EX158" t="s">
        <v>404</v>
      </c>
      <c r="EY158" t="s">
        <v>404</v>
      </c>
      <c r="EZ158" t="s">
        <v>404</v>
      </c>
      <c r="FA158" t="s">
        <v>404</v>
      </c>
      <c r="FB158" t="s">
        <v>404</v>
      </c>
      <c r="FC158" t="s">
        <v>404</v>
      </c>
      <c r="FD158" t="s">
        <v>404</v>
      </c>
      <c r="FE158" t="s">
        <v>404</v>
      </c>
      <c r="FF158" t="s">
        <v>404</v>
      </c>
      <c r="FG158" t="s">
        <v>404</v>
      </c>
      <c r="FH158" t="s">
        <v>404</v>
      </c>
      <c r="FI158" t="s">
        <v>404</v>
      </c>
      <c r="FJ158" t="s">
        <v>404</v>
      </c>
      <c r="FK158" t="s">
        <v>404</v>
      </c>
      <c r="FL158" t="s">
        <v>404</v>
      </c>
      <c r="FM158" t="s">
        <v>404</v>
      </c>
      <c r="FN158" t="s">
        <v>404</v>
      </c>
      <c r="FO158" t="s">
        <v>404</v>
      </c>
      <c r="FP158" t="s">
        <v>404</v>
      </c>
      <c r="FQ158" t="s">
        <v>404</v>
      </c>
      <c r="FR158" t="s">
        <v>404</v>
      </c>
      <c r="FS158" t="s">
        <v>404</v>
      </c>
      <c r="FT158">
        <v>220</v>
      </c>
      <c r="FZ158">
        <v>220</v>
      </c>
      <c r="GA158">
        <v>30</v>
      </c>
      <c r="GG158">
        <v>30</v>
      </c>
      <c r="GH158">
        <v>0</v>
      </c>
      <c r="GN158">
        <v>0</v>
      </c>
      <c r="GO158">
        <v>0</v>
      </c>
      <c r="GU158">
        <v>0</v>
      </c>
      <c r="GV158">
        <v>21</v>
      </c>
      <c r="HB158">
        <v>21</v>
      </c>
      <c r="HC158">
        <v>100</v>
      </c>
      <c r="HI158">
        <v>100</v>
      </c>
      <c r="HJ158">
        <v>20</v>
      </c>
      <c r="HP158">
        <v>20</v>
      </c>
      <c r="HQ158" t="s">
        <v>1561</v>
      </c>
      <c r="HR158">
        <v>142</v>
      </c>
      <c r="HX158">
        <v>142</v>
      </c>
      <c r="HY158">
        <v>533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533</v>
      </c>
      <c r="IF158">
        <v>135</v>
      </c>
      <c r="IL158">
        <v>135</v>
      </c>
      <c r="IM158">
        <v>321</v>
      </c>
      <c r="IS158">
        <v>321</v>
      </c>
      <c r="IT158">
        <v>77</v>
      </c>
      <c r="IZ158">
        <v>77</v>
      </c>
      <c r="JG158">
        <v>0</v>
      </c>
      <c r="JN158">
        <v>0</v>
      </c>
      <c r="JO158">
        <v>533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533</v>
      </c>
      <c r="JV158">
        <v>29</v>
      </c>
      <c r="JW158">
        <v>0</v>
      </c>
      <c r="JX158">
        <v>71</v>
      </c>
      <c r="JZ158">
        <v>0</v>
      </c>
      <c r="KA158">
        <v>1</v>
      </c>
      <c r="KB158">
        <v>3</v>
      </c>
      <c r="KC158">
        <v>1</v>
      </c>
      <c r="KD158" t="s">
        <v>407</v>
      </c>
      <c r="KK158">
        <v>0</v>
      </c>
      <c r="KL158">
        <v>25</v>
      </c>
      <c r="KR158">
        <v>25</v>
      </c>
      <c r="KY158">
        <v>0</v>
      </c>
      <c r="LF158">
        <v>0</v>
      </c>
      <c r="LM158">
        <v>0</v>
      </c>
      <c r="LN158">
        <v>30</v>
      </c>
      <c r="LT158">
        <v>30</v>
      </c>
      <c r="MA158">
        <v>0</v>
      </c>
      <c r="MB158" t="s">
        <v>1562</v>
      </c>
      <c r="MC158">
        <v>81</v>
      </c>
      <c r="MI158">
        <v>81</v>
      </c>
      <c r="MJ158">
        <v>136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136</v>
      </c>
      <c r="MQ158">
        <v>55</v>
      </c>
      <c r="MW158">
        <v>55</v>
      </c>
      <c r="MX158">
        <v>81</v>
      </c>
      <c r="ND158">
        <v>81</v>
      </c>
      <c r="NK158">
        <v>0</v>
      </c>
      <c r="NR158">
        <v>0</v>
      </c>
      <c r="NY158">
        <v>0</v>
      </c>
      <c r="NZ158">
        <v>136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136</v>
      </c>
      <c r="OG158" t="s">
        <v>408</v>
      </c>
      <c r="OH158">
        <v>220</v>
      </c>
      <c r="ON158">
        <v>220</v>
      </c>
      <c r="OO158">
        <v>5</v>
      </c>
      <c r="OU158">
        <v>5</v>
      </c>
      <c r="PB158">
        <v>0</v>
      </c>
      <c r="PI158">
        <v>0</v>
      </c>
      <c r="PJ158">
        <v>21</v>
      </c>
      <c r="PP158">
        <v>21</v>
      </c>
      <c r="PQ158">
        <v>70</v>
      </c>
      <c r="PW158">
        <v>70</v>
      </c>
      <c r="PX158">
        <v>20</v>
      </c>
      <c r="QD158">
        <v>20</v>
      </c>
      <c r="QE158" t="s">
        <v>1562</v>
      </c>
      <c r="QF158">
        <v>61</v>
      </c>
      <c r="QL158">
        <v>61</v>
      </c>
      <c r="QM158">
        <v>397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397</v>
      </c>
      <c r="QT158">
        <v>80</v>
      </c>
      <c r="QZ158">
        <v>80</v>
      </c>
      <c r="RA158">
        <v>240</v>
      </c>
      <c r="RG158">
        <v>240</v>
      </c>
      <c r="RH158">
        <v>77</v>
      </c>
      <c r="RN158">
        <v>77</v>
      </c>
      <c r="RU158">
        <v>0</v>
      </c>
      <c r="SB158">
        <v>0</v>
      </c>
      <c r="SC158">
        <v>397</v>
      </c>
      <c r="SD158">
        <v>0</v>
      </c>
      <c r="SE158">
        <v>0</v>
      </c>
      <c r="SF158">
        <v>0</v>
      </c>
      <c r="SG158">
        <v>0</v>
      </c>
      <c r="SH158">
        <v>0</v>
      </c>
      <c r="SI158">
        <v>397</v>
      </c>
      <c r="SJ158" t="s">
        <v>409</v>
      </c>
      <c r="WM158" t="s">
        <v>410</v>
      </c>
      <c r="AAP158" t="s">
        <v>411</v>
      </c>
      <c r="AES158" t="s">
        <v>412</v>
      </c>
    </row>
    <row r="159" spans="1:825" x14ac:dyDescent="0.2">
      <c r="A159" t="s">
        <v>1563</v>
      </c>
      <c r="B159" t="s">
        <v>396</v>
      </c>
      <c r="C159" t="s">
        <v>1564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>
        <v>677</v>
      </c>
      <c r="W159" s="20">
        <v>43500.454861111109</v>
      </c>
      <c r="X159" t="s">
        <v>1565</v>
      </c>
      <c r="Y159">
        <v>2019</v>
      </c>
      <c r="Z159" t="s">
        <v>1566</v>
      </c>
      <c r="AA159" t="s">
        <v>1564</v>
      </c>
      <c r="AB159" t="str">
        <f>VLOOKUP(MID(AD159,SEARCH("@",AD159,1),LEN(AD159)-SEARCH("@",AD159,1)+1),[2]Sheet1!$D:$F,3,FALSE)</f>
        <v>M03208</v>
      </c>
      <c r="AC159" t="s">
        <v>1071</v>
      </c>
      <c r="AD159" t="s">
        <v>1567</v>
      </c>
      <c r="AE159">
        <v>31613718630</v>
      </c>
      <c r="AF159" t="s">
        <v>611</v>
      </c>
      <c r="AG159" t="s">
        <v>403</v>
      </c>
      <c r="AI159">
        <v>1</v>
      </c>
      <c r="AL159">
        <v>70</v>
      </c>
      <c r="AM159">
        <v>70</v>
      </c>
      <c r="AN159">
        <v>70</v>
      </c>
      <c r="AO159">
        <v>70</v>
      </c>
      <c r="AV159">
        <v>0</v>
      </c>
      <c r="AX159">
        <v>25</v>
      </c>
      <c r="AZ159">
        <v>45</v>
      </c>
      <c r="BC159">
        <v>70</v>
      </c>
      <c r="BJ159">
        <v>0</v>
      </c>
      <c r="BQ159">
        <v>0</v>
      </c>
      <c r="BX159">
        <v>0</v>
      </c>
      <c r="CE159">
        <v>0</v>
      </c>
      <c r="CF159">
        <v>0</v>
      </c>
      <c r="CG159">
        <v>25</v>
      </c>
      <c r="CH159">
        <v>0</v>
      </c>
      <c r="CI159">
        <v>45</v>
      </c>
      <c r="CJ159">
        <v>0</v>
      </c>
      <c r="CK159">
        <v>0</v>
      </c>
      <c r="CL159">
        <v>70</v>
      </c>
      <c r="CS159">
        <v>0</v>
      </c>
      <c r="CU159">
        <v>1</v>
      </c>
      <c r="CW159">
        <v>2</v>
      </c>
      <c r="CZ159">
        <v>3</v>
      </c>
      <c r="DG159">
        <v>0</v>
      </c>
      <c r="DN159">
        <v>0</v>
      </c>
      <c r="DU159">
        <v>0</v>
      </c>
      <c r="EB159">
        <v>0</v>
      </c>
      <c r="EC159">
        <v>0</v>
      </c>
      <c r="ED159">
        <v>1</v>
      </c>
      <c r="EE159">
        <v>0</v>
      </c>
      <c r="EF159">
        <v>2</v>
      </c>
      <c r="EG159">
        <v>0</v>
      </c>
      <c r="EH159">
        <v>0</v>
      </c>
      <c r="EI159">
        <v>3</v>
      </c>
      <c r="EJ159" t="s">
        <v>404</v>
      </c>
      <c r="EK159" t="s">
        <v>404</v>
      </c>
      <c r="EL159" t="s">
        <v>404</v>
      </c>
      <c r="EM159" t="s">
        <v>404</v>
      </c>
      <c r="EN159" t="s">
        <v>404</v>
      </c>
      <c r="EO159" t="s">
        <v>404</v>
      </c>
      <c r="EP159" t="s">
        <v>404</v>
      </c>
      <c r="EQ159" t="s">
        <v>405</v>
      </c>
      <c r="ER159" t="s">
        <v>404</v>
      </c>
      <c r="ES159" t="s">
        <v>405</v>
      </c>
      <c r="ET159" t="s">
        <v>404</v>
      </c>
      <c r="EU159" t="s">
        <v>404</v>
      </c>
      <c r="EV159" t="s">
        <v>404</v>
      </c>
      <c r="EW159" t="s">
        <v>404</v>
      </c>
      <c r="EX159" t="s">
        <v>404</v>
      </c>
      <c r="EY159" t="s">
        <v>404</v>
      </c>
      <c r="EZ159" t="s">
        <v>404</v>
      </c>
      <c r="FA159" t="s">
        <v>404</v>
      </c>
      <c r="FB159" t="s">
        <v>404</v>
      </c>
      <c r="FC159" t="s">
        <v>404</v>
      </c>
      <c r="FD159" t="s">
        <v>404</v>
      </c>
      <c r="FE159" t="s">
        <v>404</v>
      </c>
      <c r="FF159" t="s">
        <v>404</v>
      </c>
      <c r="FG159" t="s">
        <v>404</v>
      </c>
      <c r="FH159" t="s">
        <v>404</v>
      </c>
      <c r="FI159" t="s">
        <v>404</v>
      </c>
      <c r="FJ159" t="s">
        <v>404</v>
      </c>
      <c r="FK159" t="s">
        <v>404</v>
      </c>
      <c r="FL159" t="s">
        <v>404</v>
      </c>
      <c r="FM159" t="s">
        <v>404</v>
      </c>
      <c r="FN159" t="s">
        <v>404</v>
      </c>
      <c r="FO159" t="s">
        <v>404</v>
      </c>
      <c r="FP159" t="s">
        <v>404</v>
      </c>
      <c r="FQ159" t="s">
        <v>404</v>
      </c>
      <c r="FR159" t="s">
        <v>404</v>
      </c>
      <c r="FS159" t="s">
        <v>404</v>
      </c>
      <c r="FZ159">
        <v>0</v>
      </c>
      <c r="GG159">
        <v>0</v>
      </c>
      <c r="GN159">
        <v>0</v>
      </c>
      <c r="GU159">
        <v>0</v>
      </c>
      <c r="HB159">
        <v>0</v>
      </c>
      <c r="HI159">
        <v>0</v>
      </c>
      <c r="HM159">
        <v>45</v>
      </c>
      <c r="HP159">
        <v>45</v>
      </c>
      <c r="HQ159" t="s">
        <v>1568</v>
      </c>
      <c r="HS159">
        <v>25</v>
      </c>
      <c r="HX159">
        <v>25</v>
      </c>
      <c r="HY159">
        <v>0</v>
      </c>
      <c r="HZ159">
        <v>25</v>
      </c>
      <c r="IA159">
        <v>0</v>
      </c>
      <c r="IB159">
        <v>45</v>
      </c>
      <c r="IC159">
        <v>0</v>
      </c>
      <c r="ID159">
        <v>0</v>
      </c>
      <c r="IE159">
        <v>70</v>
      </c>
      <c r="IL159">
        <v>0</v>
      </c>
      <c r="IP159">
        <v>45</v>
      </c>
      <c r="IS159">
        <v>45</v>
      </c>
      <c r="IU159">
        <v>25</v>
      </c>
      <c r="IZ159">
        <v>25</v>
      </c>
      <c r="JG159">
        <v>0</v>
      </c>
      <c r="JN159">
        <v>0</v>
      </c>
      <c r="JO159">
        <v>0</v>
      </c>
      <c r="JP159">
        <v>25</v>
      </c>
      <c r="JQ159">
        <v>0</v>
      </c>
      <c r="JR159">
        <v>45</v>
      </c>
      <c r="JS159">
        <v>0</v>
      </c>
      <c r="JT159">
        <v>0</v>
      </c>
      <c r="JU159">
        <v>70</v>
      </c>
      <c r="JX159">
        <v>100</v>
      </c>
      <c r="KA159">
        <v>1</v>
      </c>
      <c r="KB159">
        <v>1</v>
      </c>
      <c r="KC159">
        <v>2</v>
      </c>
      <c r="KD159" t="s">
        <v>407</v>
      </c>
      <c r="OG159" t="s">
        <v>408</v>
      </c>
      <c r="SJ159" t="s">
        <v>409</v>
      </c>
      <c r="WM159" t="s">
        <v>410</v>
      </c>
      <c r="AAP159" t="s">
        <v>411</v>
      </c>
      <c r="AES159" t="s">
        <v>412</v>
      </c>
    </row>
    <row r="160" spans="1:825" x14ac:dyDescent="0.2">
      <c r="A160" t="s">
        <v>1569</v>
      </c>
      <c r="B160" t="s">
        <v>396</v>
      </c>
      <c r="C160" t="s">
        <v>1570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>
        <v>668</v>
      </c>
      <c r="W160" s="20">
        <v>43523.599305555559</v>
      </c>
      <c r="X160" t="s">
        <v>993</v>
      </c>
      <c r="Y160">
        <v>2019</v>
      </c>
      <c r="Z160" t="s">
        <v>1571</v>
      </c>
      <c r="AA160" t="s">
        <v>1570</v>
      </c>
      <c r="AB160" t="str">
        <f>VLOOKUP(MID(AD160,SEARCH("@",AD160,1),LEN(AD160)-SEARCH("@",AD160,1)+1),[2]Sheet1!$D:$F,3,FALSE)</f>
        <v>M119</v>
      </c>
      <c r="AC160" t="s">
        <v>1572</v>
      </c>
      <c r="AD160" t="s">
        <v>1573</v>
      </c>
      <c r="AE160">
        <f>49697147-3504</f>
        <v>49693643</v>
      </c>
      <c r="AF160" t="s">
        <v>444</v>
      </c>
      <c r="AG160" t="s">
        <v>403</v>
      </c>
      <c r="AI160">
        <v>1</v>
      </c>
      <c r="AL160">
        <v>985</v>
      </c>
      <c r="AM160">
        <v>985</v>
      </c>
      <c r="AN160">
        <v>985</v>
      </c>
      <c r="AO160">
        <v>985</v>
      </c>
      <c r="AV160">
        <v>0</v>
      </c>
      <c r="AW160">
        <v>833.5</v>
      </c>
      <c r="AX160">
        <v>31.2</v>
      </c>
      <c r="AZ160">
        <v>120</v>
      </c>
      <c r="BC160">
        <v>984.7</v>
      </c>
      <c r="BJ160">
        <v>0</v>
      </c>
      <c r="BQ160">
        <v>0</v>
      </c>
      <c r="BX160">
        <v>0</v>
      </c>
      <c r="CE160">
        <v>0</v>
      </c>
      <c r="CF160">
        <v>833.5</v>
      </c>
      <c r="CG160">
        <v>31.2</v>
      </c>
      <c r="CH160">
        <v>0</v>
      </c>
      <c r="CI160">
        <v>120</v>
      </c>
      <c r="CJ160">
        <v>0</v>
      </c>
      <c r="CK160">
        <v>0</v>
      </c>
      <c r="CL160">
        <v>984.7</v>
      </c>
      <c r="CS160">
        <v>0</v>
      </c>
      <c r="CT160">
        <v>5</v>
      </c>
      <c r="CU160">
        <v>2</v>
      </c>
      <c r="CW160">
        <v>1</v>
      </c>
      <c r="CZ160">
        <v>8</v>
      </c>
      <c r="DG160">
        <v>0</v>
      </c>
      <c r="DN160">
        <v>0</v>
      </c>
      <c r="DU160">
        <v>0</v>
      </c>
      <c r="EB160">
        <v>0</v>
      </c>
      <c r="EC160">
        <v>5</v>
      </c>
      <c r="ED160">
        <v>2</v>
      </c>
      <c r="EE160">
        <v>0</v>
      </c>
      <c r="EF160">
        <v>1</v>
      </c>
      <c r="EG160">
        <v>0</v>
      </c>
      <c r="EH160">
        <v>0</v>
      </c>
      <c r="EI160">
        <v>8</v>
      </c>
      <c r="EJ160" t="s">
        <v>404</v>
      </c>
      <c r="EK160" t="s">
        <v>404</v>
      </c>
      <c r="EL160" t="s">
        <v>404</v>
      </c>
      <c r="EM160" t="s">
        <v>404</v>
      </c>
      <c r="EN160" t="s">
        <v>404</v>
      </c>
      <c r="EO160" t="s">
        <v>404</v>
      </c>
      <c r="EP160" t="s">
        <v>405</v>
      </c>
      <c r="EQ160" t="s">
        <v>405</v>
      </c>
      <c r="ER160" t="s">
        <v>404</v>
      </c>
      <c r="ES160" t="s">
        <v>405</v>
      </c>
      <c r="ET160" t="s">
        <v>404</v>
      </c>
      <c r="EU160" t="s">
        <v>404</v>
      </c>
      <c r="EV160" t="s">
        <v>404</v>
      </c>
      <c r="EW160" t="s">
        <v>404</v>
      </c>
      <c r="EX160" t="s">
        <v>404</v>
      </c>
      <c r="EY160" t="s">
        <v>404</v>
      </c>
      <c r="EZ160" t="s">
        <v>404</v>
      </c>
      <c r="FA160" t="s">
        <v>404</v>
      </c>
      <c r="FB160" t="s">
        <v>404</v>
      </c>
      <c r="FC160" t="s">
        <v>404</v>
      </c>
      <c r="FD160" t="s">
        <v>404</v>
      </c>
      <c r="FE160" t="s">
        <v>404</v>
      </c>
      <c r="FF160" t="s">
        <v>404</v>
      </c>
      <c r="FG160" t="s">
        <v>404</v>
      </c>
      <c r="FH160" t="s">
        <v>404</v>
      </c>
      <c r="FI160" t="s">
        <v>404</v>
      </c>
      <c r="FJ160" t="s">
        <v>404</v>
      </c>
      <c r="FK160" t="s">
        <v>404</v>
      </c>
      <c r="FL160" t="s">
        <v>404</v>
      </c>
      <c r="FM160" t="s">
        <v>404</v>
      </c>
      <c r="FN160" t="s">
        <v>404</v>
      </c>
      <c r="FO160" t="s">
        <v>404</v>
      </c>
      <c r="FP160" t="s">
        <v>404</v>
      </c>
      <c r="FQ160" t="s">
        <v>404</v>
      </c>
      <c r="FR160" t="s">
        <v>404</v>
      </c>
      <c r="FS160" t="s">
        <v>404</v>
      </c>
      <c r="FZ160">
        <v>0</v>
      </c>
      <c r="GB160">
        <v>31.2</v>
      </c>
      <c r="GG160">
        <v>31.2</v>
      </c>
      <c r="GN160">
        <v>0</v>
      </c>
      <c r="GU160">
        <v>0</v>
      </c>
      <c r="GV160">
        <v>30</v>
      </c>
      <c r="HB160">
        <v>30</v>
      </c>
      <c r="HI160">
        <v>0</v>
      </c>
      <c r="HP160">
        <v>0</v>
      </c>
      <c r="HQ160" t="s">
        <v>1574</v>
      </c>
      <c r="HR160">
        <v>803.5</v>
      </c>
      <c r="HU160">
        <v>120</v>
      </c>
      <c r="HX160">
        <v>923.5</v>
      </c>
      <c r="HY160">
        <v>833.5</v>
      </c>
      <c r="HZ160">
        <v>31.2</v>
      </c>
      <c r="IA160">
        <v>0</v>
      </c>
      <c r="IB160">
        <v>120</v>
      </c>
      <c r="IC160">
        <v>0</v>
      </c>
      <c r="ID160">
        <v>0</v>
      </c>
      <c r="IE160">
        <v>984.7</v>
      </c>
      <c r="IL160">
        <v>0</v>
      </c>
      <c r="IM160">
        <v>833.5</v>
      </c>
      <c r="IN160">
        <v>31.2</v>
      </c>
      <c r="IP160">
        <v>120</v>
      </c>
      <c r="IS160">
        <v>984.7</v>
      </c>
      <c r="IZ160">
        <v>0</v>
      </c>
      <c r="JG160">
        <v>0</v>
      </c>
      <c r="JN160">
        <v>0</v>
      </c>
      <c r="JO160">
        <v>833.5</v>
      </c>
      <c r="JP160">
        <v>31.2</v>
      </c>
      <c r="JQ160">
        <v>0</v>
      </c>
      <c r="JR160">
        <v>120</v>
      </c>
      <c r="JS160">
        <v>0</v>
      </c>
      <c r="JT160">
        <v>0</v>
      </c>
      <c r="JU160">
        <v>984.7</v>
      </c>
      <c r="JX160">
        <v>100</v>
      </c>
      <c r="KA160">
        <v>1</v>
      </c>
      <c r="KB160">
        <v>1</v>
      </c>
      <c r="KC160">
        <v>1</v>
      </c>
      <c r="KD160" t="s">
        <v>407</v>
      </c>
      <c r="OG160" t="s">
        <v>408</v>
      </c>
      <c r="SJ160" t="s">
        <v>409</v>
      </c>
      <c r="WM160" t="s">
        <v>410</v>
      </c>
      <c r="AAP160" t="s">
        <v>411</v>
      </c>
      <c r="AES160" t="s">
        <v>412</v>
      </c>
    </row>
    <row r="161" spans="1:825" x14ac:dyDescent="0.2">
      <c r="A161" t="s">
        <v>1575</v>
      </c>
      <c r="B161" t="s">
        <v>563</v>
      </c>
      <c r="C161" t="s">
        <v>1576</v>
      </c>
      <c r="P161" t="b">
        <v>0</v>
      </c>
      <c r="Q161" t="b">
        <v>0</v>
      </c>
      <c r="R161" t="b">
        <v>1</v>
      </c>
      <c r="S161" t="b">
        <v>0</v>
      </c>
      <c r="T161" t="b">
        <v>0</v>
      </c>
      <c r="U161" t="b">
        <v>0</v>
      </c>
      <c r="V161">
        <v>786</v>
      </c>
      <c r="W161" s="20">
        <v>43517.865277777775</v>
      </c>
      <c r="X161" t="s">
        <v>1577</v>
      </c>
      <c r="Y161">
        <v>2019</v>
      </c>
      <c r="Z161" t="s">
        <v>1578</v>
      </c>
      <c r="AA161" t="s">
        <v>1579</v>
      </c>
      <c r="AB161" t="str">
        <f>VLOOKUP(MID(AD161,SEARCH("@",AD161,1),LEN(AD161)-SEARCH("@",AD161,1)+1),[2]Sheet1!$D:$F,3,FALSE)</f>
        <v>NC022</v>
      </c>
      <c r="AC161" t="s">
        <v>713</v>
      </c>
      <c r="AD161" t="s">
        <v>1580</v>
      </c>
      <c r="AE161">
        <v>214989.0699</v>
      </c>
      <c r="AF161" t="s">
        <v>571</v>
      </c>
      <c r="AG161" t="s">
        <v>538</v>
      </c>
      <c r="AI161">
        <v>1</v>
      </c>
      <c r="AL161">
        <v>128</v>
      </c>
      <c r="AM161">
        <v>128</v>
      </c>
      <c r="AN161">
        <v>128</v>
      </c>
      <c r="AO161">
        <v>128</v>
      </c>
      <c r="AV161">
        <v>0</v>
      </c>
      <c r="BC161">
        <v>0</v>
      </c>
      <c r="BE161">
        <v>70</v>
      </c>
      <c r="BG161">
        <v>58</v>
      </c>
      <c r="BJ161">
        <v>128</v>
      </c>
      <c r="BQ161">
        <v>0</v>
      </c>
      <c r="BX161">
        <v>0</v>
      </c>
      <c r="CE161">
        <v>0</v>
      </c>
      <c r="CF161">
        <v>0</v>
      </c>
      <c r="CG161">
        <v>70</v>
      </c>
      <c r="CH161">
        <v>0</v>
      </c>
      <c r="CI161">
        <v>58</v>
      </c>
      <c r="CJ161">
        <v>0</v>
      </c>
      <c r="CK161">
        <v>0</v>
      </c>
      <c r="CL161">
        <v>128</v>
      </c>
      <c r="CS161">
        <v>0</v>
      </c>
      <c r="CZ161">
        <v>0</v>
      </c>
      <c r="DB161">
        <v>2</v>
      </c>
      <c r="DD161">
        <v>2</v>
      </c>
      <c r="DG161">
        <v>4</v>
      </c>
      <c r="DN161">
        <v>0</v>
      </c>
      <c r="DU161">
        <v>0</v>
      </c>
      <c r="EB161">
        <v>0</v>
      </c>
      <c r="EC161">
        <v>0</v>
      </c>
      <c r="ED161">
        <v>2</v>
      </c>
      <c r="EE161">
        <v>0</v>
      </c>
      <c r="EF161">
        <v>2</v>
      </c>
      <c r="EG161">
        <v>0</v>
      </c>
      <c r="EH161">
        <v>0</v>
      </c>
      <c r="EI161">
        <v>4</v>
      </c>
      <c r="EJ161" t="s">
        <v>404</v>
      </c>
      <c r="EK161" t="s">
        <v>404</v>
      </c>
      <c r="EL161" t="s">
        <v>404</v>
      </c>
      <c r="EM161" t="s">
        <v>404</v>
      </c>
      <c r="EN161" t="s">
        <v>404</v>
      </c>
      <c r="EO161" t="s">
        <v>404</v>
      </c>
      <c r="EP161" t="s">
        <v>404</v>
      </c>
      <c r="EQ161" t="s">
        <v>404</v>
      </c>
      <c r="ER161" t="s">
        <v>404</v>
      </c>
      <c r="ES161" t="s">
        <v>404</v>
      </c>
      <c r="ET161" t="s">
        <v>404</v>
      </c>
      <c r="EU161" t="s">
        <v>404</v>
      </c>
      <c r="EV161" t="s">
        <v>404</v>
      </c>
      <c r="EW161" t="s">
        <v>405</v>
      </c>
      <c r="EX161" t="s">
        <v>404</v>
      </c>
      <c r="EY161" t="s">
        <v>405</v>
      </c>
      <c r="EZ161" t="s">
        <v>404</v>
      </c>
      <c r="FA161" t="s">
        <v>404</v>
      </c>
      <c r="FB161" t="s">
        <v>404</v>
      </c>
      <c r="FC161" t="s">
        <v>404</v>
      </c>
      <c r="FD161" t="s">
        <v>404</v>
      </c>
      <c r="FE161" t="s">
        <v>404</v>
      </c>
      <c r="FF161" t="s">
        <v>404</v>
      </c>
      <c r="FG161" t="s">
        <v>404</v>
      </c>
      <c r="FH161" t="s">
        <v>404</v>
      </c>
      <c r="FI161" t="s">
        <v>404</v>
      </c>
      <c r="FJ161" t="s">
        <v>404</v>
      </c>
      <c r="FK161" t="s">
        <v>404</v>
      </c>
      <c r="FL161" t="s">
        <v>404</v>
      </c>
      <c r="FM161" t="s">
        <v>404</v>
      </c>
      <c r="FN161" t="s">
        <v>404</v>
      </c>
      <c r="FO161" t="s">
        <v>404</v>
      </c>
      <c r="FP161" t="s">
        <v>404</v>
      </c>
      <c r="FQ161" t="s">
        <v>404</v>
      </c>
      <c r="FR161" t="s">
        <v>404</v>
      </c>
      <c r="FS161" t="s">
        <v>404</v>
      </c>
      <c r="FU161">
        <v>70</v>
      </c>
      <c r="FW161">
        <v>37</v>
      </c>
      <c r="FZ161">
        <v>107</v>
      </c>
      <c r="GG161">
        <v>0</v>
      </c>
      <c r="GN161">
        <v>0</v>
      </c>
      <c r="GU161">
        <v>0</v>
      </c>
      <c r="HB161">
        <v>0</v>
      </c>
      <c r="HI161">
        <v>0</v>
      </c>
      <c r="HP161">
        <v>0</v>
      </c>
      <c r="HQ161" t="s">
        <v>1581</v>
      </c>
      <c r="HU161">
        <v>21</v>
      </c>
      <c r="HX161">
        <v>21</v>
      </c>
      <c r="HY161">
        <v>0</v>
      </c>
      <c r="HZ161">
        <v>70</v>
      </c>
      <c r="IA161">
        <v>0</v>
      </c>
      <c r="IB161">
        <v>58</v>
      </c>
      <c r="IC161">
        <v>0</v>
      </c>
      <c r="ID161">
        <v>0</v>
      </c>
      <c r="IE161">
        <v>128</v>
      </c>
      <c r="II161">
        <v>21</v>
      </c>
      <c r="IL161">
        <v>21</v>
      </c>
      <c r="IS161">
        <v>0</v>
      </c>
      <c r="IU161">
        <v>70</v>
      </c>
      <c r="IW161">
        <v>37</v>
      </c>
      <c r="IZ161">
        <v>107</v>
      </c>
      <c r="JG161">
        <v>0</v>
      </c>
      <c r="JN161">
        <v>0</v>
      </c>
      <c r="JO161">
        <v>0</v>
      </c>
      <c r="JP161">
        <v>70</v>
      </c>
      <c r="JQ161">
        <v>0</v>
      </c>
      <c r="JR161">
        <v>58</v>
      </c>
      <c r="JS161">
        <v>0</v>
      </c>
      <c r="JT161">
        <v>0</v>
      </c>
      <c r="JU161">
        <v>128</v>
      </c>
      <c r="JX161">
        <v>100</v>
      </c>
      <c r="KA161">
        <v>1</v>
      </c>
      <c r="KB161">
        <v>3</v>
      </c>
      <c r="KC161">
        <v>1</v>
      </c>
      <c r="KD161" t="s">
        <v>407</v>
      </c>
      <c r="OG161" t="s">
        <v>408</v>
      </c>
      <c r="SJ161" t="s">
        <v>409</v>
      </c>
      <c r="WM161" t="s">
        <v>410</v>
      </c>
      <c r="AAP161" t="s">
        <v>411</v>
      </c>
      <c r="AES161" t="s">
        <v>412</v>
      </c>
    </row>
    <row r="162" spans="1:825" x14ac:dyDescent="0.2">
      <c r="A162" t="s">
        <v>1582</v>
      </c>
      <c r="B162" t="s">
        <v>414</v>
      </c>
      <c r="C162" t="s">
        <v>1583</v>
      </c>
      <c r="D162" t="s">
        <v>478</v>
      </c>
      <c r="E162" s="3">
        <v>43517.058333333334</v>
      </c>
      <c r="H162" t="s">
        <v>502</v>
      </c>
      <c r="I162" s="3">
        <v>43517.064583333333</v>
      </c>
      <c r="P162" t="b">
        <v>0</v>
      </c>
      <c r="Q162" t="b">
        <v>1</v>
      </c>
      <c r="R162" t="b">
        <v>1</v>
      </c>
      <c r="S162" t="b">
        <v>0</v>
      </c>
      <c r="T162" t="b">
        <v>0</v>
      </c>
      <c r="U162" t="b">
        <v>0</v>
      </c>
      <c r="V162">
        <v>538</v>
      </c>
      <c r="W162" s="20">
        <v>43517.044444444444</v>
      </c>
      <c r="X162" t="s">
        <v>1584</v>
      </c>
      <c r="Y162">
        <v>2019</v>
      </c>
      <c r="Z162" t="s">
        <v>1585</v>
      </c>
      <c r="AA162" t="s">
        <v>1586</v>
      </c>
      <c r="AB162" t="str">
        <f>VLOOKUP(MID(AD162,SEARCH("@",AD162,1),LEN(AD162)-SEARCH("@",AD162,1)+1),[2]Sheet1!$D:$F,3,FALSE)</f>
        <v>M0007</v>
      </c>
      <c r="AC162" t="s">
        <v>599</v>
      </c>
      <c r="AD162" t="s">
        <v>1587</v>
      </c>
      <c r="AE162" t="s">
        <v>1588</v>
      </c>
      <c r="AF162" t="s">
        <v>703</v>
      </c>
      <c r="AG162" t="s">
        <v>704</v>
      </c>
      <c r="AI162">
        <v>1</v>
      </c>
      <c r="AL162">
        <v>80433</v>
      </c>
      <c r="AM162">
        <v>24009</v>
      </c>
      <c r="AN162">
        <v>80433</v>
      </c>
      <c r="AO162">
        <v>24009</v>
      </c>
      <c r="AP162">
        <v>19004</v>
      </c>
      <c r="AQ162">
        <v>6600</v>
      </c>
      <c r="AR162">
        <v>31220</v>
      </c>
      <c r="AU162">
        <v>8726</v>
      </c>
      <c r="AV162">
        <v>65550</v>
      </c>
      <c r="BC162">
        <v>0</v>
      </c>
      <c r="BD162">
        <v>5005</v>
      </c>
      <c r="BI162">
        <v>9878</v>
      </c>
      <c r="BJ162">
        <v>14883</v>
      </c>
      <c r="BQ162">
        <v>0</v>
      </c>
      <c r="BX162">
        <v>0</v>
      </c>
      <c r="CE162">
        <v>0</v>
      </c>
      <c r="CF162">
        <v>24009</v>
      </c>
      <c r="CG162">
        <v>6600</v>
      </c>
      <c r="CH162">
        <v>31220</v>
      </c>
      <c r="CI162">
        <v>0</v>
      </c>
      <c r="CJ162">
        <v>0</v>
      </c>
      <c r="CK162">
        <v>18604</v>
      </c>
      <c r="CL162">
        <v>80433</v>
      </c>
      <c r="CM162">
        <v>2</v>
      </c>
      <c r="CN162">
        <v>1</v>
      </c>
      <c r="CO162">
        <v>1</v>
      </c>
      <c r="CR162">
        <v>3</v>
      </c>
      <c r="CS162">
        <v>7</v>
      </c>
      <c r="CZ162">
        <v>0</v>
      </c>
      <c r="DA162">
        <v>2</v>
      </c>
      <c r="DF162">
        <v>3</v>
      </c>
      <c r="DG162">
        <v>5</v>
      </c>
      <c r="DN162">
        <v>0</v>
      </c>
      <c r="DU162">
        <v>0</v>
      </c>
      <c r="EB162">
        <v>0</v>
      </c>
      <c r="EC162">
        <v>4</v>
      </c>
      <c r="ED162">
        <v>1</v>
      </c>
      <c r="EE162">
        <v>1</v>
      </c>
      <c r="EF162">
        <v>0</v>
      </c>
      <c r="EG162">
        <v>0</v>
      </c>
      <c r="EH162">
        <v>6</v>
      </c>
      <c r="EI162">
        <v>12</v>
      </c>
      <c r="EJ162" t="s">
        <v>405</v>
      </c>
      <c r="EK162" t="s">
        <v>405</v>
      </c>
      <c r="EL162" t="s">
        <v>405</v>
      </c>
      <c r="EM162" t="s">
        <v>404</v>
      </c>
      <c r="EN162" t="s">
        <v>404</v>
      </c>
      <c r="EO162" t="s">
        <v>405</v>
      </c>
      <c r="EP162" t="s">
        <v>404</v>
      </c>
      <c r="EQ162" t="s">
        <v>404</v>
      </c>
      <c r="ER162" t="s">
        <v>404</v>
      </c>
      <c r="ES162" t="s">
        <v>404</v>
      </c>
      <c r="ET162" t="s">
        <v>404</v>
      </c>
      <c r="EU162" t="s">
        <v>404</v>
      </c>
      <c r="EV162" t="s">
        <v>405</v>
      </c>
      <c r="EW162" t="s">
        <v>404</v>
      </c>
      <c r="EX162" t="s">
        <v>404</v>
      </c>
      <c r="EY162" t="s">
        <v>404</v>
      </c>
      <c r="EZ162" t="s">
        <v>404</v>
      </c>
      <c r="FA162" t="s">
        <v>405</v>
      </c>
      <c r="FB162" t="s">
        <v>404</v>
      </c>
      <c r="FC162" t="s">
        <v>404</v>
      </c>
      <c r="FD162" t="s">
        <v>404</v>
      </c>
      <c r="FE162" t="s">
        <v>404</v>
      </c>
      <c r="FF162" t="s">
        <v>404</v>
      </c>
      <c r="FG162" t="s">
        <v>404</v>
      </c>
      <c r="FH162" t="s">
        <v>404</v>
      </c>
      <c r="FI162" t="s">
        <v>404</v>
      </c>
      <c r="FJ162" t="s">
        <v>404</v>
      </c>
      <c r="FK162" t="s">
        <v>404</v>
      </c>
      <c r="FL162" t="s">
        <v>404</v>
      </c>
      <c r="FM162" t="s">
        <v>404</v>
      </c>
      <c r="FN162" t="s">
        <v>404</v>
      </c>
      <c r="FO162" t="s">
        <v>404</v>
      </c>
      <c r="FP162" t="s">
        <v>404</v>
      </c>
      <c r="FQ162" t="s">
        <v>404</v>
      </c>
      <c r="FR162" t="s">
        <v>404</v>
      </c>
      <c r="FS162" t="s">
        <v>404</v>
      </c>
      <c r="FT162">
        <v>2045</v>
      </c>
      <c r="FY162">
        <v>2609</v>
      </c>
      <c r="FZ162">
        <v>4654</v>
      </c>
      <c r="GA162">
        <v>3875</v>
      </c>
      <c r="GG162">
        <v>3875</v>
      </c>
      <c r="GN162">
        <v>0</v>
      </c>
      <c r="GU162">
        <v>0</v>
      </c>
      <c r="HB162">
        <v>0</v>
      </c>
      <c r="HI162">
        <v>0</v>
      </c>
      <c r="HP162">
        <v>0</v>
      </c>
      <c r="HQ162" t="s">
        <v>1589</v>
      </c>
      <c r="HR162">
        <v>18089</v>
      </c>
      <c r="HS162">
        <v>6600</v>
      </c>
      <c r="HT162">
        <v>31220</v>
      </c>
      <c r="HW162">
        <v>15995</v>
      </c>
      <c r="HX162">
        <v>71904</v>
      </c>
      <c r="HY162">
        <v>24009</v>
      </c>
      <c r="HZ162">
        <v>6600</v>
      </c>
      <c r="IA162">
        <v>31220</v>
      </c>
      <c r="IB162">
        <v>0</v>
      </c>
      <c r="IC162">
        <v>0</v>
      </c>
      <c r="ID162">
        <v>18604</v>
      </c>
      <c r="IE162">
        <v>80433</v>
      </c>
      <c r="IF162">
        <v>24009</v>
      </c>
      <c r="IG162">
        <v>6600</v>
      </c>
      <c r="IH162">
        <v>31220</v>
      </c>
      <c r="IK162">
        <v>18604</v>
      </c>
      <c r="IL162">
        <v>80433</v>
      </c>
      <c r="IS162">
        <v>0</v>
      </c>
      <c r="IZ162">
        <v>0</v>
      </c>
      <c r="JG162">
        <v>0</v>
      </c>
      <c r="JN162">
        <v>0</v>
      </c>
      <c r="JO162">
        <v>24009</v>
      </c>
      <c r="JP162">
        <v>6600</v>
      </c>
      <c r="JQ162">
        <v>31220</v>
      </c>
      <c r="JR162">
        <v>0</v>
      </c>
      <c r="JS162">
        <v>0</v>
      </c>
      <c r="JT162">
        <v>18604</v>
      </c>
      <c r="JU162">
        <v>80433</v>
      </c>
      <c r="JV162">
        <v>32.1</v>
      </c>
      <c r="JX162">
        <v>67.900000000000006</v>
      </c>
      <c r="KA162">
        <v>1</v>
      </c>
      <c r="KB162">
        <v>3</v>
      </c>
      <c r="KC162">
        <v>2</v>
      </c>
      <c r="KD162" t="s">
        <v>407</v>
      </c>
      <c r="KE162">
        <v>2045</v>
      </c>
      <c r="KJ162">
        <v>2609</v>
      </c>
      <c r="KK162">
        <v>4654</v>
      </c>
      <c r="KL162">
        <v>3875</v>
      </c>
      <c r="KR162">
        <v>3875</v>
      </c>
      <c r="KY162">
        <v>0</v>
      </c>
      <c r="LF162">
        <v>0</v>
      </c>
      <c r="LM162">
        <v>0</v>
      </c>
      <c r="LT162">
        <v>0</v>
      </c>
      <c r="MA162">
        <v>0</v>
      </c>
      <c r="MB162" t="s">
        <v>1589</v>
      </c>
      <c r="MC162">
        <v>13084</v>
      </c>
      <c r="MD162">
        <v>6600</v>
      </c>
      <c r="ME162">
        <v>31220</v>
      </c>
      <c r="MH162">
        <v>6117</v>
      </c>
      <c r="MI162">
        <v>57021</v>
      </c>
      <c r="MJ162">
        <v>19004</v>
      </c>
      <c r="MK162">
        <v>6600</v>
      </c>
      <c r="ML162">
        <v>31220</v>
      </c>
      <c r="MM162">
        <v>0</v>
      </c>
      <c r="MN162">
        <v>0</v>
      </c>
      <c r="MO162">
        <v>8726</v>
      </c>
      <c r="MP162">
        <v>65550</v>
      </c>
      <c r="MW162">
        <v>0</v>
      </c>
      <c r="MX162">
        <v>19004</v>
      </c>
      <c r="MY162">
        <v>6600</v>
      </c>
      <c r="MZ162">
        <v>31220</v>
      </c>
      <c r="NC162">
        <v>8726</v>
      </c>
      <c r="ND162">
        <v>65550</v>
      </c>
      <c r="NK162">
        <v>0</v>
      </c>
      <c r="NR162">
        <v>0</v>
      </c>
      <c r="NY162">
        <v>0</v>
      </c>
      <c r="NZ162">
        <v>19004</v>
      </c>
      <c r="OA162">
        <v>6600</v>
      </c>
      <c r="OB162">
        <v>31220</v>
      </c>
      <c r="OC162">
        <v>0</v>
      </c>
      <c r="OD162">
        <v>0</v>
      </c>
      <c r="OE162">
        <v>8726</v>
      </c>
      <c r="OF162">
        <v>65550</v>
      </c>
      <c r="OG162" t="s">
        <v>408</v>
      </c>
      <c r="SJ162" t="s">
        <v>409</v>
      </c>
      <c r="SQ162">
        <v>0</v>
      </c>
      <c r="SX162">
        <v>0</v>
      </c>
      <c r="TE162">
        <v>0</v>
      </c>
      <c r="TL162">
        <v>0</v>
      </c>
      <c r="TS162">
        <v>0</v>
      </c>
      <c r="TZ162">
        <v>0</v>
      </c>
      <c r="UG162">
        <v>0</v>
      </c>
      <c r="UH162" t="s">
        <v>1589</v>
      </c>
      <c r="UI162">
        <v>5005</v>
      </c>
      <c r="UN162">
        <v>9878</v>
      </c>
      <c r="UO162">
        <v>14883</v>
      </c>
      <c r="UP162">
        <v>5005</v>
      </c>
      <c r="UQ162">
        <v>0</v>
      </c>
      <c r="UR162">
        <v>0</v>
      </c>
      <c r="US162">
        <v>0</v>
      </c>
      <c r="UT162">
        <v>0</v>
      </c>
      <c r="UU162">
        <v>9878</v>
      </c>
      <c r="UV162">
        <v>14883</v>
      </c>
      <c r="VC162">
        <v>0</v>
      </c>
      <c r="VD162">
        <v>5005</v>
      </c>
      <c r="VI162">
        <v>9878</v>
      </c>
      <c r="VJ162">
        <v>14883</v>
      </c>
      <c r="VQ162">
        <v>0</v>
      </c>
      <c r="VX162">
        <v>0</v>
      </c>
      <c r="WE162">
        <v>0</v>
      </c>
      <c r="WF162">
        <v>5005</v>
      </c>
      <c r="WG162">
        <v>0</v>
      </c>
      <c r="WH162">
        <v>0</v>
      </c>
      <c r="WI162">
        <v>0</v>
      </c>
      <c r="WJ162">
        <v>0</v>
      </c>
      <c r="WK162">
        <v>9878</v>
      </c>
      <c r="WL162">
        <v>14883</v>
      </c>
      <c r="WM162" t="s">
        <v>410</v>
      </c>
      <c r="AAP162" t="s">
        <v>411</v>
      </c>
      <c r="AES162" t="s">
        <v>412</v>
      </c>
    </row>
    <row r="163" spans="1:825" x14ac:dyDescent="0.2">
      <c r="A163" t="s">
        <v>1590</v>
      </c>
      <c r="B163" t="s">
        <v>414</v>
      </c>
      <c r="C163" t="s">
        <v>1591</v>
      </c>
      <c r="D163" t="s">
        <v>478</v>
      </c>
      <c r="E163" s="3">
        <v>43528.445833333331</v>
      </c>
      <c r="F163" t="s">
        <v>479</v>
      </c>
      <c r="G163" s="3">
        <v>43528.447222222225</v>
      </c>
      <c r="P163" t="b">
        <v>1</v>
      </c>
      <c r="Q163" t="b">
        <v>1</v>
      </c>
      <c r="R163" t="b">
        <v>0</v>
      </c>
      <c r="S163" t="b">
        <v>0</v>
      </c>
      <c r="T163" t="b">
        <v>0</v>
      </c>
      <c r="U163" t="b">
        <v>0</v>
      </c>
      <c r="V163">
        <v>638</v>
      </c>
      <c r="W163" s="20">
        <v>43528.442361111112</v>
      </c>
      <c r="X163" t="s">
        <v>1592</v>
      </c>
      <c r="Y163">
        <v>2019</v>
      </c>
      <c r="Z163" t="s">
        <v>1593</v>
      </c>
      <c r="AA163" t="s">
        <v>1594</v>
      </c>
      <c r="AB163" t="str">
        <f>VLOOKUP(MID(AD163,SEARCH("@",AD163,1),LEN(AD163)-SEARCH("@",AD163,1)+1),[2]Sheet1!$D:$F,3,FALSE)</f>
        <v>M0144</v>
      </c>
      <c r="AC163" t="s">
        <v>1595</v>
      </c>
      <c r="AD163" t="s">
        <v>1596</v>
      </c>
      <c r="AF163" t="s">
        <v>884</v>
      </c>
      <c r="AG163" t="s">
        <v>538</v>
      </c>
      <c r="AI163">
        <v>1</v>
      </c>
      <c r="AL163">
        <v>6699</v>
      </c>
      <c r="AM163">
        <v>6699</v>
      </c>
      <c r="AN163">
        <v>2322</v>
      </c>
      <c r="AO163">
        <v>2322</v>
      </c>
      <c r="AP163">
        <v>1861</v>
      </c>
      <c r="AS163">
        <v>1965</v>
      </c>
      <c r="AV163">
        <v>3826</v>
      </c>
      <c r="AW163">
        <v>2872</v>
      </c>
      <c r="BC163">
        <v>2872</v>
      </c>
      <c r="BJ163">
        <v>0</v>
      </c>
      <c r="BQ163">
        <v>0</v>
      </c>
      <c r="BX163">
        <v>0</v>
      </c>
      <c r="CE163">
        <v>0</v>
      </c>
      <c r="CF163">
        <v>4733</v>
      </c>
      <c r="CG163">
        <v>0</v>
      </c>
      <c r="CH163">
        <v>0</v>
      </c>
      <c r="CI163">
        <v>1965</v>
      </c>
      <c r="CJ163">
        <v>0</v>
      </c>
      <c r="CK163">
        <v>0</v>
      </c>
      <c r="CL163">
        <v>6698</v>
      </c>
      <c r="CM163">
        <v>2</v>
      </c>
      <c r="CP163">
        <v>2</v>
      </c>
      <c r="CS163">
        <v>4</v>
      </c>
      <c r="CT163">
        <v>3</v>
      </c>
      <c r="CZ163">
        <v>3</v>
      </c>
      <c r="DG163">
        <v>0</v>
      </c>
      <c r="DN163">
        <v>0</v>
      </c>
      <c r="DU163">
        <v>0</v>
      </c>
      <c r="EB163">
        <v>0</v>
      </c>
      <c r="EC163">
        <v>5</v>
      </c>
      <c r="ED163">
        <v>0</v>
      </c>
      <c r="EE163">
        <v>0</v>
      </c>
      <c r="EF163">
        <v>2</v>
      </c>
      <c r="EG163">
        <v>0</v>
      </c>
      <c r="EH163">
        <v>0</v>
      </c>
      <c r="EI163">
        <v>7</v>
      </c>
      <c r="EJ163" t="s">
        <v>405</v>
      </c>
      <c r="EK163" t="s">
        <v>404</v>
      </c>
      <c r="EL163" t="s">
        <v>404</v>
      </c>
      <c r="EM163" t="s">
        <v>405</v>
      </c>
      <c r="EN163" t="s">
        <v>404</v>
      </c>
      <c r="EO163" t="s">
        <v>404</v>
      </c>
      <c r="EP163" t="s">
        <v>405</v>
      </c>
      <c r="EQ163" t="s">
        <v>404</v>
      </c>
      <c r="ER163" t="s">
        <v>404</v>
      </c>
      <c r="ES163" t="s">
        <v>404</v>
      </c>
      <c r="ET163" t="s">
        <v>404</v>
      </c>
      <c r="EU163" t="s">
        <v>404</v>
      </c>
      <c r="EV163" t="s">
        <v>404</v>
      </c>
      <c r="EW163" t="s">
        <v>404</v>
      </c>
      <c r="EX163" t="s">
        <v>404</v>
      </c>
      <c r="EY163" t="s">
        <v>404</v>
      </c>
      <c r="EZ163" t="s">
        <v>404</v>
      </c>
      <c r="FA163" t="s">
        <v>404</v>
      </c>
      <c r="FB163" t="s">
        <v>404</v>
      </c>
      <c r="FC163" t="s">
        <v>404</v>
      </c>
      <c r="FD163" t="s">
        <v>404</v>
      </c>
      <c r="FE163" t="s">
        <v>404</v>
      </c>
      <c r="FF163" t="s">
        <v>404</v>
      </c>
      <c r="FG163" t="s">
        <v>404</v>
      </c>
      <c r="FH163" t="s">
        <v>404</v>
      </c>
      <c r="FI163" t="s">
        <v>404</v>
      </c>
      <c r="FJ163" t="s">
        <v>404</v>
      </c>
      <c r="FK163" t="s">
        <v>404</v>
      </c>
      <c r="FL163" t="s">
        <v>404</v>
      </c>
      <c r="FM163" t="s">
        <v>404</v>
      </c>
      <c r="FN163" t="s">
        <v>404</v>
      </c>
      <c r="FO163" t="s">
        <v>404</v>
      </c>
      <c r="FP163" t="s">
        <v>404</v>
      </c>
      <c r="FQ163" t="s">
        <v>404</v>
      </c>
      <c r="FR163" t="s">
        <v>404</v>
      </c>
      <c r="FS163" t="s">
        <v>404</v>
      </c>
      <c r="FT163">
        <v>3005</v>
      </c>
      <c r="FZ163">
        <v>3005</v>
      </c>
      <c r="GA163">
        <v>50</v>
      </c>
      <c r="GD163">
        <v>1165</v>
      </c>
      <c r="GG163">
        <v>1215</v>
      </c>
      <c r="GH163">
        <v>1343</v>
      </c>
      <c r="GK163">
        <v>800</v>
      </c>
      <c r="GN163">
        <v>2143</v>
      </c>
      <c r="GU163">
        <v>0</v>
      </c>
      <c r="GV163">
        <v>235</v>
      </c>
      <c r="HB163">
        <v>235</v>
      </c>
      <c r="HI163">
        <v>0</v>
      </c>
      <c r="HJ163">
        <v>10</v>
      </c>
      <c r="HP163">
        <v>10</v>
      </c>
      <c r="HQ163" t="s">
        <v>1421</v>
      </c>
      <c r="HR163">
        <v>90</v>
      </c>
      <c r="HX163">
        <v>90</v>
      </c>
      <c r="HY163">
        <v>4733</v>
      </c>
      <c r="HZ163">
        <v>0</v>
      </c>
      <c r="IA163">
        <v>0</v>
      </c>
      <c r="IB163">
        <v>1965</v>
      </c>
      <c r="IC163">
        <v>0</v>
      </c>
      <c r="ID163">
        <v>0</v>
      </c>
      <c r="IE163">
        <v>6698</v>
      </c>
      <c r="IF163">
        <v>1970</v>
      </c>
      <c r="II163">
        <v>1965</v>
      </c>
      <c r="IL163">
        <v>3935</v>
      </c>
      <c r="IM163">
        <v>46</v>
      </c>
      <c r="IS163">
        <v>46</v>
      </c>
      <c r="IT163">
        <v>2717</v>
      </c>
      <c r="IZ163">
        <v>2717</v>
      </c>
      <c r="JG163">
        <v>0</v>
      </c>
      <c r="JN163">
        <v>0</v>
      </c>
      <c r="JO163">
        <v>4733</v>
      </c>
      <c r="JP163">
        <v>0</v>
      </c>
      <c r="JQ163">
        <v>0</v>
      </c>
      <c r="JR163">
        <v>1965</v>
      </c>
      <c r="JS163">
        <v>0</v>
      </c>
      <c r="JT163">
        <v>0</v>
      </c>
      <c r="JU163">
        <v>6698</v>
      </c>
      <c r="JX163">
        <v>100</v>
      </c>
      <c r="KA163">
        <v>1</v>
      </c>
      <c r="KB163">
        <v>3</v>
      </c>
      <c r="KC163">
        <v>2</v>
      </c>
      <c r="KD163" t="s">
        <v>407</v>
      </c>
      <c r="KE163">
        <v>948</v>
      </c>
      <c r="KH163">
        <v>0</v>
      </c>
      <c r="KK163">
        <v>948</v>
      </c>
      <c r="KL163">
        <v>0</v>
      </c>
      <c r="KO163">
        <v>1165</v>
      </c>
      <c r="KR163">
        <v>1165</v>
      </c>
      <c r="KS163">
        <v>578</v>
      </c>
      <c r="KV163">
        <v>800</v>
      </c>
      <c r="KY163">
        <v>1378</v>
      </c>
      <c r="KZ163">
        <v>0</v>
      </c>
      <c r="LC163">
        <v>0</v>
      </c>
      <c r="LF163">
        <v>0</v>
      </c>
      <c r="LG163">
        <v>235</v>
      </c>
      <c r="LJ163">
        <v>0</v>
      </c>
      <c r="LM163">
        <v>235</v>
      </c>
      <c r="LN163">
        <v>0</v>
      </c>
      <c r="LQ163">
        <v>0</v>
      </c>
      <c r="LT163">
        <v>0</v>
      </c>
      <c r="LU163">
        <v>10</v>
      </c>
      <c r="LX163">
        <v>0</v>
      </c>
      <c r="MA163">
        <v>10</v>
      </c>
      <c r="MB163" t="s">
        <v>1421</v>
      </c>
      <c r="MC163">
        <v>90</v>
      </c>
      <c r="MF163">
        <v>0</v>
      </c>
      <c r="MI163">
        <v>90</v>
      </c>
      <c r="MJ163">
        <v>1861</v>
      </c>
      <c r="MK163">
        <v>0</v>
      </c>
      <c r="ML163">
        <v>0</v>
      </c>
      <c r="MM163">
        <v>1965</v>
      </c>
      <c r="MN163">
        <v>0</v>
      </c>
      <c r="MO163">
        <v>0</v>
      </c>
      <c r="MP163">
        <v>3826</v>
      </c>
      <c r="MQ163">
        <v>0</v>
      </c>
      <c r="MT163">
        <v>0</v>
      </c>
      <c r="MW163">
        <v>0</v>
      </c>
      <c r="MX163">
        <v>627</v>
      </c>
      <c r="NA163">
        <v>1965</v>
      </c>
      <c r="ND163">
        <v>2592</v>
      </c>
      <c r="NE163">
        <v>1234</v>
      </c>
      <c r="NH163">
        <v>0</v>
      </c>
      <c r="NK163">
        <v>1234</v>
      </c>
      <c r="NL163">
        <v>0</v>
      </c>
      <c r="NO163">
        <v>0</v>
      </c>
      <c r="NR163">
        <v>0</v>
      </c>
      <c r="NS163">
        <v>0</v>
      </c>
      <c r="NV163">
        <v>0</v>
      </c>
      <c r="NY163">
        <v>0</v>
      </c>
      <c r="NZ163">
        <v>1861</v>
      </c>
      <c r="OA163">
        <v>0</v>
      </c>
      <c r="OB163">
        <v>0</v>
      </c>
      <c r="OC163">
        <v>1965</v>
      </c>
      <c r="OD163">
        <v>0</v>
      </c>
      <c r="OE163">
        <v>0</v>
      </c>
      <c r="OF163">
        <v>3826</v>
      </c>
      <c r="OG163" t="s">
        <v>408</v>
      </c>
      <c r="OH163">
        <v>2057</v>
      </c>
      <c r="OK163">
        <v>0</v>
      </c>
      <c r="ON163">
        <v>2057</v>
      </c>
      <c r="OO163">
        <v>50</v>
      </c>
      <c r="OR163">
        <v>0</v>
      </c>
      <c r="OU163">
        <v>50</v>
      </c>
      <c r="OV163">
        <v>765</v>
      </c>
      <c r="OY163">
        <v>0</v>
      </c>
      <c r="PB163">
        <v>765</v>
      </c>
      <c r="PC163">
        <v>0</v>
      </c>
      <c r="PF163">
        <v>0</v>
      </c>
      <c r="PI163">
        <v>0</v>
      </c>
      <c r="PJ163">
        <v>0</v>
      </c>
      <c r="PM163">
        <v>0</v>
      </c>
      <c r="PP163">
        <v>0</v>
      </c>
      <c r="PQ163">
        <v>0</v>
      </c>
      <c r="PT163">
        <v>0</v>
      </c>
      <c r="PW163">
        <v>0</v>
      </c>
      <c r="PX163">
        <v>0</v>
      </c>
      <c r="QA163">
        <v>0</v>
      </c>
      <c r="QD163">
        <v>0</v>
      </c>
      <c r="QF163">
        <v>0</v>
      </c>
      <c r="QI163">
        <v>0</v>
      </c>
      <c r="QL163">
        <v>0</v>
      </c>
      <c r="QM163">
        <v>2872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2872</v>
      </c>
      <c r="QT163">
        <v>46</v>
      </c>
      <c r="QW163">
        <v>0</v>
      </c>
      <c r="QZ163">
        <v>46</v>
      </c>
      <c r="RA163">
        <v>1342</v>
      </c>
      <c r="RD163">
        <v>0</v>
      </c>
      <c r="RG163">
        <v>1342</v>
      </c>
      <c r="RH163">
        <v>1484</v>
      </c>
      <c r="RK163">
        <v>0</v>
      </c>
      <c r="RN163">
        <v>1484</v>
      </c>
      <c r="RR163">
        <v>0</v>
      </c>
      <c r="RU163">
        <v>0</v>
      </c>
      <c r="RY163">
        <v>0</v>
      </c>
      <c r="SB163">
        <v>0</v>
      </c>
      <c r="SC163">
        <v>2872</v>
      </c>
      <c r="SD163">
        <v>0</v>
      </c>
      <c r="SE163">
        <v>0</v>
      </c>
      <c r="SF163">
        <v>0</v>
      </c>
      <c r="SG163">
        <v>0</v>
      </c>
      <c r="SH163">
        <v>0</v>
      </c>
      <c r="SI163">
        <v>2872</v>
      </c>
      <c r="SJ163" t="s">
        <v>409</v>
      </c>
      <c r="WM163" t="s">
        <v>410</v>
      </c>
      <c r="AAP163" t="s">
        <v>411</v>
      </c>
      <c r="AES163" t="s">
        <v>412</v>
      </c>
    </row>
    <row r="164" spans="1:825" x14ac:dyDescent="0.2">
      <c r="A164" t="s">
        <v>1597</v>
      </c>
      <c r="B164" t="s">
        <v>396</v>
      </c>
      <c r="C164" t="s">
        <v>1598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>
        <v>692</v>
      </c>
      <c r="W164" s="20">
        <v>43500.603472222225</v>
      </c>
      <c r="X164" t="s">
        <v>1599</v>
      </c>
      <c r="Y164">
        <v>2019</v>
      </c>
      <c r="Z164" t="s">
        <v>1600</v>
      </c>
      <c r="AA164" t="s">
        <v>1598</v>
      </c>
      <c r="AB164" t="str">
        <f>VLOOKUP(MID(AD164,SEARCH("@",AD164,1),LEN(AD164)-SEARCH("@",AD164,1)+1),[2]Sheet1!$D:$F,3,FALSE)</f>
        <v>M040</v>
      </c>
      <c r="AC164" t="s">
        <v>685</v>
      </c>
      <c r="AD164" t="s">
        <v>1601</v>
      </c>
      <c r="AE164">
        <v>31653133725</v>
      </c>
      <c r="AF164" t="s">
        <v>611</v>
      </c>
      <c r="AG164" t="s">
        <v>403</v>
      </c>
      <c r="AI164">
        <v>1</v>
      </c>
      <c r="AL164">
        <v>1100</v>
      </c>
      <c r="AM164">
        <v>1100</v>
      </c>
      <c r="AN164">
        <v>1100</v>
      </c>
      <c r="AO164">
        <v>1100</v>
      </c>
      <c r="AV164">
        <v>0</v>
      </c>
      <c r="AW164">
        <v>1100</v>
      </c>
      <c r="BC164">
        <v>1100</v>
      </c>
      <c r="BJ164">
        <v>0</v>
      </c>
      <c r="BQ164">
        <v>0</v>
      </c>
      <c r="BX164">
        <v>0</v>
      </c>
      <c r="CE164">
        <v>0</v>
      </c>
      <c r="CF164">
        <v>1100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1100</v>
      </c>
      <c r="CS164">
        <v>0</v>
      </c>
      <c r="CT164">
        <v>1</v>
      </c>
      <c r="CZ164">
        <v>1</v>
      </c>
      <c r="DG164">
        <v>0</v>
      </c>
      <c r="DN164">
        <v>0</v>
      </c>
      <c r="DU164">
        <v>0</v>
      </c>
      <c r="EB164">
        <v>0</v>
      </c>
      <c r="EC164">
        <v>1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1</v>
      </c>
      <c r="EJ164" t="s">
        <v>404</v>
      </c>
      <c r="EK164" t="s">
        <v>404</v>
      </c>
      <c r="EL164" t="s">
        <v>404</v>
      </c>
      <c r="EM164" t="s">
        <v>404</v>
      </c>
      <c r="EN164" t="s">
        <v>404</v>
      </c>
      <c r="EO164" t="s">
        <v>404</v>
      </c>
      <c r="EP164" t="s">
        <v>405</v>
      </c>
      <c r="EQ164" t="s">
        <v>404</v>
      </c>
      <c r="ER164" t="s">
        <v>404</v>
      </c>
      <c r="ES164" t="s">
        <v>404</v>
      </c>
      <c r="ET164" t="s">
        <v>404</v>
      </c>
      <c r="EU164" t="s">
        <v>404</v>
      </c>
      <c r="EV164" t="s">
        <v>404</v>
      </c>
      <c r="EW164" t="s">
        <v>404</v>
      </c>
      <c r="EX164" t="s">
        <v>404</v>
      </c>
      <c r="EY164" t="s">
        <v>404</v>
      </c>
      <c r="EZ164" t="s">
        <v>404</v>
      </c>
      <c r="FA164" t="s">
        <v>404</v>
      </c>
      <c r="FB164" t="s">
        <v>404</v>
      </c>
      <c r="FC164" t="s">
        <v>404</v>
      </c>
      <c r="FD164" t="s">
        <v>404</v>
      </c>
      <c r="FE164" t="s">
        <v>404</v>
      </c>
      <c r="FF164" t="s">
        <v>404</v>
      </c>
      <c r="FG164" t="s">
        <v>404</v>
      </c>
      <c r="FH164" t="s">
        <v>404</v>
      </c>
      <c r="FI164" t="s">
        <v>404</v>
      </c>
      <c r="FJ164" t="s">
        <v>404</v>
      </c>
      <c r="FK164" t="s">
        <v>404</v>
      </c>
      <c r="FL164" t="s">
        <v>404</v>
      </c>
      <c r="FM164" t="s">
        <v>404</v>
      </c>
      <c r="FN164" t="s">
        <v>404</v>
      </c>
      <c r="FO164" t="s">
        <v>404</v>
      </c>
      <c r="FP164" t="s">
        <v>404</v>
      </c>
      <c r="FQ164" t="s">
        <v>404</v>
      </c>
      <c r="FR164" t="s">
        <v>404</v>
      </c>
      <c r="FS164" t="s">
        <v>404</v>
      </c>
      <c r="FZ164">
        <v>0</v>
      </c>
      <c r="GA164">
        <v>1100</v>
      </c>
      <c r="GG164">
        <v>1100</v>
      </c>
      <c r="GN164">
        <v>0</v>
      </c>
      <c r="GU164">
        <v>0</v>
      </c>
      <c r="HB164">
        <v>0</v>
      </c>
      <c r="HI164">
        <v>0</v>
      </c>
      <c r="HP164">
        <v>0</v>
      </c>
      <c r="HX164">
        <v>0</v>
      </c>
      <c r="HY164">
        <v>1100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1100</v>
      </c>
      <c r="IL164">
        <v>0</v>
      </c>
      <c r="IM164">
        <v>1100</v>
      </c>
      <c r="IS164">
        <v>1100</v>
      </c>
      <c r="IZ164">
        <v>0</v>
      </c>
      <c r="JG164">
        <v>0</v>
      </c>
      <c r="JN164">
        <v>0</v>
      </c>
      <c r="JO164">
        <v>1100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1100</v>
      </c>
      <c r="JY164" t="s">
        <v>1602</v>
      </c>
      <c r="JZ164">
        <v>100</v>
      </c>
      <c r="KA164">
        <v>1</v>
      </c>
      <c r="KB164">
        <v>2</v>
      </c>
      <c r="KC164">
        <v>1</v>
      </c>
      <c r="KD164" t="s">
        <v>407</v>
      </c>
      <c r="OG164" t="s">
        <v>408</v>
      </c>
      <c r="SJ164" t="s">
        <v>409</v>
      </c>
      <c r="WM164" t="s">
        <v>410</v>
      </c>
      <c r="AAP164" t="s">
        <v>411</v>
      </c>
      <c r="AES164" t="s">
        <v>412</v>
      </c>
    </row>
    <row r="165" spans="1:825" x14ac:dyDescent="0.2">
      <c r="A165" t="s">
        <v>1603</v>
      </c>
      <c r="B165" t="s">
        <v>396</v>
      </c>
      <c r="C165" t="s">
        <v>1604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>
        <v>699</v>
      </c>
      <c r="W165" s="20">
        <v>43502.410416666666</v>
      </c>
      <c r="X165" t="s">
        <v>1605</v>
      </c>
      <c r="Y165">
        <v>2019</v>
      </c>
      <c r="Z165" t="s">
        <v>1606</v>
      </c>
      <c r="AA165" t="s">
        <v>1604</v>
      </c>
      <c r="AB165" t="str">
        <f>VLOOKUP(MID(AD165,SEARCH("@",AD165,1),LEN(AD165)-SEARCH("@",AD165,1)+1),[2]Sheet1!$D:$F,3,FALSE)</f>
        <v>M768</v>
      </c>
      <c r="AD165" t="s">
        <v>1607</v>
      </c>
      <c r="AF165" t="s">
        <v>491</v>
      </c>
      <c r="AG165" t="s">
        <v>492</v>
      </c>
      <c r="AI165">
        <v>1</v>
      </c>
      <c r="AL165">
        <v>306</v>
      </c>
      <c r="AM165">
        <v>306</v>
      </c>
      <c r="AN165">
        <v>101</v>
      </c>
      <c r="AO165">
        <v>101</v>
      </c>
      <c r="AV165">
        <v>0</v>
      </c>
      <c r="AW165">
        <v>306</v>
      </c>
      <c r="BC165">
        <v>306</v>
      </c>
      <c r="BJ165">
        <v>0</v>
      </c>
      <c r="BQ165">
        <v>0</v>
      </c>
      <c r="BX165">
        <v>0</v>
      </c>
      <c r="CE165">
        <v>0</v>
      </c>
      <c r="CF165">
        <v>306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306</v>
      </c>
      <c r="CS165">
        <v>0</v>
      </c>
      <c r="CT165">
        <v>1</v>
      </c>
      <c r="CZ165">
        <v>1</v>
      </c>
      <c r="DG165">
        <v>0</v>
      </c>
      <c r="DN165">
        <v>0</v>
      </c>
      <c r="DU165">
        <v>0</v>
      </c>
      <c r="EB165">
        <v>0</v>
      </c>
      <c r="EC165">
        <v>1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1</v>
      </c>
      <c r="EJ165" t="s">
        <v>404</v>
      </c>
      <c r="EK165" t="s">
        <v>404</v>
      </c>
      <c r="EL165" t="s">
        <v>404</v>
      </c>
      <c r="EM165" t="s">
        <v>404</v>
      </c>
      <c r="EN165" t="s">
        <v>404</v>
      </c>
      <c r="EO165" t="s">
        <v>404</v>
      </c>
      <c r="EP165" t="s">
        <v>405</v>
      </c>
      <c r="EQ165" t="s">
        <v>404</v>
      </c>
      <c r="ER165" t="s">
        <v>404</v>
      </c>
      <c r="ES165" t="s">
        <v>404</v>
      </c>
      <c r="ET165" t="s">
        <v>404</v>
      </c>
      <c r="EU165" t="s">
        <v>404</v>
      </c>
      <c r="EV165" t="s">
        <v>404</v>
      </c>
      <c r="EW165" t="s">
        <v>404</v>
      </c>
      <c r="EX165" t="s">
        <v>404</v>
      </c>
      <c r="EY165" t="s">
        <v>404</v>
      </c>
      <c r="EZ165" t="s">
        <v>404</v>
      </c>
      <c r="FA165" t="s">
        <v>404</v>
      </c>
      <c r="FB165" t="s">
        <v>404</v>
      </c>
      <c r="FC165" t="s">
        <v>404</v>
      </c>
      <c r="FD165" t="s">
        <v>404</v>
      </c>
      <c r="FE165" t="s">
        <v>404</v>
      </c>
      <c r="FF165" t="s">
        <v>404</v>
      </c>
      <c r="FG165" t="s">
        <v>404</v>
      </c>
      <c r="FH165" t="s">
        <v>404</v>
      </c>
      <c r="FI165" t="s">
        <v>404</v>
      </c>
      <c r="FJ165" t="s">
        <v>404</v>
      </c>
      <c r="FK165" t="s">
        <v>404</v>
      </c>
      <c r="FL165" t="s">
        <v>404</v>
      </c>
      <c r="FM165" t="s">
        <v>404</v>
      </c>
      <c r="FN165" t="s">
        <v>404</v>
      </c>
      <c r="FO165" t="s">
        <v>404</v>
      </c>
      <c r="FP165" t="s">
        <v>404</v>
      </c>
      <c r="FQ165" t="s">
        <v>404</v>
      </c>
      <c r="FR165" t="s">
        <v>404</v>
      </c>
      <c r="FS165" t="s">
        <v>404</v>
      </c>
      <c r="FT165">
        <v>229</v>
      </c>
      <c r="FZ165">
        <v>229</v>
      </c>
      <c r="GA165">
        <v>14</v>
      </c>
      <c r="GG165">
        <v>14</v>
      </c>
      <c r="GN165">
        <v>0</v>
      </c>
      <c r="GU165">
        <v>0</v>
      </c>
      <c r="GV165">
        <v>35</v>
      </c>
      <c r="HB165">
        <v>35</v>
      </c>
      <c r="HI165">
        <v>0</v>
      </c>
      <c r="HJ165">
        <v>28</v>
      </c>
      <c r="HP165">
        <v>28</v>
      </c>
      <c r="HX165">
        <v>0</v>
      </c>
      <c r="HY165">
        <v>306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306</v>
      </c>
      <c r="IF165">
        <v>69</v>
      </c>
      <c r="IL165">
        <v>69</v>
      </c>
      <c r="IM165">
        <v>147</v>
      </c>
      <c r="IS165">
        <v>147</v>
      </c>
      <c r="IT165">
        <v>75</v>
      </c>
      <c r="IZ165">
        <v>75</v>
      </c>
      <c r="JA165">
        <v>5</v>
      </c>
      <c r="JG165">
        <v>5</v>
      </c>
      <c r="JH165">
        <v>10</v>
      </c>
      <c r="JN165">
        <v>10</v>
      </c>
      <c r="JO165">
        <v>306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306</v>
      </c>
      <c r="JV165">
        <v>7.5</v>
      </c>
      <c r="JW165">
        <v>4.5</v>
      </c>
      <c r="JX165">
        <v>88</v>
      </c>
      <c r="KA165">
        <v>3</v>
      </c>
      <c r="KB165">
        <v>2</v>
      </c>
      <c r="KC165">
        <v>1</v>
      </c>
      <c r="KD165" t="s">
        <v>407</v>
      </c>
      <c r="OG165" t="s">
        <v>408</v>
      </c>
      <c r="SJ165" t="s">
        <v>409</v>
      </c>
      <c r="WM165" t="s">
        <v>410</v>
      </c>
      <c r="AAP165" t="s">
        <v>411</v>
      </c>
      <c r="AES165" t="s">
        <v>412</v>
      </c>
    </row>
    <row r="166" spans="1:825" x14ac:dyDescent="0.2">
      <c r="A166" t="s">
        <v>1608</v>
      </c>
      <c r="B166" t="s">
        <v>396</v>
      </c>
      <c r="C166" t="s">
        <v>1609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>
        <v>554</v>
      </c>
      <c r="W166" s="20">
        <v>43475.407638888886</v>
      </c>
      <c r="X166" t="s">
        <v>1610</v>
      </c>
      <c r="Y166">
        <v>2019</v>
      </c>
      <c r="Z166" t="s">
        <v>1611</v>
      </c>
      <c r="AA166" t="s">
        <v>1612</v>
      </c>
      <c r="AB166" t="str">
        <f>VLOOKUP(MID(AD166,SEARCH("@",AD166,1),LEN(AD166)-SEARCH("@",AD166,1)+1),[2]Sheet1!$D:$F,3,FALSE)</f>
        <v>M028</v>
      </c>
      <c r="AC166" t="s">
        <v>1613</v>
      </c>
      <c r="AD166" t="s">
        <v>1614</v>
      </c>
      <c r="AE166">
        <v>220104549</v>
      </c>
      <c r="AF166" t="s">
        <v>1615</v>
      </c>
      <c r="AG166" t="s">
        <v>403</v>
      </c>
      <c r="AI166">
        <v>1</v>
      </c>
      <c r="AL166">
        <v>440</v>
      </c>
      <c r="AM166">
        <v>440</v>
      </c>
      <c r="AN166">
        <v>440</v>
      </c>
      <c r="AO166">
        <v>440</v>
      </c>
      <c r="AV166">
        <v>0</v>
      </c>
      <c r="AZ166">
        <v>440</v>
      </c>
      <c r="BC166">
        <v>440</v>
      </c>
      <c r="BJ166">
        <v>0</v>
      </c>
      <c r="BQ166">
        <v>0</v>
      </c>
      <c r="BX166">
        <v>0</v>
      </c>
      <c r="CE166">
        <v>0</v>
      </c>
      <c r="CF166">
        <v>0</v>
      </c>
      <c r="CG166">
        <v>0</v>
      </c>
      <c r="CH166">
        <v>0</v>
      </c>
      <c r="CI166">
        <v>440</v>
      </c>
      <c r="CJ166">
        <v>0</v>
      </c>
      <c r="CK166">
        <v>0</v>
      </c>
      <c r="CL166">
        <v>440</v>
      </c>
      <c r="CS166">
        <v>0</v>
      </c>
      <c r="CW166">
        <v>3</v>
      </c>
      <c r="CZ166">
        <v>3</v>
      </c>
      <c r="DG166">
        <v>0</v>
      </c>
      <c r="DN166">
        <v>0</v>
      </c>
      <c r="DU166">
        <v>0</v>
      </c>
      <c r="EB166">
        <v>0</v>
      </c>
      <c r="EC166">
        <v>0</v>
      </c>
      <c r="ED166">
        <v>0</v>
      </c>
      <c r="EE166">
        <v>0</v>
      </c>
      <c r="EF166">
        <v>3</v>
      </c>
      <c r="EG166">
        <v>0</v>
      </c>
      <c r="EH166">
        <v>0</v>
      </c>
      <c r="EI166">
        <v>3</v>
      </c>
      <c r="EJ166" t="s">
        <v>404</v>
      </c>
      <c r="EK166" t="s">
        <v>404</v>
      </c>
      <c r="EL166" t="s">
        <v>404</v>
      </c>
      <c r="EM166" t="s">
        <v>404</v>
      </c>
      <c r="EN166" t="s">
        <v>404</v>
      </c>
      <c r="EO166" t="s">
        <v>404</v>
      </c>
      <c r="EP166" t="s">
        <v>404</v>
      </c>
      <c r="EQ166" t="s">
        <v>404</v>
      </c>
      <c r="ER166" t="s">
        <v>404</v>
      </c>
      <c r="ES166" t="s">
        <v>405</v>
      </c>
      <c r="ET166" t="s">
        <v>404</v>
      </c>
      <c r="EU166" t="s">
        <v>404</v>
      </c>
      <c r="EV166" t="s">
        <v>404</v>
      </c>
      <c r="EW166" t="s">
        <v>404</v>
      </c>
      <c r="EX166" t="s">
        <v>404</v>
      </c>
      <c r="EY166" t="s">
        <v>404</v>
      </c>
      <c r="EZ166" t="s">
        <v>404</v>
      </c>
      <c r="FA166" t="s">
        <v>404</v>
      </c>
      <c r="FB166" t="s">
        <v>404</v>
      </c>
      <c r="FC166" t="s">
        <v>404</v>
      </c>
      <c r="FD166" t="s">
        <v>404</v>
      </c>
      <c r="FE166" t="s">
        <v>404</v>
      </c>
      <c r="FF166" t="s">
        <v>404</v>
      </c>
      <c r="FG166" t="s">
        <v>404</v>
      </c>
      <c r="FH166" t="s">
        <v>404</v>
      </c>
      <c r="FI166" t="s">
        <v>404</v>
      </c>
      <c r="FJ166" t="s">
        <v>404</v>
      </c>
      <c r="FK166" t="s">
        <v>404</v>
      </c>
      <c r="FL166" t="s">
        <v>404</v>
      </c>
      <c r="FM166" t="s">
        <v>404</v>
      </c>
      <c r="FN166" t="s">
        <v>404</v>
      </c>
      <c r="FO166" t="s">
        <v>404</v>
      </c>
      <c r="FP166" t="s">
        <v>404</v>
      </c>
      <c r="FQ166" t="s">
        <v>404</v>
      </c>
      <c r="FR166" t="s">
        <v>404</v>
      </c>
      <c r="FS166" t="s">
        <v>404</v>
      </c>
      <c r="FW166">
        <v>55</v>
      </c>
      <c r="FZ166">
        <v>55</v>
      </c>
      <c r="GG166">
        <v>0</v>
      </c>
      <c r="GN166">
        <v>0</v>
      </c>
      <c r="GU166">
        <v>0</v>
      </c>
      <c r="HB166">
        <v>0</v>
      </c>
      <c r="HI166">
        <v>0</v>
      </c>
      <c r="HM166">
        <v>15</v>
      </c>
      <c r="HP166">
        <v>15</v>
      </c>
      <c r="HQ166" t="s">
        <v>1616</v>
      </c>
      <c r="HU166">
        <v>370</v>
      </c>
      <c r="HX166">
        <v>370</v>
      </c>
      <c r="HY166">
        <v>0</v>
      </c>
      <c r="HZ166">
        <v>0</v>
      </c>
      <c r="IA166">
        <v>0</v>
      </c>
      <c r="IB166">
        <v>440</v>
      </c>
      <c r="IC166">
        <v>0</v>
      </c>
      <c r="ID166">
        <v>0</v>
      </c>
      <c r="IE166">
        <v>440</v>
      </c>
      <c r="IL166">
        <v>0</v>
      </c>
      <c r="IP166">
        <v>440</v>
      </c>
      <c r="IS166">
        <v>440</v>
      </c>
      <c r="IZ166">
        <v>0</v>
      </c>
      <c r="JG166">
        <v>0</v>
      </c>
      <c r="JN166">
        <v>0</v>
      </c>
      <c r="JO166">
        <v>0</v>
      </c>
      <c r="JP166">
        <v>0</v>
      </c>
      <c r="JQ166">
        <v>0</v>
      </c>
      <c r="JR166">
        <v>440</v>
      </c>
      <c r="JS166">
        <v>0</v>
      </c>
      <c r="JT166">
        <v>0</v>
      </c>
      <c r="JU166">
        <v>440</v>
      </c>
      <c r="JV166">
        <v>16</v>
      </c>
      <c r="JX166">
        <v>84</v>
      </c>
      <c r="KA166">
        <v>1</v>
      </c>
      <c r="KB166">
        <v>3</v>
      </c>
      <c r="KC166">
        <v>1</v>
      </c>
      <c r="KD166" t="s">
        <v>407</v>
      </c>
      <c r="OG166" t="s">
        <v>408</v>
      </c>
      <c r="SJ166" t="s">
        <v>409</v>
      </c>
      <c r="WM166" t="s">
        <v>410</v>
      </c>
      <c r="AAP166" t="s">
        <v>411</v>
      </c>
      <c r="AES166" t="s">
        <v>412</v>
      </c>
    </row>
    <row r="167" spans="1:825" x14ac:dyDescent="0.2">
      <c r="A167" t="s">
        <v>1617</v>
      </c>
      <c r="B167" t="s">
        <v>414</v>
      </c>
      <c r="C167" t="s">
        <v>1618</v>
      </c>
      <c r="D167" t="s">
        <v>478</v>
      </c>
      <c r="E167" s="3">
        <v>43474.409722222219</v>
      </c>
      <c r="J167" t="s">
        <v>392</v>
      </c>
      <c r="K167" s="3">
        <v>43474.410416666666</v>
      </c>
      <c r="P167" t="b">
        <v>0</v>
      </c>
      <c r="Q167" t="b">
        <v>1</v>
      </c>
      <c r="R167" t="b">
        <v>0</v>
      </c>
      <c r="S167" t="b">
        <v>1</v>
      </c>
      <c r="T167" t="b">
        <v>0</v>
      </c>
      <c r="U167" t="b">
        <v>0</v>
      </c>
      <c r="V167">
        <v>543</v>
      </c>
      <c r="W167" s="20">
        <v>43474.40902777778</v>
      </c>
      <c r="X167" t="s">
        <v>1619</v>
      </c>
      <c r="Y167">
        <v>2019</v>
      </c>
      <c r="Z167" t="s">
        <v>1620</v>
      </c>
      <c r="AA167" t="s">
        <v>1621</v>
      </c>
      <c r="AB167" t="str">
        <f>VLOOKUP(MID(AD167,SEARCH("@",AD167,1),LEN(AD167)-SEARCH("@",AD167,1)+1),[2]Sheet1!$D:$F,3,FALSE)</f>
        <v>N0247</v>
      </c>
      <c r="AC167" t="s">
        <v>1622</v>
      </c>
      <c r="AD167" t="s">
        <v>1623</v>
      </c>
      <c r="AE167">
        <f>81-3-3212-1448</f>
        <v>-4582</v>
      </c>
      <c r="AF167" t="s">
        <v>703</v>
      </c>
      <c r="AG167" t="s">
        <v>704</v>
      </c>
      <c r="AI167">
        <v>1</v>
      </c>
      <c r="AL167">
        <v>80000</v>
      </c>
      <c r="AM167">
        <v>80000</v>
      </c>
      <c r="AN167">
        <v>35000</v>
      </c>
      <c r="AO167">
        <v>35000</v>
      </c>
      <c r="AR167">
        <v>5000</v>
      </c>
      <c r="AV167">
        <v>5000</v>
      </c>
      <c r="BC167">
        <v>0</v>
      </c>
      <c r="BJ167">
        <v>0</v>
      </c>
      <c r="BM167">
        <v>75000</v>
      </c>
      <c r="BQ167">
        <v>75000</v>
      </c>
      <c r="BX167">
        <v>0</v>
      </c>
      <c r="CE167">
        <v>0</v>
      </c>
      <c r="CF167">
        <v>0</v>
      </c>
      <c r="CG167">
        <v>0</v>
      </c>
      <c r="CH167">
        <v>80000</v>
      </c>
      <c r="CI167">
        <v>0</v>
      </c>
      <c r="CJ167">
        <v>0</v>
      </c>
      <c r="CK167">
        <v>0</v>
      </c>
      <c r="CL167">
        <v>80000</v>
      </c>
      <c r="CO167">
        <v>1</v>
      </c>
      <c r="CS167">
        <v>1</v>
      </c>
      <c r="CZ167">
        <v>0</v>
      </c>
      <c r="DG167">
        <v>0</v>
      </c>
      <c r="DJ167">
        <v>7</v>
      </c>
      <c r="DN167">
        <v>7</v>
      </c>
      <c r="DU167">
        <v>0</v>
      </c>
      <c r="EB167">
        <v>0</v>
      </c>
      <c r="EC167">
        <v>0</v>
      </c>
      <c r="ED167">
        <v>0</v>
      </c>
      <c r="EE167">
        <v>8</v>
      </c>
      <c r="EF167">
        <v>0</v>
      </c>
      <c r="EG167">
        <v>0</v>
      </c>
      <c r="EH167">
        <v>0</v>
      </c>
      <c r="EI167">
        <v>8</v>
      </c>
      <c r="EJ167" t="s">
        <v>404</v>
      </c>
      <c r="EK167" t="s">
        <v>404</v>
      </c>
      <c r="EL167" t="s">
        <v>405</v>
      </c>
      <c r="EM167" t="s">
        <v>404</v>
      </c>
      <c r="EN167" t="s">
        <v>404</v>
      </c>
      <c r="EO167" t="s">
        <v>404</v>
      </c>
      <c r="EP167" t="s">
        <v>404</v>
      </c>
      <c r="EQ167" t="s">
        <v>404</v>
      </c>
      <c r="ER167" t="s">
        <v>404</v>
      </c>
      <c r="ES167" t="s">
        <v>404</v>
      </c>
      <c r="ET167" t="s">
        <v>404</v>
      </c>
      <c r="EU167" t="s">
        <v>404</v>
      </c>
      <c r="EV167" t="s">
        <v>404</v>
      </c>
      <c r="EW167" t="s">
        <v>404</v>
      </c>
      <c r="EX167" t="s">
        <v>404</v>
      </c>
      <c r="EY167" t="s">
        <v>404</v>
      </c>
      <c r="EZ167" t="s">
        <v>404</v>
      </c>
      <c r="FA167" t="s">
        <v>404</v>
      </c>
      <c r="FB167" t="s">
        <v>404</v>
      </c>
      <c r="FC167" t="s">
        <v>404</v>
      </c>
      <c r="FD167" t="s">
        <v>405</v>
      </c>
      <c r="FE167" t="s">
        <v>404</v>
      </c>
      <c r="FF167" t="s">
        <v>404</v>
      </c>
      <c r="FG167" t="s">
        <v>404</v>
      </c>
      <c r="FH167" t="s">
        <v>404</v>
      </c>
      <c r="FI167" t="s">
        <v>404</v>
      </c>
      <c r="FJ167" t="s">
        <v>404</v>
      </c>
      <c r="FK167" t="s">
        <v>404</v>
      </c>
      <c r="FL167" t="s">
        <v>404</v>
      </c>
      <c r="FM167" t="s">
        <v>404</v>
      </c>
      <c r="FN167" t="s">
        <v>404</v>
      </c>
      <c r="FO167" t="s">
        <v>404</v>
      </c>
      <c r="FP167" t="s">
        <v>404</v>
      </c>
      <c r="FQ167" t="s">
        <v>404</v>
      </c>
      <c r="FR167" t="s">
        <v>404</v>
      </c>
      <c r="FS167" t="s">
        <v>404</v>
      </c>
      <c r="FV167">
        <v>80000</v>
      </c>
      <c r="FZ167">
        <v>80000</v>
      </c>
      <c r="GG167">
        <v>0</v>
      </c>
      <c r="GN167">
        <v>0</v>
      </c>
      <c r="GU167">
        <v>0</v>
      </c>
      <c r="HB167">
        <v>0</v>
      </c>
      <c r="HI167">
        <v>0</v>
      </c>
      <c r="HP167">
        <v>0</v>
      </c>
      <c r="HX167">
        <v>0</v>
      </c>
      <c r="HY167">
        <v>0</v>
      </c>
      <c r="HZ167">
        <v>0</v>
      </c>
      <c r="IA167">
        <v>80000</v>
      </c>
      <c r="IB167">
        <v>0</v>
      </c>
      <c r="IC167">
        <v>0</v>
      </c>
      <c r="ID167">
        <v>0</v>
      </c>
      <c r="IE167">
        <v>80000</v>
      </c>
      <c r="IH167">
        <v>80000</v>
      </c>
      <c r="IL167">
        <v>80000</v>
      </c>
      <c r="IS167">
        <v>0</v>
      </c>
      <c r="IZ167">
        <v>0</v>
      </c>
      <c r="JG167">
        <v>0</v>
      </c>
      <c r="JN167">
        <v>0</v>
      </c>
      <c r="JO167">
        <v>0</v>
      </c>
      <c r="JP167">
        <v>0</v>
      </c>
      <c r="JQ167">
        <v>80000</v>
      </c>
      <c r="JR167">
        <v>0</v>
      </c>
      <c r="JS167">
        <v>0</v>
      </c>
      <c r="JT167">
        <v>0</v>
      </c>
      <c r="JU167">
        <v>80000</v>
      </c>
      <c r="JX167">
        <v>100</v>
      </c>
      <c r="KA167">
        <v>3</v>
      </c>
      <c r="KB167">
        <v>3</v>
      </c>
      <c r="KC167">
        <v>2</v>
      </c>
      <c r="KD167" t="s">
        <v>407</v>
      </c>
      <c r="KG167">
        <v>5000</v>
      </c>
      <c r="KK167">
        <v>5000</v>
      </c>
      <c r="KR167">
        <v>0</v>
      </c>
      <c r="KY167">
        <v>0</v>
      </c>
      <c r="LF167">
        <v>0</v>
      </c>
      <c r="LM167">
        <v>0</v>
      </c>
      <c r="LT167">
        <v>0</v>
      </c>
      <c r="MA167">
        <v>0</v>
      </c>
      <c r="MI167">
        <v>0</v>
      </c>
      <c r="MJ167">
        <v>0</v>
      </c>
      <c r="MK167">
        <v>0</v>
      </c>
      <c r="ML167">
        <v>5000</v>
      </c>
      <c r="MM167">
        <v>0</v>
      </c>
      <c r="MN167">
        <v>0</v>
      </c>
      <c r="MO167">
        <v>0</v>
      </c>
      <c r="MP167">
        <v>5000</v>
      </c>
      <c r="MW167">
        <v>0</v>
      </c>
      <c r="MZ167">
        <v>5000</v>
      </c>
      <c r="ND167">
        <v>5000</v>
      </c>
      <c r="NK167">
        <v>0</v>
      </c>
      <c r="NR167">
        <v>0</v>
      </c>
      <c r="NY167">
        <v>0</v>
      </c>
      <c r="NZ167">
        <v>0</v>
      </c>
      <c r="OA167">
        <v>0</v>
      </c>
      <c r="OB167">
        <v>5000</v>
      </c>
      <c r="OC167">
        <v>0</v>
      </c>
      <c r="OD167">
        <v>0</v>
      </c>
      <c r="OE167">
        <v>0</v>
      </c>
      <c r="OF167">
        <v>5000</v>
      </c>
      <c r="OG167" t="s">
        <v>408</v>
      </c>
      <c r="SJ167" t="s">
        <v>409</v>
      </c>
      <c r="WM167" t="s">
        <v>410</v>
      </c>
      <c r="WP167">
        <v>75000</v>
      </c>
      <c r="WT167">
        <v>75000</v>
      </c>
      <c r="XA167">
        <v>0</v>
      </c>
      <c r="XH167">
        <v>0</v>
      </c>
      <c r="XO167">
        <v>0</v>
      </c>
      <c r="XV167">
        <v>0</v>
      </c>
      <c r="YC167">
        <v>0</v>
      </c>
      <c r="YJ167">
        <v>0</v>
      </c>
      <c r="YR167">
        <v>0</v>
      </c>
      <c r="YS167">
        <v>0</v>
      </c>
      <c r="YT167">
        <v>0</v>
      </c>
      <c r="YU167">
        <v>75000</v>
      </c>
      <c r="YV167">
        <v>0</v>
      </c>
      <c r="YW167">
        <v>0</v>
      </c>
      <c r="YX167">
        <v>0</v>
      </c>
      <c r="YY167">
        <v>75000</v>
      </c>
      <c r="ZF167">
        <v>0</v>
      </c>
      <c r="ZI167">
        <v>75000</v>
      </c>
      <c r="ZM167">
        <v>75000</v>
      </c>
      <c r="ZT167">
        <v>0</v>
      </c>
      <c r="AAA167">
        <v>0</v>
      </c>
      <c r="AAH167">
        <v>0</v>
      </c>
      <c r="AAI167">
        <v>0</v>
      </c>
      <c r="AAJ167">
        <v>0</v>
      </c>
      <c r="AAK167">
        <v>75000</v>
      </c>
      <c r="AAL167">
        <v>0</v>
      </c>
      <c r="AAM167">
        <v>0</v>
      </c>
      <c r="AAN167">
        <v>0</v>
      </c>
      <c r="AAO167">
        <v>75000</v>
      </c>
      <c r="AAP167" t="s">
        <v>411</v>
      </c>
      <c r="AES167" t="s">
        <v>412</v>
      </c>
    </row>
    <row r="168" spans="1:825" x14ac:dyDescent="0.2">
      <c r="A168" t="s">
        <v>1624</v>
      </c>
      <c r="B168" t="s">
        <v>414</v>
      </c>
      <c r="C168" t="s">
        <v>1625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>
        <v>763</v>
      </c>
      <c r="W168" s="20">
        <v>43517.057638888888</v>
      </c>
      <c r="X168" t="s">
        <v>1626</v>
      </c>
      <c r="Y168">
        <v>2019</v>
      </c>
      <c r="Z168" t="s">
        <v>1627</v>
      </c>
      <c r="AA168" t="s">
        <v>1628</v>
      </c>
      <c r="AB168" t="str">
        <f>VLOOKUP(MID(AD168,SEARCH("@",AD168,1),LEN(AD168)-SEARCH("@",AD168,1)+1),[2]Sheet1!$D:$F,3,FALSE)</f>
        <v>M0189</v>
      </c>
      <c r="AC168" t="s">
        <v>1629</v>
      </c>
      <c r="AD168" t="s">
        <v>1630</v>
      </c>
      <c r="AE168">
        <v>87830031</v>
      </c>
      <c r="AF168" t="s">
        <v>884</v>
      </c>
      <c r="AG168" t="s">
        <v>1631</v>
      </c>
      <c r="AI168">
        <v>2</v>
      </c>
      <c r="AJ168">
        <v>6</v>
      </c>
      <c r="AK168" t="s">
        <v>1632</v>
      </c>
      <c r="AV168">
        <v>0</v>
      </c>
      <c r="BC168">
        <v>0</v>
      </c>
      <c r="BJ168">
        <v>0</v>
      </c>
      <c r="BQ168">
        <v>0</v>
      </c>
      <c r="BX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S168">
        <v>0</v>
      </c>
      <c r="CZ168">
        <v>0</v>
      </c>
      <c r="DG168">
        <v>0</v>
      </c>
      <c r="DN168">
        <v>0</v>
      </c>
      <c r="DU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 t="s">
        <v>404</v>
      </c>
      <c r="EK168" t="s">
        <v>404</v>
      </c>
      <c r="EL168" t="s">
        <v>404</v>
      </c>
      <c r="EM168" t="s">
        <v>404</v>
      </c>
      <c r="EN168" t="s">
        <v>404</v>
      </c>
      <c r="EO168" t="s">
        <v>404</v>
      </c>
      <c r="EP168" t="s">
        <v>404</v>
      </c>
      <c r="EQ168" t="s">
        <v>404</v>
      </c>
      <c r="ER168" t="s">
        <v>404</v>
      </c>
      <c r="ES168" t="s">
        <v>404</v>
      </c>
      <c r="ET168" t="s">
        <v>404</v>
      </c>
      <c r="EU168" t="s">
        <v>404</v>
      </c>
      <c r="EV168" t="s">
        <v>404</v>
      </c>
      <c r="EW168" t="s">
        <v>404</v>
      </c>
      <c r="EX168" t="s">
        <v>404</v>
      </c>
      <c r="EY168" t="s">
        <v>404</v>
      </c>
      <c r="EZ168" t="s">
        <v>404</v>
      </c>
      <c r="FA168" t="s">
        <v>404</v>
      </c>
      <c r="FB168" t="s">
        <v>404</v>
      </c>
      <c r="FC168" t="s">
        <v>404</v>
      </c>
      <c r="FD168" t="s">
        <v>404</v>
      </c>
      <c r="FE168" t="s">
        <v>404</v>
      </c>
      <c r="FF168" t="s">
        <v>404</v>
      </c>
      <c r="FG168" t="s">
        <v>404</v>
      </c>
      <c r="FH168" t="s">
        <v>404</v>
      </c>
      <c r="FI168" t="s">
        <v>404</v>
      </c>
      <c r="FJ168" t="s">
        <v>404</v>
      </c>
      <c r="FK168" t="s">
        <v>404</v>
      </c>
      <c r="FL168" t="s">
        <v>404</v>
      </c>
      <c r="FM168" t="s">
        <v>404</v>
      </c>
      <c r="FN168" t="s">
        <v>404</v>
      </c>
      <c r="FO168" t="s">
        <v>404</v>
      </c>
      <c r="FP168" t="s">
        <v>404</v>
      </c>
      <c r="FQ168" t="s">
        <v>404</v>
      </c>
      <c r="FR168" t="s">
        <v>404</v>
      </c>
      <c r="FS168" t="s">
        <v>404</v>
      </c>
      <c r="FZ168">
        <v>0</v>
      </c>
      <c r="GG168">
        <v>0</v>
      </c>
      <c r="GN168">
        <v>0</v>
      </c>
      <c r="GU168">
        <v>0</v>
      </c>
      <c r="HB168">
        <v>0</v>
      </c>
      <c r="HI168">
        <v>0</v>
      </c>
      <c r="HP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L168">
        <v>0</v>
      </c>
      <c r="IS168">
        <v>0</v>
      </c>
      <c r="IZ168">
        <v>0</v>
      </c>
      <c r="JG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KA168">
        <v>1</v>
      </c>
      <c r="KB168">
        <v>1</v>
      </c>
      <c r="KC168">
        <v>2</v>
      </c>
      <c r="KD168" t="s">
        <v>407</v>
      </c>
      <c r="OG168" t="s">
        <v>408</v>
      </c>
      <c r="SJ168" t="s">
        <v>409</v>
      </c>
      <c r="WM168" t="s">
        <v>410</v>
      </c>
      <c r="AAP168" t="s">
        <v>411</v>
      </c>
      <c r="AES168" t="s">
        <v>412</v>
      </c>
    </row>
    <row r="169" spans="1:825" x14ac:dyDescent="0.2">
      <c r="A169" t="s">
        <v>1633</v>
      </c>
      <c r="B169" t="s">
        <v>414</v>
      </c>
      <c r="C169" t="s">
        <v>1634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>
        <v>716</v>
      </c>
      <c r="W169" s="20">
        <v>43514.037499999999</v>
      </c>
      <c r="X169" t="s">
        <v>1635</v>
      </c>
      <c r="Y169">
        <v>2019</v>
      </c>
      <c r="Z169" t="s">
        <v>1636</v>
      </c>
      <c r="AA169" t="s">
        <v>1637</v>
      </c>
      <c r="AB169" t="str">
        <f>VLOOKUP(MID(AD169,SEARCH("@",AD169,1),LEN(AD169)-SEARCH("@",AD169,1)+1),[2]Sheet1!$D:$F,3,FALSE)</f>
        <v>M0091</v>
      </c>
      <c r="AC169" t="s">
        <v>1027</v>
      </c>
      <c r="AD169" t="s">
        <v>1638</v>
      </c>
      <c r="AE169" t="s">
        <v>1639</v>
      </c>
      <c r="AF169" t="s">
        <v>884</v>
      </c>
      <c r="AG169" t="s">
        <v>1631</v>
      </c>
      <c r="AI169">
        <v>2</v>
      </c>
      <c r="AJ169">
        <v>6</v>
      </c>
      <c r="AK169" t="s">
        <v>1640</v>
      </c>
      <c r="AV169">
        <v>0</v>
      </c>
      <c r="BC169">
        <v>0</v>
      </c>
      <c r="BJ169">
        <v>0</v>
      </c>
      <c r="BQ169">
        <v>0</v>
      </c>
      <c r="BX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S169">
        <v>0</v>
      </c>
      <c r="CZ169">
        <v>0</v>
      </c>
      <c r="DG169">
        <v>0</v>
      </c>
      <c r="DN169">
        <v>0</v>
      </c>
      <c r="DU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 t="s">
        <v>404</v>
      </c>
      <c r="EK169" t="s">
        <v>404</v>
      </c>
      <c r="EL169" t="s">
        <v>404</v>
      </c>
      <c r="EM169" t="s">
        <v>404</v>
      </c>
      <c r="EN169" t="s">
        <v>404</v>
      </c>
      <c r="EO169" t="s">
        <v>404</v>
      </c>
      <c r="EP169" t="s">
        <v>404</v>
      </c>
      <c r="EQ169" t="s">
        <v>404</v>
      </c>
      <c r="ER169" t="s">
        <v>404</v>
      </c>
      <c r="ES169" t="s">
        <v>404</v>
      </c>
      <c r="ET169" t="s">
        <v>404</v>
      </c>
      <c r="EU169" t="s">
        <v>404</v>
      </c>
      <c r="EV169" t="s">
        <v>404</v>
      </c>
      <c r="EW169" t="s">
        <v>404</v>
      </c>
      <c r="EX169" t="s">
        <v>404</v>
      </c>
      <c r="EY169" t="s">
        <v>404</v>
      </c>
      <c r="EZ169" t="s">
        <v>404</v>
      </c>
      <c r="FA169" t="s">
        <v>404</v>
      </c>
      <c r="FB169" t="s">
        <v>404</v>
      </c>
      <c r="FC169" t="s">
        <v>404</v>
      </c>
      <c r="FD169" t="s">
        <v>404</v>
      </c>
      <c r="FE169" t="s">
        <v>404</v>
      </c>
      <c r="FF169" t="s">
        <v>404</v>
      </c>
      <c r="FG169" t="s">
        <v>404</v>
      </c>
      <c r="FH169" t="s">
        <v>404</v>
      </c>
      <c r="FI169" t="s">
        <v>404</v>
      </c>
      <c r="FJ169" t="s">
        <v>404</v>
      </c>
      <c r="FK169" t="s">
        <v>404</v>
      </c>
      <c r="FL169" t="s">
        <v>404</v>
      </c>
      <c r="FM169" t="s">
        <v>404</v>
      </c>
      <c r="FN169" t="s">
        <v>404</v>
      </c>
      <c r="FO169" t="s">
        <v>404</v>
      </c>
      <c r="FP169" t="s">
        <v>404</v>
      </c>
      <c r="FQ169" t="s">
        <v>404</v>
      </c>
      <c r="FR169" t="s">
        <v>404</v>
      </c>
      <c r="FS169" t="s">
        <v>404</v>
      </c>
      <c r="FZ169">
        <v>0</v>
      </c>
      <c r="GG169">
        <v>0</v>
      </c>
      <c r="GN169">
        <v>0</v>
      </c>
      <c r="GU169">
        <v>0</v>
      </c>
      <c r="HB169">
        <v>0</v>
      </c>
      <c r="HI169">
        <v>0</v>
      </c>
      <c r="HP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L169">
        <v>0</v>
      </c>
      <c r="IS169">
        <v>0</v>
      </c>
      <c r="IZ169">
        <v>0</v>
      </c>
      <c r="JG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KA169">
        <v>1</v>
      </c>
      <c r="KB169">
        <v>3</v>
      </c>
      <c r="KC169">
        <v>1</v>
      </c>
      <c r="KD169" t="s">
        <v>407</v>
      </c>
      <c r="OG169" t="s">
        <v>408</v>
      </c>
      <c r="SJ169" t="s">
        <v>409</v>
      </c>
      <c r="WM169" t="s">
        <v>410</v>
      </c>
      <c r="AAP169" t="s">
        <v>411</v>
      </c>
      <c r="AES169" t="s">
        <v>412</v>
      </c>
    </row>
    <row r="170" spans="1:825" x14ac:dyDescent="0.2">
      <c r="A170" t="s">
        <v>1641</v>
      </c>
      <c r="B170" t="s">
        <v>396</v>
      </c>
      <c r="C170" t="s">
        <v>1642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>
        <v>673</v>
      </c>
      <c r="W170" s="20">
        <v>43494.476388888892</v>
      </c>
      <c r="X170" t="s">
        <v>1643</v>
      </c>
      <c r="Y170">
        <v>2019</v>
      </c>
      <c r="Z170" t="s">
        <v>1644</v>
      </c>
      <c r="AA170" t="s">
        <v>1642</v>
      </c>
      <c r="AB170" t="str">
        <f>VLOOKUP(MID(AD170,SEARCH("@",AD170,1),LEN(AD170)-SEARCH("@",AD170,1)+1),[2]Sheet1!$D:$F,3,FALSE)</f>
        <v>M736</v>
      </c>
      <c r="AC170" t="s">
        <v>1645</v>
      </c>
      <c r="AD170" t="s">
        <v>1646</v>
      </c>
      <c r="AE170" t="s">
        <v>1647</v>
      </c>
      <c r="AF170" t="s">
        <v>452</v>
      </c>
      <c r="AG170" t="s">
        <v>403</v>
      </c>
      <c r="AI170">
        <v>1</v>
      </c>
      <c r="AL170">
        <v>150</v>
      </c>
      <c r="AM170">
        <v>150</v>
      </c>
      <c r="AN170">
        <v>10</v>
      </c>
      <c r="AO170">
        <v>10</v>
      </c>
      <c r="AV170">
        <v>0</v>
      </c>
      <c r="AW170">
        <v>150</v>
      </c>
      <c r="BC170">
        <v>150</v>
      </c>
      <c r="BJ170">
        <v>0</v>
      </c>
      <c r="BQ170">
        <v>0</v>
      </c>
      <c r="BX170">
        <v>0</v>
      </c>
      <c r="CE170">
        <v>0</v>
      </c>
      <c r="CF170">
        <v>150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150</v>
      </c>
      <c r="CS170">
        <v>0</v>
      </c>
      <c r="CT170">
        <v>1</v>
      </c>
      <c r="CZ170">
        <v>1</v>
      </c>
      <c r="DG170">
        <v>0</v>
      </c>
      <c r="DN170">
        <v>0</v>
      </c>
      <c r="DU170">
        <v>0</v>
      </c>
      <c r="EB170">
        <v>0</v>
      </c>
      <c r="EC170">
        <v>1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1</v>
      </c>
      <c r="EJ170" t="s">
        <v>404</v>
      </c>
      <c r="EK170" t="s">
        <v>404</v>
      </c>
      <c r="EL170" t="s">
        <v>404</v>
      </c>
      <c r="EM170" t="s">
        <v>404</v>
      </c>
      <c r="EN170" t="s">
        <v>404</v>
      </c>
      <c r="EO170" t="s">
        <v>404</v>
      </c>
      <c r="EP170" t="s">
        <v>405</v>
      </c>
      <c r="EQ170" t="s">
        <v>404</v>
      </c>
      <c r="ER170" t="s">
        <v>404</v>
      </c>
      <c r="ES170" t="s">
        <v>404</v>
      </c>
      <c r="ET170" t="s">
        <v>404</v>
      </c>
      <c r="EU170" t="s">
        <v>404</v>
      </c>
      <c r="EV170" t="s">
        <v>404</v>
      </c>
      <c r="EW170" t="s">
        <v>404</v>
      </c>
      <c r="EX170" t="s">
        <v>404</v>
      </c>
      <c r="EY170" t="s">
        <v>404</v>
      </c>
      <c r="EZ170" t="s">
        <v>404</v>
      </c>
      <c r="FA170" t="s">
        <v>404</v>
      </c>
      <c r="FB170" t="s">
        <v>404</v>
      </c>
      <c r="FC170" t="s">
        <v>404</v>
      </c>
      <c r="FD170" t="s">
        <v>404</v>
      </c>
      <c r="FE170" t="s">
        <v>404</v>
      </c>
      <c r="FF170" t="s">
        <v>404</v>
      </c>
      <c r="FG170" t="s">
        <v>404</v>
      </c>
      <c r="FH170" t="s">
        <v>404</v>
      </c>
      <c r="FI170" t="s">
        <v>404</v>
      </c>
      <c r="FJ170" t="s">
        <v>404</v>
      </c>
      <c r="FK170" t="s">
        <v>404</v>
      </c>
      <c r="FL170" t="s">
        <v>404</v>
      </c>
      <c r="FM170" t="s">
        <v>404</v>
      </c>
      <c r="FN170" t="s">
        <v>404</v>
      </c>
      <c r="FO170" t="s">
        <v>404</v>
      </c>
      <c r="FP170" t="s">
        <v>404</v>
      </c>
      <c r="FQ170" t="s">
        <v>404</v>
      </c>
      <c r="FR170" t="s">
        <v>404</v>
      </c>
      <c r="FS170" t="s">
        <v>404</v>
      </c>
      <c r="FT170">
        <v>71</v>
      </c>
      <c r="FZ170">
        <v>71</v>
      </c>
      <c r="GA170">
        <v>25</v>
      </c>
      <c r="GG170">
        <v>25</v>
      </c>
      <c r="GN170">
        <v>0</v>
      </c>
      <c r="GU170">
        <v>0</v>
      </c>
      <c r="GV170">
        <v>22</v>
      </c>
      <c r="HB170">
        <v>22</v>
      </c>
      <c r="HC170">
        <v>5</v>
      </c>
      <c r="HI170">
        <v>5</v>
      </c>
      <c r="HJ170">
        <v>23</v>
      </c>
      <c r="HP170">
        <v>23</v>
      </c>
      <c r="HQ170" t="s">
        <v>799</v>
      </c>
      <c r="HR170">
        <v>4</v>
      </c>
      <c r="HX170">
        <v>4</v>
      </c>
      <c r="HY170">
        <v>150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150</v>
      </c>
      <c r="IL170">
        <v>0</v>
      </c>
      <c r="IM170">
        <v>150</v>
      </c>
      <c r="IS170">
        <v>150</v>
      </c>
      <c r="IZ170">
        <v>0</v>
      </c>
      <c r="JG170">
        <v>0</v>
      </c>
      <c r="JN170">
        <v>0</v>
      </c>
      <c r="JO170">
        <v>150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150</v>
      </c>
      <c r="JV170">
        <v>4</v>
      </c>
      <c r="JX170">
        <v>96</v>
      </c>
      <c r="KA170">
        <v>1</v>
      </c>
      <c r="KB170">
        <v>2</v>
      </c>
      <c r="KC170">
        <v>1</v>
      </c>
      <c r="KD170" t="s">
        <v>407</v>
      </c>
      <c r="OG170" t="s">
        <v>408</v>
      </c>
      <c r="SJ170" t="s">
        <v>409</v>
      </c>
      <c r="WM170" t="s">
        <v>410</v>
      </c>
      <c r="AAP170" t="s">
        <v>411</v>
      </c>
      <c r="AES170" t="s">
        <v>412</v>
      </c>
    </row>
    <row r="171" spans="1:825" x14ac:dyDescent="0.2">
      <c r="A171" t="s">
        <v>1648</v>
      </c>
      <c r="B171" t="s">
        <v>414</v>
      </c>
      <c r="C171" t="s">
        <v>1649</v>
      </c>
      <c r="P171" t="b">
        <v>0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V171">
        <v>728</v>
      </c>
      <c r="W171" s="20">
        <v>43517.353472222225</v>
      </c>
      <c r="X171" t="s">
        <v>1650</v>
      </c>
      <c r="Y171">
        <v>2019</v>
      </c>
      <c r="Z171" t="s">
        <v>1651</v>
      </c>
      <c r="AA171" t="s">
        <v>1652</v>
      </c>
      <c r="AB171" t="str">
        <f>VLOOKUP(MID(AD171,SEARCH("@",AD171,1),LEN(AD171)-SEARCH("@",AD171,1)+1),[2]Sheet1!$D:$F,3,FALSE)</f>
        <v>M0298</v>
      </c>
      <c r="AD171" t="s">
        <v>1653</v>
      </c>
      <c r="AF171" t="s">
        <v>703</v>
      </c>
      <c r="AG171" t="s">
        <v>704</v>
      </c>
      <c r="AI171">
        <v>1</v>
      </c>
      <c r="AL171">
        <v>122678</v>
      </c>
      <c r="AM171">
        <v>122678</v>
      </c>
      <c r="AN171">
        <v>122678</v>
      </c>
      <c r="AO171">
        <v>122678</v>
      </c>
      <c r="AR171">
        <v>122678</v>
      </c>
      <c r="AV171">
        <v>122678</v>
      </c>
      <c r="BC171">
        <v>0</v>
      </c>
      <c r="BJ171">
        <v>0</v>
      </c>
      <c r="BQ171">
        <v>0</v>
      </c>
      <c r="BX171">
        <v>0</v>
      </c>
      <c r="CE171">
        <v>0</v>
      </c>
      <c r="CF171">
        <v>0</v>
      </c>
      <c r="CG171">
        <v>0</v>
      </c>
      <c r="CH171">
        <v>122678</v>
      </c>
      <c r="CI171">
        <v>0</v>
      </c>
      <c r="CJ171">
        <v>0</v>
      </c>
      <c r="CK171">
        <v>0</v>
      </c>
      <c r="CL171">
        <v>122678</v>
      </c>
      <c r="CO171">
        <v>14</v>
      </c>
      <c r="CS171">
        <v>14</v>
      </c>
      <c r="CZ171">
        <v>0</v>
      </c>
      <c r="DG171">
        <v>0</v>
      </c>
      <c r="DN171">
        <v>0</v>
      </c>
      <c r="DU171">
        <v>0</v>
      </c>
      <c r="EB171">
        <v>0</v>
      </c>
      <c r="EC171">
        <v>0</v>
      </c>
      <c r="ED171">
        <v>0</v>
      </c>
      <c r="EE171">
        <v>14</v>
      </c>
      <c r="EF171">
        <v>0</v>
      </c>
      <c r="EG171">
        <v>0</v>
      </c>
      <c r="EH171">
        <v>0</v>
      </c>
      <c r="EI171">
        <v>14</v>
      </c>
      <c r="EJ171" t="s">
        <v>404</v>
      </c>
      <c r="EK171" t="s">
        <v>404</v>
      </c>
      <c r="EL171" t="s">
        <v>405</v>
      </c>
      <c r="EM171" t="s">
        <v>404</v>
      </c>
      <c r="EN171" t="s">
        <v>404</v>
      </c>
      <c r="EO171" t="s">
        <v>404</v>
      </c>
      <c r="EP171" t="s">
        <v>404</v>
      </c>
      <c r="EQ171" t="s">
        <v>404</v>
      </c>
      <c r="ER171" t="s">
        <v>404</v>
      </c>
      <c r="ES171" t="s">
        <v>404</v>
      </c>
      <c r="ET171" t="s">
        <v>404</v>
      </c>
      <c r="EU171" t="s">
        <v>404</v>
      </c>
      <c r="EV171" t="s">
        <v>404</v>
      </c>
      <c r="EW171" t="s">
        <v>404</v>
      </c>
      <c r="EX171" t="s">
        <v>404</v>
      </c>
      <c r="EY171" t="s">
        <v>404</v>
      </c>
      <c r="EZ171" t="s">
        <v>404</v>
      </c>
      <c r="FA171" t="s">
        <v>404</v>
      </c>
      <c r="FB171" t="s">
        <v>404</v>
      </c>
      <c r="FC171" t="s">
        <v>404</v>
      </c>
      <c r="FD171" t="s">
        <v>404</v>
      </c>
      <c r="FE171" t="s">
        <v>404</v>
      </c>
      <c r="FF171" t="s">
        <v>404</v>
      </c>
      <c r="FG171" t="s">
        <v>404</v>
      </c>
      <c r="FH171" t="s">
        <v>404</v>
      </c>
      <c r="FI171" t="s">
        <v>404</v>
      </c>
      <c r="FJ171" t="s">
        <v>404</v>
      </c>
      <c r="FK171" t="s">
        <v>404</v>
      </c>
      <c r="FL171" t="s">
        <v>404</v>
      </c>
      <c r="FM171" t="s">
        <v>404</v>
      </c>
      <c r="FN171" t="s">
        <v>404</v>
      </c>
      <c r="FO171" t="s">
        <v>404</v>
      </c>
      <c r="FP171" t="s">
        <v>404</v>
      </c>
      <c r="FQ171" t="s">
        <v>404</v>
      </c>
      <c r="FR171" t="s">
        <v>404</v>
      </c>
      <c r="FS171" t="s">
        <v>404</v>
      </c>
      <c r="FV171">
        <v>118915</v>
      </c>
      <c r="FZ171">
        <v>118915</v>
      </c>
      <c r="GG171">
        <v>0</v>
      </c>
      <c r="GN171">
        <v>0</v>
      </c>
      <c r="GU171">
        <v>0</v>
      </c>
      <c r="HB171">
        <v>0</v>
      </c>
      <c r="HI171">
        <v>0</v>
      </c>
      <c r="HP171">
        <v>0</v>
      </c>
      <c r="HQ171" t="s">
        <v>1413</v>
      </c>
      <c r="HT171">
        <v>3763</v>
      </c>
      <c r="HX171">
        <v>3763</v>
      </c>
      <c r="HY171">
        <v>0</v>
      </c>
      <c r="HZ171">
        <v>0</v>
      </c>
      <c r="IA171">
        <v>122678</v>
      </c>
      <c r="IB171">
        <v>0</v>
      </c>
      <c r="IC171">
        <v>0</v>
      </c>
      <c r="ID171">
        <v>0</v>
      </c>
      <c r="IE171">
        <v>122678</v>
      </c>
      <c r="IH171">
        <v>122678</v>
      </c>
      <c r="IL171">
        <v>122678</v>
      </c>
      <c r="IS171">
        <v>0</v>
      </c>
      <c r="IZ171">
        <v>0</v>
      </c>
      <c r="JG171">
        <v>0</v>
      </c>
      <c r="JN171">
        <v>0</v>
      </c>
      <c r="JO171">
        <v>0</v>
      </c>
      <c r="JP171">
        <v>0</v>
      </c>
      <c r="JQ171">
        <v>122678</v>
      </c>
      <c r="JR171">
        <v>0</v>
      </c>
      <c r="JS171">
        <v>0</v>
      </c>
      <c r="JT171">
        <v>0</v>
      </c>
      <c r="JU171">
        <v>122678</v>
      </c>
      <c r="JX171">
        <v>100</v>
      </c>
      <c r="KA171">
        <v>1</v>
      </c>
      <c r="KB171">
        <v>3</v>
      </c>
      <c r="KC171">
        <v>1</v>
      </c>
      <c r="KD171" t="s">
        <v>407</v>
      </c>
      <c r="OG171" t="s">
        <v>408</v>
      </c>
      <c r="SJ171" t="s">
        <v>409</v>
      </c>
      <c r="WM171" t="s">
        <v>410</v>
      </c>
      <c r="AAP171" t="s">
        <v>411</v>
      </c>
      <c r="AES171" t="s">
        <v>412</v>
      </c>
    </row>
    <row r="172" spans="1:825" x14ac:dyDescent="0.2">
      <c r="A172" t="s">
        <v>1654</v>
      </c>
      <c r="B172" t="s">
        <v>396</v>
      </c>
      <c r="C172" t="s">
        <v>1655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>
        <v>567</v>
      </c>
      <c r="W172" s="20">
        <v>43475.535416666666</v>
      </c>
      <c r="X172" t="s">
        <v>1656</v>
      </c>
      <c r="Y172">
        <v>2019</v>
      </c>
      <c r="Z172" t="s">
        <v>1657</v>
      </c>
      <c r="AA172" t="s">
        <v>1658</v>
      </c>
      <c r="AB172" t="str">
        <f>VLOOKUP(MID(AD172,SEARCH("@",AD172,1),LEN(AD172)-SEARCH("@",AD172,1)+1),[2]Sheet1!$D:$F,3,FALSE)</f>
        <v>M086</v>
      </c>
      <c r="AC172" t="s">
        <v>1659</v>
      </c>
      <c r="AD172" t="s">
        <v>1660</v>
      </c>
      <c r="AE172">
        <v>46704546520</v>
      </c>
      <c r="AF172" t="s">
        <v>452</v>
      </c>
      <c r="AG172" t="s">
        <v>403</v>
      </c>
      <c r="AI172">
        <v>1</v>
      </c>
      <c r="AL172">
        <v>450</v>
      </c>
      <c r="AM172">
        <v>450</v>
      </c>
      <c r="AN172">
        <v>0</v>
      </c>
      <c r="AO172">
        <v>0</v>
      </c>
      <c r="AV172">
        <v>0</v>
      </c>
      <c r="AW172">
        <v>450</v>
      </c>
      <c r="BC172">
        <v>450</v>
      </c>
      <c r="BJ172">
        <v>0</v>
      </c>
      <c r="BQ172">
        <v>0</v>
      </c>
      <c r="BX172">
        <v>0</v>
      </c>
      <c r="CE172">
        <v>0</v>
      </c>
      <c r="CF172">
        <v>450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450</v>
      </c>
      <c r="CS172">
        <v>0</v>
      </c>
      <c r="CT172">
        <v>1</v>
      </c>
      <c r="CZ172">
        <v>1</v>
      </c>
      <c r="DG172">
        <v>0</v>
      </c>
      <c r="DN172">
        <v>0</v>
      </c>
      <c r="DU172">
        <v>0</v>
      </c>
      <c r="EB172">
        <v>0</v>
      </c>
      <c r="EC172">
        <v>1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1</v>
      </c>
      <c r="EJ172" t="s">
        <v>404</v>
      </c>
      <c r="EK172" t="s">
        <v>404</v>
      </c>
      <c r="EL172" t="s">
        <v>404</v>
      </c>
      <c r="EM172" t="s">
        <v>404</v>
      </c>
      <c r="EN172" t="s">
        <v>404</v>
      </c>
      <c r="EO172" t="s">
        <v>404</v>
      </c>
      <c r="EP172" t="s">
        <v>405</v>
      </c>
      <c r="EQ172" t="s">
        <v>404</v>
      </c>
      <c r="ER172" t="s">
        <v>404</v>
      </c>
      <c r="ES172" t="s">
        <v>404</v>
      </c>
      <c r="ET172" t="s">
        <v>404</v>
      </c>
      <c r="EU172" t="s">
        <v>404</v>
      </c>
      <c r="EV172" t="s">
        <v>404</v>
      </c>
      <c r="EW172" t="s">
        <v>404</v>
      </c>
      <c r="EX172" t="s">
        <v>404</v>
      </c>
      <c r="EY172" t="s">
        <v>404</v>
      </c>
      <c r="EZ172" t="s">
        <v>404</v>
      </c>
      <c r="FA172" t="s">
        <v>404</v>
      </c>
      <c r="FB172" t="s">
        <v>404</v>
      </c>
      <c r="FC172" t="s">
        <v>404</v>
      </c>
      <c r="FD172" t="s">
        <v>404</v>
      </c>
      <c r="FE172" t="s">
        <v>404</v>
      </c>
      <c r="FF172" t="s">
        <v>404</v>
      </c>
      <c r="FG172" t="s">
        <v>404</v>
      </c>
      <c r="FH172" t="s">
        <v>404</v>
      </c>
      <c r="FI172" t="s">
        <v>404</v>
      </c>
      <c r="FJ172" t="s">
        <v>404</v>
      </c>
      <c r="FK172" t="s">
        <v>404</v>
      </c>
      <c r="FL172" t="s">
        <v>404</v>
      </c>
      <c r="FM172" t="s">
        <v>404</v>
      </c>
      <c r="FN172" t="s">
        <v>404</v>
      </c>
      <c r="FO172" t="s">
        <v>404</v>
      </c>
      <c r="FP172" t="s">
        <v>404</v>
      </c>
      <c r="FQ172" t="s">
        <v>404</v>
      </c>
      <c r="FR172" t="s">
        <v>404</v>
      </c>
      <c r="FS172" t="s">
        <v>404</v>
      </c>
      <c r="FT172">
        <v>250</v>
      </c>
      <c r="FZ172">
        <v>250</v>
      </c>
      <c r="GG172">
        <v>0</v>
      </c>
      <c r="GH172">
        <v>155</v>
      </c>
      <c r="GN172">
        <v>155</v>
      </c>
      <c r="GU172">
        <v>0</v>
      </c>
      <c r="GV172">
        <v>15</v>
      </c>
      <c r="HB172">
        <v>15</v>
      </c>
      <c r="HC172">
        <v>30</v>
      </c>
      <c r="HI172">
        <v>30</v>
      </c>
      <c r="HP172">
        <v>0</v>
      </c>
      <c r="HX172">
        <v>0</v>
      </c>
      <c r="HY172">
        <v>450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450</v>
      </c>
      <c r="IF172">
        <v>80</v>
      </c>
      <c r="IL172">
        <v>80</v>
      </c>
      <c r="IM172">
        <v>370</v>
      </c>
      <c r="IS172">
        <v>370</v>
      </c>
      <c r="IZ172">
        <v>0</v>
      </c>
      <c r="JG172">
        <v>0</v>
      </c>
      <c r="JN172">
        <v>0</v>
      </c>
      <c r="JO172">
        <v>450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450</v>
      </c>
      <c r="JV172">
        <v>7</v>
      </c>
      <c r="JX172">
        <v>93</v>
      </c>
      <c r="KA172">
        <v>1</v>
      </c>
      <c r="KB172">
        <v>2</v>
      </c>
      <c r="KC172">
        <v>1</v>
      </c>
      <c r="KD172" t="s">
        <v>407</v>
      </c>
      <c r="OG172" t="s">
        <v>408</v>
      </c>
      <c r="SJ172" t="s">
        <v>409</v>
      </c>
      <c r="WM172" t="s">
        <v>410</v>
      </c>
      <c r="AAP172" t="s">
        <v>411</v>
      </c>
      <c r="AES172" t="s">
        <v>412</v>
      </c>
    </row>
    <row r="173" spans="1:825" x14ac:dyDescent="0.2">
      <c r="A173" t="s">
        <v>1661</v>
      </c>
      <c r="B173" t="s">
        <v>414</v>
      </c>
      <c r="C173" t="s">
        <v>1662</v>
      </c>
      <c r="P173" t="b">
        <v>0</v>
      </c>
      <c r="Q173" t="b">
        <v>1</v>
      </c>
      <c r="R173" t="b">
        <v>0</v>
      </c>
      <c r="S173" t="b">
        <v>0</v>
      </c>
      <c r="T173" t="b">
        <v>0</v>
      </c>
      <c r="U173" t="b">
        <v>0</v>
      </c>
      <c r="V173">
        <v>590</v>
      </c>
      <c r="W173" s="20">
        <v>43480.938888888886</v>
      </c>
      <c r="X173" t="s">
        <v>1663</v>
      </c>
      <c r="Y173">
        <v>2019</v>
      </c>
      <c r="Z173" t="s">
        <v>1664</v>
      </c>
      <c r="AA173" t="s">
        <v>1665</v>
      </c>
      <c r="AB173" t="str">
        <f>VLOOKUP(MID(AD173,SEARCH("@",AD173,1),LEN(AD173)-SEARCH("@",AD173,1)+1),[2]Sheet1!$D:$F,3,FALSE)</f>
        <v>M0278</v>
      </c>
      <c r="AC173" t="s">
        <v>1666</v>
      </c>
      <c r="AD173" t="s">
        <v>1667</v>
      </c>
      <c r="AE173">
        <v>84933333960</v>
      </c>
      <c r="AF173" t="s">
        <v>1668</v>
      </c>
      <c r="AG173" t="s">
        <v>538</v>
      </c>
      <c r="AI173">
        <v>1</v>
      </c>
      <c r="AL173">
        <v>20</v>
      </c>
      <c r="AM173">
        <v>20</v>
      </c>
      <c r="AN173">
        <v>20</v>
      </c>
      <c r="AO173">
        <v>20</v>
      </c>
      <c r="AS173">
        <v>20</v>
      </c>
      <c r="AV173">
        <v>20</v>
      </c>
      <c r="BC173">
        <v>0</v>
      </c>
      <c r="BJ173">
        <v>0</v>
      </c>
      <c r="BQ173">
        <v>0</v>
      </c>
      <c r="BX173">
        <v>0</v>
      </c>
      <c r="CE173">
        <v>0</v>
      </c>
      <c r="CF173">
        <v>0</v>
      </c>
      <c r="CG173">
        <v>0</v>
      </c>
      <c r="CH173">
        <v>0</v>
      </c>
      <c r="CI173">
        <v>20</v>
      </c>
      <c r="CJ173">
        <v>0</v>
      </c>
      <c r="CK173">
        <v>0</v>
      </c>
      <c r="CL173">
        <v>20</v>
      </c>
      <c r="CP173">
        <v>2</v>
      </c>
      <c r="CS173">
        <v>2</v>
      </c>
      <c r="CZ173">
        <v>0</v>
      </c>
      <c r="DG173">
        <v>0</v>
      </c>
      <c r="DN173">
        <v>0</v>
      </c>
      <c r="DU173">
        <v>0</v>
      </c>
      <c r="EB173">
        <v>0</v>
      </c>
      <c r="EC173">
        <v>0</v>
      </c>
      <c r="ED173">
        <v>0</v>
      </c>
      <c r="EE173">
        <v>0</v>
      </c>
      <c r="EF173">
        <v>2</v>
      </c>
      <c r="EG173">
        <v>0</v>
      </c>
      <c r="EH173">
        <v>0</v>
      </c>
      <c r="EI173">
        <v>2</v>
      </c>
      <c r="EJ173" t="s">
        <v>404</v>
      </c>
      <c r="EK173" t="s">
        <v>404</v>
      </c>
      <c r="EL173" t="s">
        <v>404</v>
      </c>
      <c r="EM173" t="s">
        <v>405</v>
      </c>
      <c r="EN173" t="s">
        <v>404</v>
      </c>
      <c r="EO173" t="s">
        <v>404</v>
      </c>
      <c r="EP173" t="s">
        <v>404</v>
      </c>
      <c r="EQ173" t="s">
        <v>404</v>
      </c>
      <c r="ER173" t="s">
        <v>404</v>
      </c>
      <c r="ES173" t="s">
        <v>404</v>
      </c>
      <c r="ET173" t="s">
        <v>404</v>
      </c>
      <c r="EU173" t="s">
        <v>404</v>
      </c>
      <c r="EV173" t="s">
        <v>404</v>
      </c>
      <c r="EW173" t="s">
        <v>404</v>
      </c>
      <c r="EX173" t="s">
        <v>404</v>
      </c>
      <c r="EY173" t="s">
        <v>404</v>
      </c>
      <c r="EZ173" t="s">
        <v>404</v>
      </c>
      <c r="FA173" t="s">
        <v>404</v>
      </c>
      <c r="FB173" t="s">
        <v>404</v>
      </c>
      <c r="FC173" t="s">
        <v>404</v>
      </c>
      <c r="FD173" t="s">
        <v>404</v>
      </c>
      <c r="FE173" t="s">
        <v>404</v>
      </c>
      <c r="FF173" t="s">
        <v>404</v>
      </c>
      <c r="FG173" t="s">
        <v>404</v>
      </c>
      <c r="FH173" t="s">
        <v>404</v>
      </c>
      <c r="FI173" t="s">
        <v>404</v>
      </c>
      <c r="FJ173" t="s">
        <v>404</v>
      </c>
      <c r="FK173" t="s">
        <v>404</v>
      </c>
      <c r="FL173" t="s">
        <v>404</v>
      </c>
      <c r="FM173" t="s">
        <v>404</v>
      </c>
      <c r="FN173" t="s">
        <v>404</v>
      </c>
      <c r="FO173" t="s">
        <v>404</v>
      </c>
      <c r="FP173" t="s">
        <v>404</v>
      </c>
      <c r="FQ173" t="s">
        <v>404</v>
      </c>
      <c r="FR173" t="s">
        <v>404</v>
      </c>
      <c r="FS173" t="s">
        <v>404</v>
      </c>
      <c r="FZ173">
        <v>0</v>
      </c>
      <c r="GG173">
        <v>0</v>
      </c>
      <c r="GN173">
        <v>0</v>
      </c>
      <c r="GU173">
        <v>0</v>
      </c>
      <c r="HB173">
        <v>0</v>
      </c>
      <c r="HF173">
        <v>20</v>
      </c>
      <c r="HI173">
        <v>20</v>
      </c>
      <c r="HP173">
        <v>0</v>
      </c>
      <c r="HX173">
        <v>0</v>
      </c>
      <c r="HY173">
        <v>0</v>
      </c>
      <c r="HZ173">
        <v>0</v>
      </c>
      <c r="IA173">
        <v>0</v>
      </c>
      <c r="IB173">
        <v>20</v>
      </c>
      <c r="IC173">
        <v>0</v>
      </c>
      <c r="ID173">
        <v>0</v>
      </c>
      <c r="IE173">
        <v>20</v>
      </c>
      <c r="II173">
        <v>20</v>
      </c>
      <c r="IL173">
        <v>20</v>
      </c>
      <c r="IS173">
        <v>0</v>
      </c>
      <c r="IZ173">
        <v>0</v>
      </c>
      <c r="JG173">
        <v>0</v>
      </c>
      <c r="JN173">
        <v>0</v>
      </c>
      <c r="JO173">
        <v>0</v>
      </c>
      <c r="JP173">
        <v>0</v>
      </c>
      <c r="JQ173">
        <v>0</v>
      </c>
      <c r="JR173">
        <v>20</v>
      </c>
      <c r="JS173">
        <v>0</v>
      </c>
      <c r="JT173">
        <v>0</v>
      </c>
      <c r="JU173">
        <v>20</v>
      </c>
      <c r="JX173">
        <v>100</v>
      </c>
      <c r="KA173">
        <v>1</v>
      </c>
      <c r="KB173">
        <v>2</v>
      </c>
      <c r="KC173">
        <v>1</v>
      </c>
      <c r="KD173" t="s">
        <v>407</v>
      </c>
      <c r="OG173" t="s">
        <v>408</v>
      </c>
      <c r="SJ173" t="s">
        <v>409</v>
      </c>
      <c r="WM173" t="s">
        <v>410</v>
      </c>
      <c r="AAP173" t="s">
        <v>411</v>
      </c>
      <c r="AES173" t="s">
        <v>412</v>
      </c>
    </row>
    <row r="174" spans="1:825" x14ac:dyDescent="0.2">
      <c r="A174" t="s">
        <v>1669</v>
      </c>
      <c r="B174" t="s">
        <v>396</v>
      </c>
      <c r="C174" t="s">
        <v>1670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>
        <v>785</v>
      </c>
      <c r="W174" s="20">
        <v>43518.474999999999</v>
      </c>
      <c r="X174" t="s">
        <v>1671</v>
      </c>
      <c r="Y174">
        <v>2019</v>
      </c>
      <c r="Z174" t="s">
        <v>1672</v>
      </c>
      <c r="AA174" t="s">
        <v>1673</v>
      </c>
      <c r="AB174" t="str">
        <f>VLOOKUP(MID(AD174,SEARCH("@",AD174,1),LEN(AD174)-SEARCH("@",AD174,1)+1),[2]Sheet1!$D:$F,3,FALSE)</f>
        <v>M020</v>
      </c>
      <c r="AC174" t="s">
        <v>1674</v>
      </c>
      <c r="AD174" t="s">
        <v>1675</v>
      </c>
      <c r="AE174">
        <v>442078524484</v>
      </c>
      <c r="AF174" t="s">
        <v>571</v>
      </c>
      <c r="AG174" t="s">
        <v>403</v>
      </c>
      <c r="AI174">
        <v>2</v>
      </c>
      <c r="AJ174">
        <v>6</v>
      </c>
      <c r="AK174" t="s">
        <v>1676</v>
      </c>
      <c r="AV174">
        <v>0</v>
      </c>
      <c r="BC174">
        <v>0</v>
      </c>
      <c r="BJ174">
        <v>0</v>
      </c>
      <c r="BQ174">
        <v>0</v>
      </c>
      <c r="BX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S174">
        <v>0</v>
      </c>
      <c r="CZ174">
        <v>0</v>
      </c>
      <c r="DG174">
        <v>0</v>
      </c>
      <c r="DN174">
        <v>0</v>
      </c>
      <c r="DU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 t="s">
        <v>404</v>
      </c>
      <c r="EK174" t="s">
        <v>404</v>
      </c>
      <c r="EL174" t="s">
        <v>404</v>
      </c>
      <c r="EM174" t="s">
        <v>404</v>
      </c>
      <c r="EN174" t="s">
        <v>404</v>
      </c>
      <c r="EO174" t="s">
        <v>404</v>
      </c>
      <c r="EP174" t="s">
        <v>404</v>
      </c>
      <c r="EQ174" t="s">
        <v>404</v>
      </c>
      <c r="ER174" t="s">
        <v>404</v>
      </c>
      <c r="ES174" t="s">
        <v>404</v>
      </c>
      <c r="ET174" t="s">
        <v>404</v>
      </c>
      <c r="EU174" t="s">
        <v>404</v>
      </c>
      <c r="EV174" t="s">
        <v>404</v>
      </c>
      <c r="EW174" t="s">
        <v>404</v>
      </c>
      <c r="EX174" t="s">
        <v>404</v>
      </c>
      <c r="EY174" t="s">
        <v>404</v>
      </c>
      <c r="EZ174" t="s">
        <v>404</v>
      </c>
      <c r="FA174" t="s">
        <v>404</v>
      </c>
      <c r="FB174" t="s">
        <v>404</v>
      </c>
      <c r="FC174" t="s">
        <v>404</v>
      </c>
      <c r="FD174" t="s">
        <v>404</v>
      </c>
      <c r="FE174" t="s">
        <v>404</v>
      </c>
      <c r="FF174" t="s">
        <v>404</v>
      </c>
      <c r="FG174" t="s">
        <v>404</v>
      </c>
      <c r="FH174" t="s">
        <v>404</v>
      </c>
      <c r="FI174" t="s">
        <v>404</v>
      </c>
      <c r="FJ174" t="s">
        <v>404</v>
      </c>
      <c r="FK174" t="s">
        <v>404</v>
      </c>
      <c r="FL174" t="s">
        <v>404</v>
      </c>
      <c r="FM174" t="s">
        <v>404</v>
      </c>
      <c r="FN174" t="s">
        <v>404</v>
      </c>
      <c r="FO174" t="s">
        <v>404</v>
      </c>
      <c r="FP174" t="s">
        <v>404</v>
      </c>
      <c r="FQ174" t="s">
        <v>404</v>
      </c>
      <c r="FR174" t="s">
        <v>404</v>
      </c>
      <c r="FS174" t="s">
        <v>404</v>
      </c>
      <c r="FZ174">
        <v>0</v>
      </c>
      <c r="GG174">
        <v>0</v>
      </c>
      <c r="GN174">
        <v>0</v>
      </c>
      <c r="GU174">
        <v>0</v>
      </c>
      <c r="HB174">
        <v>0</v>
      </c>
      <c r="HI174">
        <v>0</v>
      </c>
      <c r="HP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L174">
        <v>0</v>
      </c>
      <c r="IS174">
        <v>0</v>
      </c>
      <c r="IZ174">
        <v>0</v>
      </c>
      <c r="JG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KA174">
        <v>1</v>
      </c>
      <c r="KB174">
        <v>3</v>
      </c>
      <c r="KC174">
        <v>1</v>
      </c>
      <c r="KD174" t="s">
        <v>407</v>
      </c>
      <c r="OG174" t="s">
        <v>408</v>
      </c>
      <c r="SJ174" t="s">
        <v>409</v>
      </c>
      <c r="WM174" t="s">
        <v>410</v>
      </c>
      <c r="AAP174" t="s">
        <v>411</v>
      </c>
      <c r="AES174" t="s">
        <v>412</v>
      </c>
    </row>
    <row r="175" spans="1:825" x14ac:dyDescent="0.2">
      <c r="A175" t="s">
        <v>1677</v>
      </c>
      <c r="B175" t="s">
        <v>396</v>
      </c>
      <c r="C175" t="s">
        <v>1678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>
        <v>623</v>
      </c>
      <c r="W175" s="20">
        <v>43518.582638888889</v>
      </c>
      <c r="X175" t="s">
        <v>816</v>
      </c>
      <c r="Y175">
        <v>2019</v>
      </c>
      <c r="Z175" t="s">
        <v>1679</v>
      </c>
      <c r="AA175" t="s">
        <v>1678</v>
      </c>
      <c r="AB175" t="str">
        <f>VLOOKUP(MID(AD175,SEARCH("@",AD175,1),LEN(AD175)-SEARCH("@",AD175,1)+1),[2]Sheet1!$D:$F,3,FALSE)</f>
        <v>M211</v>
      </c>
      <c r="AC175" t="s">
        <v>1680</v>
      </c>
      <c r="AD175" t="s">
        <v>1681</v>
      </c>
      <c r="AE175" t="s">
        <v>1682</v>
      </c>
      <c r="AF175" t="s">
        <v>491</v>
      </c>
      <c r="AG175" t="s">
        <v>492</v>
      </c>
      <c r="AI175">
        <v>1</v>
      </c>
      <c r="AL175">
        <v>67</v>
      </c>
      <c r="AM175">
        <v>67</v>
      </c>
      <c r="AN175">
        <v>67</v>
      </c>
      <c r="AO175">
        <v>67</v>
      </c>
      <c r="AP175">
        <v>0</v>
      </c>
      <c r="AQ175">
        <v>0</v>
      </c>
      <c r="AV175">
        <v>0</v>
      </c>
      <c r="AW175">
        <v>17</v>
      </c>
      <c r="AX175">
        <v>50</v>
      </c>
      <c r="BC175">
        <v>67</v>
      </c>
      <c r="BD175">
        <v>0</v>
      </c>
      <c r="BE175">
        <v>0</v>
      </c>
      <c r="BJ175">
        <v>0</v>
      </c>
      <c r="BK175">
        <v>0</v>
      </c>
      <c r="BL175">
        <v>0</v>
      </c>
      <c r="BQ175">
        <v>0</v>
      </c>
      <c r="BR175">
        <v>0</v>
      </c>
      <c r="BS175">
        <v>0</v>
      </c>
      <c r="BX175">
        <v>0</v>
      </c>
      <c r="BY175">
        <v>0</v>
      </c>
      <c r="BZ175">
        <v>0</v>
      </c>
      <c r="CE175">
        <v>0</v>
      </c>
      <c r="CF175">
        <v>17</v>
      </c>
      <c r="CG175">
        <v>50</v>
      </c>
      <c r="CH175">
        <v>0</v>
      </c>
      <c r="CI175">
        <v>0</v>
      </c>
      <c r="CJ175">
        <v>0</v>
      </c>
      <c r="CK175">
        <v>0</v>
      </c>
      <c r="CL175">
        <v>67</v>
      </c>
      <c r="CS175">
        <v>0</v>
      </c>
      <c r="CT175">
        <v>1</v>
      </c>
      <c r="CU175">
        <v>1</v>
      </c>
      <c r="CZ175">
        <v>2</v>
      </c>
      <c r="DG175">
        <v>0</v>
      </c>
      <c r="DN175">
        <v>0</v>
      </c>
      <c r="DU175">
        <v>0</v>
      </c>
      <c r="EB175">
        <v>0</v>
      </c>
      <c r="EC175">
        <v>1</v>
      </c>
      <c r="ED175">
        <v>1</v>
      </c>
      <c r="EE175">
        <v>0</v>
      </c>
      <c r="EF175">
        <v>0</v>
      </c>
      <c r="EG175">
        <v>0</v>
      </c>
      <c r="EH175">
        <v>0</v>
      </c>
      <c r="EI175">
        <v>2</v>
      </c>
      <c r="EJ175" t="s">
        <v>404</v>
      </c>
      <c r="EK175" t="s">
        <v>404</v>
      </c>
      <c r="EL175" t="s">
        <v>404</v>
      </c>
      <c r="EM175" t="s">
        <v>404</v>
      </c>
      <c r="EN175" t="s">
        <v>404</v>
      </c>
      <c r="EO175" t="s">
        <v>404</v>
      </c>
      <c r="EP175" t="s">
        <v>405</v>
      </c>
      <c r="EQ175" t="s">
        <v>405</v>
      </c>
      <c r="ER175" t="s">
        <v>404</v>
      </c>
      <c r="ES175" t="s">
        <v>404</v>
      </c>
      <c r="ET175" t="s">
        <v>404</v>
      </c>
      <c r="EU175" t="s">
        <v>404</v>
      </c>
      <c r="EV175" t="s">
        <v>404</v>
      </c>
      <c r="EW175" t="s">
        <v>404</v>
      </c>
      <c r="EX175" t="s">
        <v>404</v>
      </c>
      <c r="EY175" t="s">
        <v>404</v>
      </c>
      <c r="EZ175" t="s">
        <v>404</v>
      </c>
      <c r="FA175" t="s">
        <v>404</v>
      </c>
      <c r="FB175" t="s">
        <v>404</v>
      </c>
      <c r="FC175" t="s">
        <v>404</v>
      </c>
      <c r="FD175" t="s">
        <v>404</v>
      </c>
      <c r="FE175" t="s">
        <v>404</v>
      </c>
      <c r="FF175" t="s">
        <v>404</v>
      </c>
      <c r="FG175" t="s">
        <v>404</v>
      </c>
      <c r="FH175" t="s">
        <v>404</v>
      </c>
      <c r="FI175" t="s">
        <v>404</v>
      </c>
      <c r="FJ175" t="s">
        <v>404</v>
      </c>
      <c r="FK175" t="s">
        <v>404</v>
      </c>
      <c r="FL175" t="s">
        <v>404</v>
      </c>
      <c r="FM175" t="s">
        <v>404</v>
      </c>
      <c r="FN175" t="s">
        <v>404</v>
      </c>
      <c r="FO175" t="s">
        <v>404</v>
      </c>
      <c r="FP175" t="s">
        <v>404</v>
      </c>
      <c r="FQ175" t="s">
        <v>404</v>
      </c>
      <c r="FR175" t="s">
        <v>404</v>
      </c>
      <c r="FS175" t="s">
        <v>404</v>
      </c>
      <c r="FT175">
        <v>15</v>
      </c>
      <c r="FU175">
        <v>50</v>
      </c>
      <c r="FZ175">
        <v>65</v>
      </c>
      <c r="GA175">
        <v>0</v>
      </c>
      <c r="GB175">
        <v>0</v>
      </c>
      <c r="GG175">
        <v>0</v>
      </c>
      <c r="GH175">
        <v>0</v>
      </c>
      <c r="GI175">
        <v>0</v>
      </c>
      <c r="GN175">
        <v>0</v>
      </c>
      <c r="GO175">
        <v>1</v>
      </c>
      <c r="GP175">
        <v>0</v>
      </c>
      <c r="GU175">
        <v>1</v>
      </c>
      <c r="GV175">
        <v>0.03</v>
      </c>
      <c r="GW175">
        <v>0</v>
      </c>
      <c r="HB175">
        <v>0.03</v>
      </c>
      <c r="HC175">
        <v>0</v>
      </c>
      <c r="HD175">
        <v>0</v>
      </c>
      <c r="HI175">
        <v>0</v>
      </c>
      <c r="HJ175">
        <v>0</v>
      </c>
      <c r="HK175">
        <v>0</v>
      </c>
      <c r="HP175">
        <v>0</v>
      </c>
      <c r="HQ175" t="s">
        <v>1683</v>
      </c>
      <c r="HR175">
        <v>0.5</v>
      </c>
      <c r="HS175">
        <v>0</v>
      </c>
      <c r="HX175">
        <v>0.5</v>
      </c>
      <c r="HY175">
        <v>16.53</v>
      </c>
      <c r="HZ175">
        <v>50</v>
      </c>
      <c r="IA175">
        <v>0</v>
      </c>
      <c r="IB175">
        <v>0</v>
      </c>
      <c r="IC175">
        <v>0</v>
      </c>
      <c r="ID175">
        <v>0</v>
      </c>
      <c r="IE175">
        <v>66.53</v>
      </c>
      <c r="IF175">
        <v>0</v>
      </c>
      <c r="IG175">
        <v>0</v>
      </c>
      <c r="IL175">
        <v>0</v>
      </c>
      <c r="IM175">
        <v>17</v>
      </c>
      <c r="IN175">
        <v>50</v>
      </c>
      <c r="IS175">
        <v>67</v>
      </c>
      <c r="IT175">
        <v>0</v>
      </c>
      <c r="IU175">
        <v>0</v>
      </c>
      <c r="IZ175">
        <v>0</v>
      </c>
      <c r="JA175">
        <v>0</v>
      </c>
      <c r="JB175">
        <v>0</v>
      </c>
      <c r="JG175">
        <v>0</v>
      </c>
      <c r="JH175">
        <v>0</v>
      </c>
      <c r="JI175">
        <v>0</v>
      </c>
      <c r="JN175">
        <v>0</v>
      </c>
      <c r="JO175">
        <v>17</v>
      </c>
      <c r="JP175">
        <v>50</v>
      </c>
      <c r="JQ175">
        <v>0</v>
      </c>
      <c r="JR175">
        <v>0</v>
      </c>
      <c r="JS175">
        <v>0</v>
      </c>
      <c r="JT175">
        <v>0</v>
      </c>
      <c r="JU175">
        <v>67</v>
      </c>
      <c r="JV175">
        <v>6</v>
      </c>
      <c r="JW175">
        <v>0</v>
      </c>
      <c r="JX175">
        <v>0</v>
      </c>
      <c r="JY175" t="s">
        <v>1684</v>
      </c>
      <c r="JZ175">
        <v>94</v>
      </c>
      <c r="KA175">
        <v>1</v>
      </c>
      <c r="KB175">
        <v>2</v>
      </c>
      <c r="KC175">
        <v>1</v>
      </c>
      <c r="KD175" t="s">
        <v>407</v>
      </c>
      <c r="OG175" t="s">
        <v>408</v>
      </c>
      <c r="SJ175" t="s">
        <v>409</v>
      </c>
      <c r="WM175" t="s">
        <v>410</v>
      </c>
      <c r="AAP175" t="s">
        <v>411</v>
      </c>
      <c r="AES175" t="s">
        <v>412</v>
      </c>
    </row>
    <row r="176" spans="1:825" x14ac:dyDescent="0.2">
      <c r="A176" t="s">
        <v>1685</v>
      </c>
      <c r="B176" t="s">
        <v>563</v>
      </c>
      <c r="C176" t="s">
        <v>1686</v>
      </c>
      <c r="D176" t="s">
        <v>478</v>
      </c>
      <c r="E176" s="3">
        <v>43523.711111111108</v>
      </c>
      <c r="F176" t="s">
        <v>479</v>
      </c>
      <c r="G176" s="3">
        <v>43523.711111111108</v>
      </c>
      <c r="H176" t="s">
        <v>502</v>
      </c>
      <c r="I176" s="3">
        <v>43523.712500000001</v>
      </c>
      <c r="P176" t="b">
        <v>1</v>
      </c>
      <c r="Q176" t="b">
        <v>1</v>
      </c>
      <c r="R176" t="b">
        <v>1</v>
      </c>
      <c r="S176" t="b">
        <v>0</v>
      </c>
      <c r="T176" t="b">
        <v>0</v>
      </c>
      <c r="U176" t="b">
        <v>0</v>
      </c>
      <c r="V176">
        <v>720</v>
      </c>
      <c r="W176" s="20">
        <v>43523.709722222222</v>
      </c>
      <c r="X176" t="s">
        <v>1687</v>
      </c>
      <c r="Y176">
        <v>2019</v>
      </c>
      <c r="Z176" t="s">
        <v>1688</v>
      </c>
      <c r="AA176" t="s">
        <v>1686</v>
      </c>
      <c r="AB176" t="str">
        <f>VLOOKUP(MID(AD176,SEARCH("@",AD176,1),LEN(AD176)-SEARCH("@",AD176,1)+1),[2]Sheet1!$D:$F,3,FALSE)</f>
        <v>M082</v>
      </c>
      <c r="AD176" t="s">
        <v>1689</v>
      </c>
      <c r="AE176" t="s">
        <v>1690</v>
      </c>
      <c r="AF176" t="s">
        <v>571</v>
      </c>
      <c r="AG176" t="s">
        <v>538</v>
      </c>
      <c r="AI176">
        <v>1</v>
      </c>
      <c r="AL176">
        <v>3989.2</v>
      </c>
      <c r="AM176">
        <v>3989.2</v>
      </c>
      <c r="AN176">
        <v>3948.6</v>
      </c>
      <c r="AO176">
        <v>3948.6</v>
      </c>
      <c r="AP176">
        <v>201</v>
      </c>
      <c r="AV176">
        <v>201</v>
      </c>
      <c r="AW176">
        <v>720</v>
      </c>
      <c r="BC176">
        <v>720</v>
      </c>
      <c r="BD176">
        <v>1554</v>
      </c>
      <c r="BE176">
        <v>642</v>
      </c>
      <c r="BH176">
        <v>646</v>
      </c>
      <c r="BI176">
        <v>227</v>
      </c>
      <c r="BJ176">
        <v>3069</v>
      </c>
      <c r="BQ176">
        <v>0</v>
      </c>
      <c r="BX176">
        <v>0</v>
      </c>
      <c r="CE176">
        <v>0</v>
      </c>
      <c r="CF176">
        <v>2475</v>
      </c>
      <c r="CG176">
        <v>642</v>
      </c>
      <c r="CH176">
        <v>0</v>
      </c>
      <c r="CI176">
        <v>0</v>
      </c>
      <c r="CJ176">
        <v>646</v>
      </c>
      <c r="CK176">
        <v>227</v>
      </c>
      <c r="CL176">
        <v>3990</v>
      </c>
      <c r="CM176">
        <v>1</v>
      </c>
      <c r="CS176">
        <v>1</v>
      </c>
      <c r="CT176">
        <v>1</v>
      </c>
      <c r="CZ176">
        <v>1</v>
      </c>
      <c r="DA176">
        <v>3</v>
      </c>
      <c r="DB176">
        <v>5</v>
      </c>
      <c r="DE176">
        <v>2</v>
      </c>
      <c r="DF176">
        <v>2</v>
      </c>
      <c r="DG176">
        <v>12</v>
      </c>
      <c r="DN176">
        <v>0</v>
      </c>
      <c r="DU176">
        <v>0</v>
      </c>
      <c r="EB176">
        <v>0</v>
      </c>
      <c r="EC176">
        <v>5</v>
      </c>
      <c r="ED176">
        <v>5</v>
      </c>
      <c r="EE176">
        <v>0</v>
      </c>
      <c r="EF176">
        <v>0</v>
      </c>
      <c r="EG176">
        <v>2</v>
      </c>
      <c r="EH176">
        <v>2</v>
      </c>
      <c r="EI176">
        <v>14</v>
      </c>
      <c r="EJ176" t="s">
        <v>405</v>
      </c>
      <c r="EK176" t="s">
        <v>404</v>
      </c>
      <c r="EL176" t="s">
        <v>404</v>
      </c>
      <c r="EM176" t="s">
        <v>404</v>
      </c>
      <c r="EN176" t="s">
        <v>404</v>
      </c>
      <c r="EO176" t="s">
        <v>404</v>
      </c>
      <c r="EP176" t="s">
        <v>405</v>
      </c>
      <c r="EQ176" t="s">
        <v>404</v>
      </c>
      <c r="ER176" t="s">
        <v>404</v>
      </c>
      <c r="ES176" t="s">
        <v>404</v>
      </c>
      <c r="ET176" t="s">
        <v>404</v>
      </c>
      <c r="EU176" t="s">
        <v>404</v>
      </c>
      <c r="EV176" t="s">
        <v>405</v>
      </c>
      <c r="EW176" t="s">
        <v>405</v>
      </c>
      <c r="EX176" t="s">
        <v>404</v>
      </c>
      <c r="EY176" t="s">
        <v>404</v>
      </c>
      <c r="EZ176" t="s">
        <v>405</v>
      </c>
      <c r="FA176" t="s">
        <v>405</v>
      </c>
      <c r="FB176" t="s">
        <v>404</v>
      </c>
      <c r="FC176" t="s">
        <v>404</v>
      </c>
      <c r="FD176" t="s">
        <v>404</v>
      </c>
      <c r="FE176" t="s">
        <v>404</v>
      </c>
      <c r="FF176" t="s">
        <v>404</v>
      </c>
      <c r="FG176" t="s">
        <v>404</v>
      </c>
      <c r="FH176" t="s">
        <v>404</v>
      </c>
      <c r="FI176" t="s">
        <v>404</v>
      </c>
      <c r="FJ176" t="s">
        <v>404</v>
      </c>
      <c r="FK176" t="s">
        <v>404</v>
      </c>
      <c r="FL176" t="s">
        <v>404</v>
      </c>
      <c r="FM176" t="s">
        <v>404</v>
      </c>
      <c r="FN176" t="s">
        <v>404</v>
      </c>
      <c r="FO176" t="s">
        <v>404</v>
      </c>
      <c r="FP176" t="s">
        <v>404</v>
      </c>
      <c r="FQ176" t="s">
        <v>404</v>
      </c>
      <c r="FR176" t="s">
        <v>404</v>
      </c>
      <c r="FS176" t="s">
        <v>404</v>
      </c>
      <c r="FT176">
        <v>1630</v>
      </c>
      <c r="FU176">
        <v>547</v>
      </c>
      <c r="FX176">
        <v>646</v>
      </c>
      <c r="FY176">
        <v>77</v>
      </c>
      <c r="FZ176">
        <v>2900</v>
      </c>
      <c r="GA176">
        <v>70</v>
      </c>
      <c r="GG176">
        <v>70</v>
      </c>
      <c r="GH176">
        <v>610</v>
      </c>
      <c r="GI176">
        <v>95</v>
      </c>
      <c r="GN176">
        <v>705</v>
      </c>
      <c r="GU176">
        <v>0</v>
      </c>
      <c r="GV176">
        <v>60</v>
      </c>
      <c r="HB176">
        <v>60</v>
      </c>
      <c r="HI176">
        <v>0</v>
      </c>
      <c r="HP176">
        <v>0</v>
      </c>
      <c r="HQ176" t="s">
        <v>1691</v>
      </c>
      <c r="HR176">
        <v>105</v>
      </c>
      <c r="HW176">
        <v>150</v>
      </c>
      <c r="HX176">
        <v>255</v>
      </c>
      <c r="HY176">
        <v>2475</v>
      </c>
      <c r="HZ176">
        <v>642</v>
      </c>
      <c r="IA176">
        <v>0</v>
      </c>
      <c r="IB176">
        <v>0</v>
      </c>
      <c r="IC176">
        <v>646</v>
      </c>
      <c r="ID176">
        <v>227</v>
      </c>
      <c r="IE176">
        <v>3990</v>
      </c>
      <c r="IF176">
        <v>670</v>
      </c>
      <c r="IL176">
        <v>670</v>
      </c>
      <c r="IM176">
        <v>101</v>
      </c>
      <c r="IS176">
        <v>101</v>
      </c>
      <c r="IT176">
        <v>1703</v>
      </c>
      <c r="IU176">
        <v>642</v>
      </c>
      <c r="IX176">
        <v>646</v>
      </c>
      <c r="IY176">
        <v>227</v>
      </c>
      <c r="IZ176">
        <v>3218</v>
      </c>
      <c r="JG176">
        <v>0</v>
      </c>
      <c r="JN176">
        <v>0</v>
      </c>
      <c r="JO176">
        <v>2474</v>
      </c>
      <c r="JP176">
        <v>642</v>
      </c>
      <c r="JQ176">
        <v>0</v>
      </c>
      <c r="JR176">
        <v>0</v>
      </c>
      <c r="JS176">
        <v>646</v>
      </c>
      <c r="JT176">
        <v>227</v>
      </c>
      <c r="JU176">
        <v>3989</v>
      </c>
      <c r="JW176">
        <v>50</v>
      </c>
      <c r="JX176">
        <v>50</v>
      </c>
      <c r="KA176">
        <v>1</v>
      </c>
      <c r="KB176">
        <v>1</v>
      </c>
      <c r="KC176">
        <v>1</v>
      </c>
      <c r="KD176" t="s">
        <v>407</v>
      </c>
      <c r="KE176">
        <v>46</v>
      </c>
      <c r="KK176">
        <v>46</v>
      </c>
      <c r="KL176">
        <v>50</v>
      </c>
      <c r="KR176">
        <v>50</v>
      </c>
      <c r="KY176">
        <v>0</v>
      </c>
      <c r="LF176">
        <v>0</v>
      </c>
      <c r="LG176">
        <v>5</v>
      </c>
      <c r="LM176">
        <v>5</v>
      </c>
      <c r="LT176">
        <v>0</v>
      </c>
      <c r="MA176">
        <v>0</v>
      </c>
      <c r="MB176" t="s">
        <v>1692</v>
      </c>
      <c r="MC176">
        <v>100</v>
      </c>
      <c r="MI176">
        <v>100</v>
      </c>
      <c r="MJ176">
        <v>201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201</v>
      </c>
      <c r="MQ176">
        <v>101</v>
      </c>
      <c r="MW176">
        <v>101</v>
      </c>
      <c r="MX176">
        <v>50</v>
      </c>
      <c r="ND176">
        <v>50</v>
      </c>
      <c r="NE176">
        <v>50</v>
      </c>
      <c r="NK176">
        <v>50</v>
      </c>
      <c r="NR176">
        <v>0</v>
      </c>
      <c r="NY176">
        <v>0</v>
      </c>
      <c r="NZ176">
        <v>201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201</v>
      </c>
      <c r="OG176" t="s">
        <v>408</v>
      </c>
      <c r="OH176">
        <v>110</v>
      </c>
      <c r="ON176">
        <v>110</v>
      </c>
      <c r="OU176">
        <v>0</v>
      </c>
      <c r="OV176">
        <v>610</v>
      </c>
      <c r="PB176">
        <v>610</v>
      </c>
      <c r="PI176">
        <v>0</v>
      </c>
      <c r="PP176">
        <v>0</v>
      </c>
      <c r="PW176">
        <v>0</v>
      </c>
      <c r="QD176">
        <v>0</v>
      </c>
      <c r="QL176">
        <v>0</v>
      </c>
      <c r="QM176">
        <v>720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720</v>
      </c>
      <c r="QZ176">
        <v>0</v>
      </c>
      <c r="RA176">
        <v>610</v>
      </c>
      <c r="RG176">
        <v>610</v>
      </c>
      <c r="RH176">
        <v>110</v>
      </c>
      <c r="RN176">
        <v>110</v>
      </c>
      <c r="RU176">
        <v>0</v>
      </c>
      <c r="SB176">
        <v>0</v>
      </c>
      <c r="SC176">
        <v>720</v>
      </c>
      <c r="SD176">
        <v>0</v>
      </c>
      <c r="SE176">
        <v>0</v>
      </c>
      <c r="SF176">
        <v>0</v>
      </c>
      <c r="SG176">
        <v>0</v>
      </c>
      <c r="SH176">
        <v>0</v>
      </c>
      <c r="SI176">
        <v>720</v>
      </c>
      <c r="SJ176" t="s">
        <v>409</v>
      </c>
      <c r="SK176">
        <v>1474</v>
      </c>
      <c r="SL176">
        <v>547</v>
      </c>
      <c r="SO176">
        <v>646</v>
      </c>
      <c r="SP176">
        <v>77</v>
      </c>
      <c r="SQ176">
        <v>2744</v>
      </c>
      <c r="SR176">
        <v>20</v>
      </c>
      <c r="SX176">
        <v>20</v>
      </c>
      <c r="SZ176">
        <v>95</v>
      </c>
      <c r="TE176">
        <v>95</v>
      </c>
      <c r="TL176">
        <v>0</v>
      </c>
      <c r="TM176">
        <v>55</v>
      </c>
      <c r="TS176">
        <v>55</v>
      </c>
      <c r="TZ176">
        <v>0</v>
      </c>
      <c r="UG176">
        <v>0</v>
      </c>
      <c r="UH176" t="s">
        <v>1692</v>
      </c>
      <c r="UI176">
        <v>5</v>
      </c>
      <c r="UN176">
        <v>150</v>
      </c>
      <c r="UO176">
        <v>155</v>
      </c>
      <c r="UP176">
        <v>1554</v>
      </c>
      <c r="UQ176">
        <v>642</v>
      </c>
      <c r="UR176">
        <v>0</v>
      </c>
      <c r="US176">
        <v>0</v>
      </c>
      <c r="UT176">
        <v>646</v>
      </c>
      <c r="UU176">
        <v>227</v>
      </c>
      <c r="UV176">
        <v>3069</v>
      </c>
      <c r="VC176">
        <v>0</v>
      </c>
      <c r="VD176">
        <v>10</v>
      </c>
      <c r="VJ176">
        <v>10</v>
      </c>
      <c r="VK176">
        <v>1544</v>
      </c>
      <c r="VL176">
        <v>642</v>
      </c>
      <c r="VO176">
        <v>646</v>
      </c>
      <c r="VP176">
        <v>227</v>
      </c>
      <c r="VQ176">
        <v>3059</v>
      </c>
      <c r="VX176">
        <v>0</v>
      </c>
      <c r="WE176">
        <v>0</v>
      </c>
      <c r="WF176">
        <v>1554</v>
      </c>
      <c r="WG176">
        <v>642</v>
      </c>
      <c r="WH176">
        <v>0</v>
      </c>
      <c r="WI176">
        <v>0</v>
      </c>
      <c r="WJ176">
        <v>646</v>
      </c>
      <c r="WK176">
        <v>227</v>
      </c>
      <c r="WL176">
        <v>3069</v>
      </c>
      <c r="WM176" t="s">
        <v>410</v>
      </c>
      <c r="AAP176" t="s">
        <v>411</v>
      </c>
      <c r="AES176" t="s">
        <v>412</v>
      </c>
    </row>
    <row r="177" spans="1:825" x14ac:dyDescent="0.2">
      <c r="A177" t="s">
        <v>1693</v>
      </c>
      <c r="B177" t="s">
        <v>414</v>
      </c>
      <c r="C177" t="s">
        <v>1694</v>
      </c>
      <c r="P177" t="b">
        <v>0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>
        <v>667</v>
      </c>
      <c r="W177" s="20">
        <v>43507.175694444442</v>
      </c>
      <c r="X177" t="s">
        <v>1695</v>
      </c>
      <c r="Y177">
        <v>2019</v>
      </c>
      <c r="Z177" t="s">
        <v>1696</v>
      </c>
      <c r="AA177" t="s">
        <v>1697</v>
      </c>
      <c r="AB177" t="str">
        <f>VLOOKUP(MID(AD177,SEARCH("@",AD177,1),LEN(AD177)-SEARCH("@",AD177,1)+1),[2]Sheet1!$D:$F,3,FALSE)</f>
        <v>M0269</v>
      </c>
      <c r="AC177" t="s">
        <v>1698</v>
      </c>
      <c r="AD177" t="s">
        <v>1699</v>
      </c>
      <c r="AE177">
        <v>61457006893</v>
      </c>
      <c r="AF177" t="s">
        <v>420</v>
      </c>
      <c r="AG177" t="s">
        <v>421</v>
      </c>
      <c r="AI177">
        <v>1</v>
      </c>
      <c r="AL177">
        <v>650</v>
      </c>
      <c r="AM177">
        <v>650</v>
      </c>
      <c r="AN177">
        <v>575</v>
      </c>
      <c r="AO177">
        <v>575</v>
      </c>
      <c r="AP177">
        <v>650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650</v>
      </c>
      <c r="BC177">
        <v>0</v>
      </c>
      <c r="BJ177">
        <v>0</v>
      </c>
      <c r="BQ177">
        <v>0</v>
      </c>
      <c r="BX177">
        <v>0</v>
      </c>
      <c r="CE177">
        <v>0</v>
      </c>
      <c r="CF177">
        <v>650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650</v>
      </c>
      <c r="CM177">
        <v>2</v>
      </c>
      <c r="CS177">
        <v>2</v>
      </c>
      <c r="CZ177">
        <v>0</v>
      </c>
      <c r="DG177">
        <v>0</v>
      </c>
      <c r="DN177">
        <v>0</v>
      </c>
      <c r="DU177">
        <v>0</v>
      </c>
      <c r="EB177">
        <v>0</v>
      </c>
      <c r="EC177">
        <v>2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2</v>
      </c>
      <c r="EJ177" t="s">
        <v>405</v>
      </c>
      <c r="EK177" t="s">
        <v>404</v>
      </c>
      <c r="EL177" t="s">
        <v>404</v>
      </c>
      <c r="EM177" t="s">
        <v>404</v>
      </c>
      <c r="EN177" t="s">
        <v>404</v>
      </c>
      <c r="EO177" t="s">
        <v>404</v>
      </c>
      <c r="EP177" t="s">
        <v>404</v>
      </c>
      <c r="EQ177" t="s">
        <v>404</v>
      </c>
      <c r="ER177" t="s">
        <v>404</v>
      </c>
      <c r="ES177" t="s">
        <v>404</v>
      </c>
      <c r="ET177" t="s">
        <v>404</v>
      </c>
      <c r="EU177" t="s">
        <v>404</v>
      </c>
      <c r="EV177" t="s">
        <v>404</v>
      </c>
      <c r="EW177" t="s">
        <v>404</v>
      </c>
      <c r="EX177" t="s">
        <v>404</v>
      </c>
      <c r="EY177" t="s">
        <v>404</v>
      </c>
      <c r="EZ177" t="s">
        <v>404</v>
      </c>
      <c r="FA177" t="s">
        <v>404</v>
      </c>
      <c r="FB177" t="s">
        <v>404</v>
      </c>
      <c r="FC177" t="s">
        <v>404</v>
      </c>
      <c r="FD177" t="s">
        <v>404</v>
      </c>
      <c r="FE177" t="s">
        <v>404</v>
      </c>
      <c r="FF177" t="s">
        <v>404</v>
      </c>
      <c r="FG177" t="s">
        <v>404</v>
      </c>
      <c r="FH177" t="s">
        <v>404</v>
      </c>
      <c r="FI177" t="s">
        <v>404</v>
      </c>
      <c r="FJ177" t="s">
        <v>404</v>
      </c>
      <c r="FK177" t="s">
        <v>404</v>
      </c>
      <c r="FL177" t="s">
        <v>404</v>
      </c>
      <c r="FM177" t="s">
        <v>404</v>
      </c>
      <c r="FN177" t="s">
        <v>404</v>
      </c>
      <c r="FO177" t="s">
        <v>404</v>
      </c>
      <c r="FP177" t="s">
        <v>404</v>
      </c>
      <c r="FQ177" t="s">
        <v>404</v>
      </c>
      <c r="FR177" t="s">
        <v>404</v>
      </c>
      <c r="FS177" t="s">
        <v>404</v>
      </c>
      <c r="FT177">
        <v>650</v>
      </c>
      <c r="FZ177">
        <v>650</v>
      </c>
      <c r="GG177">
        <v>0</v>
      </c>
      <c r="GN177">
        <v>0</v>
      </c>
      <c r="GU177">
        <v>0</v>
      </c>
      <c r="HB177">
        <v>0</v>
      </c>
      <c r="HI177">
        <v>0</v>
      </c>
      <c r="HP177">
        <v>0</v>
      </c>
      <c r="HX177">
        <v>0</v>
      </c>
      <c r="HY177">
        <v>650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650</v>
      </c>
      <c r="IF177">
        <v>650</v>
      </c>
      <c r="IL177">
        <v>650</v>
      </c>
      <c r="IS177">
        <v>0</v>
      </c>
      <c r="IZ177">
        <v>0</v>
      </c>
      <c r="JG177">
        <v>0</v>
      </c>
      <c r="JN177">
        <v>0</v>
      </c>
      <c r="JO177">
        <v>650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650</v>
      </c>
      <c r="JX177">
        <v>100</v>
      </c>
      <c r="KA177">
        <v>1</v>
      </c>
      <c r="KB177">
        <v>2</v>
      </c>
      <c r="KC177">
        <v>1</v>
      </c>
      <c r="KD177" t="s">
        <v>407</v>
      </c>
      <c r="OG177" t="s">
        <v>408</v>
      </c>
      <c r="SJ177" t="s">
        <v>409</v>
      </c>
      <c r="WM177" t="s">
        <v>410</v>
      </c>
      <c r="AAP177" t="s">
        <v>411</v>
      </c>
      <c r="AES177" t="s">
        <v>412</v>
      </c>
    </row>
    <row r="178" spans="1:825" x14ac:dyDescent="0.2">
      <c r="A178" t="s">
        <v>1700</v>
      </c>
      <c r="B178" t="s">
        <v>396</v>
      </c>
      <c r="C178" t="s">
        <v>1701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>
        <v>688</v>
      </c>
      <c r="W178" s="20">
        <v>43509.409722222219</v>
      </c>
      <c r="X178" t="s">
        <v>1702</v>
      </c>
      <c r="Y178">
        <v>2019</v>
      </c>
      <c r="Z178" t="s">
        <v>1703</v>
      </c>
      <c r="AA178" t="s">
        <v>1701</v>
      </c>
      <c r="AB178" t="str">
        <f>VLOOKUP(MID(AD178,SEARCH("@",AD178,1),LEN(AD178)-SEARCH("@",AD178,1)+1),[2]Sheet1!$D:$F,3,FALSE)</f>
        <v>M013</v>
      </c>
      <c r="AC178" t="s">
        <v>1704</v>
      </c>
      <c r="AD178" t="s">
        <v>1705</v>
      </c>
      <c r="AE178">
        <v>46708196839</v>
      </c>
      <c r="AF178" t="s">
        <v>452</v>
      </c>
      <c r="AG178" t="s">
        <v>403</v>
      </c>
      <c r="AI178">
        <v>1</v>
      </c>
      <c r="AL178">
        <v>973</v>
      </c>
      <c r="AM178">
        <v>973</v>
      </c>
      <c r="AN178">
        <v>10</v>
      </c>
      <c r="AO178">
        <v>10</v>
      </c>
      <c r="AV178">
        <v>0</v>
      </c>
      <c r="AW178">
        <v>973</v>
      </c>
      <c r="BC178">
        <v>973</v>
      </c>
      <c r="BJ178">
        <v>0</v>
      </c>
      <c r="BQ178">
        <v>0</v>
      </c>
      <c r="BX178">
        <v>0</v>
      </c>
      <c r="CE178">
        <v>0</v>
      </c>
      <c r="CF178">
        <v>973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973</v>
      </c>
      <c r="CS178">
        <v>0</v>
      </c>
      <c r="CT178">
        <v>2</v>
      </c>
      <c r="CZ178">
        <v>2</v>
      </c>
      <c r="DG178">
        <v>0</v>
      </c>
      <c r="DN178">
        <v>0</v>
      </c>
      <c r="DU178">
        <v>0</v>
      </c>
      <c r="EB178">
        <v>0</v>
      </c>
      <c r="EC178">
        <v>2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2</v>
      </c>
      <c r="EJ178" t="s">
        <v>404</v>
      </c>
      <c r="EK178" t="s">
        <v>404</v>
      </c>
      <c r="EL178" t="s">
        <v>404</v>
      </c>
      <c r="EM178" t="s">
        <v>404</v>
      </c>
      <c r="EN178" t="s">
        <v>404</v>
      </c>
      <c r="EO178" t="s">
        <v>404</v>
      </c>
      <c r="EP178" t="s">
        <v>405</v>
      </c>
      <c r="EQ178" t="s">
        <v>404</v>
      </c>
      <c r="ER178" t="s">
        <v>404</v>
      </c>
      <c r="ES178" t="s">
        <v>404</v>
      </c>
      <c r="ET178" t="s">
        <v>404</v>
      </c>
      <c r="EU178" t="s">
        <v>404</v>
      </c>
      <c r="EV178" t="s">
        <v>404</v>
      </c>
      <c r="EW178" t="s">
        <v>404</v>
      </c>
      <c r="EX178" t="s">
        <v>404</v>
      </c>
      <c r="EY178" t="s">
        <v>404</v>
      </c>
      <c r="EZ178" t="s">
        <v>404</v>
      </c>
      <c r="FA178" t="s">
        <v>404</v>
      </c>
      <c r="FB178" t="s">
        <v>404</v>
      </c>
      <c r="FC178" t="s">
        <v>404</v>
      </c>
      <c r="FD178" t="s">
        <v>404</v>
      </c>
      <c r="FE178" t="s">
        <v>404</v>
      </c>
      <c r="FF178" t="s">
        <v>404</v>
      </c>
      <c r="FG178" t="s">
        <v>404</v>
      </c>
      <c r="FH178" t="s">
        <v>404</v>
      </c>
      <c r="FI178" t="s">
        <v>404</v>
      </c>
      <c r="FJ178" t="s">
        <v>404</v>
      </c>
      <c r="FK178" t="s">
        <v>404</v>
      </c>
      <c r="FL178" t="s">
        <v>404</v>
      </c>
      <c r="FM178" t="s">
        <v>404</v>
      </c>
      <c r="FN178" t="s">
        <v>404</v>
      </c>
      <c r="FO178" t="s">
        <v>404</v>
      </c>
      <c r="FP178" t="s">
        <v>404</v>
      </c>
      <c r="FQ178" t="s">
        <v>404</v>
      </c>
      <c r="FR178" t="s">
        <v>404</v>
      </c>
      <c r="FS178" t="s">
        <v>404</v>
      </c>
      <c r="FT178">
        <v>618</v>
      </c>
      <c r="FZ178">
        <v>618</v>
      </c>
      <c r="GA178">
        <v>5</v>
      </c>
      <c r="GG178">
        <v>5</v>
      </c>
      <c r="GH178">
        <v>180</v>
      </c>
      <c r="GN178">
        <v>180</v>
      </c>
      <c r="GU178">
        <v>0</v>
      </c>
      <c r="GV178">
        <v>50</v>
      </c>
      <c r="HB178">
        <v>50</v>
      </c>
      <c r="HC178">
        <v>69</v>
      </c>
      <c r="HI178">
        <v>69</v>
      </c>
      <c r="HJ178">
        <v>41</v>
      </c>
      <c r="HP178">
        <v>41</v>
      </c>
      <c r="HQ178" t="s">
        <v>1706</v>
      </c>
      <c r="HR178">
        <v>10</v>
      </c>
      <c r="HX178">
        <v>10</v>
      </c>
      <c r="HY178">
        <v>973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973</v>
      </c>
      <c r="IF178">
        <v>229</v>
      </c>
      <c r="IL178">
        <v>229</v>
      </c>
      <c r="IM178">
        <v>93</v>
      </c>
      <c r="IS178">
        <v>93</v>
      </c>
      <c r="IT178">
        <v>651</v>
      </c>
      <c r="IZ178">
        <v>651</v>
      </c>
      <c r="JG178">
        <v>0</v>
      </c>
      <c r="JN178">
        <v>0</v>
      </c>
      <c r="JO178">
        <v>973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973</v>
      </c>
      <c r="JV178">
        <v>0</v>
      </c>
      <c r="JW178">
        <v>30</v>
      </c>
      <c r="JX178">
        <v>70</v>
      </c>
      <c r="KC178">
        <v>2</v>
      </c>
      <c r="KD178" t="s">
        <v>407</v>
      </c>
      <c r="OG178" t="s">
        <v>408</v>
      </c>
      <c r="SJ178" t="s">
        <v>409</v>
      </c>
      <c r="WM178" t="s">
        <v>410</v>
      </c>
      <c r="AAP178" t="s">
        <v>411</v>
      </c>
      <c r="AES178" t="s">
        <v>412</v>
      </c>
    </row>
    <row r="179" spans="1:825" x14ac:dyDescent="0.2">
      <c r="A179" t="s">
        <v>1707</v>
      </c>
      <c r="B179" t="s">
        <v>396</v>
      </c>
      <c r="C179" t="s">
        <v>1708</v>
      </c>
      <c r="P179" t="b">
        <v>0</v>
      </c>
      <c r="Q179" t="b">
        <v>0</v>
      </c>
      <c r="R179" t="b">
        <v>1</v>
      </c>
      <c r="S179" t="b">
        <v>0</v>
      </c>
      <c r="T179" t="b">
        <v>0</v>
      </c>
      <c r="U179" t="b">
        <v>0</v>
      </c>
      <c r="V179">
        <v>573</v>
      </c>
      <c r="W179" s="20">
        <v>43509.6875</v>
      </c>
      <c r="X179" t="s">
        <v>1709</v>
      </c>
      <c r="Y179">
        <v>2019</v>
      </c>
      <c r="Z179" t="s">
        <v>1710</v>
      </c>
      <c r="AA179" t="s">
        <v>1708</v>
      </c>
      <c r="AB179" t="str">
        <f>VLOOKUP(MID(AD179,SEARCH("@",AD179,1),LEN(AD179)-SEARCH("@",AD179,1)+1),[2]Sheet1!$D:$F,3,FALSE)</f>
        <v>M2548</v>
      </c>
      <c r="AC179" t="s">
        <v>1711</v>
      </c>
      <c r="AD179" t="s">
        <v>1712</v>
      </c>
      <c r="AE179">
        <v>2146618200</v>
      </c>
      <c r="AF179" t="s">
        <v>571</v>
      </c>
      <c r="AG179" t="s">
        <v>538</v>
      </c>
      <c r="AI179">
        <v>1</v>
      </c>
      <c r="AL179">
        <v>759.2</v>
      </c>
      <c r="AM179">
        <v>759.2</v>
      </c>
      <c r="AN179">
        <v>225.3</v>
      </c>
      <c r="AO179">
        <v>225.3</v>
      </c>
      <c r="AV179">
        <v>0</v>
      </c>
      <c r="BC179">
        <v>0</v>
      </c>
      <c r="BD179">
        <v>759.2</v>
      </c>
      <c r="BJ179">
        <v>759.2</v>
      </c>
      <c r="BQ179">
        <v>0</v>
      </c>
      <c r="BX179">
        <v>0</v>
      </c>
      <c r="CE179">
        <v>0</v>
      </c>
      <c r="CF179">
        <v>759.2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759.2</v>
      </c>
      <c r="CS179">
        <v>0</v>
      </c>
      <c r="CZ179">
        <v>0</v>
      </c>
      <c r="DA179">
        <v>3</v>
      </c>
      <c r="DG179">
        <v>3</v>
      </c>
      <c r="DN179">
        <v>0</v>
      </c>
      <c r="DU179">
        <v>0</v>
      </c>
      <c r="EB179">
        <v>0</v>
      </c>
      <c r="EC179">
        <v>3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3</v>
      </c>
      <c r="EJ179" t="s">
        <v>404</v>
      </c>
      <c r="EK179" t="s">
        <v>404</v>
      </c>
      <c r="EL179" t="s">
        <v>404</v>
      </c>
      <c r="EM179" t="s">
        <v>404</v>
      </c>
      <c r="EN179" t="s">
        <v>404</v>
      </c>
      <c r="EO179" t="s">
        <v>404</v>
      </c>
      <c r="EP179" t="s">
        <v>404</v>
      </c>
      <c r="EQ179" t="s">
        <v>404</v>
      </c>
      <c r="ER179" t="s">
        <v>404</v>
      </c>
      <c r="ES179" t="s">
        <v>404</v>
      </c>
      <c r="ET179" t="s">
        <v>404</v>
      </c>
      <c r="EU179" t="s">
        <v>404</v>
      </c>
      <c r="EV179" t="s">
        <v>405</v>
      </c>
      <c r="EW179" t="s">
        <v>404</v>
      </c>
      <c r="EX179" t="s">
        <v>404</v>
      </c>
      <c r="EY179" t="s">
        <v>404</v>
      </c>
      <c r="EZ179" t="s">
        <v>404</v>
      </c>
      <c r="FA179" t="s">
        <v>404</v>
      </c>
      <c r="FB179" t="s">
        <v>404</v>
      </c>
      <c r="FC179" t="s">
        <v>404</v>
      </c>
      <c r="FD179" t="s">
        <v>404</v>
      </c>
      <c r="FE179" t="s">
        <v>404</v>
      </c>
      <c r="FF179" t="s">
        <v>404</v>
      </c>
      <c r="FG179" t="s">
        <v>404</v>
      </c>
      <c r="FH179" t="s">
        <v>404</v>
      </c>
      <c r="FI179" t="s">
        <v>404</v>
      </c>
      <c r="FJ179" t="s">
        <v>404</v>
      </c>
      <c r="FK179" t="s">
        <v>404</v>
      </c>
      <c r="FL179" t="s">
        <v>404</v>
      </c>
      <c r="FM179" t="s">
        <v>404</v>
      </c>
      <c r="FN179" t="s">
        <v>404</v>
      </c>
      <c r="FO179" t="s">
        <v>404</v>
      </c>
      <c r="FP179" t="s">
        <v>404</v>
      </c>
      <c r="FQ179" t="s">
        <v>404</v>
      </c>
      <c r="FR179" t="s">
        <v>404</v>
      </c>
      <c r="FS179" t="s">
        <v>404</v>
      </c>
      <c r="FT179">
        <v>291.5</v>
      </c>
      <c r="FZ179">
        <v>291.5</v>
      </c>
      <c r="GA179">
        <v>90</v>
      </c>
      <c r="GG179">
        <v>90</v>
      </c>
      <c r="GH179">
        <v>200</v>
      </c>
      <c r="GN179">
        <v>200</v>
      </c>
      <c r="GU179">
        <v>0</v>
      </c>
      <c r="GV179">
        <v>121.8</v>
      </c>
      <c r="HB179">
        <v>121.8</v>
      </c>
      <c r="HI179">
        <v>0</v>
      </c>
      <c r="HJ179">
        <v>55.9</v>
      </c>
      <c r="HP179">
        <v>55.9</v>
      </c>
      <c r="HX179">
        <v>0</v>
      </c>
      <c r="HY179">
        <v>759.2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759.2</v>
      </c>
      <c r="IL179">
        <v>0</v>
      </c>
      <c r="IS179">
        <v>0</v>
      </c>
      <c r="IT179">
        <v>759.2</v>
      </c>
      <c r="IZ179">
        <v>759.2</v>
      </c>
      <c r="JG179">
        <v>0</v>
      </c>
      <c r="JN179">
        <v>0</v>
      </c>
      <c r="JO179">
        <v>759.2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759.2</v>
      </c>
      <c r="JV179">
        <v>52.8</v>
      </c>
      <c r="JX179">
        <v>47.2</v>
      </c>
      <c r="KA179">
        <v>1</v>
      </c>
      <c r="KB179">
        <v>1</v>
      </c>
      <c r="KC179">
        <v>1</v>
      </c>
      <c r="KD179" t="s">
        <v>407</v>
      </c>
      <c r="OG179" t="s">
        <v>408</v>
      </c>
      <c r="SJ179" t="s">
        <v>409</v>
      </c>
      <c r="WM179" t="s">
        <v>410</v>
      </c>
      <c r="AAP179" t="s">
        <v>411</v>
      </c>
      <c r="AES179" t="s">
        <v>412</v>
      </c>
    </row>
    <row r="180" spans="1:825" x14ac:dyDescent="0.2">
      <c r="A180" t="s">
        <v>1713</v>
      </c>
      <c r="B180" t="s">
        <v>563</v>
      </c>
      <c r="C180" t="s">
        <v>1714</v>
      </c>
      <c r="D180" t="s">
        <v>697</v>
      </c>
      <c r="E180" s="3">
        <v>43517.605555555558</v>
      </c>
      <c r="H180" t="s">
        <v>502</v>
      </c>
      <c r="I180" s="3">
        <v>43517.604861111111</v>
      </c>
      <c r="P180" t="b">
        <v>0</v>
      </c>
      <c r="Q180" t="b">
        <v>1</v>
      </c>
      <c r="R180" t="b">
        <v>1</v>
      </c>
      <c r="S180" t="b">
        <v>0</v>
      </c>
      <c r="T180" t="b">
        <v>0</v>
      </c>
      <c r="U180" t="b">
        <v>0</v>
      </c>
      <c r="V180">
        <v>717</v>
      </c>
      <c r="W180" s="20">
        <v>43517.597222222219</v>
      </c>
      <c r="X180" t="s">
        <v>1715</v>
      </c>
      <c r="Y180">
        <v>2019</v>
      </c>
      <c r="Z180" t="s">
        <v>1716</v>
      </c>
      <c r="AA180" t="s">
        <v>1714</v>
      </c>
      <c r="AB180" t="str">
        <f>VLOOKUP(MID(AD180,SEARCH("@",AD180,1),LEN(AD180)-SEARCH("@",AD180,1)+1),[2]Sheet1!$D:$F,3,FALSE)</f>
        <v>M473</v>
      </c>
      <c r="AC180" t="s">
        <v>1172</v>
      </c>
      <c r="AD180" t="s">
        <v>1717</v>
      </c>
      <c r="AE180" t="s">
        <v>1718</v>
      </c>
      <c r="AF180" t="s">
        <v>571</v>
      </c>
      <c r="AG180" t="s">
        <v>538</v>
      </c>
      <c r="AI180">
        <v>1</v>
      </c>
      <c r="AL180">
        <v>450</v>
      </c>
      <c r="AM180">
        <v>450</v>
      </c>
      <c r="AN180">
        <v>300</v>
      </c>
      <c r="AO180">
        <v>300</v>
      </c>
      <c r="AQ180">
        <v>142</v>
      </c>
      <c r="AV180">
        <v>142</v>
      </c>
      <c r="BC180">
        <v>0</v>
      </c>
      <c r="BD180">
        <v>130</v>
      </c>
      <c r="BE180">
        <v>178</v>
      </c>
      <c r="BJ180">
        <v>308</v>
      </c>
      <c r="BQ180">
        <v>0</v>
      </c>
      <c r="BX180">
        <v>0</v>
      </c>
      <c r="CE180">
        <v>0</v>
      </c>
      <c r="CF180">
        <v>130</v>
      </c>
      <c r="CG180">
        <v>320</v>
      </c>
      <c r="CH180">
        <v>0</v>
      </c>
      <c r="CI180">
        <v>0</v>
      </c>
      <c r="CJ180">
        <v>0</v>
      </c>
      <c r="CK180">
        <v>0</v>
      </c>
      <c r="CL180">
        <v>450</v>
      </c>
      <c r="CN180">
        <v>1</v>
      </c>
      <c r="CS180">
        <v>1</v>
      </c>
      <c r="CZ180">
        <v>0</v>
      </c>
      <c r="DA180">
        <v>2</v>
      </c>
      <c r="DB180">
        <v>4</v>
      </c>
      <c r="DG180">
        <v>6</v>
      </c>
      <c r="DN180">
        <v>0</v>
      </c>
      <c r="DU180">
        <v>0</v>
      </c>
      <c r="EB180">
        <v>0</v>
      </c>
      <c r="EC180">
        <v>2</v>
      </c>
      <c r="ED180">
        <v>5</v>
      </c>
      <c r="EE180">
        <v>0</v>
      </c>
      <c r="EF180">
        <v>0</v>
      </c>
      <c r="EG180">
        <v>0</v>
      </c>
      <c r="EH180">
        <v>0</v>
      </c>
      <c r="EI180">
        <v>7</v>
      </c>
      <c r="EJ180" t="s">
        <v>404</v>
      </c>
      <c r="EK180" t="s">
        <v>405</v>
      </c>
      <c r="EL180" t="s">
        <v>404</v>
      </c>
      <c r="EM180" t="s">
        <v>404</v>
      </c>
      <c r="EN180" t="s">
        <v>404</v>
      </c>
      <c r="EO180" t="s">
        <v>404</v>
      </c>
      <c r="EP180" t="s">
        <v>404</v>
      </c>
      <c r="EQ180" t="s">
        <v>404</v>
      </c>
      <c r="ER180" t="s">
        <v>404</v>
      </c>
      <c r="ES180" t="s">
        <v>404</v>
      </c>
      <c r="ET180" t="s">
        <v>404</v>
      </c>
      <c r="EU180" t="s">
        <v>404</v>
      </c>
      <c r="EV180" t="s">
        <v>405</v>
      </c>
      <c r="EW180" t="s">
        <v>405</v>
      </c>
      <c r="EX180" t="s">
        <v>404</v>
      </c>
      <c r="EY180" t="s">
        <v>404</v>
      </c>
      <c r="EZ180" t="s">
        <v>404</v>
      </c>
      <c r="FA180" t="s">
        <v>404</v>
      </c>
      <c r="FB180" t="s">
        <v>404</v>
      </c>
      <c r="FC180" t="s">
        <v>404</v>
      </c>
      <c r="FD180" t="s">
        <v>404</v>
      </c>
      <c r="FE180" t="s">
        <v>404</v>
      </c>
      <c r="FF180" t="s">
        <v>404</v>
      </c>
      <c r="FG180" t="s">
        <v>404</v>
      </c>
      <c r="FH180" t="s">
        <v>404</v>
      </c>
      <c r="FI180" t="s">
        <v>404</v>
      </c>
      <c r="FJ180" t="s">
        <v>404</v>
      </c>
      <c r="FK180" t="s">
        <v>404</v>
      </c>
      <c r="FL180" t="s">
        <v>404</v>
      </c>
      <c r="FM180" t="s">
        <v>404</v>
      </c>
      <c r="FN180" t="s">
        <v>404</v>
      </c>
      <c r="FO180" t="s">
        <v>404</v>
      </c>
      <c r="FP180" t="s">
        <v>404</v>
      </c>
      <c r="FQ180" t="s">
        <v>404</v>
      </c>
      <c r="FR180" t="s">
        <v>404</v>
      </c>
      <c r="FS180" t="s">
        <v>404</v>
      </c>
      <c r="FT180">
        <v>59</v>
      </c>
      <c r="FU180">
        <v>39</v>
      </c>
      <c r="FZ180">
        <v>98</v>
      </c>
      <c r="GA180">
        <v>30</v>
      </c>
      <c r="GG180">
        <v>30</v>
      </c>
      <c r="GN180">
        <v>0</v>
      </c>
      <c r="GO180">
        <v>2</v>
      </c>
      <c r="GP180">
        <v>186</v>
      </c>
      <c r="GU180">
        <v>188</v>
      </c>
      <c r="HB180">
        <v>0</v>
      </c>
      <c r="HC180">
        <v>18</v>
      </c>
      <c r="HI180">
        <v>18</v>
      </c>
      <c r="HJ180">
        <v>20</v>
      </c>
      <c r="HP180">
        <v>20</v>
      </c>
      <c r="HR180">
        <v>1</v>
      </c>
      <c r="HS180">
        <v>95</v>
      </c>
      <c r="HX180">
        <v>96</v>
      </c>
      <c r="HY180">
        <v>130</v>
      </c>
      <c r="HZ180">
        <v>320</v>
      </c>
      <c r="IA180">
        <v>0</v>
      </c>
      <c r="IB180">
        <v>0</v>
      </c>
      <c r="IC180">
        <v>0</v>
      </c>
      <c r="ID180">
        <v>0</v>
      </c>
      <c r="IE180">
        <v>450</v>
      </c>
      <c r="IG180">
        <v>138</v>
      </c>
      <c r="IL180">
        <v>138</v>
      </c>
      <c r="IM180">
        <v>57</v>
      </c>
      <c r="IN180">
        <v>142</v>
      </c>
      <c r="IS180">
        <v>199</v>
      </c>
      <c r="IT180">
        <v>74</v>
      </c>
      <c r="IU180">
        <v>39</v>
      </c>
      <c r="IZ180">
        <v>113</v>
      </c>
      <c r="JG180">
        <v>0</v>
      </c>
      <c r="JN180">
        <v>0</v>
      </c>
      <c r="JO180">
        <v>131</v>
      </c>
      <c r="JP180">
        <v>319</v>
      </c>
      <c r="JQ180">
        <v>0</v>
      </c>
      <c r="JR180">
        <v>0</v>
      </c>
      <c r="JS180">
        <v>0</v>
      </c>
      <c r="JT180">
        <v>0</v>
      </c>
      <c r="JU180">
        <v>450</v>
      </c>
      <c r="JX180">
        <v>100</v>
      </c>
      <c r="KC180">
        <v>1</v>
      </c>
      <c r="KD180" t="s">
        <v>407</v>
      </c>
      <c r="KF180">
        <v>142</v>
      </c>
      <c r="KK180">
        <v>142</v>
      </c>
      <c r="KR180">
        <v>0</v>
      </c>
      <c r="KY180">
        <v>0</v>
      </c>
      <c r="LF180">
        <v>0</v>
      </c>
      <c r="LM180">
        <v>0</v>
      </c>
      <c r="LT180">
        <v>0</v>
      </c>
      <c r="MA180">
        <v>0</v>
      </c>
      <c r="MI180">
        <v>0</v>
      </c>
      <c r="MJ180">
        <v>0</v>
      </c>
      <c r="MK180">
        <v>142</v>
      </c>
      <c r="ML180">
        <v>0</v>
      </c>
      <c r="MM180">
        <v>0</v>
      </c>
      <c r="MN180">
        <v>0</v>
      </c>
      <c r="MO180">
        <v>0</v>
      </c>
      <c r="MP180">
        <v>142</v>
      </c>
      <c r="MW180">
        <v>0</v>
      </c>
      <c r="MY180">
        <v>142</v>
      </c>
      <c r="ND180">
        <v>142</v>
      </c>
      <c r="NK180">
        <v>0</v>
      </c>
      <c r="NR180">
        <v>0</v>
      </c>
      <c r="NY180">
        <v>0</v>
      </c>
      <c r="NZ180">
        <v>0</v>
      </c>
      <c r="OA180">
        <v>142</v>
      </c>
      <c r="OB180">
        <v>0</v>
      </c>
      <c r="OC180">
        <v>0</v>
      </c>
      <c r="OD180">
        <v>0</v>
      </c>
      <c r="OE180">
        <v>0</v>
      </c>
      <c r="OF180">
        <v>142</v>
      </c>
      <c r="OG180" t="s">
        <v>408</v>
      </c>
      <c r="SJ180" t="s">
        <v>409</v>
      </c>
      <c r="SK180">
        <v>59</v>
      </c>
      <c r="SL180">
        <v>39</v>
      </c>
      <c r="SQ180">
        <v>98</v>
      </c>
      <c r="SR180">
        <v>30</v>
      </c>
      <c r="SX180">
        <v>30</v>
      </c>
      <c r="TE180">
        <v>0</v>
      </c>
      <c r="TF180">
        <v>2</v>
      </c>
      <c r="TG180">
        <v>44</v>
      </c>
      <c r="TL180">
        <v>46</v>
      </c>
      <c r="TS180">
        <v>0</v>
      </c>
      <c r="TT180">
        <v>18</v>
      </c>
      <c r="TZ180">
        <v>18</v>
      </c>
      <c r="UA180">
        <v>20</v>
      </c>
      <c r="UG180">
        <v>20</v>
      </c>
      <c r="UI180">
        <v>2</v>
      </c>
      <c r="UJ180">
        <v>94</v>
      </c>
      <c r="UO180">
        <v>96</v>
      </c>
      <c r="UP180">
        <v>131</v>
      </c>
      <c r="UQ180">
        <v>177</v>
      </c>
      <c r="UR180">
        <v>0</v>
      </c>
      <c r="US180">
        <v>0</v>
      </c>
      <c r="UT180">
        <v>0</v>
      </c>
      <c r="UU180">
        <v>0</v>
      </c>
      <c r="UV180">
        <v>308</v>
      </c>
      <c r="UW180">
        <v>57</v>
      </c>
      <c r="VC180">
        <v>57</v>
      </c>
      <c r="VD180">
        <v>138</v>
      </c>
      <c r="VJ180">
        <v>138</v>
      </c>
      <c r="VK180">
        <v>74</v>
      </c>
      <c r="VL180">
        <v>39</v>
      </c>
      <c r="VQ180">
        <v>113</v>
      </c>
      <c r="VX180">
        <v>0</v>
      </c>
      <c r="WE180">
        <v>0</v>
      </c>
      <c r="WF180">
        <v>269</v>
      </c>
      <c r="WG180">
        <v>39</v>
      </c>
      <c r="WH180">
        <v>0</v>
      </c>
      <c r="WI180">
        <v>0</v>
      </c>
      <c r="WJ180">
        <v>0</v>
      </c>
      <c r="WK180">
        <v>0</v>
      </c>
      <c r="WL180">
        <v>308</v>
      </c>
      <c r="WM180" t="s">
        <v>410</v>
      </c>
      <c r="AAP180" t="s">
        <v>411</v>
      </c>
      <c r="AES180" t="s">
        <v>412</v>
      </c>
    </row>
    <row r="181" spans="1:825" x14ac:dyDescent="0.2">
      <c r="A181" t="s">
        <v>1719</v>
      </c>
      <c r="B181" t="s">
        <v>396</v>
      </c>
      <c r="C181" t="s">
        <v>1720</v>
      </c>
      <c r="P181" t="b">
        <v>0</v>
      </c>
      <c r="Q181" t="b">
        <v>0</v>
      </c>
      <c r="R181" t="b">
        <v>0</v>
      </c>
      <c r="S181" t="b">
        <v>1</v>
      </c>
      <c r="T181" t="b">
        <v>0</v>
      </c>
      <c r="U181" t="b">
        <v>0</v>
      </c>
      <c r="V181">
        <v>754</v>
      </c>
      <c r="W181" s="20">
        <v>43515.356944444444</v>
      </c>
      <c r="X181" t="s">
        <v>1721</v>
      </c>
      <c r="Y181">
        <v>2019</v>
      </c>
      <c r="Z181" t="s">
        <v>1722</v>
      </c>
      <c r="AA181" t="s">
        <v>1723</v>
      </c>
      <c r="AB181" t="str">
        <f>VLOOKUP(MID(AD181,SEARCH("@",AD181,1),LEN(AD181)-SEARCH("@",AD181,1)+1),[2]Sheet1!$D:$F,3,FALSE)</f>
        <v>M226</v>
      </c>
      <c r="AC181" t="s">
        <v>1158</v>
      </c>
      <c r="AD181" t="s">
        <v>1724</v>
      </c>
      <c r="AE181">
        <v>630320400</v>
      </c>
      <c r="AF181" t="s">
        <v>627</v>
      </c>
      <c r="AG181" t="s">
        <v>403</v>
      </c>
      <c r="AI181">
        <v>1</v>
      </c>
      <c r="AL181">
        <v>250</v>
      </c>
      <c r="AM181">
        <v>250</v>
      </c>
      <c r="AN181">
        <v>125</v>
      </c>
      <c r="AO181">
        <v>125</v>
      </c>
      <c r="AV181">
        <v>0</v>
      </c>
      <c r="BC181">
        <v>0</v>
      </c>
      <c r="BJ181">
        <v>0</v>
      </c>
      <c r="BK181">
        <v>250</v>
      </c>
      <c r="BQ181">
        <v>250</v>
      </c>
      <c r="BX181">
        <v>0</v>
      </c>
      <c r="CE181">
        <v>0</v>
      </c>
      <c r="CF181">
        <v>250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250</v>
      </c>
      <c r="CS181">
        <v>0</v>
      </c>
      <c r="CZ181">
        <v>0</v>
      </c>
      <c r="DG181">
        <v>0</v>
      </c>
      <c r="DH181">
        <v>1</v>
      </c>
      <c r="DN181">
        <v>1</v>
      </c>
      <c r="DU181">
        <v>0</v>
      </c>
      <c r="EB181">
        <v>0</v>
      </c>
      <c r="EC181">
        <v>1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1</v>
      </c>
      <c r="EJ181" t="s">
        <v>404</v>
      </c>
      <c r="EK181" t="s">
        <v>404</v>
      </c>
      <c r="EL181" t="s">
        <v>404</v>
      </c>
      <c r="EM181" t="s">
        <v>404</v>
      </c>
      <c r="EN181" t="s">
        <v>404</v>
      </c>
      <c r="EO181" t="s">
        <v>404</v>
      </c>
      <c r="EP181" t="s">
        <v>404</v>
      </c>
      <c r="EQ181" t="s">
        <v>404</v>
      </c>
      <c r="ER181" t="s">
        <v>404</v>
      </c>
      <c r="ES181" t="s">
        <v>404</v>
      </c>
      <c r="ET181" t="s">
        <v>404</v>
      </c>
      <c r="EU181" t="s">
        <v>404</v>
      </c>
      <c r="EV181" t="s">
        <v>404</v>
      </c>
      <c r="EW181" t="s">
        <v>404</v>
      </c>
      <c r="EX181" t="s">
        <v>404</v>
      </c>
      <c r="EY181" t="s">
        <v>404</v>
      </c>
      <c r="EZ181" t="s">
        <v>404</v>
      </c>
      <c r="FA181" t="s">
        <v>404</v>
      </c>
      <c r="FB181" t="s">
        <v>405</v>
      </c>
      <c r="FC181" t="s">
        <v>404</v>
      </c>
      <c r="FD181" t="s">
        <v>404</v>
      </c>
      <c r="FE181" t="s">
        <v>404</v>
      </c>
      <c r="FF181" t="s">
        <v>404</v>
      </c>
      <c r="FG181" t="s">
        <v>404</v>
      </c>
      <c r="FH181" t="s">
        <v>404</v>
      </c>
      <c r="FI181" t="s">
        <v>404</v>
      </c>
      <c r="FJ181" t="s">
        <v>404</v>
      </c>
      <c r="FK181" t="s">
        <v>404</v>
      </c>
      <c r="FL181" t="s">
        <v>404</v>
      </c>
      <c r="FM181" t="s">
        <v>404</v>
      </c>
      <c r="FN181" t="s">
        <v>404</v>
      </c>
      <c r="FO181" t="s">
        <v>404</v>
      </c>
      <c r="FP181" t="s">
        <v>404</v>
      </c>
      <c r="FQ181" t="s">
        <v>404</v>
      </c>
      <c r="FR181" t="s">
        <v>404</v>
      </c>
      <c r="FS181" t="s">
        <v>404</v>
      </c>
      <c r="FT181">
        <v>50</v>
      </c>
      <c r="FZ181">
        <v>50</v>
      </c>
      <c r="GA181">
        <v>75</v>
      </c>
      <c r="GG181">
        <v>75</v>
      </c>
      <c r="GN181">
        <v>0</v>
      </c>
      <c r="GU181">
        <v>0</v>
      </c>
      <c r="HB181">
        <v>0</v>
      </c>
      <c r="HI181">
        <v>0</v>
      </c>
      <c r="HJ181">
        <v>125</v>
      </c>
      <c r="HP181">
        <v>125</v>
      </c>
      <c r="HX181">
        <v>0</v>
      </c>
      <c r="HY181">
        <v>250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250</v>
      </c>
      <c r="IL181">
        <v>0</v>
      </c>
      <c r="IM181">
        <v>250</v>
      </c>
      <c r="IS181">
        <v>250</v>
      </c>
      <c r="IZ181">
        <v>0</v>
      </c>
      <c r="JG181">
        <v>0</v>
      </c>
      <c r="JN181">
        <v>0</v>
      </c>
      <c r="JO181">
        <v>250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250</v>
      </c>
      <c r="JX181">
        <v>100</v>
      </c>
      <c r="KA181">
        <v>1</v>
      </c>
      <c r="KB181">
        <v>2</v>
      </c>
      <c r="KC181">
        <v>1</v>
      </c>
      <c r="KD181" t="s">
        <v>407</v>
      </c>
      <c r="OG181" t="s">
        <v>408</v>
      </c>
      <c r="SJ181" t="s">
        <v>409</v>
      </c>
      <c r="WM181" t="s">
        <v>410</v>
      </c>
      <c r="AAP181" t="s">
        <v>411</v>
      </c>
      <c r="AES181" t="s">
        <v>412</v>
      </c>
    </row>
    <row r="182" spans="1:825" x14ac:dyDescent="0.2">
      <c r="A182" t="s">
        <v>1725</v>
      </c>
      <c r="B182" t="s">
        <v>396</v>
      </c>
      <c r="C182" t="s">
        <v>1726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>
        <v>671</v>
      </c>
      <c r="W182" s="20">
        <v>43515.700694444444</v>
      </c>
      <c r="X182" t="s">
        <v>1727</v>
      </c>
      <c r="Y182">
        <v>2019</v>
      </c>
      <c r="Z182" t="s">
        <v>1728</v>
      </c>
      <c r="AA182" t="s">
        <v>1729</v>
      </c>
      <c r="AB182" t="str">
        <f>VLOOKUP(MID(AD182,SEARCH("@",AD182,1),LEN(AD182)-SEARCH("@",AD182,1)+1),[2]Sheet1!$D:$F,3,FALSE)</f>
        <v>M2708</v>
      </c>
      <c r="AC182" t="s">
        <v>774</v>
      </c>
      <c r="AD182" t="s">
        <v>1730</v>
      </c>
      <c r="AE182">
        <v>2078088934</v>
      </c>
      <c r="AF182" t="s">
        <v>491</v>
      </c>
      <c r="AG182" t="s">
        <v>403</v>
      </c>
      <c r="AI182">
        <v>1</v>
      </c>
      <c r="AL182">
        <v>830</v>
      </c>
      <c r="AN182">
        <v>0</v>
      </c>
      <c r="AV182">
        <v>0</v>
      </c>
      <c r="AW182">
        <v>829.2</v>
      </c>
      <c r="BC182">
        <v>829.2</v>
      </c>
      <c r="BJ182">
        <v>0</v>
      </c>
      <c r="BQ182">
        <v>0</v>
      </c>
      <c r="BX182">
        <v>0</v>
      </c>
      <c r="CE182">
        <v>0</v>
      </c>
      <c r="CF182">
        <v>829.2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829.2</v>
      </c>
      <c r="CS182">
        <v>0</v>
      </c>
      <c r="CT182">
        <v>1</v>
      </c>
      <c r="CZ182">
        <v>1</v>
      </c>
      <c r="DG182">
        <v>0</v>
      </c>
      <c r="DN182">
        <v>0</v>
      </c>
      <c r="DU182">
        <v>0</v>
      </c>
      <c r="EB182">
        <v>0</v>
      </c>
      <c r="EC182">
        <v>1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1</v>
      </c>
      <c r="EJ182" t="s">
        <v>404</v>
      </c>
      <c r="EK182" t="s">
        <v>404</v>
      </c>
      <c r="EL182" t="s">
        <v>404</v>
      </c>
      <c r="EM182" t="s">
        <v>404</v>
      </c>
      <c r="EN182" t="s">
        <v>404</v>
      </c>
      <c r="EO182" t="s">
        <v>404</v>
      </c>
      <c r="EP182" t="s">
        <v>405</v>
      </c>
      <c r="EQ182" t="s">
        <v>404</v>
      </c>
      <c r="ER182" t="s">
        <v>404</v>
      </c>
      <c r="ES182" t="s">
        <v>404</v>
      </c>
      <c r="ET182" t="s">
        <v>404</v>
      </c>
      <c r="EU182" t="s">
        <v>404</v>
      </c>
      <c r="EV182" t="s">
        <v>404</v>
      </c>
      <c r="EW182" t="s">
        <v>404</v>
      </c>
      <c r="EX182" t="s">
        <v>404</v>
      </c>
      <c r="EY182" t="s">
        <v>404</v>
      </c>
      <c r="EZ182" t="s">
        <v>404</v>
      </c>
      <c r="FA182" t="s">
        <v>404</v>
      </c>
      <c r="FB182" t="s">
        <v>404</v>
      </c>
      <c r="FC182" t="s">
        <v>404</v>
      </c>
      <c r="FD182" t="s">
        <v>404</v>
      </c>
      <c r="FE182" t="s">
        <v>404</v>
      </c>
      <c r="FF182" t="s">
        <v>404</v>
      </c>
      <c r="FG182" t="s">
        <v>404</v>
      </c>
      <c r="FH182" t="s">
        <v>404</v>
      </c>
      <c r="FI182" t="s">
        <v>404</v>
      </c>
      <c r="FJ182" t="s">
        <v>404</v>
      </c>
      <c r="FK182" t="s">
        <v>404</v>
      </c>
      <c r="FL182" t="s">
        <v>404</v>
      </c>
      <c r="FM182" t="s">
        <v>404</v>
      </c>
      <c r="FN182" t="s">
        <v>404</v>
      </c>
      <c r="FO182" t="s">
        <v>404</v>
      </c>
      <c r="FP182" t="s">
        <v>404</v>
      </c>
      <c r="FQ182" t="s">
        <v>404</v>
      </c>
      <c r="FR182" t="s">
        <v>404</v>
      </c>
      <c r="FS182" t="s">
        <v>404</v>
      </c>
      <c r="FT182">
        <v>235</v>
      </c>
      <c r="FZ182">
        <v>235</v>
      </c>
      <c r="GA182">
        <v>65</v>
      </c>
      <c r="GG182">
        <v>65</v>
      </c>
      <c r="GH182">
        <v>190</v>
      </c>
      <c r="GN182">
        <v>190</v>
      </c>
      <c r="GU182">
        <v>0</v>
      </c>
      <c r="GV182">
        <v>154</v>
      </c>
      <c r="HB182">
        <v>154</v>
      </c>
      <c r="HC182">
        <v>30.8</v>
      </c>
      <c r="HI182">
        <v>30.8</v>
      </c>
      <c r="HJ182">
        <v>154.4</v>
      </c>
      <c r="HP182">
        <v>154.4</v>
      </c>
      <c r="HX182">
        <v>0</v>
      </c>
      <c r="HY182">
        <v>829.2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829.2</v>
      </c>
      <c r="IF182">
        <v>206</v>
      </c>
      <c r="IL182">
        <v>206</v>
      </c>
      <c r="IM182">
        <v>276</v>
      </c>
      <c r="IS182">
        <v>276</v>
      </c>
      <c r="IT182">
        <v>347.2</v>
      </c>
      <c r="IZ182">
        <v>347.2</v>
      </c>
      <c r="JG182">
        <v>0</v>
      </c>
      <c r="JN182">
        <v>0</v>
      </c>
      <c r="JO182">
        <v>829.2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829.2</v>
      </c>
      <c r="JW182">
        <v>3</v>
      </c>
      <c r="JX182">
        <v>97</v>
      </c>
      <c r="KA182">
        <v>3</v>
      </c>
      <c r="KB182">
        <v>2</v>
      </c>
      <c r="KC182">
        <v>2</v>
      </c>
      <c r="KD182" t="s">
        <v>407</v>
      </c>
      <c r="OG182" t="s">
        <v>408</v>
      </c>
      <c r="SJ182" t="s">
        <v>409</v>
      </c>
      <c r="WM182" t="s">
        <v>410</v>
      </c>
      <c r="AAP182" t="s">
        <v>411</v>
      </c>
      <c r="AES182" t="s">
        <v>412</v>
      </c>
    </row>
    <row r="183" spans="1:825" x14ac:dyDescent="0.2">
      <c r="A183" t="s">
        <v>1731</v>
      </c>
      <c r="B183" t="s">
        <v>396</v>
      </c>
      <c r="C183" t="s">
        <v>1732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>
        <v>738</v>
      </c>
      <c r="W183" s="20">
        <v>43514.472222222219</v>
      </c>
      <c r="X183" t="s">
        <v>1733</v>
      </c>
      <c r="Y183">
        <v>2019</v>
      </c>
      <c r="Z183" t="s">
        <v>1734</v>
      </c>
      <c r="AA183" t="s">
        <v>1732</v>
      </c>
      <c r="AB183" t="str">
        <f>VLOOKUP(MID(AD183,SEARCH("@",AD183,1),LEN(AD183)-SEARCH("@",AD183,1)+1),[2]Sheet1!$D:$F,3,FALSE)</f>
        <v>M486</v>
      </c>
      <c r="AD183" t="s">
        <v>1735</v>
      </c>
      <c r="AE183">
        <v>2034638868</v>
      </c>
      <c r="AF183" t="s">
        <v>491</v>
      </c>
      <c r="AG183" t="s">
        <v>403</v>
      </c>
      <c r="AI183">
        <v>1</v>
      </c>
      <c r="AL183">
        <v>2313</v>
      </c>
      <c r="AM183">
        <v>2313</v>
      </c>
      <c r="AN183">
        <v>229</v>
      </c>
      <c r="AO183">
        <v>229</v>
      </c>
      <c r="AV183">
        <v>0</v>
      </c>
      <c r="AW183">
        <v>2313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2313</v>
      </c>
      <c r="BJ183">
        <v>0</v>
      </c>
      <c r="BQ183">
        <v>0</v>
      </c>
      <c r="BX183">
        <v>0</v>
      </c>
      <c r="CE183">
        <v>0</v>
      </c>
      <c r="CF183">
        <v>2313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2313</v>
      </c>
      <c r="CS183">
        <v>0</v>
      </c>
      <c r="CT183">
        <v>2</v>
      </c>
      <c r="CZ183">
        <v>2</v>
      </c>
      <c r="DG183">
        <v>0</v>
      </c>
      <c r="DN183">
        <v>0</v>
      </c>
      <c r="DU183">
        <v>0</v>
      </c>
      <c r="EB183">
        <v>0</v>
      </c>
      <c r="EC183">
        <v>2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2</v>
      </c>
      <c r="EJ183" t="s">
        <v>404</v>
      </c>
      <c r="EK183" t="s">
        <v>404</v>
      </c>
      <c r="EL183" t="s">
        <v>404</v>
      </c>
      <c r="EM183" t="s">
        <v>404</v>
      </c>
      <c r="EN183" t="s">
        <v>404</v>
      </c>
      <c r="EO183" t="s">
        <v>404</v>
      </c>
      <c r="EP183" t="s">
        <v>405</v>
      </c>
      <c r="EQ183" t="s">
        <v>404</v>
      </c>
      <c r="ER183" t="s">
        <v>404</v>
      </c>
      <c r="ES183" t="s">
        <v>404</v>
      </c>
      <c r="ET183" t="s">
        <v>404</v>
      </c>
      <c r="EU183" t="s">
        <v>404</v>
      </c>
      <c r="EV183" t="s">
        <v>404</v>
      </c>
      <c r="EW183" t="s">
        <v>404</v>
      </c>
      <c r="EX183" t="s">
        <v>404</v>
      </c>
      <c r="EY183" t="s">
        <v>404</v>
      </c>
      <c r="EZ183" t="s">
        <v>404</v>
      </c>
      <c r="FA183" t="s">
        <v>404</v>
      </c>
      <c r="FB183" t="s">
        <v>404</v>
      </c>
      <c r="FC183" t="s">
        <v>404</v>
      </c>
      <c r="FD183" t="s">
        <v>404</v>
      </c>
      <c r="FE183" t="s">
        <v>404</v>
      </c>
      <c r="FF183" t="s">
        <v>404</v>
      </c>
      <c r="FG183" t="s">
        <v>404</v>
      </c>
      <c r="FH183" t="s">
        <v>404</v>
      </c>
      <c r="FI183" t="s">
        <v>404</v>
      </c>
      <c r="FJ183" t="s">
        <v>404</v>
      </c>
      <c r="FK183" t="s">
        <v>404</v>
      </c>
      <c r="FL183" t="s">
        <v>404</v>
      </c>
      <c r="FM183" t="s">
        <v>404</v>
      </c>
      <c r="FN183" t="s">
        <v>404</v>
      </c>
      <c r="FO183" t="s">
        <v>404</v>
      </c>
      <c r="FP183" t="s">
        <v>404</v>
      </c>
      <c r="FQ183" t="s">
        <v>404</v>
      </c>
      <c r="FR183" t="s">
        <v>404</v>
      </c>
      <c r="FS183" t="s">
        <v>404</v>
      </c>
      <c r="FT183">
        <v>973</v>
      </c>
      <c r="FZ183">
        <v>973</v>
      </c>
      <c r="GA183">
        <v>540</v>
      </c>
      <c r="GG183">
        <v>540</v>
      </c>
      <c r="GH183">
        <v>450</v>
      </c>
      <c r="GN183">
        <v>450</v>
      </c>
      <c r="GO183">
        <v>75</v>
      </c>
      <c r="GU183">
        <v>75</v>
      </c>
      <c r="GV183">
        <v>148</v>
      </c>
      <c r="HB183">
        <v>148</v>
      </c>
      <c r="HC183">
        <v>25</v>
      </c>
      <c r="HI183">
        <v>25</v>
      </c>
      <c r="HJ183">
        <v>102</v>
      </c>
      <c r="HP183">
        <v>102</v>
      </c>
      <c r="HX183">
        <v>0</v>
      </c>
      <c r="HY183">
        <v>2313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2313</v>
      </c>
      <c r="IF183">
        <v>535</v>
      </c>
      <c r="IL183">
        <v>535</v>
      </c>
      <c r="IM183">
        <v>563</v>
      </c>
      <c r="IS183">
        <v>563</v>
      </c>
      <c r="IT183">
        <v>1105</v>
      </c>
      <c r="IZ183">
        <v>1105</v>
      </c>
      <c r="JA183">
        <v>10</v>
      </c>
      <c r="JG183">
        <v>10</v>
      </c>
      <c r="JH183">
        <v>100</v>
      </c>
      <c r="JN183">
        <v>100</v>
      </c>
      <c r="JO183">
        <v>2313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2313</v>
      </c>
      <c r="JV183">
        <v>2</v>
      </c>
      <c r="JW183">
        <v>2</v>
      </c>
      <c r="JX183">
        <v>95</v>
      </c>
      <c r="JY183" t="s">
        <v>1736</v>
      </c>
      <c r="JZ183">
        <v>1</v>
      </c>
      <c r="KA183">
        <v>3</v>
      </c>
      <c r="KB183">
        <v>3</v>
      </c>
      <c r="KC183">
        <v>1</v>
      </c>
      <c r="KD183" t="s">
        <v>407</v>
      </c>
      <c r="OG183" t="s">
        <v>408</v>
      </c>
      <c r="SJ183" t="s">
        <v>409</v>
      </c>
      <c r="WM183" t="s">
        <v>410</v>
      </c>
      <c r="AAP183" t="s">
        <v>411</v>
      </c>
      <c r="AES183" t="s">
        <v>412</v>
      </c>
    </row>
    <row r="184" spans="1:825" x14ac:dyDescent="0.2">
      <c r="A184" t="s">
        <v>1737</v>
      </c>
      <c r="B184" t="s">
        <v>396</v>
      </c>
      <c r="C184" t="s">
        <v>1738</v>
      </c>
      <c r="D184" t="s">
        <v>478</v>
      </c>
      <c r="E184" s="3">
        <v>43518.587500000001</v>
      </c>
      <c r="F184" t="s">
        <v>479</v>
      </c>
      <c r="G184" s="3">
        <v>43518.589583333334</v>
      </c>
      <c r="H184" t="s">
        <v>502</v>
      </c>
      <c r="I184" s="3">
        <v>43522.645833333336</v>
      </c>
      <c r="P184" t="b">
        <v>1</v>
      </c>
      <c r="Q184" t="b">
        <v>1</v>
      </c>
      <c r="R184" t="b">
        <v>1</v>
      </c>
      <c r="S184" t="b">
        <v>0</v>
      </c>
      <c r="T184" t="b">
        <v>0</v>
      </c>
      <c r="U184" t="b">
        <v>0</v>
      </c>
      <c r="V184">
        <v>641</v>
      </c>
      <c r="W184" s="20">
        <v>43518.588194444441</v>
      </c>
      <c r="X184" t="s">
        <v>1739</v>
      </c>
      <c r="Y184">
        <v>2019</v>
      </c>
      <c r="Z184" t="s">
        <v>1740</v>
      </c>
      <c r="AA184" t="s">
        <v>1741</v>
      </c>
      <c r="AB184" t="str">
        <f>VLOOKUP(MID(AD184,SEARCH("@",AD184,1),LEN(AD184)-SEARCH("@",AD184,1)+1),[2]Sheet1!$D:$F,3,FALSE)</f>
        <v>M004</v>
      </c>
      <c r="AC184" t="s">
        <v>852</v>
      </c>
      <c r="AD184" t="s">
        <v>1742</v>
      </c>
      <c r="AE184">
        <v>2070164837</v>
      </c>
      <c r="AF184" t="s">
        <v>491</v>
      </c>
      <c r="AG184" t="s">
        <v>403</v>
      </c>
      <c r="AI184">
        <v>1</v>
      </c>
      <c r="AL184">
        <v>3684.7</v>
      </c>
      <c r="AM184">
        <v>3684.7</v>
      </c>
      <c r="AN184">
        <v>2982.4</v>
      </c>
      <c r="AO184">
        <v>2982.4</v>
      </c>
      <c r="AP184">
        <v>373.4</v>
      </c>
      <c r="AV184">
        <v>373.4</v>
      </c>
      <c r="AW184">
        <v>624.6</v>
      </c>
      <c r="AX184">
        <v>1369.6</v>
      </c>
      <c r="AZ184">
        <v>31.6</v>
      </c>
      <c r="BB184">
        <v>30</v>
      </c>
      <c r="BC184">
        <v>2055.8000000000002</v>
      </c>
      <c r="BD184">
        <v>482.7</v>
      </c>
      <c r="BE184">
        <v>685.4</v>
      </c>
      <c r="BI184">
        <v>87.3</v>
      </c>
      <c r="BJ184">
        <v>1255.4000000000001</v>
      </c>
      <c r="BQ184">
        <v>0</v>
      </c>
      <c r="BX184">
        <v>0</v>
      </c>
      <c r="CE184">
        <v>0</v>
      </c>
      <c r="CF184">
        <v>1480.7</v>
      </c>
      <c r="CG184">
        <v>2055</v>
      </c>
      <c r="CH184">
        <v>0</v>
      </c>
      <c r="CI184">
        <v>31.6</v>
      </c>
      <c r="CJ184">
        <v>0</v>
      </c>
      <c r="CK184">
        <v>117.3</v>
      </c>
      <c r="CL184">
        <v>3684.6</v>
      </c>
      <c r="CM184">
        <v>1</v>
      </c>
      <c r="CS184">
        <v>1</v>
      </c>
      <c r="CT184">
        <v>6</v>
      </c>
      <c r="CU184">
        <v>5</v>
      </c>
      <c r="CW184">
        <v>1</v>
      </c>
      <c r="CY184">
        <v>1</v>
      </c>
      <c r="CZ184">
        <v>13</v>
      </c>
      <c r="DA184">
        <v>3</v>
      </c>
      <c r="DB184">
        <v>2</v>
      </c>
      <c r="DF184">
        <v>1</v>
      </c>
      <c r="DG184">
        <v>6</v>
      </c>
      <c r="DN184">
        <v>0</v>
      </c>
      <c r="DU184">
        <v>0</v>
      </c>
      <c r="EB184">
        <v>0</v>
      </c>
      <c r="EC184">
        <v>10</v>
      </c>
      <c r="ED184">
        <v>7</v>
      </c>
      <c r="EE184">
        <v>0</v>
      </c>
      <c r="EF184">
        <v>1</v>
      </c>
      <c r="EG184">
        <v>0</v>
      </c>
      <c r="EH184">
        <v>2</v>
      </c>
      <c r="EI184">
        <v>20</v>
      </c>
      <c r="EJ184" t="s">
        <v>405</v>
      </c>
      <c r="EK184" t="s">
        <v>404</v>
      </c>
      <c r="EL184" t="s">
        <v>404</v>
      </c>
      <c r="EM184" t="s">
        <v>404</v>
      </c>
      <c r="EN184" t="s">
        <v>404</v>
      </c>
      <c r="EO184" t="s">
        <v>404</v>
      </c>
      <c r="EP184" t="s">
        <v>405</v>
      </c>
      <c r="EQ184" t="s">
        <v>405</v>
      </c>
      <c r="ER184" t="s">
        <v>404</v>
      </c>
      <c r="ES184" t="s">
        <v>405</v>
      </c>
      <c r="ET184" t="s">
        <v>404</v>
      </c>
      <c r="EU184" t="s">
        <v>405</v>
      </c>
      <c r="EV184" t="s">
        <v>405</v>
      </c>
      <c r="EW184" t="s">
        <v>405</v>
      </c>
      <c r="EX184" t="s">
        <v>404</v>
      </c>
      <c r="EY184" t="s">
        <v>404</v>
      </c>
      <c r="EZ184" t="s">
        <v>404</v>
      </c>
      <c r="FA184" t="s">
        <v>405</v>
      </c>
      <c r="FB184" t="s">
        <v>404</v>
      </c>
      <c r="FC184" t="s">
        <v>404</v>
      </c>
      <c r="FD184" t="s">
        <v>404</v>
      </c>
      <c r="FE184" t="s">
        <v>404</v>
      </c>
      <c r="FF184" t="s">
        <v>404</v>
      </c>
      <c r="FG184" t="s">
        <v>404</v>
      </c>
      <c r="FH184" t="s">
        <v>404</v>
      </c>
      <c r="FI184" t="s">
        <v>404</v>
      </c>
      <c r="FJ184" t="s">
        <v>404</v>
      </c>
      <c r="FK184" t="s">
        <v>404</v>
      </c>
      <c r="FL184" t="s">
        <v>404</v>
      </c>
      <c r="FM184" t="s">
        <v>404</v>
      </c>
      <c r="FN184" t="s">
        <v>404</v>
      </c>
      <c r="FO184" t="s">
        <v>404</v>
      </c>
      <c r="FP184" t="s">
        <v>404</v>
      </c>
      <c r="FQ184" t="s">
        <v>404</v>
      </c>
      <c r="FR184" t="s">
        <v>404</v>
      </c>
      <c r="FS184" t="s">
        <v>404</v>
      </c>
      <c r="FT184">
        <v>983.8</v>
      </c>
      <c r="FU184">
        <v>1186.4000000000001</v>
      </c>
      <c r="FZ184">
        <v>2170.1999999999998</v>
      </c>
      <c r="GA184">
        <v>290.3</v>
      </c>
      <c r="GB184">
        <v>868.6</v>
      </c>
      <c r="GF184">
        <v>25</v>
      </c>
      <c r="GG184">
        <v>1183.9000000000001</v>
      </c>
      <c r="GN184">
        <v>0</v>
      </c>
      <c r="GU184">
        <v>0</v>
      </c>
      <c r="GV184">
        <v>59.5</v>
      </c>
      <c r="HB184">
        <v>59.5</v>
      </c>
      <c r="HC184">
        <v>2</v>
      </c>
      <c r="HI184">
        <v>2</v>
      </c>
      <c r="HJ184">
        <v>15.5</v>
      </c>
      <c r="HP184">
        <v>15.5</v>
      </c>
      <c r="HQ184" t="s">
        <v>1743</v>
      </c>
      <c r="HR184">
        <v>129.6</v>
      </c>
      <c r="HU184">
        <v>31.6</v>
      </c>
      <c r="HW184">
        <v>92.3</v>
      </c>
      <c r="HX184">
        <v>253.5</v>
      </c>
      <c r="HY184">
        <v>1480.7</v>
      </c>
      <c r="HZ184">
        <v>2055</v>
      </c>
      <c r="IA184">
        <v>0</v>
      </c>
      <c r="IB184">
        <v>31.6</v>
      </c>
      <c r="IC184">
        <v>0</v>
      </c>
      <c r="ID184">
        <v>117.3</v>
      </c>
      <c r="IE184">
        <v>3684.6</v>
      </c>
      <c r="IF184">
        <v>180.9</v>
      </c>
      <c r="IL184">
        <v>180.9</v>
      </c>
      <c r="IM184">
        <v>873.8</v>
      </c>
      <c r="IN184">
        <v>1369.6</v>
      </c>
      <c r="IP184">
        <v>31.6</v>
      </c>
      <c r="IR184">
        <v>30</v>
      </c>
      <c r="IS184">
        <v>2305</v>
      </c>
      <c r="IT184">
        <v>426</v>
      </c>
      <c r="IU184">
        <v>685.4</v>
      </c>
      <c r="IY184">
        <v>87.3</v>
      </c>
      <c r="IZ184">
        <v>1198.7</v>
      </c>
      <c r="JG184">
        <v>0</v>
      </c>
      <c r="JN184">
        <v>0</v>
      </c>
      <c r="JO184">
        <v>1480.7</v>
      </c>
      <c r="JP184">
        <v>2055</v>
      </c>
      <c r="JQ184">
        <v>0</v>
      </c>
      <c r="JR184">
        <v>31.6</v>
      </c>
      <c r="JS184">
        <v>0</v>
      </c>
      <c r="JT184">
        <v>117.3</v>
      </c>
      <c r="JU184">
        <v>3684.6</v>
      </c>
      <c r="JV184">
        <v>2</v>
      </c>
      <c r="JX184">
        <v>98</v>
      </c>
      <c r="KA184">
        <v>1</v>
      </c>
      <c r="KB184">
        <v>1</v>
      </c>
      <c r="KC184">
        <v>1</v>
      </c>
      <c r="KD184" t="s">
        <v>407</v>
      </c>
      <c r="KE184">
        <v>266.2</v>
      </c>
      <c r="KK184">
        <v>266.2</v>
      </c>
      <c r="KL184">
        <v>63.6</v>
      </c>
      <c r="KR184">
        <v>63.6</v>
      </c>
      <c r="KY184">
        <v>0</v>
      </c>
      <c r="LF184">
        <v>0</v>
      </c>
      <c r="LM184">
        <v>0</v>
      </c>
      <c r="LT184">
        <v>0</v>
      </c>
      <c r="MA184">
        <v>0</v>
      </c>
      <c r="MB184" t="s">
        <v>1744</v>
      </c>
      <c r="MC184">
        <v>43.6</v>
      </c>
      <c r="MI184">
        <v>43.6</v>
      </c>
      <c r="MJ184">
        <v>373.4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373.4</v>
      </c>
      <c r="MQ184">
        <v>242.5</v>
      </c>
      <c r="MW184">
        <v>242.5</v>
      </c>
      <c r="ND184">
        <v>0</v>
      </c>
      <c r="NE184">
        <v>130.9</v>
      </c>
      <c r="NK184">
        <v>130.9</v>
      </c>
      <c r="NR184">
        <v>0</v>
      </c>
      <c r="NY184">
        <v>0</v>
      </c>
      <c r="NZ184">
        <v>373.4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373.4</v>
      </c>
      <c r="OG184" t="s">
        <v>408</v>
      </c>
      <c r="OH184">
        <v>461.6</v>
      </c>
      <c r="OI184">
        <v>501</v>
      </c>
      <c r="ON184">
        <v>962.6</v>
      </c>
      <c r="OO184">
        <v>101.9</v>
      </c>
      <c r="OP184">
        <v>868.6</v>
      </c>
      <c r="OT184">
        <v>25</v>
      </c>
      <c r="OU184">
        <v>995.5</v>
      </c>
      <c r="PB184">
        <v>0</v>
      </c>
      <c r="PI184">
        <v>0</v>
      </c>
      <c r="PJ184">
        <v>2.2999999999999998</v>
      </c>
      <c r="PP184">
        <v>2.2999999999999998</v>
      </c>
      <c r="PQ184">
        <v>2</v>
      </c>
      <c r="PW184">
        <v>2</v>
      </c>
      <c r="PX184">
        <v>15.5</v>
      </c>
      <c r="QD184">
        <v>15.5</v>
      </c>
      <c r="QE184" t="s">
        <v>1745</v>
      </c>
      <c r="QF184">
        <v>41.3</v>
      </c>
      <c r="QI184">
        <v>31.6</v>
      </c>
      <c r="QK184">
        <v>5</v>
      </c>
      <c r="QL184">
        <v>77.900000000000006</v>
      </c>
      <c r="QM184">
        <v>624.6</v>
      </c>
      <c r="QN184">
        <v>1369.6</v>
      </c>
      <c r="QO184">
        <v>0</v>
      </c>
      <c r="QP184">
        <v>31.6</v>
      </c>
      <c r="QQ184">
        <v>0</v>
      </c>
      <c r="QR184">
        <v>30</v>
      </c>
      <c r="QS184">
        <v>2055.8000000000002</v>
      </c>
      <c r="QT184">
        <v>605.20000000000005</v>
      </c>
      <c r="QU184">
        <v>1369.6</v>
      </c>
      <c r="QW184">
        <v>31.6</v>
      </c>
      <c r="QY184">
        <v>30</v>
      </c>
      <c r="QZ184">
        <v>2036.4</v>
      </c>
      <c r="RA184">
        <v>19.399999999999999</v>
      </c>
      <c r="RG184">
        <v>19.399999999999999</v>
      </c>
      <c r="RN184">
        <v>0</v>
      </c>
      <c r="RU184">
        <v>0</v>
      </c>
      <c r="SB184">
        <v>0</v>
      </c>
      <c r="SC184">
        <v>624.6</v>
      </c>
      <c r="SD184">
        <v>1369.6</v>
      </c>
      <c r="SE184">
        <v>0</v>
      </c>
      <c r="SF184">
        <v>31.6</v>
      </c>
      <c r="SG184">
        <v>0</v>
      </c>
      <c r="SH184">
        <v>30</v>
      </c>
      <c r="SI184">
        <v>2055.8000000000002</v>
      </c>
      <c r="SJ184" t="s">
        <v>409</v>
      </c>
      <c r="SK184">
        <v>256</v>
      </c>
      <c r="SL184">
        <v>685.4</v>
      </c>
      <c r="SQ184">
        <v>941.4</v>
      </c>
      <c r="SR184">
        <v>124.8</v>
      </c>
      <c r="SX184">
        <v>124.8</v>
      </c>
      <c r="TE184">
        <v>0</v>
      </c>
      <c r="TL184">
        <v>0</v>
      </c>
      <c r="TM184">
        <v>57.2</v>
      </c>
      <c r="TS184">
        <v>57.2</v>
      </c>
      <c r="TZ184">
        <v>0</v>
      </c>
      <c r="UG184">
        <v>0</v>
      </c>
      <c r="UH184" t="s">
        <v>1746</v>
      </c>
      <c r="UI184">
        <v>44.7</v>
      </c>
      <c r="UN184">
        <v>87.3</v>
      </c>
      <c r="UO184">
        <v>132</v>
      </c>
      <c r="UP184">
        <v>482.7</v>
      </c>
      <c r="UQ184">
        <v>685.4</v>
      </c>
      <c r="UR184">
        <v>0</v>
      </c>
      <c r="US184">
        <v>0</v>
      </c>
      <c r="UT184">
        <v>0</v>
      </c>
      <c r="UU184">
        <v>87.3</v>
      </c>
      <c r="UV184">
        <v>1255.4000000000001</v>
      </c>
      <c r="UW184">
        <v>26.2</v>
      </c>
      <c r="VC184">
        <v>26.2</v>
      </c>
      <c r="VD184">
        <v>161.4</v>
      </c>
      <c r="VJ184">
        <v>161.4</v>
      </c>
      <c r="VK184">
        <v>295.10000000000002</v>
      </c>
      <c r="VL184">
        <v>685.4</v>
      </c>
      <c r="VP184">
        <v>87.3</v>
      </c>
      <c r="VQ184">
        <v>1067.8</v>
      </c>
      <c r="VX184">
        <v>0</v>
      </c>
      <c r="WE184">
        <v>0</v>
      </c>
      <c r="WF184">
        <v>482.7</v>
      </c>
      <c r="WG184">
        <v>685.4</v>
      </c>
      <c r="WH184">
        <v>0</v>
      </c>
      <c r="WI184">
        <v>0</v>
      </c>
      <c r="WJ184">
        <v>0</v>
      </c>
      <c r="WK184">
        <v>87.3</v>
      </c>
      <c r="WL184">
        <v>1255.4000000000001</v>
      </c>
      <c r="WM184" t="s">
        <v>410</v>
      </c>
      <c r="AAP184" t="s">
        <v>411</v>
      </c>
      <c r="AES184" t="s">
        <v>412</v>
      </c>
    </row>
    <row r="185" spans="1:825" x14ac:dyDescent="0.2">
      <c r="A185" t="s">
        <v>1747</v>
      </c>
      <c r="B185" t="s">
        <v>396</v>
      </c>
      <c r="C185" t="s">
        <v>1748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>
        <v>675</v>
      </c>
      <c r="W185" s="20">
        <v>43494.495833333334</v>
      </c>
      <c r="X185" t="s">
        <v>1749</v>
      </c>
      <c r="Y185">
        <v>2019</v>
      </c>
      <c r="Z185" t="s">
        <v>1750</v>
      </c>
      <c r="AA185" t="s">
        <v>1751</v>
      </c>
      <c r="AB185" t="str">
        <f>VLOOKUP(MID(AD185,SEARCH("@",AD185,1),LEN(AD185)-SEARCH("@",AD185,1)+1),[2]Sheet1!$D:$F,3,FALSE)</f>
        <v>M333</v>
      </c>
      <c r="AC185" t="s">
        <v>1459</v>
      </c>
      <c r="AD185" t="s">
        <v>1752</v>
      </c>
      <c r="AF185" t="s">
        <v>491</v>
      </c>
      <c r="AG185" t="s">
        <v>492</v>
      </c>
      <c r="AI185">
        <v>2</v>
      </c>
      <c r="AJ185">
        <v>6</v>
      </c>
      <c r="AK185" t="s">
        <v>1753</v>
      </c>
      <c r="AV185">
        <v>0</v>
      </c>
      <c r="BC185">
        <v>0</v>
      </c>
      <c r="BJ185">
        <v>0</v>
      </c>
      <c r="BQ185">
        <v>0</v>
      </c>
      <c r="BX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S185">
        <v>0</v>
      </c>
      <c r="CZ185">
        <v>0</v>
      </c>
      <c r="DG185">
        <v>0</v>
      </c>
      <c r="DN185">
        <v>0</v>
      </c>
      <c r="DU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 t="s">
        <v>404</v>
      </c>
      <c r="EK185" t="s">
        <v>404</v>
      </c>
      <c r="EL185" t="s">
        <v>404</v>
      </c>
      <c r="EM185" t="s">
        <v>404</v>
      </c>
      <c r="EN185" t="s">
        <v>404</v>
      </c>
      <c r="EO185" t="s">
        <v>404</v>
      </c>
      <c r="EP185" t="s">
        <v>404</v>
      </c>
      <c r="EQ185" t="s">
        <v>404</v>
      </c>
      <c r="ER185" t="s">
        <v>404</v>
      </c>
      <c r="ES185" t="s">
        <v>404</v>
      </c>
      <c r="ET185" t="s">
        <v>404</v>
      </c>
      <c r="EU185" t="s">
        <v>404</v>
      </c>
      <c r="EV185" t="s">
        <v>404</v>
      </c>
      <c r="EW185" t="s">
        <v>404</v>
      </c>
      <c r="EX185" t="s">
        <v>404</v>
      </c>
      <c r="EY185" t="s">
        <v>404</v>
      </c>
      <c r="EZ185" t="s">
        <v>404</v>
      </c>
      <c r="FA185" t="s">
        <v>404</v>
      </c>
      <c r="FB185" t="s">
        <v>404</v>
      </c>
      <c r="FC185" t="s">
        <v>404</v>
      </c>
      <c r="FD185" t="s">
        <v>404</v>
      </c>
      <c r="FE185" t="s">
        <v>404</v>
      </c>
      <c r="FF185" t="s">
        <v>404</v>
      </c>
      <c r="FG185" t="s">
        <v>404</v>
      </c>
      <c r="FH185" t="s">
        <v>404</v>
      </c>
      <c r="FI185" t="s">
        <v>404</v>
      </c>
      <c r="FJ185" t="s">
        <v>404</v>
      </c>
      <c r="FK185" t="s">
        <v>404</v>
      </c>
      <c r="FL185" t="s">
        <v>404</v>
      </c>
      <c r="FM185" t="s">
        <v>404</v>
      </c>
      <c r="FN185" t="s">
        <v>404</v>
      </c>
      <c r="FO185" t="s">
        <v>404</v>
      </c>
      <c r="FP185" t="s">
        <v>404</v>
      </c>
      <c r="FQ185" t="s">
        <v>404</v>
      </c>
      <c r="FR185" t="s">
        <v>404</v>
      </c>
      <c r="FS185" t="s">
        <v>404</v>
      </c>
      <c r="FZ185">
        <v>0</v>
      </c>
      <c r="GG185">
        <v>0</v>
      </c>
      <c r="GN185">
        <v>0</v>
      </c>
      <c r="GU185">
        <v>0</v>
      </c>
      <c r="HB185">
        <v>0</v>
      </c>
      <c r="HI185">
        <v>0</v>
      </c>
      <c r="HP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L185">
        <v>0</v>
      </c>
      <c r="IS185">
        <v>0</v>
      </c>
      <c r="IZ185">
        <v>0</v>
      </c>
      <c r="JG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KA185">
        <v>1</v>
      </c>
      <c r="KB185">
        <v>3</v>
      </c>
      <c r="KC185">
        <v>2</v>
      </c>
      <c r="KD185" t="s">
        <v>407</v>
      </c>
      <c r="OG185" t="s">
        <v>408</v>
      </c>
      <c r="SJ185" t="s">
        <v>409</v>
      </c>
      <c r="WM185" t="s">
        <v>410</v>
      </c>
      <c r="AAP185" t="s">
        <v>411</v>
      </c>
      <c r="AES185" t="s">
        <v>412</v>
      </c>
    </row>
    <row r="186" spans="1:825" x14ac:dyDescent="0.2">
      <c r="A186" t="s">
        <v>1754</v>
      </c>
      <c r="B186" t="s">
        <v>414</v>
      </c>
      <c r="C186" t="s">
        <v>1755</v>
      </c>
      <c r="P186" t="b">
        <v>0</v>
      </c>
      <c r="Q186" t="b">
        <v>1</v>
      </c>
      <c r="R186" t="b">
        <v>0</v>
      </c>
      <c r="S186" t="b">
        <v>0</v>
      </c>
      <c r="T186" t="b">
        <v>0</v>
      </c>
      <c r="U186" t="b">
        <v>0</v>
      </c>
      <c r="V186">
        <v>711</v>
      </c>
      <c r="W186" s="20">
        <v>43509.152083333334</v>
      </c>
      <c r="X186" t="s">
        <v>1756</v>
      </c>
      <c r="Y186">
        <v>2019</v>
      </c>
      <c r="Z186" t="s">
        <v>1757</v>
      </c>
      <c r="AA186" t="s">
        <v>1755</v>
      </c>
      <c r="AB186" t="str">
        <f>VLOOKUP(MID(AD186,SEARCH("@",AD186,1),LEN(AD186)-SEARCH("@",AD186,1)+1),[2]Sheet1!$D:$F,3,FALSE)</f>
        <v>M0255</v>
      </c>
      <c r="AC186" t="s">
        <v>1666</v>
      </c>
      <c r="AD186" t="s">
        <v>1758</v>
      </c>
      <c r="AE186">
        <v>36793006</v>
      </c>
      <c r="AF186" t="s">
        <v>537</v>
      </c>
      <c r="AG186" t="s">
        <v>538</v>
      </c>
      <c r="AI186">
        <v>1</v>
      </c>
      <c r="AL186">
        <v>276.5</v>
      </c>
      <c r="AM186">
        <v>276.5</v>
      </c>
      <c r="AN186">
        <v>85</v>
      </c>
      <c r="AO186">
        <v>85</v>
      </c>
      <c r="AP186">
        <v>276.5</v>
      </c>
      <c r="AV186">
        <v>276.5</v>
      </c>
      <c r="BC186">
        <v>0</v>
      </c>
      <c r="BJ186">
        <v>0</v>
      </c>
      <c r="BQ186">
        <v>0</v>
      </c>
      <c r="BX186">
        <v>0</v>
      </c>
      <c r="CE186">
        <v>0</v>
      </c>
      <c r="CF186">
        <v>276.5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276.5</v>
      </c>
      <c r="CM186">
        <v>1</v>
      </c>
      <c r="CS186">
        <v>1</v>
      </c>
      <c r="CZ186">
        <v>0</v>
      </c>
      <c r="DG186">
        <v>0</v>
      </c>
      <c r="DN186">
        <v>0</v>
      </c>
      <c r="DU186">
        <v>0</v>
      </c>
      <c r="EB186">
        <v>0</v>
      </c>
      <c r="EC186">
        <v>1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1</v>
      </c>
      <c r="EJ186" t="s">
        <v>405</v>
      </c>
      <c r="EK186" t="s">
        <v>404</v>
      </c>
      <c r="EL186" t="s">
        <v>404</v>
      </c>
      <c r="EM186" t="s">
        <v>404</v>
      </c>
      <c r="EN186" t="s">
        <v>404</v>
      </c>
      <c r="EO186" t="s">
        <v>404</v>
      </c>
      <c r="EP186" t="s">
        <v>404</v>
      </c>
      <c r="EQ186" t="s">
        <v>404</v>
      </c>
      <c r="ER186" t="s">
        <v>404</v>
      </c>
      <c r="ES186" t="s">
        <v>404</v>
      </c>
      <c r="ET186" t="s">
        <v>404</v>
      </c>
      <c r="EU186" t="s">
        <v>404</v>
      </c>
      <c r="EV186" t="s">
        <v>404</v>
      </c>
      <c r="EW186" t="s">
        <v>404</v>
      </c>
      <c r="EX186" t="s">
        <v>404</v>
      </c>
      <c r="EY186" t="s">
        <v>404</v>
      </c>
      <c r="EZ186" t="s">
        <v>404</v>
      </c>
      <c r="FA186" t="s">
        <v>404</v>
      </c>
      <c r="FB186" t="s">
        <v>404</v>
      </c>
      <c r="FC186" t="s">
        <v>404</v>
      </c>
      <c r="FD186" t="s">
        <v>404</v>
      </c>
      <c r="FE186" t="s">
        <v>404</v>
      </c>
      <c r="FF186" t="s">
        <v>404</v>
      </c>
      <c r="FG186" t="s">
        <v>404</v>
      </c>
      <c r="FH186" t="s">
        <v>404</v>
      </c>
      <c r="FI186" t="s">
        <v>404</v>
      </c>
      <c r="FJ186" t="s">
        <v>404</v>
      </c>
      <c r="FK186" t="s">
        <v>404</v>
      </c>
      <c r="FL186" t="s">
        <v>404</v>
      </c>
      <c r="FM186" t="s">
        <v>404</v>
      </c>
      <c r="FN186" t="s">
        <v>404</v>
      </c>
      <c r="FO186" t="s">
        <v>404</v>
      </c>
      <c r="FP186" t="s">
        <v>404</v>
      </c>
      <c r="FQ186" t="s">
        <v>404</v>
      </c>
      <c r="FR186" t="s">
        <v>404</v>
      </c>
      <c r="FS186" t="s">
        <v>404</v>
      </c>
      <c r="FT186">
        <v>200</v>
      </c>
      <c r="FZ186">
        <v>200</v>
      </c>
      <c r="GG186">
        <v>0</v>
      </c>
      <c r="GN186">
        <v>0</v>
      </c>
      <c r="GU186">
        <v>0</v>
      </c>
      <c r="HB186">
        <v>0</v>
      </c>
      <c r="HI186">
        <v>0</v>
      </c>
      <c r="HJ186">
        <v>76.5</v>
      </c>
      <c r="HP186">
        <v>76.5</v>
      </c>
      <c r="HX186">
        <v>0</v>
      </c>
      <c r="HY186">
        <v>276.5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276.5</v>
      </c>
      <c r="IF186">
        <v>100</v>
      </c>
      <c r="IL186">
        <v>100</v>
      </c>
      <c r="IM186">
        <v>70</v>
      </c>
      <c r="IS186">
        <v>70</v>
      </c>
      <c r="IT186">
        <v>106.5</v>
      </c>
      <c r="IZ186">
        <v>106.5</v>
      </c>
      <c r="JG186">
        <v>0</v>
      </c>
      <c r="JN186">
        <v>0</v>
      </c>
      <c r="JO186">
        <v>276.5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276.5</v>
      </c>
      <c r="JV186">
        <v>60</v>
      </c>
      <c r="JW186">
        <v>15</v>
      </c>
      <c r="JX186">
        <v>25</v>
      </c>
      <c r="KA186">
        <v>1</v>
      </c>
      <c r="KB186">
        <v>3</v>
      </c>
      <c r="KC186">
        <v>1</v>
      </c>
      <c r="KD186" t="s">
        <v>407</v>
      </c>
      <c r="OG186" t="s">
        <v>408</v>
      </c>
      <c r="SJ186" t="s">
        <v>409</v>
      </c>
      <c r="WM186" t="s">
        <v>410</v>
      </c>
      <c r="AAP186" t="s">
        <v>411</v>
      </c>
      <c r="AES186" t="s">
        <v>412</v>
      </c>
    </row>
    <row r="187" spans="1:825" x14ac:dyDescent="0.2">
      <c r="A187" t="s">
        <v>1759</v>
      </c>
      <c r="B187" t="s">
        <v>396</v>
      </c>
      <c r="C187" t="s">
        <v>1760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>
        <v>764</v>
      </c>
      <c r="W187" s="20">
        <v>43523.618750000001</v>
      </c>
      <c r="X187" t="s">
        <v>1761</v>
      </c>
      <c r="Y187">
        <v>2019</v>
      </c>
      <c r="Z187" t="s">
        <v>1762</v>
      </c>
      <c r="AA187" t="s">
        <v>1763</v>
      </c>
      <c r="AB187" t="str">
        <f>VLOOKUP(MID(AD187,SEARCH("@",AD187,1),LEN(AD187)-SEARCH("@",AD187,1)+1),[2]Sheet1!$D:$F,3,FALSE)</f>
        <v>M308</v>
      </c>
      <c r="AC187" t="s">
        <v>1764</v>
      </c>
      <c r="AD187" t="s">
        <v>1765</v>
      </c>
      <c r="AE187">
        <v>31622664860</v>
      </c>
      <c r="AF187" t="s">
        <v>611</v>
      </c>
      <c r="AG187" t="s">
        <v>403</v>
      </c>
      <c r="AI187">
        <v>2</v>
      </c>
      <c r="AJ187">
        <v>6</v>
      </c>
      <c r="AV187">
        <v>0</v>
      </c>
      <c r="BC187">
        <v>0</v>
      </c>
      <c r="BJ187">
        <v>0</v>
      </c>
      <c r="BQ187">
        <v>0</v>
      </c>
      <c r="BX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S187">
        <v>0</v>
      </c>
      <c r="CZ187">
        <v>0</v>
      </c>
      <c r="DG187">
        <v>0</v>
      </c>
      <c r="DN187">
        <v>0</v>
      </c>
      <c r="DU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 t="s">
        <v>404</v>
      </c>
      <c r="EK187" t="s">
        <v>404</v>
      </c>
      <c r="EL187" t="s">
        <v>404</v>
      </c>
      <c r="EM187" t="s">
        <v>404</v>
      </c>
      <c r="EN187" t="s">
        <v>404</v>
      </c>
      <c r="EO187" t="s">
        <v>404</v>
      </c>
      <c r="EP187" t="s">
        <v>404</v>
      </c>
      <c r="EQ187" t="s">
        <v>404</v>
      </c>
      <c r="ER187" t="s">
        <v>404</v>
      </c>
      <c r="ES187" t="s">
        <v>404</v>
      </c>
      <c r="ET187" t="s">
        <v>404</v>
      </c>
      <c r="EU187" t="s">
        <v>404</v>
      </c>
      <c r="EV187" t="s">
        <v>404</v>
      </c>
      <c r="EW187" t="s">
        <v>404</v>
      </c>
      <c r="EX187" t="s">
        <v>404</v>
      </c>
      <c r="EY187" t="s">
        <v>404</v>
      </c>
      <c r="EZ187" t="s">
        <v>404</v>
      </c>
      <c r="FA187" t="s">
        <v>404</v>
      </c>
      <c r="FB187" t="s">
        <v>404</v>
      </c>
      <c r="FC187" t="s">
        <v>404</v>
      </c>
      <c r="FD187" t="s">
        <v>404</v>
      </c>
      <c r="FE187" t="s">
        <v>404</v>
      </c>
      <c r="FF187" t="s">
        <v>404</v>
      </c>
      <c r="FG187" t="s">
        <v>404</v>
      </c>
      <c r="FH187" t="s">
        <v>404</v>
      </c>
      <c r="FI187" t="s">
        <v>404</v>
      </c>
      <c r="FJ187" t="s">
        <v>404</v>
      </c>
      <c r="FK187" t="s">
        <v>404</v>
      </c>
      <c r="FL187" t="s">
        <v>404</v>
      </c>
      <c r="FM187" t="s">
        <v>404</v>
      </c>
      <c r="FN187" t="s">
        <v>404</v>
      </c>
      <c r="FO187" t="s">
        <v>404</v>
      </c>
      <c r="FP187" t="s">
        <v>404</v>
      </c>
      <c r="FQ187" t="s">
        <v>404</v>
      </c>
      <c r="FR187" t="s">
        <v>404</v>
      </c>
      <c r="FS187" t="s">
        <v>404</v>
      </c>
      <c r="FZ187">
        <v>0</v>
      </c>
      <c r="GG187">
        <v>0</v>
      </c>
      <c r="GN187">
        <v>0</v>
      </c>
      <c r="GU187">
        <v>0</v>
      </c>
      <c r="HB187">
        <v>0</v>
      </c>
      <c r="HI187">
        <v>0</v>
      </c>
      <c r="HP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L187">
        <v>0</v>
      </c>
      <c r="IS187">
        <v>0</v>
      </c>
      <c r="IZ187">
        <v>0</v>
      </c>
      <c r="JG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KC187">
        <v>2</v>
      </c>
      <c r="KD187" t="s">
        <v>407</v>
      </c>
      <c r="OG187" t="s">
        <v>408</v>
      </c>
      <c r="SJ187" t="s">
        <v>409</v>
      </c>
      <c r="WM187" t="s">
        <v>410</v>
      </c>
      <c r="AAP187" t="s">
        <v>411</v>
      </c>
      <c r="AES187" t="s">
        <v>412</v>
      </c>
    </row>
    <row r="188" spans="1:825" x14ac:dyDescent="0.2">
      <c r="A188" t="s">
        <v>1766</v>
      </c>
      <c r="B188" t="s">
        <v>396</v>
      </c>
      <c r="C188" t="s">
        <v>1767</v>
      </c>
      <c r="P188" t="b">
        <v>0</v>
      </c>
      <c r="Q188" t="b">
        <v>0</v>
      </c>
      <c r="R188" t="b">
        <v>1</v>
      </c>
      <c r="S188" t="b">
        <v>0</v>
      </c>
      <c r="T188" t="b">
        <v>0</v>
      </c>
      <c r="U188" t="b">
        <v>0</v>
      </c>
      <c r="V188">
        <v>778</v>
      </c>
      <c r="W188" s="20">
        <v>43517.622916666667</v>
      </c>
      <c r="X188" t="s">
        <v>1768</v>
      </c>
      <c r="Y188">
        <v>2019</v>
      </c>
      <c r="Z188" t="s">
        <v>1769</v>
      </c>
      <c r="AA188" t="s">
        <v>1770</v>
      </c>
      <c r="AB188" t="str">
        <f>VLOOKUP(MID(AD188,SEARCH("@",AD188,1),LEN(AD188)-SEARCH("@",AD188,1)+1),[2]Sheet1!$D:$F,3,FALSE)</f>
        <v>M2678</v>
      </c>
      <c r="AD188" t="s">
        <v>1771</v>
      </c>
      <c r="AF188" t="s">
        <v>1073</v>
      </c>
      <c r="AG188" t="s">
        <v>403</v>
      </c>
      <c r="AI188">
        <v>1</v>
      </c>
      <c r="AL188">
        <v>60</v>
      </c>
      <c r="AM188">
        <v>60</v>
      </c>
      <c r="AN188">
        <v>30</v>
      </c>
      <c r="AO188">
        <v>30</v>
      </c>
      <c r="AV188">
        <v>0</v>
      </c>
      <c r="BC188">
        <v>0</v>
      </c>
      <c r="BD188">
        <v>60</v>
      </c>
      <c r="BJ188">
        <v>60</v>
      </c>
      <c r="BQ188">
        <v>0</v>
      </c>
      <c r="BX188">
        <v>0</v>
      </c>
      <c r="CE188">
        <v>0</v>
      </c>
      <c r="CF188">
        <v>60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60</v>
      </c>
      <c r="CS188">
        <v>0</v>
      </c>
      <c r="CZ188">
        <v>0</v>
      </c>
      <c r="DA188">
        <v>1</v>
      </c>
      <c r="DG188">
        <v>1</v>
      </c>
      <c r="DN188">
        <v>0</v>
      </c>
      <c r="DU188">
        <v>0</v>
      </c>
      <c r="EB188">
        <v>0</v>
      </c>
      <c r="EC188">
        <v>1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1</v>
      </c>
      <c r="EJ188" t="s">
        <v>404</v>
      </c>
      <c r="EK188" t="s">
        <v>404</v>
      </c>
      <c r="EL188" t="s">
        <v>404</v>
      </c>
      <c r="EM188" t="s">
        <v>404</v>
      </c>
      <c r="EN188" t="s">
        <v>404</v>
      </c>
      <c r="EO188" t="s">
        <v>404</v>
      </c>
      <c r="EP188" t="s">
        <v>404</v>
      </c>
      <c r="EQ188" t="s">
        <v>404</v>
      </c>
      <c r="ER188" t="s">
        <v>404</v>
      </c>
      <c r="ES188" t="s">
        <v>404</v>
      </c>
      <c r="ET188" t="s">
        <v>404</v>
      </c>
      <c r="EU188" t="s">
        <v>404</v>
      </c>
      <c r="EV188" t="s">
        <v>405</v>
      </c>
      <c r="EW188" t="s">
        <v>404</v>
      </c>
      <c r="EX188" t="s">
        <v>404</v>
      </c>
      <c r="EY188" t="s">
        <v>404</v>
      </c>
      <c r="EZ188" t="s">
        <v>404</v>
      </c>
      <c r="FA188" t="s">
        <v>404</v>
      </c>
      <c r="FB188" t="s">
        <v>404</v>
      </c>
      <c r="FC188" t="s">
        <v>404</v>
      </c>
      <c r="FD188" t="s">
        <v>404</v>
      </c>
      <c r="FE188" t="s">
        <v>404</v>
      </c>
      <c r="FF188" t="s">
        <v>404</v>
      </c>
      <c r="FG188" t="s">
        <v>404</v>
      </c>
      <c r="FH188" t="s">
        <v>404</v>
      </c>
      <c r="FI188" t="s">
        <v>404</v>
      </c>
      <c r="FJ188" t="s">
        <v>404</v>
      </c>
      <c r="FK188" t="s">
        <v>404</v>
      </c>
      <c r="FL188" t="s">
        <v>404</v>
      </c>
      <c r="FM188" t="s">
        <v>404</v>
      </c>
      <c r="FN188" t="s">
        <v>404</v>
      </c>
      <c r="FO188" t="s">
        <v>404</v>
      </c>
      <c r="FP188" t="s">
        <v>404</v>
      </c>
      <c r="FQ188" t="s">
        <v>404</v>
      </c>
      <c r="FR188" t="s">
        <v>404</v>
      </c>
      <c r="FS188" t="s">
        <v>404</v>
      </c>
      <c r="FT188">
        <v>60</v>
      </c>
      <c r="FZ188">
        <v>60</v>
      </c>
      <c r="GG188">
        <v>0</v>
      </c>
      <c r="GN188">
        <v>0</v>
      </c>
      <c r="GU188">
        <v>0</v>
      </c>
      <c r="HB188">
        <v>0</v>
      </c>
      <c r="HI188">
        <v>0</v>
      </c>
      <c r="HP188">
        <v>0</v>
      </c>
      <c r="HX188">
        <v>0</v>
      </c>
      <c r="HY188">
        <v>60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60</v>
      </c>
      <c r="IL188">
        <v>0</v>
      </c>
      <c r="IM188">
        <v>60</v>
      </c>
      <c r="IS188">
        <v>60</v>
      </c>
      <c r="IZ188">
        <v>0</v>
      </c>
      <c r="JG188">
        <v>0</v>
      </c>
      <c r="JN188">
        <v>0</v>
      </c>
      <c r="JO188">
        <v>60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60</v>
      </c>
      <c r="JV188">
        <v>0</v>
      </c>
      <c r="JW188">
        <v>0</v>
      </c>
      <c r="JX188">
        <v>100</v>
      </c>
      <c r="KA188">
        <v>1</v>
      </c>
      <c r="KB188">
        <v>3</v>
      </c>
      <c r="KC188">
        <v>2</v>
      </c>
      <c r="KD188" t="s">
        <v>407</v>
      </c>
      <c r="OG188" t="s">
        <v>408</v>
      </c>
      <c r="SJ188" t="s">
        <v>409</v>
      </c>
      <c r="WM188" t="s">
        <v>410</v>
      </c>
      <c r="AAP188" t="s">
        <v>411</v>
      </c>
      <c r="AES188" t="s">
        <v>412</v>
      </c>
    </row>
    <row r="189" spans="1:825" x14ac:dyDescent="0.2">
      <c r="A189" t="s">
        <v>1772</v>
      </c>
      <c r="B189" t="s">
        <v>414</v>
      </c>
      <c r="C189" t="s">
        <v>1773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>
        <v>790</v>
      </c>
      <c r="W189" s="20">
        <v>43522.320138888892</v>
      </c>
      <c r="X189" t="s">
        <v>1774</v>
      </c>
      <c r="Y189">
        <v>2019</v>
      </c>
      <c r="Z189" t="s">
        <v>1775</v>
      </c>
      <c r="AA189" t="s">
        <v>1776</v>
      </c>
      <c r="AB189" t="str">
        <f>VLOOKUP(MID(AD189,SEARCH("@",AD189,1),LEN(AD189)-SEARCH("@",AD189,1)+1),[2]Sheet1!$D:$F,3,FALSE)</f>
        <v>M0180</v>
      </c>
      <c r="AC189" t="s">
        <v>1777</v>
      </c>
      <c r="AD189" t="s">
        <v>1778</v>
      </c>
      <c r="AE189">
        <v>68074222</v>
      </c>
      <c r="AF189" t="s">
        <v>884</v>
      </c>
      <c r="AG189" t="s">
        <v>1631</v>
      </c>
      <c r="AI189">
        <v>2</v>
      </c>
      <c r="AJ189">
        <v>6</v>
      </c>
      <c r="AK189" t="s">
        <v>1779</v>
      </c>
      <c r="AV189">
        <v>0</v>
      </c>
      <c r="BC189">
        <v>0</v>
      </c>
      <c r="BJ189">
        <v>0</v>
      </c>
      <c r="BQ189">
        <v>0</v>
      </c>
      <c r="BX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S189">
        <v>0</v>
      </c>
      <c r="CZ189">
        <v>0</v>
      </c>
      <c r="DG189">
        <v>0</v>
      </c>
      <c r="DN189">
        <v>0</v>
      </c>
      <c r="DU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 t="s">
        <v>404</v>
      </c>
      <c r="EK189" t="s">
        <v>404</v>
      </c>
      <c r="EL189" t="s">
        <v>404</v>
      </c>
      <c r="EM189" t="s">
        <v>404</v>
      </c>
      <c r="EN189" t="s">
        <v>404</v>
      </c>
      <c r="EO189" t="s">
        <v>404</v>
      </c>
      <c r="EP189" t="s">
        <v>404</v>
      </c>
      <c r="EQ189" t="s">
        <v>404</v>
      </c>
      <c r="ER189" t="s">
        <v>404</v>
      </c>
      <c r="ES189" t="s">
        <v>404</v>
      </c>
      <c r="ET189" t="s">
        <v>404</v>
      </c>
      <c r="EU189" t="s">
        <v>404</v>
      </c>
      <c r="EV189" t="s">
        <v>404</v>
      </c>
      <c r="EW189" t="s">
        <v>404</v>
      </c>
      <c r="EX189" t="s">
        <v>404</v>
      </c>
      <c r="EY189" t="s">
        <v>404</v>
      </c>
      <c r="EZ189" t="s">
        <v>404</v>
      </c>
      <c r="FA189" t="s">
        <v>404</v>
      </c>
      <c r="FB189" t="s">
        <v>404</v>
      </c>
      <c r="FC189" t="s">
        <v>404</v>
      </c>
      <c r="FD189" t="s">
        <v>404</v>
      </c>
      <c r="FE189" t="s">
        <v>404</v>
      </c>
      <c r="FF189" t="s">
        <v>404</v>
      </c>
      <c r="FG189" t="s">
        <v>404</v>
      </c>
      <c r="FH189" t="s">
        <v>404</v>
      </c>
      <c r="FI189" t="s">
        <v>404</v>
      </c>
      <c r="FJ189" t="s">
        <v>404</v>
      </c>
      <c r="FK189" t="s">
        <v>404</v>
      </c>
      <c r="FL189" t="s">
        <v>404</v>
      </c>
      <c r="FM189" t="s">
        <v>404</v>
      </c>
      <c r="FN189" t="s">
        <v>404</v>
      </c>
      <c r="FO189" t="s">
        <v>404</v>
      </c>
      <c r="FP189" t="s">
        <v>404</v>
      </c>
      <c r="FQ189" t="s">
        <v>404</v>
      </c>
      <c r="FR189" t="s">
        <v>404</v>
      </c>
      <c r="FS189" t="s">
        <v>404</v>
      </c>
      <c r="FZ189">
        <v>0</v>
      </c>
      <c r="GG189">
        <v>0</v>
      </c>
      <c r="GN189">
        <v>0</v>
      </c>
      <c r="GU189">
        <v>0</v>
      </c>
      <c r="HB189">
        <v>0</v>
      </c>
      <c r="HI189">
        <v>0</v>
      </c>
      <c r="HP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L189">
        <v>0</v>
      </c>
      <c r="IS189">
        <v>0</v>
      </c>
      <c r="IZ189">
        <v>0</v>
      </c>
      <c r="JG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KA189">
        <v>1</v>
      </c>
      <c r="KB189">
        <v>1</v>
      </c>
      <c r="KC189">
        <v>2</v>
      </c>
      <c r="KD189" t="s">
        <v>407</v>
      </c>
      <c r="OG189" t="s">
        <v>408</v>
      </c>
      <c r="SJ189" t="s">
        <v>409</v>
      </c>
      <c r="WM189" t="s">
        <v>410</v>
      </c>
      <c r="AAP189" t="s">
        <v>411</v>
      </c>
      <c r="AES189" t="s">
        <v>412</v>
      </c>
    </row>
    <row r="190" spans="1:825" x14ac:dyDescent="0.2">
      <c r="A190" t="s">
        <v>1780</v>
      </c>
      <c r="B190" t="s">
        <v>396</v>
      </c>
      <c r="C190" t="s">
        <v>1781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>
        <v>684</v>
      </c>
      <c r="W190" s="20">
        <v>43525.419444444444</v>
      </c>
      <c r="X190" t="s">
        <v>1782</v>
      </c>
      <c r="Y190">
        <v>2019</v>
      </c>
      <c r="Z190" t="s">
        <v>1783</v>
      </c>
      <c r="AA190" t="s">
        <v>1781</v>
      </c>
      <c r="AB190" t="str">
        <f>VLOOKUP(MID(AD190,SEARCH("@",AD190,1),LEN(AD190)-SEARCH("@",AD190,1)+1),[2]Sheet1!$D:$F,3,FALSE)</f>
        <v>M670</v>
      </c>
      <c r="AC190" t="s">
        <v>1784</v>
      </c>
      <c r="AD190" t="s">
        <v>1785</v>
      </c>
      <c r="AE190">
        <v>694516627</v>
      </c>
      <c r="AF190" t="s">
        <v>998</v>
      </c>
      <c r="AG190" t="s">
        <v>403</v>
      </c>
      <c r="AI190">
        <v>1</v>
      </c>
      <c r="AL190">
        <v>400</v>
      </c>
      <c r="AM190">
        <v>400</v>
      </c>
      <c r="AN190">
        <v>0</v>
      </c>
      <c r="AO190">
        <v>0</v>
      </c>
      <c r="AV190">
        <v>0</v>
      </c>
      <c r="AX190">
        <v>400</v>
      </c>
      <c r="BC190">
        <v>400</v>
      </c>
      <c r="BJ190">
        <v>0</v>
      </c>
      <c r="BQ190">
        <v>0</v>
      </c>
      <c r="BX190">
        <v>0</v>
      </c>
      <c r="CE190">
        <v>0</v>
      </c>
      <c r="CF190">
        <v>0</v>
      </c>
      <c r="CG190">
        <v>400</v>
      </c>
      <c r="CH190">
        <v>0</v>
      </c>
      <c r="CI190">
        <v>0</v>
      </c>
      <c r="CJ190">
        <v>0</v>
      </c>
      <c r="CK190">
        <v>0</v>
      </c>
      <c r="CL190">
        <v>400</v>
      </c>
      <c r="CS190">
        <v>0</v>
      </c>
      <c r="CU190">
        <v>1</v>
      </c>
      <c r="CZ190">
        <v>1</v>
      </c>
      <c r="DG190">
        <v>0</v>
      </c>
      <c r="DN190">
        <v>0</v>
      </c>
      <c r="DU190">
        <v>0</v>
      </c>
      <c r="EB190">
        <v>0</v>
      </c>
      <c r="EC190">
        <v>0</v>
      </c>
      <c r="ED190">
        <v>1</v>
      </c>
      <c r="EE190">
        <v>0</v>
      </c>
      <c r="EF190">
        <v>0</v>
      </c>
      <c r="EG190">
        <v>0</v>
      </c>
      <c r="EH190">
        <v>0</v>
      </c>
      <c r="EI190">
        <v>1</v>
      </c>
      <c r="EJ190" t="s">
        <v>404</v>
      </c>
      <c r="EK190" t="s">
        <v>404</v>
      </c>
      <c r="EL190" t="s">
        <v>404</v>
      </c>
      <c r="EM190" t="s">
        <v>404</v>
      </c>
      <c r="EN190" t="s">
        <v>404</v>
      </c>
      <c r="EO190" t="s">
        <v>404</v>
      </c>
      <c r="EP190" t="s">
        <v>404</v>
      </c>
      <c r="EQ190" t="s">
        <v>405</v>
      </c>
      <c r="ER190" t="s">
        <v>404</v>
      </c>
      <c r="ES190" t="s">
        <v>404</v>
      </c>
      <c r="ET190" t="s">
        <v>404</v>
      </c>
      <c r="EU190" t="s">
        <v>404</v>
      </c>
      <c r="EV190" t="s">
        <v>404</v>
      </c>
      <c r="EW190" t="s">
        <v>404</v>
      </c>
      <c r="EX190" t="s">
        <v>404</v>
      </c>
      <c r="EY190" t="s">
        <v>404</v>
      </c>
      <c r="EZ190" t="s">
        <v>404</v>
      </c>
      <c r="FA190" t="s">
        <v>404</v>
      </c>
      <c r="FB190" t="s">
        <v>404</v>
      </c>
      <c r="FC190" t="s">
        <v>404</v>
      </c>
      <c r="FD190" t="s">
        <v>404</v>
      </c>
      <c r="FE190" t="s">
        <v>404</v>
      </c>
      <c r="FF190" t="s">
        <v>404</v>
      </c>
      <c r="FG190" t="s">
        <v>404</v>
      </c>
      <c r="FH190" t="s">
        <v>404</v>
      </c>
      <c r="FI190" t="s">
        <v>404</v>
      </c>
      <c r="FJ190" t="s">
        <v>404</v>
      </c>
      <c r="FK190" t="s">
        <v>404</v>
      </c>
      <c r="FL190" t="s">
        <v>404</v>
      </c>
      <c r="FM190" t="s">
        <v>404</v>
      </c>
      <c r="FN190" t="s">
        <v>404</v>
      </c>
      <c r="FO190" t="s">
        <v>404</v>
      </c>
      <c r="FP190" t="s">
        <v>404</v>
      </c>
      <c r="FQ190" t="s">
        <v>404</v>
      </c>
      <c r="FR190" t="s">
        <v>404</v>
      </c>
      <c r="FS190" t="s">
        <v>404</v>
      </c>
      <c r="FU190">
        <v>400</v>
      </c>
      <c r="FZ190">
        <v>400</v>
      </c>
      <c r="GG190">
        <v>0</v>
      </c>
      <c r="GN190">
        <v>0</v>
      </c>
      <c r="GU190">
        <v>0</v>
      </c>
      <c r="HB190">
        <v>0</v>
      </c>
      <c r="HI190">
        <v>0</v>
      </c>
      <c r="HP190">
        <v>0</v>
      </c>
      <c r="HX190">
        <v>0</v>
      </c>
      <c r="HY190">
        <v>0</v>
      </c>
      <c r="HZ190">
        <v>400</v>
      </c>
      <c r="IA190">
        <v>0</v>
      </c>
      <c r="IB190">
        <v>0</v>
      </c>
      <c r="IC190">
        <v>0</v>
      </c>
      <c r="ID190">
        <v>0</v>
      </c>
      <c r="IE190">
        <v>400</v>
      </c>
      <c r="IL190">
        <v>0</v>
      </c>
      <c r="IN190">
        <v>400</v>
      </c>
      <c r="IS190">
        <v>400</v>
      </c>
      <c r="IZ190">
        <v>0</v>
      </c>
      <c r="JG190">
        <v>0</v>
      </c>
      <c r="JN190">
        <v>0</v>
      </c>
      <c r="JO190">
        <v>0</v>
      </c>
      <c r="JP190">
        <v>400</v>
      </c>
      <c r="JQ190">
        <v>0</v>
      </c>
      <c r="JR190">
        <v>0</v>
      </c>
      <c r="JS190">
        <v>0</v>
      </c>
      <c r="JT190">
        <v>0</v>
      </c>
      <c r="JU190">
        <v>400</v>
      </c>
      <c r="JV190">
        <v>0</v>
      </c>
      <c r="JW190">
        <v>0</v>
      </c>
      <c r="JX190">
        <v>100</v>
      </c>
      <c r="KA190">
        <v>2</v>
      </c>
      <c r="KB190">
        <v>3</v>
      </c>
      <c r="KC190">
        <v>1</v>
      </c>
      <c r="KD190" t="s">
        <v>407</v>
      </c>
      <c r="OG190" t="s">
        <v>408</v>
      </c>
      <c r="SJ190" t="s">
        <v>409</v>
      </c>
      <c r="WM190" t="s">
        <v>410</v>
      </c>
      <c r="AAP190" t="s">
        <v>411</v>
      </c>
      <c r="AES190" t="s">
        <v>412</v>
      </c>
    </row>
    <row r="191" spans="1:825" x14ac:dyDescent="0.2">
      <c r="A191" t="s">
        <v>1786</v>
      </c>
      <c r="B191" t="s">
        <v>396</v>
      </c>
      <c r="C191" t="s">
        <v>1787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>
        <v>816</v>
      </c>
      <c r="W191" s="20">
        <v>43523.620833333334</v>
      </c>
      <c r="X191" t="s">
        <v>816</v>
      </c>
      <c r="Y191">
        <v>2019</v>
      </c>
      <c r="Z191" t="s">
        <v>396</v>
      </c>
      <c r="AA191" t="s">
        <v>1788</v>
      </c>
      <c r="AB191" t="str">
        <f>VLOOKUP(MID(AD191,SEARCH("@",AD191,1),LEN(AD191)-SEARCH("@",AD191,1)+1),[2]Sheet1!$D:$F,3,FALSE)</f>
        <v>M636</v>
      </c>
      <c r="AD191" t="s">
        <v>888</v>
      </c>
      <c r="AF191" t="s">
        <v>452</v>
      </c>
      <c r="AG191" t="s">
        <v>403</v>
      </c>
      <c r="AI191">
        <v>2</v>
      </c>
      <c r="AV191">
        <v>0</v>
      </c>
      <c r="BC191">
        <v>0</v>
      </c>
      <c r="BJ191">
        <v>0</v>
      </c>
      <c r="BQ191">
        <v>0</v>
      </c>
      <c r="BX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S191">
        <v>0</v>
      </c>
      <c r="CZ191">
        <v>0</v>
      </c>
      <c r="DG191">
        <v>0</v>
      </c>
      <c r="DN191">
        <v>0</v>
      </c>
      <c r="DU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 t="s">
        <v>404</v>
      </c>
      <c r="EK191" t="s">
        <v>404</v>
      </c>
      <c r="EL191" t="s">
        <v>404</v>
      </c>
      <c r="EM191" t="s">
        <v>404</v>
      </c>
      <c r="EN191" t="s">
        <v>404</v>
      </c>
      <c r="EO191" t="s">
        <v>404</v>
      </c>
      <c r="EP191" t="s">
        <v>404</v>
      </c>
      <c r="EQ191" t="s">
        <v>404</v>
      </c>
      <c r="ER191" t="s">
        <v>404</v>
      </c>
      <c r="ES191" t="s">
        <v>404</v>
      </c>
      <c r="ET191" t="s">
        <v>404</v>
      </c>
      <c r="EU191" t="s">
        <v>404</v>
      </c>
      <c r="EV191" t="s">
        <v>404</v>
      </c>
      <c r="EW191" t="s">
        <v>404</v>
      </c>
      <c r="EX191" t="s">
        <v>404</v>
      </c>
      <c r="EY191" t="s">
        <v>404</v>
      </c>
      <c r="EZ191" t="s">
        <v>404</v>
      </c>
      <c r="FA191" t="s">
        <v>404</v>
      </c>
      <c r="FB191" t="s">
        <v>404</v>
      </c>
      <c r="FC191" t="s">
        <v>404</v>
      </c>
      <c r="FD191" t="s">
        <v>404</v>
      </c>
      <c r="FE191" t="s">
        <v>404</v>
      </c>
      <c r="FF191" t="s">
        <v>404</v>
      </c>
      <c r="FG191" t="s">
        <v>404</v>
      </c>
      <c r="FH191" t="s">
        <v>404</v>
      </c>
      <c r="FI191" t="s">
        <v>404</v>
      </c>
      <c r="FJ191" t="s">
        <v>404</v>
      </c>
      <c r="FK191" t="s">
        <v>404</v>
      </c>
      <c r="FL191" t="s">
        <v>404</v>
      </c>
      <c r="FM191" t="s">
        <v>404</v>
      </c>
      <c r="FN191" t="s">
        <v>404</v>
      </c>
      <c r="FO191" t="s">
        <v>404</v>
      </c>
      <c r="FP191" t="s">
        <v>404</v>
      </c>
      <c r="FQ191" t="s">
        <v>404</v>
      </c>
      <c r="FR191" t="s">
        <v>404</v>
      </c>
      <c r="FS191" t="s">
        <v>404</v>
      </c>
      <c r="FZ191">
        <v>0</v>
      </c>
      <c r="GG191">
        <v>0</v>
      </c>
      <c r="GN191">
        <v>0</v>
      </c>
      <c r="GU191">
        <v>0</v>
      </c>
      <c r="HB191">
        <v>0</v>
      </c>
      <c r="HI191">
        <v>0</v>
      </c>
      <c r="HP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L191">
        <v>0</v>
      </c>
      <c r="IS191">
        <v>0</v>
      </c>
      <c r="IZ191">
        <v>0</v>
      </c>
      <c r="JG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KC191">
        <v>2</v>
      </c>
      <c r="KD191" t="s">
        <v>407</v>
      </c>
      <c r="OG191" t="s">
        <v>408</v>
      </c>
      <c r="SJ191" t="s">
        <v>409</v>
      </c>
      <c r="WM191" t="s">
        <v>410</v>
      </c>
      <c r="AAP191" t="s">
        <v>411</v>
      </c>
      <c r="AES191" t="s">
        <v>412</v>
      </c>
    </row>
    <row r="192" spans="1:825" x14ac:dyDescent="0.2">
      <c r="A192" t="s">
        <v>1789</v>
      </c>
      <c r="B192" t="s">
        <v>563</v>
      </c>
      <c r="C192" t="s">
        <v>1790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>
        <v>605</v>
      </c>
      <c r="W192" s="20">
        <v>43481.953472222223</v>
      </c>
      <c r="X192" t="s">
        <v>1791</v>
      </c>
      <c r="Y192">
        <v>2019</v>
      </c>
      <c r="Z192" t="s">
        <v>1792</v>
      </c>
      <c r="AA192" t="s">
        <v>1793</v>
      </c>
      <c r="AB192" t="str">
        <f>VLOOKUP(MID(AD192,SEARCH("@",AD192,1),LEN(AD192)-SEARCH("@",AD192,1)+1),[2]Sheet1!$D:$F,3,FALSE)</f>
        <v>NC023</v>
      </c>
      <c r="AC192" t="s">
        <v>1794</v>
      </c>
      <c r="AD192" t="s">
        <v>1795</v>
      </c>
      <c r="AE192" t="s">
        <v>1796</v>
      </c>
      <c r="AF192" t="s">
        <v>571</v>
      </c>
      <c r="AG192" t="s">
        <v>538</v>
      </c>
      <c r="AI192">
        <v>2</v>
      </c>
      <c r="AJ192">
        <v>6</v>
      </c>
      <c r="AK192" t="s">
        <v>1797</v>
      </c>
      <c r="AV192">
        <v>0</v>
      </c>
      <c r="BC192">
        <v>0</v>
      </c>
      <c r="BJ192">
        <v>0</v>
      </c>
      <c r="BQ192">
        <v>0</v>
      </c>
      <c r="BX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S192">
        <v>0</v>
      </c>
      <c r="CZ192">
        <v>0</v>
      </c>
      <c r="DG192">
        <v>0</v>
      </c>
      <c r="DN192">
        <v>0</v>
      </c>
      <c r="DU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 t="s">
        <v>404</v>
      </c>
      <c r="EK192" t="s">
        <v>404</v>
      </c>
      <c r="EL192" t="s">
        <v>404</v>
      </c>
      <c r="EM192" t="s">
        <v>404</v>
      </c>
      <c r="EN192" t="s">
        <v>404</v>
      </c>
      <c r="EO192" t="s">
        <v>404</v>
      </c>
      <c r="EP192" t="s">
        <v>404</v>
      </c>
      <c r="EQ192" t="s">
        <v>404</v>
      </c>
      <c r="ER192" t="s">
        <v>404</v>
      </c>
      <c r="ES192" t="s">
        <v>404</v>
      </c>
      <c r="ET192" t="s">
        <v>404</v>
      </c>
      <c r="EU192" t="s">
        <v>404</v>
      </c>
      <c r="EV192" t="s">
        <v>404</v>
      </c>
      <c r="EW192" t="s">
        <v>404</v>
      </c>
      <c r="EX192" t="s">
        <v>404</v>
      </c>
      <c r="EY192" t="s">
        <v>404</v>
      </c>
      <c r="EZ192" t="s">
        <v>404</v>
      </c>
      <c r="FA192" t="s">
        <v>404</v>
      </c>
      <c r="FB192" t="s">
        <v>404</v>
      </c>
      <c r="FC192" t="s">
        <v>404</v>
      </c>
      <c r="FD192" t="s">
        <v>404</v>
      </c>
      <c r="FE192" t="s">
        <v>404</v>
      </c>
      <c r="FF192" t="s">
        <v>404</v>
      </c>
      <c r="FG192" t="s">
        <v>404</v>
      </c>
      <c r="FH192" t="s">
        <v>404</v>
      </c>
      <c r="FI192" t="s">
        <v>404</v>
      </c>
      <c r="FJ192" t="s">
        <v>404</v>
      </c>
      <c r="FK192" t="s">
        <v>404</v>
      </c>
      <c r="FL192" t="s">
        <v>404</v>
      </c>
      <c r="FM192" t="s">
        <v>404</v>
      </c>
      <c r="FN192" t="s">
        <v>404</v>
      </c>
      <c r="FO192" t="s">
        <v>404</v>
      </c>
      <c r="FP192" t="s">
        <v>404</v>
      </c>
      <c r="FQ192" t="s">
        <v>404</v>
      </c>
      <c r="FR192" t="s">
        <v>404</v>
      </c>
      <c r="FS192" t="s">
        <v>404</v>
      </c>
      <c r="FZ192">
        <v>0</v>
      </c>
      <c r="GG192">
        <v>0</v>
      </c>
      <c r="GN192">
        <v>0</v>
      </c>
      <c r="GU192">
        <v>0</v>
      </c>
      <c r="HB192">
        <v>0</v>
      </c>
      <c r="HI192">
        <v>0</v>
      </c>
      <c r="HP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L192">
        <v>0</v>
      </c>
      <c r="IS192">
        <v>0</v>
      </c>
      <c r="IZ192">
        <v>0</v>
      </c>
      <c r="JG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KA192">
        <v>3</v>
      </c>
      <c r="KB192">
        <v>3</v>
      </c>
      <c r="KC192">
        <v>1</v>
      </c>
      <c r="KD192" t="s">
        <v>407</v>
      </c>
      <c r="OG192" t="s">
        <v>408</v>
      </c>
      <c r="SJ192" t="s">
        <v>409</v>
      </c>
      <c r="WM192" t="s">
        <v>410</v>
      </c>
      <c r="AAP192" t="s">
        <v>411</v>
      </c>
      <c r="AES192" t="s">
        <v>412</v>
      </c>
    </row>
    <row r="193" spans="1:825" x14ac:dyDescent="0.2">
      <c r="A193" t="s">
        <v>1798</v>
      </c>
      <c r="B193" t="s">
        <v>396</v>
      </c>
      <c r="C193" t="s">
        <v>1799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>
        <v>643</v>
      </c>
      <c r="W193" s="20">
        <v>43515.394444444442</v>
      </c>
      <c r="X193" t="s">
        <v>1800</v>
      </c>
      <c r="Y193">
        <v>2019</v>
      </c>
      <c r="Z193" t="s">
        <v>1801</v>
      </c>
      <c r="AA193" t="s">
        <v>1799</v>
      </c>
      <c r="AB193" t="str">
        <f>VLOOKUP(MID(AD193,SEARCH("@",AD193,1),LEN(AD193)-SEARCH("@",AD193,1)+1),[2]Sheet1!$D:$F,3,FALSE)</f>
        <v>M019</v>
      </c>
      <c r="AC193" t="s">
        <v>1802</v>
      </c>
      <c r="AD193" t="s">
        <v>1803</v>
      </c>
      <c r="AE193">
        <v>4791602270</v>
      </c>
      <c r="AF193" t="s">
        <v>467</v>
      </c>
      <c r="AG193" t="s">
        <v>468</v>
      </c>
      <c r="AI193">
        <v>1</v>
      </c>
      <c r="AL193">
        <v>500</v>
      </c>
      <c r="AM193">
        <v>500</v>
      </c>
      <c r="AN193">
        <v>500</v>
      </c>
      <c r="AO193">
        <v>500</v>
      </c>
      <c r="AV193">
        <v>0</v>
      </c>
      <c r="AW193">
        <v>500</v>
      </c>
      <c r="BC193">
        <v>500</v>
      </c>
      <c r="BJ193">
        <v>0</v>
      </c>
      <c r="BQ193">
        <v>0</v>
      </c>
      <c r="BX193">
        <v>0</v>
      </c>
      <c r="CE193">
        <v>0</v>
      </c>
      <c r="CF193">
        <v>500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500</v>
      </c>
      <c r="CS193">
        <v>0</v>
      </c>
      <c r="CT193">
        <v>1</v>
      </c>
      <c r="CZ193">
        <v>1</v>
      </c>
      <c r="DG193">
        <v>0</v>
      </c>
      <c r="DN193">
        <v>0</v>
      </c>
      <c r="DU193">
        <v>0</v>
      </c>
      <c r="EB193">
        <v>0</v>
      </c>
      <c r="EC193">
        <v>1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1</v>
      </c>
      <c r="EJ193" t="s">
        <v>404</v>
      </c>
      <c r="EK193" t="s">
        <v>404</v>
      </c>
      <c r="EL193" t="s">
        <v>404</v>
      </c>
      <c r="EM193" t="s">
        <v>404</v>
      </c>
      <c r="EN193" t="s">
        <v>404</v>
      </c>
      <c r="EO193" t="s">
        <v>404</v>
      </c>
      <c r="EP193" t="s">
        <v>405</v>
      </c>
      <c r="EQ193" t="s">
        <v>404</v>
      </c>
      <c r="ER193" t="s">
        <v>404</v>
      </c>
      <c r="ES193" t="s">
        <v>404</v>
      </c>
      <c r="ET193" t="s">
        <v>404</v>
      </c>
      <c r="EU193" t="s">
        <v>404</v>
      </c>
      <c r="EV193" t="s">
        <v>404</v>
      </c>
      <c r="EW193" t="s">
        <v>404</v>
      </c>
      <c r="EX193" t="s">
        <v>404</v>
      </c>
      <c r="EY193" t="s">
        <v>404</v>
      </c>
      <c r="EZ193" t="s">
        <v>404</v>
      </c>
      <c r="FA193" t="s">
        <v>404</v>
      </c>
      <c r="FB193" t="s">
        <v>404</v>
      </c>
      <c r="FC193" t="s">
        <v>404</v>
      </c>
      <c r="FD193" t="s">
        <v>404</v>
      </c>
      <c r="FE193" t="s">
        <v>404</v>
      </c>
      <c r="FF193" t="s">
        <v>404</v>
      </c>
      <c r="FG193" t="s">
        <v>404</v>
      </c>
      <c r="FH193" t="s">
        <v>404</v>
      </c>
      <c r="FI193" t="s">
        <v>404</v>
      </c>
      <c r="FJ193" t="s">
        <v>404</v>
      </c>
      <c r="FK193" t="s">
        <v>404</v>
      </c>
      <c r="FL193" t="s">
        <v>404</v>
      </c>
      <c r="FM193" t="s">
        <v>404</v>
      </c>
      <c r="FN193" t="s">
        <v>404</v>
      </c>
      <c r="FO193" t="s">
        <v>404</v>
      </c>
      <c r="FP193" t="s">
        <v>404</v>
      </c>
      <c r="FQ193" t="s">
        <v>404</v>
      </c>
      <c r="FR193" t="s">
        <v>404</v>
      </c>
      <c r="FS193" t="s">
        <v>404</v>
      </c>
      <c r="FT193">
        <v>500</v>
      </c>
      <c r="FZ193">
        <v>500</v>
      </c>
      <c r="GG193">
        <v>0</v>
      </c>
      <c r="GN193">
        <v>0</v>
      </c>
      <c r="GU193">
        <v>0</v>
      </c>
      <c r="HB193">
        <v>0</v>
      </c>
      <c r="HI193">
        <v>0</v>
      </c>
      <c r="HP193">
        <v>0</v>
      </c>
      <c r="HX193">
        <v>0</v>
      </c>
      <c r="HY193">
        <v>500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500</v>
      </c>
      <c r="IL193">
        <v>0</v>
      </c>
      <c r="IM193">
        <v>500</v>
      </c>
      <c r="IS193">
        <v>500</v>
      </c>
      <c r="IZ193">
        <v>0</v>
      </c>
      <c r="JG193">
        <v>0</v>
      </c>
      <c r="JN193">
        <v>0</v>
      </c>
      <c r="JO193">
        <v>500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500</v>
      </c>
      <c r="JX193">
        <v>100</v>
      </c>
      <c r="KA193">
        <v>1</v>
      </c>
      <c r="KB193">
        <v>1</v>
      </c>
      <c r="KC193">
        <v>1</v>
      </c>
      <c r="KD193" t="s">
        <v>407</v>
      </c>
      <c r="OG193" t="s">
        <v>408</v>
      </c>
      <c r="SJ193" t="s">
        <v>409</v>
      </c>
      <c r="WM193" t="s">
        <v>410</v>
      </c>
      <c r="AAP193" t="s">
        <v>411</v>
      </c>
      <c r="AES193" t="s">
        <v>412</v>
      </c>
    </row>
    <row r="194" spans="1:825" x14ac:dyDescent="0.2">
      <c r="A194" t="s">
        <v>1804</v>
      </c>
      <c r="B194" t="s">
        <v>563</v>
      </c>
      <c r="C194" t="s">
        <v>1805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>
        <v>611</v>
      </c>
      <c r="W194" s="20">
        <v>43482.542361111111</v>
      </c>
      <c r="X194" t="s">
        <v>1806</v>
      </c>
      <c r="Y194">
        <v>2019</v>
      </c>
      <c r="Z194" t="s">
        <v>1807</v>
      </c>
      <c r="AA194" t="s">
        <v>1808</v>
      </c>
      <c r="AB194" t="str">
        <f>VLOOKUP(MID(AD194,SEARCH("@",AD194,1),LEN(AD194)-SEARCH("@",AD194,1)+1),[2]Sheet1!$D:$F,3,FALSE)</f>
        <v>NC006</v>
      </c>
      <c r="AC194" t="s">
        <v>734</v>
      </c>
      <c r="AD194" t="s">
        <v>1809</v>
      </c>
      <c r="AE194" t="s">
        <v>1810</v>
      </c>
      <c r="AF194" t="s">
        <v>571</v>
      </c>
      <c r="AG194" t="s">
        <v>538</v>
      </c>
      <c r="AI194">
        <v>2</v>
      </c>
      <c r="AJ194">
        <v>6</v>
      </c>
      <c r="AV194">
        <v>0</v>
      </c>
      <c r="BC194">
        <v>0</v>
      </c>
      <c r="BJ194">
        <v>0</v>
      </c>
      <c r="BQ194">
        <v>0</v>
      </c>
      <c r="BX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S194">
        <v>0</v>
      </c>
      <c r="CZ194">
        <v>0</v>
      </c>
      <c r="DG194">
        <v>0</v>
      </c>
      <c r="DN194">
        <v>0</v>
      </c>
      <c r="DU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 t="s">
        <v>404</v>
      </c>
      <c r="EK194" t="s">
        <v>404</v>
      </c>
      <c r="EL194" t="s">
        <v>404</v>
      </c>
      <c r="EM194" t="s">
        <v>404</v>
      </c>
      <c r="EN194" t="s">
        <v>404</v>
      </c>
      <c r="EO194" t="s">
        <v>404</v>
      </c>
      <c r="EP194" t="s">
        <v>404</v>
      </c>
      <c r="EQ194" t="s">
        <v>404</v>
      </c>
      <c r="ER194" t="s">
        <v>404</v>
      </c>
      <c r="ES194" t="s">
        <v>404</v>
      </c>
      <c r="ET194" t="s">
        <v>404</v>
      </c>
      <c r="EU194" t="s">
        <v>404</v>
      </c>
      <c r="EV194" t="s">
        <v>404</v>
      </c>
      <c r="EW194" t="s">
        <v>404</v>
      </c>
      <c r="EX194" t="s">
        <v>404</v>
      </c>
      <c r="EY194" t="s">
        <v>404</v>
      </c>
      <c r="EZ194" t="s">
        <v>404</v>
      </c>
      <c r="FA194" t="s">
        <v>404</v>
      </c>
      <c r="FB194" t="s">
        <v>404</v>
      </c>
      <c r="FC194" t="s">
        <v>404</v>
      </c>
      <c r="FD194" t="s">
        <v>404</v>
      </c>
      <c r="FE194" t="s">
        <v>404</v>
      </c>
      <c r="FF194" t="s">
        <v>404</v>
      </c>
      <c r="FG194" t="s">
        <v>404</v>
      </c>
      <c r="FH194" t="s">
        <v>404</v>
      </c>
      <c r="FI194" t="s">
        <v>404</v>
      </c>
      <c r="FJ194" t="s">
        <v>404</v>
      </c>
      <c r="FK194" t="s">
        <v>404</v>
      </c>
      <c r="FL194" t="s">
        <v>404</v>
      </c>
      <c r="FM194" t="s">
        <v>404</v>
      </c>
      <c r="FN194" t="s">
        <v>404</v>
      </c>
      <c r="FO194" t="s">
        <v>404</v>
      </c>
      <c r="FP194" t="s">
        <v>404</v>
      </c>
      <c r="FQ194" t="s">
        <v>404</v>
      </c>
      <c r="FR194" t="s">
        <v>404</v>
      </c>
      <c r="FS194" t="s">
        <v>404</v>
      </c>
      <c r="FZ194">
        <v>0</v>
      </c>
      <c r="GG194">
        <v>0</v>
      </c>
      <c r="GN194">
        <v>0</v>
      </c>
      <c r="GU194">
        <v>0</v>
      </c>
      <c r="HB194">
        <v>0</v>
      </c>
      <c r="HI194">
        <v>0</v>
      </c>
      <c r="HP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L194">
        <v>0</v>
      </c>
      <c r="IS194">
        <v>0</v>
      </c>
      <c r="IZ194">
        <v>0</v>
      </c>
      <c r="JG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KA194">
        <v>1</v>
      </c>
      <c r="KB194">
        <v>3</v>
      </c>
      <c r="KC194">
        <v>1</v>
      </c>
      <c r="KD194" t="s">
        <v>407</v>
      </c>
      <c r="OG194" t="s">
        <v>408</v>
      </c>
      <c r="SJ194" t="s">
        <v>409</v>
      </c>
      <c r="WM194" t="s">
        <v>410</v>
      </c>
      <c r="AAP194" t="s">
        <v>411</v>
      </c>
      <c r="AES194" t="s">
        <v>412</v>
      </c>
    </row>
    <row r="195" spans="1:825" x14ac:dyDescent="0.2">
      <c r="A195" t="s">
        <v>1811</v>
      </c>
      <c r="B195" t="s">
        <v>396</v>
      </c>
      <c r="C195" t="s">
        <v>1812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>
        <v>769</v>
      </c>
      <c r="W195" s="20">
        <v>43516.57916666667</v>
      </c>
      <c r="X195" t="s">
        <v>1813</v>
      </c>
      <c r="Y195">
        <v>2019</v>
      </c>
      <c r="Z195" t="s">
        <v>1814</v>
      </c>
      <c r="AA195" t="s">
        <v>1812</v>
      </c>
      <c r="AB195" t="str">
        <f>VLOOKUP(MID(AD195,SEARCH("@",AD195,1),LEN(AD195)-SEARCH("@",AD195,1)+1),[2]Sheet1!$D:$F,3,FALSE)</f>
        <v>M697</v>
      </c>
      <c r="AC195" t="s">
        <v>685</v>
      </c>
      <c r="AD195" t="s">
        <v>1815</v>
      </c>
      <c r="AE195">
        <v>4921141613311</v>
      </c>
      <c r="AF195" t="s">
        <v>444</v>
      </c>
      <c r="AG195" t="s">
        <v>403</v>
      </c>
      <c r="AI195">
        <v>1</v>
      </c>
      <c r="AL195">
        <v>344</v>
      </c>
      <c r="AM195">
        <v>344</v>
      </c>
      <c r="AN195">
        <v>273</v>
      </c>
      <c r="AO195">
        <v>273</v>
      </c>
      <c r="AV195">
        <v>0</v>
      </c>
      <c r="BB195">
        <v>344</v>
      </c>
      <c r="BC195">
        <v>344</v>
      </c>
      <c r="BJ195">
        <v>0</v>
      </c>
      <c r="BQ195">
        <v>0</v>
      </c>
      <c r="BX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344</v>
      </c>
      <c r="CL195">
        <v>344</v>
      </c>
      <c r="CS195">
        <v>0</v>
      </c>
      <c r="CY195">
        <v>3</v>
      </c>
      <c r="CZ195">
        <v>3</v>
      </c>
      <c r="DG195">
        <v>0</v>
      </c>
      <c r="DN195">
        <v>0</v>
      </c>
      <c r="DU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3</v>
      </c>
      <c r="EI195">
        <v>3</v>
      </c>
      <c r="EJ195" t="s">
        <v>404</v>
      </c>
      <c r="EK195" t="s">
        <v>404</v>
      </c>
      <c r="EL195" t="s">
        <v>404</v>
      </c>
      <c r="EM195" t="s">
        <v>404</v>
      </c>
      <c r="EN195" t="s">
        <v>404</v>
      </c>
      <c r="EO195" t="s">
        <v>404</v>
      </c>
      <c r="EP195" t="s">
        <v>404</v>
      </c>
      <c r="EQ195" t="s">
        <v>404</v>
      </c>
      <c r="ER195" t="s">
        <v>404</v>
      </c>
      <c r="ES195" t="s">
        <v>404</v>
      </c>
      <c r="ET195" t="s">
        <v>404</v>
      </c>
      <c r="EU195" t="s">
        <v>405</v>
      </c>
      <c r="EV195" t="s">
        <v>404</v>
      </c>
      <c r="EW195" t="s">
        <v>404</v>
      </c>
      <c r="EX195" t="s">
        <v>404</v>
      </c>
      <c r="EY195" t="s">
        <v>404</v>
      </c>
      <c r="EZ195" t="s">
        <v>404</v>
      </c>
      <c r="FA195" t="s">
        <v>404</v>
      </c>
      <c r="FB195" t="s">
        <v>404</v>
      </c>
      <c r="FC195" t="s">
        <v>404</v>
      </c>
      <c r="FD195" t="s">
        <v>404</v>
      </c>
      <c r="FE195" t="s">
        <v>404</v>
      </c>
      <c r="FF195" t="s">
        <v>404</v>
      </c>
      <c r="FG195" t="s">
        <v>404</v>
      </c>
      <c r="FH195" t="s">
        <v>404</v>
      </c>
      <c r="FI195" t="s">
        <v>404</v>
      </c>
      <c r="FJ195" t="s">
        <v>404</v>
      </c>
      <c r="FK195" t="s">
        <v>404</v>
      </c>
      <c r="FL195" t="s">
        <v>404</v>
      </c>
      <c r="FM195" t="s">
        <v>404</v>
      </c>
      <c r="FN195" t="s">
        <v>404</v>
      </c>
      <c r="FO195" t="s">
        <v>404</v>
      </c>
      <c r="FP195" t="s">
        <v>404</v>
      </c>
      <c r="FQ195" t="s">
        <v>404</v>
      </c>
      <c r="FR195" t="s">
        <v>404</v>
      </c>
      <c r="FS195" t="s">
        <v>404</v>
      </c>
      <c r="FZ195">
        <v>0</v>
      </c>
      <c r="GF195">
        <v>344</v>
      </c>
      <c r="GG195">
        <v>344</v>
      </c>
      <c r="GN195">
        <v>0</v>
      </c>
      <c r="GU195">
        <v>0</v>
      </c>
      <c r="HB195">
        <v>0</v>
      </c>
      <c r="HI195">
        <v>0</v>
      </c>
      <c r="HP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344</v>
      </c>
      <c r="IE195">
        <v>344</v>
      </c>
      <c r="IL195">
        <v>0</v>
      </c>
      <c r="IR195">
        <v>344</v>
      </c>
      <c r="IS195">
        <v>344</v>
      </c>
      <c r="IZ195">
        <v>0</v>
      </c>
      <c r="JG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344</v>
      </c>
      <c r="JU195">
        <v>344</v>
      </c>
      <c r="JX195">
        <v>100</v>
      </c>
      <c r="KA195">
        <v>3</v>
      </c>
      <c r="KB195">
        <v>1</v>
      </c>
      <c r="KC195">
        <v>1</v>
      </c>
      <c r="KD195" t="s">
        <v>407</v>
      </c>
      <c r="OG195" t="s">
        <v>408</v>
      </c>
      <c r="SJ195" t="s">
        <v>409</v>
      </c>
      <c r="WM195" t="s">
        <v>410</v>
      </c>
      <c r="AAP195" t="s">
        <v>411</v>
      </c>
      <c r="AES195" t="s">
        <v>412</v>
      </c>
    </row>
    <row r="196" spans="1:825" x14ac:dyDescent="0.2">
      <c r="A196" t="s">
        <v>1816</v>
      </c>
      <c r="B196" t="s">
        <v>396</v>
      </c>
      <c r="C196" t="s">
        <v>1817</v>
      </c>
      <c r="P196" t="b">
        <v>1</v>
      </c>
      <c r="Q196" t="b">
        <v>1</v>
      </c>
      <c r="R196" t="b">
        <v>0</v>
      </c>
      <c r="S196" t="b">
        <v>0</v>
      </c>
      <c r="T196" t="b">
        <v>0</v>
      </c>
      <c r="U196" t="b">
        <v>0</v>
      </c>
      <c r="V196">
        <v>560</v>
      </c>
      <c r="W196" s="20">
        <v>43517.715277777781</v>
      </c>
      <c r="X196" t="s">
        <v>1818</v>
      </c>
      <c r="Y196">
        <v>2019</v>
      </c>
      <c r="Z196" t="s">
        <v>1819</v>
      </c>
      <c r="AA196" t="s">
        <v>1817</v>
      </c>
      <c r="AB196" t="str">
        <f>VLOOKUP(MID(AD196,SEARCH("@",AD196,1),LEN(AD196)-SEARCH("@",AD196,1)+1),[2]Sheet1!$D:$F,3,FALSE)</f>
        <v>M010</v>
      </c>
      <c r="AC196" t="s">
        <v>1820</v>
      </c>
      <c r="AD196" t="s">
        <v>1821</v>
      </c>
      <c r="AF196" t="s">
        <v>491</v>
      </c>
      <c r="AG196" t="s">
        <v>492</v>
      </c>
      <c r="AI196">
        <v>1</v>
      </c>
      <c r="AL196">
        <v>1494</v>
      </c>
      <c r="AM196">
        <v>1494</v>
      </c>
      <c r="AN196">
        <v>352</v>
      </c>
      <c r="AO196">
        <v>352</v>
      </c>
      <c r="AP196">
        <v>201</v>
      </c>
      <c r="AV196">
        <v>201</v>
      </c>
      <c r="AW196">
        <v>1044</v>
      </c>
      <c r="AZ196">
        <v>249</v>
      </c>
      <c r="BC196">
        <v>1293</v>
      </c>
      <c r="BJ196">
        <v>0</v>
      </c>
      <c r="BQ196">
        <v>0</v>
      </c>
      <c r="BX196">
        <v>0</v>
      </c>
      <c r="CE196">
        <v>0</v>
      </c>
      <c r="CF196">
        <v>1245</v>
      </c>
      <c r="CG196">
        <v>0</v>
      </c>
      <c r="CH196">
        <v>0</v>
      </c>
      <c r="CI196">
        <v>249</v>
      </c>
      <c r="CJ196">
        <v>0</v>
      </c>
      <c r="CK196">
        <v>0</v>
      </c>
      <c r="CL196">
        <v>1494</v>
      </c>
      <c r="CM196">
        <v>1</v>
      </c>
      <c r="CS196">
        <v>1</v>
      </c>
      <c r="CT196">
        <v>7</v>
      </c>
      <c r="CW196">
        <v>1</v>
      </c>
      <c r="CZ196">
        <v>8</v>
      </c>
      <c r="DG196">
        <v>0</v>
      </c>
      <c r="DN196">
        <v>0</v>
      </c>
      <c r="DU196">
        <v>0</v>
      </c>
      <c r="EB196">
        <v>0</v>
      </c>
      <c r="EC196">
        <v>8</v>
      </c>
      <c r="ED196">
        <v>0</v>
      </c>
      <c r="EE196">
        <v>0</v>
      </c>
      <c r="EF196">
        <v>1</v>
      </c>
      <c r="EG196">
        <v>0</v>
      </c>
      <c r="EH196">
        <v>0</v>
      </c>
      <c r="EI196">
        <v>9</v>
      </c>
      <c r="EJ196" t="s">
        <v>405</v>
      </c>
      <c r="EK196" t="s">
        <v>404</v>
      </c>
      <c r="EL196" t="s">
        <v>404</v>
      </c>
      <c r="EM196" t="s">
        <v>404</v>
      </c>
      <c r="EN196" t="s">
        <v>404</v>
      </c>
      <c r="EO196" t="s">
        <v>404</v>
      </c>
      <c r="EP196" t="s">
        <v>405</v>
      </c>
      <c r="EQ196" t="s">
        <v>404</v>
      </c>
      <c r="ER196" t="s">
        <v>404</v>
      </c>
      <c r="ES196" t="s">
        <v>405</v>
      </c>
      <c r="ET196" t="s">
        <v>404</v>
      </c>
      <c r="EU196" t="s">
        <v>404</v>
      </c>
      <c r="EV196" t="s">
        <v>404</v>
      </c>
      <c r="EW196" t="s">
        <v>404</v>
      </c>
      <c r="EX196" t="s">
        <v>404</v>
      </c>
      <c r="EY196" t="s">
        <v>404</v>
      </c>
      <c r="EZ196" t="s">
        <v>404</v>
      </c>
      <c r="FA196" t="s">
        <v>404</v>
      </c>
      <c r="FB196" t="s">
        <v>404</v>
      </c>
      <c r="FC196" t="s">
        <v>404</v>
      </c>
      <c r="FD196" t="s">
        <v>404</v>
      </c>
      <c r="FE196" t="s">
        <v>404</v>
      </c>
      <c r="FF196" t="s">
        <v>404</v>
      </c>
      <c r="FG196" t="s">
        <v>404</v>
      </c>
      <c r="FH196" t="s">
        <v>404</v>
      </c>
      <c r="FI196" t="s">
        <v>404</v>
      </c>
      <c r="FJ196" t="s">
        <v>404</v>
      </c>
      <c r="FK196" t="s">
        <v>404</v>
      </c>
      <c r="FL196" t="s">
        <v>404</v>
      </c>
      <c r="FM196" t="s">
        <v>404</v>
      </c>
      <c r="FN196" t="s">
        <v>404</v>
      </c>
      <c r="FO196" t="s">
        <v>404</v>
      </c>
      <c r="FP196" t="s">
        <v>404</v>
      </c>
      <c r="FQ196" t="s">
        <v>404</v>
      </c>
      <c r="FR196" t="s">
        <v>404</v>
      </c>
      <c r="FS196" t="s">
        <v>404</v>
      </c>
      <c r="FT196">
        <v>822</v>
      </c>
      <c r="FW196">
        <v>94</v>
      </c>
      <c r="FZ196">
        <v>916</v>
      </c>
      <c r="GA196">
        <v>184</v>
      </c>
      <c r="GG196">
        <v>184</v>
      </c>
      <c r="GN196">
        <v>0</v>
      </c>
      <c r="GO196">
        <v>208</v>
      </c>
      <c r="GU196">
        <v>208</v>
      </c>
      <c r="HB196">
        <v>0</v>
      </c>
      <c r="HC196">
        <v>32</v>
      </c>
      <c r="HI196">
        <v>32</v>
      </c>
      <c r="HP196">
        <v>0</v>
      </c>
      <c r="HQ196" t="s">
        <v>1074</v>
      </c>
      <c r="HU196">
        <v>154</v>
      </c>
      <c r="HX196">
        <v>154</v>
      </c>
      <c r="HY196">
        <v>1246</v>
      </c>
      <c r="HZ196">
        <v>0</v>
      </c>
      <c r="IA196">
        <v>0</v>
      </c>
      <c r="IB196">
        <v>248</v>
      </c>
      <c r="IC196">
        <v>0</v>
      </c>
      <c r="ID196">
        <v>0</v>
      </c>
      <c r="IE196">
        <v>1494</v>
      </c>
      <c r="II196">
        <v>155</v>
      </c>
      <c r="IL196">
        <v>155</v>
      </c>
      <c r="IM196">
        <v>1222</v>
      </c>
      <c r="IS196">
        <v>1222</v>
      </c>
      <c r="IT196">
        <v>117</v>
      </c>
      <c r="IZ196">
        <v>117</v>
      </c>
      <c r="JG196">
        <v>0</v>
      </c>
      <c r="JN196">
        <v>0</v>
      </c>
      <c r="JO196">
        <v>1339</v>
      </c>
      <c r="JP196">
        <v>0</v>
      </c>
      <c r="JQ196">
        <v>0</v>
      </c>
      <c r="JR196">
        <v>155</v>
      </c>
      <c r="JS196">
        <v>0</v>
      </c>
      <c r="JT196">
        <v>0</v>
      </c>
      <c r="JU196">
        <v>1494</v>
      </c>
      <c r="JV196">
        <v>7.0000000000000007E-2</v>
      </c>
      <c r="JX196">
        <v>99.93</v>
      </c>
      <c r="KA196">
        <v>1</v>
      </c>
      <c r="KB196">
        <v>3</v>
      </c>
      <c r="KC196">
        <v>1</v>
      </c>
      <c r="KD196" t="s">
        <v>407</v>
      </c>
      <c r="OG196" t="s">
        <v>408</v>
      </c>
      <c r="SJ196" t="s">
        <v>409</v>
      </c>
      <c r="WM196" t="s">
        <v>410</v>
      </c>
      <c r="AAP196" t="s">
        <v>411</v>
      </c>
      <c r="AES196" t="s">
        <v>412</v>
      </c>
    </row>
    <row r="197" spans="1:825" x14ac:dyDescent="0.2">
      <c r="A197" t="s">
        <v>1822</v>
      </c>
      <c r="B197" t="s">
        <v>414</v>
      </c>
      <c r="C197" t="s">
        <v>1823</v>
      </c>
      <c r="P197" t="b">
        <v>0</v>
      </c>
      <c r="Q197" t="b">
        <v>1</v>
      </c>
      <c r="R197" t="b">
        <v>0</v>
      </c>
      <c r="S197" t="b">
        <v>0</v>
      </c>
      <c r="T197" t="b">
        <v>0</v>
      </c>
      <c r="U197" t="b">
        <v>0</v>
      </c>
      <c r="V197">
        <v>545</v>
      </c>
      <c r="W197" s="20">
        <v>43475.281944444447</v>
      </c>
      <c r="X197" t="s">
        <v>1824</v>
      </c>
      <c r="Y197">
        <v>2019</v>
      </c>
      <c r="Z197" t="s">
        <v>1825</v>
      </c>
      <c r="AA197" t="s">
        <v>1826</v>
      </c>
      <c r="AB197" t="str">
        <f>VLOOKUP(MID(AD197,SEARCH("@",AD197,1),LEN(AD197)-SEARCH("@",AD197,1)+1),[2]Sheet1!$D:$F,3,FALSE)</f>
        <v>N0281</v>
      </c>
      <c r="AC197" t="s">
        <v>774</v>
      </c>
      <c r="AD197" t="s">
        <v>1827</v>
      </c>
      <c r="AE197">
        <v>92364707</v>
      </c>
      <c r="AF197" t="s">
        <v>420</v>
      </c>
      <c r="AG197" t="s">
        <v>421</v>
      </c>
      <c r="AI197">
        <v>1</v>
      </c>
      <c r="AM197">
        <v>78.3</v>
      </c>
      <c r="AO197">
        <v>78.3</v>
      </c>
      <c r="AS197">
        <v>78.3</v>
      </c>
      <c r="AV197">
        <v>78.3</v>
      </c>
      <c r="BC197">
        <v>0</v>
      </c>
      <c r="BJ197">
        <v>0</v>
      </c>
      <c r="BQ197">
        <v>0</v>
      </c>
      <c r="BX197">
        <v>0</v>
      </c>
      <c r="CE197">
        <v>0</v>
      </c>
      <c r="CF197">
        <v>0</v>
      </c>
      <c r="CG197">
        <v>0</v>
      </c>
      <c r="CH197">
        <v>0</v>
      </c>
      <c r="CI197">
        <v>78.3</v>
      </c>
      <c r="CJ197">
        <v>0</v>
      </c>
      <c r="CK197">
        <v>0</v>
      </c>
      <c r="CL197">
        <v>78.3</v>
      </c>
      <c r="CP197">
        <v>2</v>
      </c>
      <c r="CS197">
        <v>2</v>
      </c>
      <c r="CZ197">
        <v>0</v>
      </c>
      <c r="DG197">
        <v>0</v>
      </c>
      <c r="DN197">
        <v>0</v>
      </c>
      <c r="DU197">
        <v>0</v>
      </c>
      <c r="EB197">
        <v>0</v>
      </c>
      <c r="EC197">
        <v>0</v>
      </c>
      <c r="ED197">
        <v>0</v>
      </c>
      <c r="EE197">
        <v>0</v>
      </c>
      <c r="EF197">
        <v>2</v>
      </c>
      <c r="EG197">
        <v>0</v>
      </c>
      <c r="EH197">
        <v>0</v>
      </c>
      <c r="EI197">
        <v>2</v>
      </c>
      <c r="EJ197" t="s">
        <v>404</v>
      </c>
      <c r="EK197" t="s">
        <v>404</v>
      </c>
      <c r="EL197" t="s">
        <v>404</v>
      </c>
      <c r="EM197" t="s">
        <v>405</v>
      </c>
      <c r="EN197" t="s">
        <v>404</v>
      </c>
      <c r="EO197" t="s">
        <v>404</v>
      </c>
      <c r="EP197" t="s">
        <v>404</v>
      </c>
      <c r="EQ197" t="s">
        <v>404</v>
      </c>
      <c r="ER197" t="s">
        <v>404</v>
      </c>
      <c r="ES197" t="s">
        <v>404</v>
      </c>
      <c r="ET197" t="s">
        <v>404</v>
      </c>
      <c r="EU197" t="s">
        <v>404</v>
      </c>
      <c r="EV197" t="s">
        <v>404</v>
      </c>
      <c r="EW197" t="s">
        <v>404</v>
      </c>
      <c r="EX197" t="s">
        <v>404</v>
      </c>
      <c r="EY197" t="s">
        <v>404</v>
      </c>
      <c r="EZ197" t="s">
        <v>404</v>
      </c>
      <c r="FA197" t="s">
        <v>404</v>
      </c>
      <c r="FB197" t="s">
        <v>404</v>
      </c>
      <c r="FC197" t="s">
        <v>404</v>
      </c>
      <c r="FD197" t="s">
        <v>404</v>
      </c>
      <c r="FE197" t="s">
        <v>404</v>
      </c>
      <c r="FF197" t="s">
        <v>404</v>
      </c>
      <c r="FG197" t="s">
        <v>404</v>
      </c>
      <c r="FH197" t="s">
        <v>404</v>
      </c>
      <c r="FI197" t="s">
        <v>404</v>
      </c>
      <c r="FJ197" t="s">
        <v>404</v>
      </c>
      <c r="FK197" t="s">
        <v>404</v>
      </c>
      <c r="FL197" t="s">
        <v>404</v>
      </c>
      <c r="FM197" t="s">
        <v>404</v>
      </c>
      <c r="FN197" t="s">
        <v>404</v>
      </c>
      <c r="FO197" t="s">
        <v>404</v>
      </c>
      <c r="FP197" t="s">
        <v>404</v>
      </c>
      <c r="FQ197" t="s">
        <v>404</v>
      </c>
      <c r="FR197" t="s">
        <v>404</v>
      </c>
      <c r="FS197" t="s">
        <v>404</v>
      </c>
      <c r="FZ197">
        <v>0</v>
      </c>
      <c r="GG197">
        <v>0</v>
      </c>
      <c r="GN197">
        <v>0</v>
      </c>
      <c r="GU197">
        <v>0</v>
      </c>
      <c r="HB197">
        <v>0</v>
      </c>
      <c r="HF197">
        <v>73.3</v>
      </c>
      <c r="HI197">
        <v>73.3</v>
      </c>
      <c r="HM197">
        <v>5</v>
      </c>
      <c r="HP197">
        <v>5</v>
      </c>
      <c r="HX197">
        <v>0</v>
      </c>
      <c r="HY197">
        <v>0</v>
      </c>
      <c r="HZ197">
        <v>0</v>
      </c>
      <c r="IA197">
        <v>0</v>
      </c>
      <c r="IB197">
        <v>78.3</v>
      </c>
      <c r="IC197">
        <v>0</v>
      </c>
      <c r="ID197">
        <v>0</v>
      </c>
      <c r="IE197">
        <v>78.3</v>
      </c>
      <c r="II197">
        <v>73.3</v>
      </c>
      <c r="IL197">
        <v>73.3</v>
      </c>
      <c r="IS197">
        <v>0</v>
      </c>
      <c r="IW197">
        <v>5</v>
      </c>
      <c r="IZ197">
        <v>5</v>
      </c>
      <c r="JG197">
        <v>0</v>
      </c>
      <c r="JN197">
        <v>0</v>
      </c>
      <c r="JO197">
        <v>0</v>
      </c>
      <c r="JP197">
        <v>0</v>
      </c>
      <c r="JQ197">
        <v>0</v>
      </c>
      <c r="JR197">
        <v>78.3</v>
      </c>
      <c r="JS197">
        <v>0</v>
      </c>
      <c r="JT197">
        <v>0</v>
      </c>
      <c r="JU197">
        <v>78.3</v>
      </c>
      <c r="JW197">
        <v>20</v>
      </c>
      <c r="JX197">
        <v>80</v>
      </c>
      <c r="KA197">
        <v>1</v>
      </c>
      <c r="KB197">
        <v>3</v>
      </c>
      <c r="KC197">
        <v>1</v>
      </c>
      <c r="KD197" t="s">
        <v>407</v>
      </c>
      <c r="OG197" t="s">
        <v>408</v>
      </c>
      <c r="SJ197" t="s">
        <v>409</v>
      </c>
      <c r="WM197" t="s">
        <v>410</v>
      </c>
      <c r="AAP197" t="s">
        <v>411</v>
      </c>
      <c r="AES197" t="s">
        <v>412</v>
      </c>
    </row>
    <row r="198" spans="1:825" x14ac:dyDescent="0.2">
      <c r="A198" t="s">
        <v>1828</v>
      </c>
      <c r="B198" t="s">
        <v>396</v>
      </c>
      <c r="C198" t="s">
        <v>1829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>
        <v>663</v>
      </c>
      <c r="W198" s="20">
        <v>43521.615972222222</v>
      </c>
      <c r="X198" t="s">
        <v>993</v>
      </c>
      <c r="Y198">
        <v>2019</v>
      </c>
      <c r="Z198" t="s">
        <v>1830</v>
      </c>
      <c r="AA198" t="s">
        <v>1831</v>
      </c>
      <c r="AB198" t="str">
        <f>VLOOKUP(MID(AD198,SEARCH("@",AD198,1),LEN(AD198)-SEARCH("@",AD198,1)+1),[2]Sheet1!$D:$F,3,FALSE)</f>
        <v>M250</v>
      </c>
      <c r="AD198" t="s">
        <v>1832</v>
      </c>
      <c r="AF198" t="s">
        <v>1833</v>
      </c>
      <c r="AG198" t="s">
        <v>403</v>
      </c>
      <c r="AI198">
        <v>1</v>
      </c>
      <c r="AL198">
        <v>250</v>
      </c>
      <c r="AM198">
        <v>250</v>
      </c>
      <c r="AN198">
        <v>150</v>
      </c>
      <c r="AO198">
        <v>150</v>
      </c>
      <c r="AV198">
        <v>0</v>
      </c>
      <c r="AW198">
        <v>250</v>
      </c>
      <c r="BC198">
        <v>250</v>
      </c>
      <c r="BJ198">
        <v>0</v>
      </c>
      <c r="BQ198">
        <v>0</v>
      </c>
      <c r="BX198">
        <v>0</v>
      </c>
      <c r="CE198">
        <v>0</v>
      </c>
      <c r="CF198">
        <v>250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250</v>
      </c>
      <c r="CS198">
        <v>0</v>
      </c>
      <c r="CT198">
        <v>2</v>
      </c>
      <c r="CZ198">
        <v>2</v>
      </c>
      <c r="DG198">
        <v>0</v>
      </c>
      <c r="DN198">
        <v>0</v>
      </c>
      <c r="DU198">
        <v>0</v>
      </c>
      <c r="EB198">
        <v>0</v>
      </c>
      <c r="EC198">
        <v>2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2</v>
      </c>
      <c r="EJ198" t="s">
        <v>404</v>
      </c>
      <c r="EK198" t="s">
        <v>404</v>
      </c>
      <c r="EL198" t="s">
        <v>404</v>
      </c>
      <c r="EM198" t="s">
        <v>404</v>
      </c>
      <c r="EN198" t="s">
        <v>404</v>
      </c>
      <c r="EO198" t="s">
        <v>404</v>
      </c>
      <c r="EP198" t="s">
        <v>405</v>
      </c>
      <c r="EQ198" t="s">
        <v>404</v>
      </c>
      <c r="ER198" t="s">
        <v>404</v>
      </c>
      <c r="ES198" t="s">
        <v>404</v>
      </c>
      <c r="ET198" t="s">
        <v>404</v>
      </c>
      <c r="EU198" t="s">
        <v>404</v>
      </c>
      <c r="EV198" t="s">
        <v>404</v>
      </c>
      <c r="EW198" t="s">
        <v>404</v>
      </c>
      <c r="EX198" t="s">
        <v>404</v>
      </c>
      <c r="EY198" t="s">
        <v>404</v>
      </c>
      <c r="EZ198" t="s">
        <v>404</v>
      </c>
      <c r="FA198" t="s">
        <v>404</v>
      </c>
      <c r="FB198" t="s">
        <v>404</v>
      </c>
      <c r="FC198" t="s">
        <v>404</v>
      </c>
      <c r="FD198" t="s">
        <v>404</v>
      </c>
      <c r="FE198" t="s">
        <v>404</v>
      </c>
      <c r="FF198" t="s">
        <v>404</v>
      </c>
      <c r="FG198" t="s">
        <v>404</v>
      </c>
      <c r="FH198" t="s">
        <v>404</v>
      </c>
      <c r="FI198" t="s">
        <v>404</v>
      </c>
      <c r="FJ198" t="s">
        <v>404</v>
      </c>
      <c r="FK198" t="s">
        <v>404</v>
      </c>
      <c r="FL198" t="s">
        <v>404</v>
      </c>
      <c r="FM198" t="s">
        <v>404</v>
      </c>
      <c r="FN198" t="s">
        <v>404</v>
      </c>
      <c r="FO198" t="s">
        <v>404</v>
      </c>
      <c r="FP198" t="s">
        <v>404</v>
      </c>
      <c r="FQ198" t="s">
        <v>404</v>
      </c>
      <c r="FR198" t="s">
        <v>404</v>
      </c>
      <c r="FS198" t="s">
        <v>404</v>
      </c>
      <c r="FT198">
        <v>210</v>
      </c>
      <c r="FZ198">
        <v>210</v>
      </c>
      <c r="GA198">
        <v>40</v>
      </c>
      <c r="GG198">
        <v>40</v>
      </c>
      <c r="GN198">
        <v>0</v>
      </c>
      <c r="GU198">
        <v>0</v>
      </c>
      <c r="HB198">
        <v>0</v>
      </c>
      <c r="HI198">
        <v>0</v>
      </c>
      <c r="HP198">
        <v>0</v>
      </c>
      <c r="HX198">
        <v>0</v>
      </c>
      <c r="HY198">
        <v>250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250</v>
      </c>
      <c r="IF198">
        <v>10</v>
      </c>
      <c r="IL198">
        <v>10</v>
      </c>
      <c r="IM198">
        <v>240</v>
      </c>
      <c r="IS198">
        <v>240</v>
      </c>
      <c r="IZ198">
        <v>0</v>
      </c>
      <c r="JG198">
        <v>0</v>
      </c>
      <c r="JN198">
        <v>0</v>
      </c>
      <c r="JO198">
        <v>250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250</v>
      </c>
      <c r="JW198">
        <v>25</v>
      </c>
      <c r="JX198">
        <v>75</v>
      </c>
      <c r="KA198">
        <v>1</v>
      </c>
      <c r="KB198">
        <v>3</v>
      </c>
      <c r="KC198">
        <v>1</v>
      </c>
      <c r="KD198" t="s">
        <v>407</v>
      </c>
      <c r="OG198" t="s">
        <v>408</v>
      </c>
      <c r="SJ198" t="s">
        <v>409</v>
      </c>
      <c r="WM198" t="s">
        <v>410</v>
      </c>
      <c r="AAP198" t="s">
        <v>411</v>
      </c>
      <c r="AES198" t="s">
        <v>412</v>
      </c>
    </row>
    <row r="199" spans="1:825" x14ac:dyDescent="0.2">
      <c r="A199" t="s">
        <v>1834</v>
      </c>
      <c r="B199" t="s">
        <v>396</v>
      </c>
      <c r="C199" t="s">
        <v>1835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>
        <v>669</v>
      </c>
      <c r="W199" s="20">
        <v>43515.513194444444</v>
      </c>
      <c r="X199" t="s">
        <v>993</v>
      </c>
      <c r="Y199">
        <v>2019</v>
      </c>
      <c r="Z199" t="s">
        <v>1836</v>
      </c>
      <c r="AA199" t="s">
        <v>1837</v>
      </c>
      <c r="AB199" t="str">
        <f>VLOOKUP(MID(AD199,SEARCH("@",AD199,1),LEN(AD199)-SEARCH("@",AD199,1)+1),[2]Sheet1!$D:$F,3,FALSE)</f>
        <v>M600</v>
      </c>
      <c r="AC199" t="s">
        <v>713</v>
      </c>
      <c r="AD199" t="s">
        <v>1838</v>
      </c>
      <c r="AF199" t="s">
        <v>444</v>
      </c>
      <c r="AG199" t="s">
        <v>403</v>
      </c>
      <c r="AI199">
        <v>1</v>
      </c>
      <c r="AL199">
        <v>400</v>
      </c>
      <c r="AM199">
        <v>400</v>
      </c>
      <c r="AN199">
        <v>350</v>
      </c>
      <c r="AO199">
        <v>350</v>
      </c>
      <c r="AV199">
        <v>0</v>
      </c>
      <c r="AY199">
        <v>280</v>
      </c>
      <c r="AZ199">
        <v>120</v>
      </c>
      <c r="BC199">
        <v>400</v>
      </c>
      <c r="BJ199">
        <v>0</v>
      </c>
      <c r="BQ199">
        <v>0</v>
      </c>
      <c r="BX199">
        <v>0</v>
      </c>
      <c r="CE199">
        <v>0</v>
      </c>
      <c r="CF199">
        <v>0</v>
      </c>
      <c r="CG199">
        <v>0</v>
      </c>
      <c r="CH199">
        <v>280</v>
      </c>
      <c r="CI199">
        <v>120</v>
      </c>
      <c r="CJ199">
        <v>0</v>
      </c>
      <c r="CK199">
        <v>0</v>
      </c>
      <c r="CL199">
        <v>400</v>
      </c>
      <c r="CS199">
        <v>0</v>
      </c>
      <c r="CV199">
        <v>2</v>
      </c>
      <c r="CW199">
        <v>1</v>
      </c>
      <c r="CZ199">
        <v>3</v>
      </c>
      <c r="DG199">
        <v>0</v>
      </c>
      <c r="DN199">
        <v>0</v>
      </c>
      <c r="DU199">
        <v>0</v>
      </c>
      <c r="EB199">
        <v>0</v>
      </c>
      <c r="EC199">
        <v>0</v>
      </c>
      <c r="ED199">
        <v>0</v>
      </c>
      <c r="EE199">
        <v>2</v>
      </c>
      <c r="EF199">
        <v>1</v>
      </c>
      <c r="EG199">
        <v>0</v>
      </c>
      <c r="EH199">
        <v>0</v>
      </c>
      <c r="EI199">
        <v>3</v>
      </c>
      <c r="EJ199" t="s">
        <v>404</v>
      </c>
      <c r="EK199" t="s">
        <v>404</v>
      </c>
      <c r="EL199" t="s">
        <v>404</v>
      </c>
      <c r="EM199" t="s">
        <v>404</v>
      </c>
      <c r="EN199" t="s">
        <v>404</v>
      </c>
      <c r="EO199" t="s">
        <v>404</v>
      </c>
      <c r="EP199" t="s">
        <v>404</v>
      </c>
      <c r="EQ199" t="s">
        <v>404</v>
      </c>
      <c r="ER199" t="s">
        <v>405</v>
      </c>
      <c r="ES199" t="s">
        <v>405</v>
      </c>
      <c r="ET199" t="s">
        <v>404</v>
      </c>
      <c r="EU199" t="s">
        <v>404</v>
      </c>
      <c r="EV199" t="s">
        <v>404</v>
      </c>
      <c r="EW199" t="s">
        <v>404</v>
      </c>
      <c r="EX199" t="s">
        <v>404</v>
      </c>
      <c r="EY199" t="s">
        <v>404</v>
      </c>
      <c r="EZ199" t="s">
        <v>404</v>
      </c>
      <c r="FA199" t="s">
        <v>404</v>
      </c>
      <c r="FB199" t="s">
        <v>404</v>
      </c>
      <c r="FC199" t="s">
        <v>404</v>
      </c>
      <c r="FD199" t="s">
        <v>404</v>
      </c>
      <c r="FE199" t="s">
        <v>404</v>
      </c>
      <c r="FF199" t="s">
        <v>404</v>
      </c>
      <c r="FG199" t="s">
        <v>404</v>
      </c>
      <c r="FH199" t="s">
        <v>404</v>
      </c>
      <c r="FI199" t="s">
        <v>404</v>
      </c>
      <c r="FJ199" t="s">
        <v>404</v>
      </c>
      <c r="FK199" t="s">
        <v>404</v>
      </c>
      <c r="FL199" t="s">
        <v>404</v>
      </c>
      <c r="FM199" t="s">
        <v>404</v>
      </c>
      <c r="FN199" t="s">
        <v>404</v>
      </c>
      <c r="FO199" t="s">
        <v>404</v>
      </c>
      <c r="FP199" t="s">
        <v>404</v>
      </c>
      <c r="FQ199" t="s">
        <v>404</v>
      </c>
      <c r="FR199" t="s">
        <v>404</v>
      </c>
      <c r="FS199" t="s">
        <v>404</v>
      </c>
      <c r="FV199">
        <v>280</v>
      </c>
      <c r="FW199">
        <v>120</v>
      </c>
      <c r="FZ199">
        <v>400</v>
      </c>
      <c r="GG199">
        <v>0</v>
      </c>
      <c r="GN199">
        <v>0</v>
      </c>
      <c r="GU199">
        <v>0</v>
      </c>
      <c r="HB199">
        <v>0</v>
      </c>
      <c r="HI199">
        <v>0</v>
      </c>
      <c r="HP199">
        <v>0</v>
      </c>
      <c r="HX199">
        <v>0</v>
      </c>
      <c r="HY199">
        <v>0</v>
      </c>
      <c r="HZ199">
        <v>0</v>
      </c>
      <c r="IA199">
        <v>280</v>
      </c>
      <c r="IB199">
        <v>120</v>
      </c>
      <c r="IC199">
        <v>0</v>
      </c>
      <c r="ID199">
        <v>0</v>
      </c>
      <c r="IE199">
        <v>400</v>
      </c>
      <c r="IL199">
        <v>0</v>
      </c>
      <c r="IO199">
        <v>280</v>
      </c>
      <c r="IP199">
        <v>120</v>
      </c>
      <c r="IS199">
        <v>400</v>
      </c>
      <c r="IZ199">
        <v>0</v>
      </c>
      <c r="JG199">
        <v>0</v>
      </c>
      <c r="JN199">
        <v>0</v>
      </c>
      <c r="JO199">
        <v>0</v>
      </c>
      <c r="JP199">
        <v>0</v>
      </c>
      <c r="JQ199">
        <v>280</v>
      </c>
      <c r="JR199">
        <v>120</v>
      </c>
      <c r="JS199">
        <v>0</v>
      </c>
      <c r="JT199">
        <v>0</v>
      </c>
      <c r="JU199">
        <v>400</v>
      </c>
      <c r="JX199">
        <v>100</v>
      </c>
      <c r="KA199">
        <v>2</v>
      </c>
      <c r="KB199">
        <v>2</v>
      </c>
      <c r="KC199">
        <v>1</v>
      </c>
      <c r="KD199" t="s">
        <v>407</v>
      </c>
      <c r="OG199" t="s">
        <v>408</v>
      </c>
      <c r="SJ199" t="s">
        <v>409</v>
      </c>
      <c r="WM199" t="s">
        <v>410</v>
      </c>
      <c r="AAP199" t="s">
        <v>411</v>
      </c>
      <c r="AES199" t="s">
        <v>412</v>
      </c>
    </row>
    <row r="200" spans="1:825" x14ac:dyDescent="0.2">
      <c r="A200" t="s">
        <v>1839</v>
      </c>
      <c r="B200" t="s">
        <v>563</v>
      </c>
      <c r="C200" t="s">
        <v>1840</v>
      </c>
      <c r="F200" t="s">
        <v>479</v>
      </c>
      <c r="G200" s="3">
        <v>43515.851388888892</v>
      </c>
      <c r="H200" t="s">
        <v>502</v>
      </c>
      <c r="I200" s="3">
        <v>43515.851388888892</v>
      </c>
      <c r="L200" t="s">
        <v>1051</v>
      </c>
      <c r="M200" s="3">
        <v>43515.851388888892</v>
      </c>
      <c r="P200" t="b">
        <v>1</v>
      </c>
      <c r="Q200" t="b">
        <v>0</v>
      </c>
      <c r="R200" t="b">
        <v>1</v>
      </c>
      <c r="S200" t="b">
        <v>0</v>
      </c>
      <c r="T200" t="b">
        <v>1</v>
      </c>
      <c r="U200" t="b">
        <v>0</v>
      </c>
      <c r="V200">
        <v>626</v>
      </c>
      <c r="W200" s="20">
        <v>43487.967361111114</v>
      </c>
      <c r="X200" t="s">
        <v>1841</v>
      </c>
      <c r="Y200">
        <v>2019</v>
      </c>
      <c r="Z200" t="s">
        <v>1842</v>
      </c>
      <c r="AA200" t="s">
        <v>1843</v>
      </c>
      <c r="AB200" t="str">
        <f>VLOOKUP(MID(AD200,SEARCH("@",AD200,1),LEN(AD200)-SEARCH("@",AD200,1)+1),[2]Sheet1!$D:$F,3,FALSE)</f>
        <v>M024</v>
      </c>
      <c r="AC200" t="s">
        <v>852</v>
      </c>
      <c r="AD200" t="s">
        <v>1844</v>
      </c>
      <c r="AE200">
        <v>4156406432</v>
      </c>
      <c r="AF200" t="s">
        <v>571</v>
      </c>
      <c r="AG200" t="s">
        <v>538</v>
      </c>
      <c r="AI200">
        <v>1</v>
      </c>
      <c r="AL200">
        <v>1930</v>
      </c>
      <c r="AM200">
        <v>1930</v>
      </c>
      <c r="AN200">
        <v>1200</v>
      </c>
      <c r="AO200">
        <v>1200</v>
      </c>
      <c r="AV200">
        <v>0</v>
      </c>
      <c r="AW200">
        <v>200</v>
      </c>
      <c r="BC200">
        <v>200</v>
      </c>
      <c r="BD200">
        <v>930</v>
      </c>
      <c r="BJ200">
        <v>930</v>
      </c>
      <c r="BQ200">
        <v>0</v>
      </c>
      <c r="BU200">
        <v>800</v>
      </c>
      <c r="BX200">
        <v>800</v>
      </c>
      <c r="CE200">
        <v>0</v>
      </c>
      <c r="CF200">
        <v>1130</v>
      </c>
      <c r="CG200">
        <v>0</v>
      </c>
      <c r="CH200">
        <v>0</v>
      </c>
      <c r="CI200">
        <v>800</v>
      </c>
      <c r="CJ200">
        <v>0</v>
      </c>
      <c r="CK200">
        <v>0</v>
      </c>
      <c r="CL200">
        <v>1930</v>
      </c>
      <c r="CS200">
        <v>0</v>
      </c>
      <c r="CT200">
        <v>1</v>
      </c>
      <c r="CZ200">
        <v>1</v>
      </c>
      <c r="DA200">
        <v>1</v>
      </c>
      <c r="DG200">
        <v>1</v>
      </c>
      <c r="DN200">
        <v>0</v>
      </c>
      <c r="DR200">
        <v>1</v>
      </c>
      <c r="DU200">
        <v>1</v>
      </c>
      <c r="EB200">
        <v>0</v>
      </c>
      <c r="EC200">
        <v>2</v>
      </c>
      <c r="ED200">
        <v>0</v>
      </c>
      <c r="EE200">
        <v>0</v>
      </c>
      <c r="EF200">
        <v>1</v>
      </c>
      <c r="EG200">
        <v>0</v>
      </c>
      <c r="EH200">
        <v>0</v>
      </c>
      <c r="EI200">
        <v>3</v>
      </c>
      <c r="EJ200" t="s">
        <v>404</v>
      </c>
      <c r="EK200" t="s">
        <v>404</v>
      </c>
      <c r="EL200" t="s">
        <v>404</v>
      </c>
      <c r="EM200" t="s">
        <v>404</v>
      </c>
      <c r="EN200" t="s">
        <v>404</v>
      </c>
      <c r="EO200" t="s">
        <v>404</v>
      </c>
      <c r="EP200" t="s">
        <v>405</v>
      </c>
      <c r="EQ200" t="s">
        <v>404</v>
      </c>
      <c r="ER200" t="s">
        <v>404</v>
      </c>
      <c r="ES200" t="s">
        <v>404</v>
      </c>
      <c r="ET200" t="s">
        <v>404</v>
      </c>
      <c r="EU200" t="s">
        <v>404</v>
      </c>
      <c r="EV200" t="s">
        <v>405</v>
      </c>
      <c r="EW200" t="s">
        <v>404</v>
      </c>
      <c r="EX200" t="s">
        <v>404</v>
      </c>
      <c r="EY200" t="s">
        <v>404</v>
      </c>
      <c r="EZ200" t="s">
        <v>404</v>
      </c>
      <c r="FA200" t="s">
        <v>404</v>
      </c>
      <c r="FB200" t="s">
        <v>404</v>
      </c>
      <c r="FC200" t="s">
        <v>404</v>
      </c>
      <c r="FD200" t="s">
        <v>404</v>
      </c>
      <c r="FE200" t="s">
        <v>404</v>
      </c>
      <c r="FF200" t="s">
        <v>404</v>
      </c>
      <c r="FG200" t="s">
        <v>404</v>
      </c>
      <c r="FH200" t="s">
        <v>404</v>
      </c>
      <c r="FI200" t="s">
        <v>404</v>
      </c>
      <c r="FJ200" t="s">
        <v>404</v>
      </c>
      <c r="FK200" t="s">
        <v>405</v>
      </c>
      <c r="FL200" t="s">
        <v>404</v>
      </c>
      <c r="FM200" t="s">
        <v>404</v>
      </c>
      <c r="FN200" t="s">
        <v>404</v>
      </c>
      <c r="FO200" t="s">
        <v>404</v>
      </c>
      <c r="FP200" t="s">
        <v>404</v>
      </c>
      <c r="FQ200" t="s">
        <v>404</v>
      </c>
      <c r="FR200" t="s">
        <v>404</v>
      </c>
      <c r="FS200" t="s">
        <v>404</v>
      </c>
      <c r="FZ200">
        <v>0</v>
      </c>
      <c r="GG200">
        <v>0</v>
      </c>
      <c r="GN200">
        <v>0</v>
      </c>
      <c r="GU200">
        <v>0</v>
      </c>
      <c r="HB200">
        <v>0</v>
      </c>
      <c r="HI200">
        <v>0</v>
      </c>
      <c r="HP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L200">
        <v>0</v>
      </c>
      <c r="IS200">
        <v>0</v>
      </c>
      <c r="IZ200">
        <v>0</v>
      </c>
      <c r="JG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5</v>
      </c>
      <c r="JX200">
        <v>95</v>
      </c>
      <c r="KA200">
        <v>3</v>
      </c>
      <c r="KB200">
        <v>3</v>
      </c>
      <c r="KC200">
        <v>1</v>
      </c>
      <c r="KD200" t="s">
        <v>407</v>
      </c>
      <c r="OG200" t="s">
        <v>408</v>
      </c>
      <c r="ON200">
        <v>0</v>
      </c>
      <c r="OU200">
        <v>0</v>
      </c>
      <c r="PB200">
        <v>0</v>
      </c>
      <c r="PI200">
        <v>0</v>
      </c>
      <c r="PP200">
        <v>0</v>
      </c>
      <c r="PW200">
        <v>0</v>
      </c>
      <c r="QD200">
        <v>0</v>
      </c>
      <c r="QL200">
        <v>0</v>
      </c>
      <c r="QM200">
        <v>0</v>
      </c>
      <c r="QN200">
        <v>0</v>
      </c>
      <c r="QO200">
        <v>0</v>
      </c>
      <c r="QP200">
        <v>0</v>
      </c>
      <c r="QQ200">
        <v>0</v>
      </c>
      <c r="QR200">
        <v>0</v>
      </c>
      <c r="QS200">
        <v>0</v>
      </c>
      <c r="QZ200">
        <v>0</v>
      </c>
      <c r="RG200">
        <v>0</v>
      </c>
      <c r="RN200">
        <v>0</v>
      </c>
      <c r="RU200">
        <v>0</v>
      </c>
      <c r="SB200">
        <v>0</v>
      </c>
      <c r="SC200">
        <v>0</v>
      </c>
      <c r="SD200">
        <v>0</v>
      </c>
      <c r="SE200">
        <v>0</v>
      </c>
      <c r="SF200">
        <v>0</v>
      </c>
      <c r="SG200">
        <v>0</v>
      </c>
      <c r="SH200">
        <v>0</v>
      </c>
      <c r="SI200">
        <v>0</v>
      </c>
      <c r="SJ200" t="s">
        <v>409</v>
      </c>
      <c r="SQ200">
        <v>0</v>
      </c>
      <c r="SX200">
        <v>0</v>
      </c>
      <c r="TE200">
        <v>0</v>
      </c>
      <c r="TL200">
        <v>0</v>
      </c>
      <c r="TS200">
        <v>0</v>
      </c>
      <c r="TZ200">
        <v>0</v>
      </c>
      <c r="UG200">
        <v>0</v>
      </c>
      <c r="UO200">
        <v>0</v>
      </c>
      <c r="UP200">
        <v>0</v>
      </c>
      <c r="UQ200">
        <v>0</v>
      </c>
      <c r="UR200">
        <v>0</v>
      </c>
      <c r="US200">
        <v>0</v>
      </c>
      <c r="UT200">
        <v>0</v>
      </c>
      <c r="UU200">
        <v>0</v>
      </c>
      <c r="UV200">
        <v>0</v>
      </c>
      <c r="VC200">
        <v>0</v>
      </c>
      <c r="VJ200">
        <v>0</v>
      </c>
      <c r="VQ200">
        <v>0</v>
      </c>
      <c r="VX200">
        <v>0</v>
      </c>
      <c r="WE200">
        <v>0</v>
      </c>
      <c r="WF200">
        <v>0</v>
      </c>
      <c r="WG200">
        <v>0</v>
      </c>
      <c r="WH200">
        <v>0</v>
      </c>
      <c r="WI200">
        <v>0</v>
      </c>
      <c r="WJ200">
        <v>0</v>
      </c>
      <c r="WK200">
        <v>0</v>
      </c>
      <c r="WL200">
        <v>0</v>
      </c>
      <c r="WM200" t="s">
        <v>410</v>
      </c>
      <c r="AAP200" t="s">
        <v>411</v>
      </c>
      <c r="AAW200">
        <v>0</v>
      </c>
      <c r="ABD200">
        <v>0</v>
      </c>
      <c r="ABE200">
        <v>800</v>
      </c>
      <c r="ABK200">
        <v>800</v>
      </c>
      <c r="ABR200">
        <v>0</v>
      </c>
      <c r="ABY200">
        <v>0</v>
      </c>
      <c r="ACF200">
        <v>0</v>
      </c>
      <c r="ACM200">
        <v>0</v>
      </c>
      <c r="ACU200">
        <v>0</v>
      </c>
      <c r="ACV200">
        <v>800</v>
      </c>
      <c r="ACW200">
        <v>0</v>
      </c>
      <c r="ACX200">
        <v>0</v>
      </c>
      <c r="ACY200">
        <v>0</v>
      </c>
      <c r="ACZ200">
        <v>0</v>
      </c>
      <c r="ADA200">
        <v>0</v>
      </c>
      <c r="ADB200">
        <v>800</v>
      </c>
      <c r="ADI200">
        <v>0</v>
      </c>
      <c r="ADP200">
        <v>0</v>
      </c>
      <c r="ADQ200">
        <v>800</v>
      </c>
      <c r="ADW200">
        <v>800</v>
      </c>
      <c r="AED200">
        <v>0</v>
      </c>
      <c r="AEK200">
        <v>0</v>
      </c>
      <c r="AEL200">
        <v>800</v>
      </c>
      <c r="AEM200">
        <v>0</v>
      </c>
      <c r="AEN200">
        <v>0</v>
      </c>
      <c r="AEO200">
        <v>0</v>
      </c>
      <c r="AEP200">
        <v>0</v>
      </c>
      <c r="AEQ200">
        <v>0</v>
      </c>
      <c r="AER200">
        <v>800</v>
      </c>
      <c r="AES200" t="s">
        <v>412</v>
      </c>
    </row>
    <row r="201" spans="1:825" x14ac:dyDescent="0.2">
      <c r="A201" t="s">
        <v>1845</v>
      </c>
      <c r="B201" t="s">
        <v>396</v>
      </c>
      <c r="C201" t="s">
        <v>1846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>
        <v>672</v>
      </c>
      <c r="W201" s="20">
        <v>43496.711111111108</v>
      </c>
      <c r="X201" t="s">
        <v>1847</v>
      </c>
      <c r="Y201">
        <v>2019</v>
      </c>
      <c r="Z201" t="s">
        <v>1848</v>
      </c>
      <c r="AA201" t="s">
        <v>1846</v>
      </c>
      <c r="AB201" t="str">
        <f>VLOOKUP(MID(AD201,SEARCH("@",AD201,1),LEN(AD201)-SEARCH("@",AD201,1)+1),[2]Sheet1!$D:$F,3,FALSE)</f>
        <v>M128</v>
      </c>
      <c r="AC201" t="s">
        <v>1849</v>
      </c>
      <c r="AD201" t="s">
        <v>1850</v>
      </c>
      <c r="AE201" t="s">
        <v>1851</v>
      </c>
      <c r="AF201" t="s">
        <v>592</v>
      </c>
      <c r="AG201" t="s">
        <v>403</v>
      </c>
      <c r="AI201">
        <v>1</v>
      </c>
      <c r="AL201">
        <v>401</v>
      </c>
      <c r="AM201">
        <v>401</v>
      </c>
      <c r="AN201">
        <v>163</v>
      </c>
      <c r="AO201">
        <v>163</v>
      </c>
      <c r="AV201">
        <v>0</v>
      </c>
      <c r="AW201">
        <v>122</v>
      </c>
      <c r="AX201">
        <v>250</v>
      </c>
      <c r="AZ201">
        <v>29</v>
      </c>
      <c r="BC201">
        <v>401</v>
      </c>
      <c r="BJ201">
        <v>0</v>
      </c>
      <c r="BQ201">
        <v>0</v>
      </c>
      <c r="BX201">
        <v>0</v>
      </c>
      <c r="CE201">
        <v>0</v>
      </c>
      <c r="CF201">
        <v>122</v>
      </c>
      <c r="CG201">
        <v>250</v>
      </c>
      <c r="CH201">
        <v>0</v>
      </c>
      <c r="CI201">
        <v>29</v>
      </c>
      <c r="CJ201">
        <v>0</v>
      </c>
      <c r="CK201">
        <v>0</v>
      </c>
      <c r="CL201">
        <v>401</v>
      </c>
      <c r="CS201">
        <v>0</v>
      </c>
      <c r="CT201">
        <v>3</v>
      </c>
      <c r="CU201">
        <v>2</v>
      </c>
      <c r="CW201">
        <v>1</v>
      </c>
      <c r="CZ201">
        <v>6</v>
      </c>
      <c r="DG201">
        <v>0</v>
      </c>
      <c r="DN201">
        <v>0</v>
      </c>
      <c r="DU201">
        <v>0</v>
      </c>
      <c r="EB201">
        <v>0</v>
      </c>
      <c r="EC201">
        <v>3</v>
      </c>
      <c r="ED201">
        <v>2</v>
      </c>
      <c r="EE201">
        <v>0</v>
      </c>
      <c r="EF201">
        <v>1</v>
      </c>
      <c r="EG201">
        <v>0</v>
      </c>
      <c r="EH201">
        <v>0</v>
      </c>
      <c r="EI201">
        <v>6</v>
      </c>
      <c r="EJ201" t="s">
        <v>404</v>
      </c>
      <c r="EK201" t="s">
        <v>404</v>
      </c>
      <c r="EL201" t="s">
        <v>404</v>
      </c>
      <c r="EM201" t="s">
        <v>404</v>
      </c>
      <c r="EN201" t="s">
        <v>404</v>
      </c>
      <c r="EO201" t="s">
        <v>404</v>
      </c>
      <c r="EP201" t="s">
        <v>405</v>
      </c>
      <c r="EQ201" t="s">
        <v>405</v>
      </c>
      <c r="ER201" t="s">
        <v>404</v>
      </c>
      <c r="ES201" t="s">
        <v>405</v>
      </c>
      <c r="ET201" t="s">
        <v>404</v>
      </c>
      <c r="EU201" t="s">
        <v>404</v>
      </c>
      <c r="EV201" t="s">
        <v>404</v>
      </c>
      <c r="EW201" t="s">
        <v>404</v>
      </c>
      <c r="EX201" t="s">
        <v>404</v>
      </c>
      <c r="EY201" t="s">
        <v>404</v>
      </c>
      <c r="EZ201" t="s">
        <v>404</v>
      </c>
      <c r="FA201" t="s">
        <v>404</v>
      </c>
      <c r="FB201" t="s">
        <v>404</v>
      </c>
      <c r="FC201" t="s">
        <v>404</v>
      </c>
      <c r="FD201" t="s">
        <v>404</v>
      </c>
      <c r="FE201" t="s">
        <v>404</v>
      </c>
      <c r="FF201" t="s">
        <v>404</v>
      </c>
      <c r="FG201" t="s">
        <v>404</v>
      </c>
      <c r="FH201" t="s">
        <v>404</v>
      </c>
      <c r="FI201" t="s">
        <v>404</v>
      </c>
      <c r="FJ201" t="s">
        <v>404</v>
      </c>
      <c r="FK201" t="s">
        <v>404</v>
      </c>
      <c r="FL201" t="s">
        <v>404</v>
      </c>
      <c r="FM201" t="s">
        <v>404</v>
      </c>
      <c r="FN201" t="s">
        <v>404</v>
      </c>
      <c r="FO201" t="s">
        <v>404</v>
      </c>
      <c r="FP201" t="s">
        <v>404</v>
      </c>
      <c r="FQ201" t="s">
        <v>404</v>
      </c>
      <c r="FR201" t="s">
        <v>404</v>
      </c>
      <c r="FS201" t="s">
        <v>404</v>
      </c>
      <c r="FT201">
        <v>116.5</v>
      </c>
      <c r="FZ201">
        <v>116.5</v>
      </c>
      <c r="GG201">
        <v>0</v>
      </c>
      <c r="GN201">
        <v>0</v>
      </c>
      <c r="GU201">
        <v>0</v>
      </c>
      <c r="HB201">
        <v>0</v>
      </c>
      <c r="HI201">
        <v>0</v>
      </c>
      <c r="HJ201">
        <v>5.5</v>
      </c>
      <c r="HP201">
        <v>5.5</v>
      </c>
      <c r="HQ201" t="s">
        <v>1852</v>
      </c>
      <c r="HS201">
        <v>250</v>
      </c>
      <c r="HU201">
        <v>29</v>
      </c>
      <c r="HX201">
        <v>279</v>
      </c>
      <c r="HY201">
        <v>122</v>
      </c>
      <c r="HZ201">
        <v>250</v>
      </c>
      <c r="IA201">
        <v>0</v>
      </c>
      <c r="IB201">
        <v>29</v>
      </c>
      <c r="IC201">
        <v>0</v>
      </c>
      <c r="ID201">
        <v>0</v>
      </c>
      <c r="IE201">
        <v>401</v>
      </c>
      <c r="IL201">
        <v>0</v>
      </c>
      <c r="IM201">
        <v>122</v>
      </c>
      <c r="IN201">
        <v>250</v>
      </c>
      <c r="IP201">
        <v>29</v>
      </c>
      <c r="IS201">
        <v>401</v>
      </c>
      <c r="IZ201">
        <v>0</v>
      </c>
      <c r="JG201">
        <v>0</v>
      </c>
      <c r="JN201">
        <v>0</v>
      </c>
      <c r="JO201">
        <v>122</v>
      </c>
      <c r="JP201">
        <v>250</v>
      </c>
      <c r="JQ201">
        <v>0</v>
      </c>
      <c r="JR201">
        <v>29</v>
      </c>
      <c r="JS201">
        <v>0</v>
      </c>
      <c r="JT201">
        <v>0</v>
      </c>
      <c r="JU201">
        <v>401</v>
      </c>
      <c r="JX201">
        <v>98.6</v>
      </c>
      <c r="JY201" t="s">
        <v>1853</v>
      </c>
      <c r="JZ201">
        <v>1.4</v>
      </c>
      <c r="KA201">
        <v>1</v>
      </c>
      <c r="KB201">
        <v>3</v>
      </c>
      <c r="KC201">
        <v>1</v>
      </c>
      <c r="KD201" t="s">
        <v>407</v>
      </c>
      <c r="OG201" t="s">
        <v>408</v>
      </c>
      <c r="SJ201" t="s">
        <v>409</v>
      </c>
      <c r="WM201" t="s">
        <v>410</v>
      </c>
      <c r="AAP201" t="s">
        <v>411</v>
      </c>
      <c r="AES201" t="s">
        <v>412</v>
      </c>
    </row>
    <row r="202" spans="1:825" x14ac:dyDescent="0.2">
      <c r="A202" t="s">
        <v>1854</v>
      </c>
      <c r="B202" t="s">
        <v>396</v>
      </c>
      <c r="C202" t="s">
        <v>1855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>
        <v>584</v>
      </c>
      <c r="W202" s="20">
        <v>43479.329861111109</v>
      </c>
      <c r="X202" t="s">
        <v>1856</v>
      </c>
      <c r="Y202">
        <v>2019</v>
      </c>
      <c r="Z202" t="s">
        <v>1857</v>
      </c>
      <c r="AA202" t="s">
        <v>1858</v>
      </c>
      <c r="AB202" t="str">
        <f>VLOOKUP(MID(AD202,SEARCH("@",AD202,1),LEN(AD202)-SEARCH("@",AD202,1)+1),[2]Sheet1!$D:$F,3,FALSE)</f>
        <v>M209</v>
      </c>
      <c r="AC202" t="s">
        <v>1859</v>
      </c>
      <c r="AD202" t="s">
        <v>1860</v>
      </c>
      <c r="AE202">
        <v>4790556483</v>
      </c>
      <c r="AF202" t="s">
        <v>467</v>
      </c>
      <c r="AG202" t="s">
        <v>403</v>
      </c>
      <c r="AI202">
        <v>1</v>
      </c>
      <c r="AL202">
        <v>100</v>
      </c>
      <c r="AM202">
        <v>100</v>
      </c>
      <c r="AN202">
        <v>100</v>
      </c>
      <c r="AO202">
        <v>100</v>
      </c>
      <c r="AV202">
        <v>0</v>
      </c>
      <c r="AW202">
        <v>100</v>
      </c>
      <c r="BC202">
        <v>100</v>
      </c>
      <c r="BJ202">
        <v>0</v>
      </c>
      <c r="BQ202">
        <v>0</v>
      </c>
      <c r="BX202">
        <v>0</v>
      </c>
      <c r="CE202">
        <v>0</v>
      </c>
      <c r="CF202">
        <v>100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100</v>
      </c>
      <c r="CS202">
        <v>0</v>
      </c>
      <c r="CT202">
        <v>1</v>
      </c>
      <c r="CZ202">
        <v>1</v>
      </c>
      <c r="DG202">
        <v>0</v>
      </c>
      <c r="DN202">
        <v>0</v>
      </c>
      <c r="DU202">
        <v>0</v>
      </c>
      <c r="EB202">
        <v>0</v>
      </c>
      <c r="EC202">
        <v>1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1</v>
      </c>
      <c r="EJ202" t="s">
        <v>404</v>
      </c>
      <c r="EK202" t="s">
        <v>404</v>
      </c>
      <c r="EL202" t="s">
        <v>404</v>
      </c>
      <c r="EM202" t="s">
        <v>404</v>
      </c>
      <c r="EN202" t="s">
        <v>404</v>
      </c>
      <c r="EO202" t="s">
        <v>404</v>
      </c>
      <c r="EP202" t="s">
        <v>405</v>
      </c>
      <c r="EQ202" t="s">
        <v>404</v>
      </c>
      <c r="ER202" t="s">
        <v>404</v>
      </c>
      <c r="ES202" t="s">
        <v>404</v>
      </c>
      <c r="ET202" t="s">
        <v>404</v>
      </c>
      <c r="EU202" t="s">
        <v>404</v>
      </c>
      <c r="EV202" t="s">
        <v>404</v>
      </c>
      <c r="EW202" t="s">
        <v>404</v>
      </c>
      <c r="EX202" t="s">
        <v>404</v>
      </c>
      <c r="EY202" t="s">
        <v>404</v>
      </c>
      <c r="EZ202" t="s">
        <v>404</v>
      </c>
      <c r="FA202" t="s">
        <v>404</v>
      </c>
      <c r="FB202" t="s">
        <v>404</v>
      </c>
      <c r="FC202" t="s">
        <v>404</v>
      </c>
      <c r="FD202" t="s">
        <v>404</v>
      </c>
      <c r="FE202" t="s">
        <v>404</v>
      </c>
      <c r="FF202" t="s">
        <v>404</v>
      </c>
      <c r="FG202" t="s">
        <v>404</v>
      </c>
      <c r="FH202" t="s">
        <v>404</v>
      </c>
      <c r="FI202" t="s">
        <v>404</v>
      </c>
      <c r="FJ202" t="s">
        <v>404</v>
      </c>
      <c r="FK202" t="s">
        <v>404</v>
      </c>
      <c r="FL202" t="s">
        <v>404</v>
      </c>
      <c r="FM202" t="s">
        <v>404</v>
      </c>
      <c r="FN202" t="s">
        <v>404</v>
      </c>
      <c r="FO202" t="s">
        <v>404</v>
      </c>
      <c r="FP202" t="s">
        <v>404</v>
      </c>
      <c r="FQ202" t="s">
        <v>404</v>
      </c>
      <c r="FR202" t="s">
        <v>404</v>
      </c>
      <c r="FS202" t="s">
        <v>404</v>
      </c>
      <c r="FT202">
        <v>100</v>
      </c>
      <c r="FZ202">
        <v>100</v>
      </c>
      <c r="GG202">
        <v>0</v>
      </c>
      <c r="GN202">
        <v>0</v>
      </c>
      <c r="GU202">
        <v>0</v>
      </c>
      <c r="HB202">
        <v>0</v>
      </c>
      <c r="HI202">
        <v>0</v>
      </c>
      <c r="HP202">
        <v>0</v>
      </c>
      <c r="HX202">
        <v>0</v>
      </c>
      <c r="HY202">
        <v>100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100</v>
      </c>
      <c r="IL202">
        <v>0</v>
      </c>
      <c r="IM202">
        <v>100</v>
      </c>
      <c r="IS202">
        <v>100</v>
      </c>
      <c r="IZ202">
        <v>0</v>
      </c>
      <c r="JG202">
        <v>0</v>
      </c>
      <c r="JN202">
        <v>0</v>
      </c>
      <c r="JO202">
        <v>100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100</v>
      </c>
      <c r="JX202">
        <v>100</v>
      </c>
      <c r="KA202">
        <v>1</v>
      </c>
      <c r="KB202">
        <v>2</v>
      </c>
      <c r="KC202">
        <v>1</v>
      </c>
      <c r="KD202" t="s">
        <v>407</v>
      </c>
      <c r="OG202" t="s">
        <v>408</v>
      </c>
      <c r="SJ202" t="s">
        <v>409</v>
      </c>
      <c r="WM202" t="s">
        <v>410</v>
      </c>
      <c r="AAP202" t="s">
        <v>411</v>
      </c>
      <c r="AES202" t="s">
        <v>412</v>
      </c>
    </row>
    <row r="203" spans="1:825" x14ac:dyDescent="0.2">
      <c r="A203" t="s">
        <v>1861</v>
      </c>
      <c r="B203" t="s">
        <v>396</v>
      </c>
      <c r="C203" t="s">
        <v>1862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>
        <v>802</v>
      </c>
      <c r="W203" s="20">
        <v>43521.65347222222</v>
      </c>
      <c r="X203" t="s">
        <v>1863</v>
      </c>
      <c r="Y203">
        <v>2019</v>
      </c>
      <c r="Z203" t="s">
        <v>1864</v>
      </c>
      <c r="AA203" t="s">
        <v>1862</v>
      </c>
      <c r="AB203" t="str">
        <f>VLOOKUP(MID(AD203,SEARCH("@",AD203,1),LEN(AD203)-SEARCH("@",AD203,1)+1),[2]Sheet1!$D:$F,3,FALSE)</f>
        <v>M662</v>
      </c>
      <c r="AC203" t="s">
        <v>685</v>
      </c>
      <c r="AD203" t="s">
        <v>1865</v>
      </c>
      <c r="AE203">
        <v>78123251306</v>
      </c>
      <c r="AF203" t="s">
        <v>1866</v>
      </c>
      <c r="AG203" t="s">
        <v>538</v>
      </c>
      <c r="AI203">
        <v>1</v>
      </c>
      <c r="AL203">
        <v>30</v>
      </c>
      <c r="AM203">
        <v>30</v>
      </c>
      <c r="AN203">
        <v>30</v>
      </c>
      <c r="AO203">
        <v>30</v>
      </c>
      <c r="AV203">
        <v>0</v>
      </c>
      <c r="AX203">
        <v>100</v>
      </c>
      <c r="BC203">
        <v>100</v>
      </c>
      <c r="BJ203">
        <v>0</v>
      </c>
      <c r="BQ203">
        <v>0</v>
      </c>
      <c r="BX203">
        <v>0</v>
      </c>
      <c r="CE203">
        <v>0</v>
      </c>
      <c r="CF203">
        <v>0</v>
      </c>
      <c r="CG203">
        <v>100</v>
      </c>
      <c r="CH203">
        <v>0</v>
      </c>
      <c r="CI203">
        <v>0</v>
      </c>
      <c r="CJ203">
        <v>0</v>
      </c>
      <c r="CK203">
        <v>0</v>
      </c>
      <c r="CL203">
        <v>100</v>
      </c>
      <c r="CS203">
        <v>0</v>
      </c>
      <c r="CT203" s="2"/>
      <c r="CU203" s="2"/>
      <c r="CV203" s="2"/>
      <c r="CW203" s="2"/>
      <c r="CX203" s="2"/>
      <c r="CY203" s="2"/>
      <c r="CZ203" s="2"/>
      <c r="DG203">
        <v>0</v>
      </c>
      <c r="DN203">
        <v>0</v>
      </c>
      <c r="DU203">
        <v>0</v>
      </c>
      <c r="EB203">
        <v>0</v>
      </c>
      <c r="EC203" s="2"/>
      <c r="ED203" s="2"/>
      <c r="EE203">
        <v>0</v>
      </c>
      <c r="EF203">
        <v>0</v>
      </c>
      <c r="EG203">
        <v>0</v>
      </c>
      <c r="EH203">
        <v>0</v>
      </c>
      <c r="EI203" s="2"/>
      <c r="EJ203" t="s">
        <v>404</v>
      </c>
      <c r="EK203" t="s">
        <v>404</v>
      </c>
      <c r="EL203" t="s">
        <v>404</v>
      </c>
      <c r="EM203" t="s">
        <v>404</v>
      </c>
      <c r="EN203" t="s">
        <v>404</v>
      </c>
      <c r="EO203" t="s">
        <v>404</v>
      </c>
      <c r="EP203" t="s">
        <v>404</v>
      </c>
      <c r="EQ203" t="s">
        <v>405</v>
      </c>
      <c r="ER203" t="s">
        <v>404</v>
      </c>
      <c r="ES203" t="s">
        <v>404</v>
      </c>
      <c r="ET203" t="s">
        <v>404</v>
      </c>
      <c r="EU203" t="s">
        <v>404</v>
      </c>
      <c r="EV203" t="s">
        <v>404</v>
      </c>
      <c r="EW203" t="s">
        <v>404</v>
      </c>
      <c r="EX203" t="s">
        <v>404</v>
      </c>
      <c r="EY203" t="s">
        <v>404</v>
      </c>
      <c r="EZ203" t="s">
        <v>404</v>
      </c>
      <c r="FA203" t="s">
        <v>404</v>
      </c>
      <c r="FB203" t="s">
        <v>404</v>
      </c>
      <c r="FC203" t="s">
        <v>404</v>
      </c>
      <c r="FD203" t="s">
        <v>404</v>
      </c>
      <c r="FE203" t="s">
        <v>404</v>
      </c>
      <c r="FF203" t="s">
        <v>404</v>
      </c>
      <c r="FG203" t="s">
        <v>404</v>
      </c>
      <c r="FH203" t="s">
        <v>404</v>
      </c>
      <c r="FI203" t="s">
        <v>404</v>
      </c>
      <c r="FJ203" t="s">
        <v>404</v>
      </c>
      <c r="FK203" t="s">
        <v>404</v>
      </c>
      <c r="FL203" t="s">
        <v>404</v>
      </c>
      <c r="FM203" t="s">
        <v>404</v>
      </c>
      <c r="FN203" t="s">
        <v>404</v>
      </c>
      <c r="FO203" t="s">
        <v>404</v>
      </c>
      <c r="FP203" t="s">
        <v>404</v>
      </c>
      <c r="FQ203" t="s">
        <v>404</v>
      </c>
      <c r="FR203" t="s">
        <v>404</v>
      </c>
      <c r="FS203" t="s">
        <v>404</v>
      </c>
      <c r="FZ203">
        <v>0</v>
      </c>
      <c r="GG203">
        <v>0</v>
      </c>
      <c r="GN203">
        <v>0</v>
      </c>
      <c r="GU203">
        <v>0</v>
      </c>
      <c r="HB203">
        <v>0</v>
      </c>
      <c r="HI203">
        <v>0</v>
      </c>
      <c r="HK203">
        <v>100</v>
      </c>
      <c r="HP203">
        <v>100</v>
      </c>
      <c r="HX203">
        <v>0</v>
      </c>
      <c r="HY203">
        <v>0</v>
      </c>
      <c r="HZ203">
        <v>100</v>
      </c>
      <c r="IA203">
        <v>0</v>
      </c>
      <c r="IB203">
        <v>0</v>
      </c>
      <c r="IC203">
        <v>0</v>
      </c>
      <c r="ID203">
        <v>0</v>
      </c>
      <c r="IE203">
        <v>100</v>
      </c>
      <c r="IL203">
        <v>0</v>
      </c>
      <c r="IS203">
        <v>0</v>
      </c>
      <c r="IU203">
        <v>100</v>
      </c>
      <c r="IZ203">
        <v>100</v>
      </c>
      <c r="JG203">
        <v>0</v>
      </c>
      <c r="JN203">
        <v>0</v>
      </c>
      <c r="JO203">
        <v>0</v>
      </c>
      <c r="JP203">
        <v>100</v>
      </c>
      <c r="JQ203">
        <v>0</v>
      </c>
      <c r="JR203">
        <v>0</v>
      </c>
      <c r="JS203">
        <v>0</v>
      </c>
      <c r="JT203">
        <v>0</v>
      </c>
      <c r="JU203">
        <v>100</v>
      </c>
      <c r="JV203">
        <v>0</v>
      </c>
      <c r="JW203">
        <v>0</v>
      </c>
      <c r="JX203">
        <v>100</v>
      </c>
      <c r="KA203">
        <v>1</v>
      </c>
      <c r="KB203">
        <v>2</v>
      </c>
      <c r="KC203">
        <v>1</v>
      </c>
      <c r="KD203" t="s">
        <v>407</v>
      </c>
      <c r="OG203" t="s">
        <v>408</v>
      </c>
      <c r="SJ203" t="s">
        <v>409</v>
      </c>
      <c r="WM203" t="s">
        <v>410</v>
      </c>
      <c r="AAP203" t="s">
        <v>411</v>
      </c>
      <c r="AES203" t="s">
        <v>412</v>
      </c>
    </row>
    <row r="204" spans="1:825" x14ac:dyDescent="0.2">
      <c r="A204" t="s">
        <v>1867</v>
      </c>
      <c r="B204" t="s">
        <v>396</v>
      </c>
      <c r="C204" t="s">
        <v>1868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  <c r="U204" t="b">
        <v>0</v>
      </c>
      <c r="V204">
        <v>758</v>
      </c>
      <c r="W204" s="20">
        <v>43517.618750000001</v>
      </c>
      <c r="X204" t="s">
        <v>1869</v>
      </c>
      <c r="Y204">
        <v>2019</v>
      </c>
      <c r="Z204" t="s">
        <v>1870</v>
      </c>
      <c r="AA204" t="s">
        <v>1871</v>
      </c>
      <c r="AB204" t="str">
        <f>VLOOKUP(MID(AD204,SEARCH("@",AD204,1),LEN(AD204)-SEARCH("@",AD204,1)+1),[2]Sheet1!$D:$F,3,FALSE)</f>
        <v>M201</v>
      </c>
      <c r="AC204" t="s">
        <v>852</v>
      </c>
      <c r="AD204" t="s">
        <v>1872</v>
      </c>
      <c r="AE204" t="s">
        <v>1873</v>
      </c>
      <c r="AF204" t="s">
        <v>571</v>
      </c>
      <c r="AG204" t="s">
        <v>538</v>
      </c>
      <c r="AI204">
        <v>1</v>
      </c>
      <c r="AL204">
        <v>600</v>
      </c>
      <c r="AM204">
        <v>600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600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600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600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600</v>
      </c>
      <c r="CS204">
        <v>0</v>
      </c>
      <c r="CZ204">
        <v>0</v>
      </c>
      <c r="DG204">
        <v>0</v>
      </c>
      <c r="DH204">
        <v>1</v>
      </c>
      <c r="DN204">
        <v>1</v>
      </c>
      <c r="DU204">
        <v>0</v>
      </c>
      <c r="EB204">
        <v>0</v>
      </c>
      <c r="EC204">
        <v>1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1</v>
      </c>
      <c r="EJ204" t="s">
        <v>404</v>
      </c>
      <c r="EK204" t="s">
        <v>404</v>
      </c>
      <c r="EL204" t="s">
        <v>404</v>
      </c>
      <c r="EM204" t="s">
        <v>404</v>
      </c>
      <c r="EN204" t="s">
        <v>404</v>
      </c>
      <c r="EO204" t="s">
        <v>404</v>
      </c>
      <c r="EP204" t="s">
        <v>404</v>
      </c>
      <c r="EQ204" t="s">
        <v>404</v>
      </c>
      <c r="ER204" t="s">
        <v>404</v>
      </c>
      <c r="ES204" t="s">
        <v>404</v>
      </c>
      <c r="ET204" t="s">
        <v>404</v>
      </c>
      <c r="EU204" t="s">
        <v>404</v>
      </c>
      <c r="EV204" t="s">
        <v>404</v>
      </c>
      <c r="EW204" t="s">
        <v>404</v>
      </c>
      <c r="EX204" t="s">
        <v>404</v>
      </c>
      <c r="EY204" t="s">
        <v>404</v>
      </c>
      <c r="EZ204" t="s">
        <v>404</v>
      </c>
      <c r="FA204" t="s">
        <v>404</v>
      </c>
      <c r="FB204" t="s">
        <v>405</v>
      </c>
      <c r="FC204" t="s">
        <v>404</v>
      </c>
      <c r="FD204" t="s">
        <v>404</v>
      </c>
      <c r="FE204" t="s">
        <v>404</v>
      </c>
      <c r="FF204" t="s">
        <v>404</v>
      </c>
      <c r="FG204" t="s">
        <v>404</v>
      </c>
      <c r="FH204" t="s">
        <v>404</v>
      </c>
      <c r="FI204" t="s">
        <v>404</v>
      </c>
      <c r="FJ204" t="s">
        <v>404</v>
      </c>
      <c r="FK204" t="s">
        <v>404</v>
      </c>
      <c r="FL204" t="s">
        <v>404</v>
      </c>
      <c r="FM204" t="s">
        <v>404</v>
      </c>
      <c r="FN204" t="s">
        <v>404</v>
      </c>
      <c r="FO204" t="s">
        <v>404</v>
      </c>
      <c r="FP204" t="s">
        <v>404</v>
      </c>
      <c r="FQ204" t="s">
        <v>404</v>
      </c>
      <c r="FR204" t="s">
        <v>404</v>
      </c>
      <c r="FS204" t="s">
        <v>404</v>
      </c>
      <c r="FT204">
        <v>250</v>
      </c>
      <c r="FZ204">
        <v>250</v>
      </c>
      <c r="GA204">
        <v>100</v>
      </c>
      <c r="GG204">
        <v>100</v>
      </c>
      <c r="GH204">
        <v>140</v>
      </c>
      <c r="GN204">
        <v>140</v>
      </c>
      <c r="GU204">
        <v>0</v>
      </c>
      <c r="GV204">
        <v>33</v>
      </c>
      <c r="HB204">
        <v>33</v>
      </c>
      <c r="HI204">
        <v>0</v>
      </c>
      <c r="HJ204">
        <v>27</v>
      </c>
      <c r="HP204">
        <v>27</v>
      </c>
      <c r="HQ204" t="s">
        <v>1874</v>
      </c>
      <c r="HR204">
        <v>50</v>
      </c>
      <c r="HX204">
        <v>50</v>
      </c>
      <c r="HY204">
        <v>600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600</v>
      </c>
      <c r="IF204">
        <v>340</v>
      </c>
      <c r="IL204">
        <v>340</v>
      </c>
      <c r="IM204">
        <v>65</v>
      </c>
      <c r="IS204">
        <v>65</v>
      </c>
      <c r="IT204">
        <v>195</v>
      </c>
      <c r="IZ204">
        <v>195</v>
      </c>
      <c r="JG204">
        <v>0</v>
      </c>
      <c r="JN204">
        <v>0</v>
      </c>
      <c r="JO204">
        <v>600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600</v>
      </c>
      <c r="JV204">
        <v>17</v>
      </c>
      <c r="JX204">
        <v>83</v>
      </c>
      <c r="KA204">
        <v>1</v>
      </c>
      <c r="KB204">
        <v>2</v>
      </c>
      <c r="KC204">
        <v>1</v>
      </c>
      <c r="KD204" t="s">
        <v>407</v>
      </c>
      <c r="OG204" t="s">
        <v>408</v>
      </c>
      <c r="SJ204" t="s">
        <v>409</v>
      </c>
      <c r="WM204" t="s">
        <v>410</v>
      </c>
      <c r="AAP204" t="s">
        <v>411</v>
      </c>
      <c r="AES204" t="s">
        <v>412</v>
      </c>
    </row>
    <row r="216" spans="260:260" x14ac:dyDescent="0.2">
      <c r="IZ216">
        <f>1002-262</f>
        <v>740</v>
      </c>
    </row>
  </sheetData>
  <autoFilter ref="A1:AIU204" xr:uid="{B9BE8A07-7FB7-4C31-8E09-DC331EEF9868}"/>
  <pageMargins left="0.7" right="0.7" top="0.75" bottom="0.75" header="0.3" footer="0.3"/>
  <pageSetup paperSize="9" orientation="portrait" verticalDpi="0" r:id="rId1"/>
  <customProperties>
    <customPr name="layoutContexts" r:id="rId2"/>
    <customPr name="pages" r:id="rId3"/>
    <customPr name="screen" r:id="rId4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F8E8D-DD15-4E35-A036-477277351B92}">
  <sheetPr>
    <tabColor theme="9" tint="-0.249977111117893"/>
  </sheetPr>
  <dimension ref="A1:L915"/>
  <sheetViews>
    <sheetView tabSelected="1" topLeftCell="D824" zoomScaleNormal="100" workbookViewId="0">
      <selection activeCell="G874" sqref="G874:G887"/>
    </sheetView>
  </sheetViews>
  <sheetFormatPr defaultRowHeight="12.75" x14ac:dyDescent="0.2"/>
  <cols>
    <col min="1" max="1" width="42.28515625" bestFit="1" customWidth="1"/>
    <col min="2" max="2" width="11.85546875" bestFit="1" customWidth="1"/>
    <col min="3" max="3" width="81.140625" bestFit="1" customWidth="1"/>
    <col min="4" max="4" width="9.5703125" bestFit="1" customWidth="1"/>
    <col min="5" max="5" width="42" customWidth="1"/>
    <col min="6" max="6" width="72.7109375" bestFit="1" customWidth="1"/>
    <col min="7" max="7" width="30.28515625" bestFit="1" customWidth="1"/>
    <col min="8" max="8" width="78.140625" bestFit="1" customWidth="1"/>
    <col min="9" max="9" width="22.5703125" customWidth="1"/>
    <col min="10" max="10" width="40.140625" customWidth="1"/>
    <col min="11" max="11" width="32.28515625" bestFit="1" customWidth="1"/>
    <col min="12" max="12" width="11.7109375" bestFit="1" customWidth="1"/>
    <col min="13" max="13" width="12.140625" bestFit="1" customWidth="1"/>
  </cols>
  <sheetData>
    <row r="1" spans="1:12" x14ac:dyDescent="0.2">
      <c r="A1" t="s">
        <v>1875</v>
      </c>
      <c r="B1" t="s">
        <v>1876</v>
      </c>
      <c r="C1" t="s">
        <v>1877</v>
      </c>
      <c r="D1" t="s">
        <v>2738</v>
      </c>
      <c r="E1" t="s">
        <v>3494</v>
      </c>
      <c r="F1" t="s">
        <v>3495</v>
      </c>
      <c r="G1" t="s">
        <v>3496</v>
      </c>
      <c r="H1" t="s">
        <v>3497</v>
      </c>
      <c r="I1" t="s">
        <v>3498</v>
      </c>
      <c r="J1" t="s">
        <v>3499</v>
      </c>
      <c r="K1" t="s">
        <v>3500</v>
      </c>
      <c r="L1" t="s">
        <v>3501</v>
      </c>
    </row>
    <row r="2" spans="1:12" x14ac:dyDescent="0.2">
      <c r="A2" t="s">
        <v>0</v>
      </c>
      <c r="B2" t="s">
        <v>1890</v>
      </c>
      <c r="C2" t="s">
        <v>0</v>
      </c>
      <c r="D2" t="s">
        <v>5542</v>
      </c>
    </row>
    <row r="3" spans="1:12" x14ac:dyDescent="0.2">
      <c r="A3" t="s">
        <v>1</v>
      </c>
      <c r="B3" t="s">
        <v>1890</v>
      </c>
      <c r="C3" t="s">
        <v>1879</v>
      </c>
      <c r="D3" t="s">
        <v>5543</v>
      </c>
    </row>
    <row r="4" spans="1:12" x14ac:dyDescent="0.2">
      <c r="A4" t="s">
        <v>2</v>
      </c>
      <c r="B4" t="s">
        <v>1890</v>
      </c>
      <c r="C4" t="s">
        <v>1880</v>
      </c>
      <c r="D4" t="s">
        <v>5544</v>
      </c>
    </row>
    <row r="5" spans="1:12" x14ac:dyDescent="0.2">
      <c r="A5" t="s">
        <v>3</v>
      </c>
      <c r="B5" t="s">
        <v>1890</v>
      </c>
      <c r="C5" t="s">
        <v>1882</v>
      </c>
      <c r="D5" t="s">
        <v>5545</v>
      </c>
    </row>
    <row r="6" spans="1:12" x14ac:dyDescent="0.2">
      <c r="A6" t="s">
        <v>4</v>
      </c>
      <c r="B6" t="s">
        <v>1890</v>
      </c>
      <c r="C6" t="s">
        <v>4</v>
      </c>
      <c r="D6" t="s">
        <v>5546</v>
      </c>
    </row>
    <row r="7" spans="1:12" x14ac:dyDescent="0.2">
      <c r="A7" t="s">
        <v>3</v>
      </c>
      <c r="B7" t="s">
        <v>1890</v>
      </c>
      <c r="C7" t="s">
        <v>1882</v>
      </c>
      <c r="D7" t="s">
        <v>5547</v>
      </c>
    </row>
    <row r="8" spans="1:12" x14ac:dyDescent="0.2">
      <c r="A8" t="s">
        <v>5</v>
      </c>
      <c r="B8" t="s">
        <v>1890</v>
      </c>
      <c r="C8" t="s">
        <v>5</v>
      </c>
      <c r="D8" t="s">
        <v>5548</v>
      </c>
    </row>
    <row r="9" spans="1:12" x14ac:dyDescent="0.2">
      <c r="A9" t="s">
        <v>3</v>
      </c>
      <c r="B9" t="s">
        <v>1890</v>
      </c>
      <c r="C9" t="s">
        <v>1882</v>
      </c>
      <c r="D9" t="s">
        <v>5549</v>
      </c>
    </row>
    <row r="10" spans="1:12" x14ac:dyDescent="0.2">
      <c r="A10" t="s">
        <v>6</v>
      </c>
      <c r="B10" t="s">
        <v>1890</v>
      </c>
      <c r="C10" t="s">
        <v>6</v>
      </c>
      <c r="D10" t="s">
        <v>5550</v>
      </c>
    </row>
    <row r="11" spans="1:12" x14ac:dyDescent="0.2">
      <c r="A11" t="s">
        <v>3</v>
      </c>
      <c r="B11" t="s">
        <v>1890</v>
      </c>
      <c r="C11" t="s">
        <v>1882</v>
      </c>
      <c r="D11" t="s">
        <v>5551</v>
      </c>
    </row>
    <row r="12" spans="1:12" x14ac:dyDescent="0.2">
      <c r="A12" t="s">
        <v>7</v>
      </c>
      <c r="B12" t="s">
        <v>1890</v>
      </c>
      <c r="C12" t="s">
        <v>7</v>
      </c>
      <c r="D12" t="s">
        <v>5552</v>
      </c>
    </row>
    <row r="13" spans="1:12" x14ac:dyDescent="0.2">
      <c r="A13" t="s">
        <v>3</v>
      </c>
      <c r="B13" t="s">
        <v>1890</v>
      </c>
      <c r="C13" t="s">
        <v>1882</v>
      </c>
      <c r="D13" t="s">
        <v>5553</v>
      </c>
    </row>
    <row r="14" spans="1:12" x14ac:dyDescent="0.2">
      <c r="A14" t="s">
        <v>8</v>
      </c>
      <c r="B14" t="s">
        <v>1890</v>
      </c>
      <c r="C14" t="s">
        <v>8</v>
      </c>
      <c r="D14" t="s">
        <v>5554</v>
      </c>
    </row>
    <row r="15" spans="1:12" x14ac:dyDescent="0.2">
      <c r="A15" t="s">
        <v>3</v>
      </c>
      <c r="B15" t="s">
        <v>1890</v>
      </c>
      <c r="C15" t="s">
        <v>1882</v>
      </c>
      <c r="D15" t="s">
        <v>5555</v>
      </c>
    </row>
    <row r="16" spans="1:12" x14ac:dyDescent="0.2">
      <c r="A16" t="s">
        <v>9</v>
      </c>
      <c r="B16" t="s">
        <v>1890</v>
      </c>
      <c r="C16" t="s">
        <v>9</v>
      </c>
      <c r="D16" t="s">
        <v>5556</v>
      </c>
    </row>
    <row r="17" spans="1:4" x14ac:dyDescent="0.2">
      <c r="A17" t="s">
        <v>10</v>
      </c>
      <c r="B17" t="s">
        <v>1890</v>
      </c>
      <c r="C17" t="s">
        <v>10</v>
      </c>
      <c r="D17" t="s">
        <v>5557</v>
      </c>
    </row>
    <row r="18" spans="1:4" x14ac:dyDescent="0.2">
      <c r="A18" t="s">
        <v>11</v>
      </c>
      <c r="B18" t="s">
        <v>1890</v>
      </c>
      <c r="C18" t="s">
        <v>11</v>
      </c>
      <c r="D18" t="s">
        <v>5558</v>
      </c>
    </row>
    <row r="19" spans="1:4" x14ac:dyDescent="0.2">
      <c r="A19" t="s">
        <v>12</v>
      </c>
      <c r="B19" t="s">
        <v>1890</v>
      </c>
      <c r="C19" t="s">
        <v>12</v>
      </c>
      <c r="D19" t="s">
        <v>5559</v>
      </c>
    </row>
    <row r="20" spans="1:4" x14ac:dyDescent="0.2">
      <c r="A20" t="s">
        <v>13</v>
      </c>
      <c r="B20" t="s">
        <v>1890</v>
      </c>
      <c r="C20" t="s">
        <v>13</v>
      </c>
      <c r="D20" t="s">
        <v>5560</v>
      </c>
    </row>
    <row r="21" spans="1:4" x14ac:dyDescent="0.2">
      <c r="A21" t="s">
        <v>14</v>
      </c>
      <c r="B21" t="s">
        <v>1890</v>
      </c>
      <c r="C21" t="s">
        <v>14</v>
      </c>
      <c r="D21" t="s">
        <v>5561</v>
      </c>
    </row>
    <row r="22" spans="1:4" x14ac:dyDescent="0.2">
      <c r="A22" t="s">
        <v>15</v>
      </c>
      <c r="B22" t="s">
        <v>1890</v>
      </c>
      <c r="C22" t="s">
        <v>15</v>
      </c>
      <c r="D22" t="s">
        <v>5562</v>
      </c>
    </row>
    <row r="23" spans="1:4" x14ac:dyDescent="0.2">
      <c r="A23" t="s">
        <v>16</v>
      </c>
      <c r="B23" t="s">
        <v>1890</v>
      </c>
      <c r="C23" t="s">
        <v>16</v>
      </c>
      <c r="D23" t="s">
        <v>5563</v>
      </c>
    </row>
    <row r="24" spans="1:4" x14ac:dyDescent="0.2">
      <c r="A24" t="s">
        <v>0</v>
      </c>
      <c r="B24" t="s">
        <v>1890</v>
      </c>
      <c r="C24" t="s">
        <v>0</v>
      </c>
      <c r="D24" t="s">
        <v>5564</v>
      </c>
    </row>
    <row r="25" spans="1:4" x14ac:dyDescent="0.2">
      <c r="A25" t="s">
        <v>1884</v>
      </c>
      <c r="B25" t="s">
        <v>1890</v>
      </c>
      <c r="C25" t="s">
        <v>1884</v>
      </c>
      <c r="D25" t="s">
        <v>5565</v>
      </c>
    </row>
    <row r="26" spans="1:4" x14ac:dyDescent="0.2">
      <c r="A26" t="s">
        <v>1885</v>
      </c>
      <c r="B26" t="s">
        <v>1890</v>
      </c>
      <c r="C26" t="s">
        <v>1885</v>
      </c>
      <c r="D26" t="s">
        <v>5566</v>
      </c>
    </row>
    <row r="27" spans="1:4" x14ac:dyDescent="0.2">
      <c r="A27" t="s">
        <v>17</v>
      </c>
      <c r="B27" t="s">
        <v>1890</v>
      </c>
      <c r="C27" t="s">
        <v>17</v>
      </c>
      <c r="D27" t="s">
        <v>5567</v>
      </c>
    </row>
    <row r="28" spans="1:4" x14ac:dyDescent="0.2">
      <c r="A28" t="s">
        <v>1886</v>
      </c>
      <c r="B28" t="s">
        <v>1890</v>
      </c>
      <c r="C28" t="s">
        <v>1886</v>
      </c>
      <c r="D28" t="s">
        <v>5568</v>
      </c>
    </row>
    <row r="29" spans="1:4" x14ac:dyDescent="0.2">
      <c r="A29" t="s">
        <v>1887</v>
      </c>
      <c r="B29" t="s">
        <v>1890</v>
      </c>
      <c r="C29" t="s">
        <v>1887</v>
      </c>
      <c r="D29" t="s">
        <v>5569</v>
      </c>
    </row>
    <row r="30" spans="1:4" x14ac:dyDescent="0.2">
      <c r="A30" t="s">
        <v>1888</v>
      </c>
      <c r="B30" t="s">
        <v>1890</v>
      </c>
      <c r="C30" t="s">
        <v>1888</v>
      </c>
      <c r="D30" t="s">
        <v>5570</v>
      </c>
    </row>
    <row r="31" spans="1:4" x14ac:dyDescent="0.2">
      <c r="A31" t="s">
        <v>18</v>
      </c>
      <c r="B31" t="s">
        <v>1890</v>
      </c>
      <c r="C31" t="s">
        <v>18</v>
      </c>
      <c r="D31" t="s">
        <v>5571</v>
      </c>
    </row>
    <row r="32" spans="1:4" x14ac:dyDescent="0.2">
      <c r="A32" t="s">
        <v>19</v>
      </c>
      <c r="B32" t="s">
        <v>1890</v>
      </c>
      <c r="C32" t="s">
        <v>1889</v>
      </c>
      <c r="D32" t="s">
        <v>5572</v>
      </c>
    </row>
    <row r="33" spans="1:11" x14ac:dyDescent="0.2">
      <c r="A33" t="s">
        <v>20</v>
      </c>
      <c r="B33" t="s">
        <v>1890</v>
      </c>
      <c r="C33" t="s">
        <v>1891</v>
      </c>
      <c r="D33" t="s">
        <v>5573</v>
      </c>
    </row>
    <row r="34" spans="1:11" x14ac:dyDescent="0.2">
      <c r="A34" t="s">
        <v>21</v>
      </c>
      <c r="B34" t="s">
        <v>1890</v>
      </c>
      <c r="C34" t="s">
        <v>1892</v>
      </c>
      <c r="D34" t="s">
        <v>5574</v>
      </c>
    </row>
    <row r="35" spans="1:11" x14ac:dyDescent="0.2">
      <c r="A35" t="s">
        <v>5581</v>
      </c>
      <c r="B35" t="s">
        <v>1890</v>
      </c>
      <c r="C35" t="s">
        <v>5582</v>
      </c>
      <c r="D35" t="s">
        <v>5575</v>
      </c>
    </row>
    <row r="36" spans="1:11" x14ac:dyDescent="0.2">
      <c r="A36" t="s">
        <v>22</v>
      </c>
      <c r="B36" t="s">
        <v>1890</v>
      </c>
      <c r="C36" t="s">
        <v>1893</v>
      </c>
      <c r="D36" t="s">
        <v>5576</v>
      </c>
    </row>
    <row r="37" spans="1:11" x14ac:dyDescent="0.2">
      <c r="A37" t="s">
        <v>23</v>
      </c>
      <c r="B37" t="s">
        <v>1890</v>
      </c>
      <c r="C37" t="s">
        <v>1894</v>
      </c>
      <c r="D37" t="s">
        <v>5577</v>
      </c>
    </row>
    <row r="38" spans="1:11" x14ac:dyDescent="0.2">
      <c r="A38" t="s">
        <v>24</v>
      </c>
      <c r="B38" t="s">
        <v>1890</v>
      </c>
      <c r="C38" t="s">
        <v>1895</v>
      </c>
      <c r="D38" t="s">
        <v>5578</v>
      </c>
    </row>
    <row r="39" spans="1:11" x14ac:dyDescent="0.2">
      <c r="A39" t="s">
        <v>25</v>
      </c>
      <c r="B39" t="s">
        <v>1890</v>
      </c>
      <c r="C39" t="s">
        <v>1896</v>
      </c>
      <c r="D39" t="s">
        <v>5579</v>
      </c>
    </row>
    <row r="40" spans="1:11" x14ac:dyDescent="0.2">
      <c r="A40" t="s">
        <v>26</v>
      </c>
      <c r="B40" t="s">
        <v>1890</v>
      </c>
      <c r="C40" t="s">
        <v>1898</v>
      </c>
      <c r="D40" t="s">
        <v>5580</v>
      </c>
    </row>
    <row r="41" spans="1:11" x14ac:dyDescent="0.2">
      <c r="A41" t="s">
        <v>27</v>
      </c>
      <c r="B41" t="s">
        <v>1890</v>
      </c>
      <c r="C41" t="s">
        <v>1899</v>
      </c>
      <c r="D41" t="s">
        <v>5583</v>
      </c>
    </row>
    <row r="42" spans="1:11" x14ac:dyDescent="0.2">
      <c r="A42" t="s">
        <v>28</v>
      </c>
      <c r="B42" t="s">
        <v>1900</v>
      </c>
      <c r="C42" t="s">
        <v>1901</v>
      </c>
      <c r="D42" t="s">
        <v>3503</v>
      </c>
      <c r="E42" t="s">
        <v>3504</v>
      </c>
      <c r="F42" t="s">
        <v>3505</v>
      </c>
      <c r="G42" t="s">
        <v>3506</v>
      </c>
      <c r="H42" t="s">
        <v>3502</v>
      </c>
      <c r="I42" t="s">
        <v>3507</v>
      </c>
      <c r="K42" t="s">
        <v>28</v>
      </c>
    </row>
    <row r="43" spans="1:11" x14ac:dyDescent="0.2">
      <c r="A43" t="s">
        <v>29</v>
      </c>
      <c r="B43" t="s">
        <v>1900</v>
      </c>
      <c r="C43" t="s">
        <v>1902</v>
      </c>
      <c r="D43" t="s">
        <v>3508</v>
      </c>
      <c r="E43" t="s">
        <v>3509</v>
      </c>
      <c r="F43" t="s">
        <v>3510</v>
      </c>
      <c r="G43" t="s">
        <v>3511</v>
      </c>
      <c r="H43" t="s">
        <v>3502</v>
      </c>
      <c r="I43" t="s">
        <v>3507</v>
      </c>
      <c r="K43" t="s">
        <v>29</v>
      </c>
    </row>
    <row r="44" spans="1:11" x14ac:dyDescent="0.2">
      <c r="A44" t="s">
        <v>30</v>
      </c>
      <c r="B44" t="s">
        <v>1890</v>
      </c>
      <c r="C44" t="s">
        <v>1903</v>
      </c>
      <c r="D44" t="s">
        <v>3512</v>
      </c>
      <c r="E44" t="s">
        <v>3513</v>
      </c>
      <c r="F44" t="s">
        <v>3514</v>
      </c>
      <c r="G44" t="s">
        <v>3515</v>
      </c>
      <c r="H44" t="s">
        <v>3502</v>
      </c>
      <c r="I44" t="s">
        <v>3507</v>
      </c>
      <c r="K44" t="s">
        <v>3516</v>
      </c>
    </row>
    <row r="45" spans="1:11" x14ac:dyDescent="0.2">
      <c r="A45" t="s">
        <v>3502</v>
      </c>
      <c r="B45" t="s">
        <v>3502</v>
      </c>
      <c r="C45" t="s">
        <v>1904</v>
      </c>
      <c r="D45" t="s">
        <v>3517</v>
      </c>
      <c r="H45" t="s">
        <v>3502</v>
      </c>
      <c r="I45" t="s">
        <v>3502</v>
      </c>
      <c r="K45" t="s">
        <v>3518</v>
      </c>
    </row>
    <row r="46" spans="1:11" x14ac:dyDescent="0.2">
      <c r="A46" t="s">
        <v>31</v>
      </c>
      <c r="B46" t="s">
        <v>1905</v>
      </c>
      <c r="C46" t="s">
        <v>1906</v>
      </c>
      <c r="D46" t="s">
        <v>3519</v>
      </c>
      <c r="E46" t="s">
        <v>3520</v>
      </c>
      <c r="F46" t="s">
        <v>3521</v>
      </c>
      <c r="G46" s="21" t="s">
        <v>3522</v>
      </c>
      <c r="H46" t="s">
        <v>3502</v>
      </c>
      <c r="I46" t="s">
        <v>3523</v>
      </c>
      <c r="K46" t="s">
        <v>3518</v>
      </c>
    </row>
    <row r="47" spans="1:11" x14ac:dyDescent="0.2">
      <c r="A47" t="s">
        <v>32</v>
      </c>
      <c r="B47" t="s">
        <v>1905</v>
      </c>
      <c r="C47" t="s">
        <v>1907</v>
      </c>
      <c r="D47" t="s">
        <v>3524</v>
      </c>
      <c r="E47" t="s">
        <v>3525</v>
      </c>
      <c r="F47" t="s">
        <v>3526</v>
      </c>
      <c r="G47" s="21" t="s">
        <v>5639</v>
      </c>
      <c r="H47" t="s">
        <v>3502</v>
      </c>
      <c r="I47" t="s">
        <v>3523</v>
      </c>
      <c r="K47" t="s">
        <v>3518</v>
      </c>
    </row>
    <row r="48" spans="1:11" x14ac:dyDescent="0.2">
      <c r="A48" t="s">
        <v>3502</v>
      </c>
      <c r="B48" t="s">
        <v>3502</v>
      </c>
      <c r="C48" t="s">
        <v>1908</v>
      </c>
      <c r="D48" t="s">
        <v>3527</v>
      </c>
      <c r="G48" s="22"/>
      <c r="H48" t="s">
        <v>3502</v>
      </c>
      <c r="I48" t="s">
        <v>3502</v>
      </c>
      <c r="K48" t="s">
        <v>3528</v>
      </c>
    </row>
    <row r="49" spans="1:11" x14ac:dyDescent="0.2">
      <c r="A49" t="s">
        <v>33</v>
      </c>
      <c r="B49" t="s">
        <v>1905</v>
      </c>
      <c r="C49" t="s">
        <v>1906</v>
      </c>
      <c r="D49" t="s">
        <v>2739</v>
      </c>
      <c r="E49" t="s">
        <v>3529</v>
      </c>
      <c r="F49" t="s">
        <v>3530</v>
      </c>
      <c r="G49" s="21" t="s">
        <v>3522</v>
      </c>
      <c r="H49" t="s">
        <v>3502</v>
      </c>
      <c r="I49" t="s">
        <v>3531</v>
      </c>
      <c r="K49" t="s">
        <v>3528</v>
      </c>
    </row>
    <row r="50" spans="1:11" x14ac:dyDescent="0.2">
      <c r="A50" t="s">
        <v>34</v>
      </c>
      <c r="B50" t="s">
        <v>1905</v>
      </c>
      <c r="C50" t="s">
        <v>1909</v>
      </c>
      <c r="D50" t="s">
        <v>3532</v>
      </c>
      <c r="E50" t="s">
        <v>3533</v>
      </c>
      <c r="F50" t="s">
        <v>3534</v>
      </c>
      <c r="G50" s="21" t="s">
        <v>5640</v>
      </c>
      <c r="H50" t="s">
        <v>3502</v>
      </c>
      <c r="I50" t="s">
        <v>3531</v>
      </c>
      <c r="K50" t="s">
        <v>3528</v>
      </c>
    </row>
    <row r="51" spans="1:11" x14ac:dyDescent="0.2">
      <c r="A51" t="s">
        <v>3502</v>
      </c>
      <c r="B51" t="s">
        <v>3502</v>
      </c>
      <c r="C51" t="s">
        <v>1910</v>
      </c>
      <c r="D51" t="s">
        <v>3535</v>
      </c>
      <c r="H51" t="s">
        <v>3502</v>
      </c>
      <c r="I51" t="s">
        <v>3502</v>
      </c>
      <c r="K51" t="s">
        <v>3536</v>
      </c>
    </row>
    <row r="52" spans="1:11" x14ac:dyDescent="0.2">
      <c r="A52" t="s">
        <v>35</v>
      </c>
      <c r="B52" t="s">
        <v>1905</v>
      </c>
      <c r="C52" t="s">
        <v>1911</v>
      </c>
      <c r="D52" t="s">
        <v>3537</v>
      </c>
      <c r="E52" t="s">
        <v>3538</v>
      </c>
      <c r="F52" t="s">
        <v>3539</v>
      </c>
      <c r="G52" t="s">
        <v>3540</v>
      </c>
      <c r="I52" t="s">
        <v>3523</v>
      </c>
      <c r="J52" t="s">
        <v>3541</v>
      </c>
      <c r="K52" t="s">
        <v>3536</v>
      </c>
    </row>
    <row r="53" spans="1:11" x14ac:dyDescent="0.2">
      <c r="A53" t="s">
        <v>36</v>
      </c>
      <c r="B53" t="s">
        <v>1905</v>
      </c>
      <c r="C53" t="s">
        <v>1912</v>
      </c>
      <c r="D53" t="s">
        <v>3542</v>
      </c>
      <c r="E53" t="s">
        <v>3543</v>
      </c>
      <c r="F53" t="s">
        <v>3544</v>
      </c>
      <c r="G53" t="s">
        <v>3545</v>
      </c>
      <c r="I53" t="s">
        <v>3523</v>
      </c>
      <c r="J53" t="s">
        <v>3541</v>
      </c>
      <c r="K53" t="s">
        <v>3536</v>
      </c>
    </row>
    <row r="54" spans="1:11" x14ac:dyDescent="0.2">
      <c r="A54" t="s">
        <v>37</v>
      </c>
      <c r="B54" t="s">
        <v>1905</v>
      </c>
      <c r="C54" t="s">
        <v>1913</v>
      </c>
      <c r="D54" t="s">
        <v>3546</v>
      </c>
      <c r="E54" t="s">
        <v>3547</v>
      </c>
      <c r="F54" t="s">
        <v>3548</v>
      </c>
      <c r="G54" t="s">
        <v>3549</v>
      </c>
      <c r="I54" t="s">
        <v>3523</v>
      </c>
      <c r="J54" t="s">
        <v>3541</v>
      </c>
      <c r="K54" t="s">
        <v>3536</v>
      </c>
    </row>
    <row r="55" spans="1:11" x14ac:dyDescent="0.2">
      <c r="A55" t="s">
        <v>38</v>
      </c>
      <c r="B55" t="s">
        <v>1905</v>
      </c>
      <c r="C55" t="s">
        <v>1914</v>
      </c>
      <c r="D55" t="s">
        <v>3550</v>
      </c>
      <c r="E55" t="s">
        <v>3551</v>
      </c>
      <c r="F55" t="s">
        <v>3552</v>
      </c>
      <c r="G55" t="s">
        <v>2026</v>
      </c>
      <c r="I55" t="s">
        <v>3523</v>
      </c>
      <c r="J55" t="s">
        <v>3541</v>
      </c>
      <c r="K55" t="s">
        <v>3536</v>
      </c>
    </row>
    <row r="56" spans="1:11" x14ac:dyDescent="0.2">
      <c r="A56" t="s">
        <v>39</v>
      </c>
      <c r="B56" t="s">
        <v>1905</v>
      </c>
      <c r="C56" t="s">
        <v>1915</v>
      </c>
      <c r="D56" t="s">
        <v>3553</v>
      </c>
      <c r="E56" t="s">
        <v>3554</v>
      </c>
      <c r="F56" t="s">
        <v>3555</v>
      </c>
      <c r="G56" t="s">
        <v>2027</v>
      </c>
      <c r="I56" t="s">
        <v>3523</v>
      </c>
      <c r="J56" t="s">
        <v>3541</v>
      </c>
      <c r="K56" t="s">
        <v>3536</v>
      </c>
    </row>
    <row r="57" spans="1:11" x14ac:dyDescent="0.2">
      <c r="A57" t="s">
        <v>40</v>
      </c>
      <c r="B57" t="s">
        <v>1905</v>
      </c>
      <c r="C57" t="s">
        <v>1916</v>
      </c>
      <c r="D57" t="s">
        <v>3556</v>
      </c>
      <c r="E57" t="s">
        <v>3557</v>
      </c>
      <c r="F57" t="s">
        <v>3558</v>
      </c>
      <c r="G57" t="s">
        <v>3559</v>
      </c>
      <c r="I57" t="s">
        <v>3523</v>
      </c>
      <c r="J57" t="s">
        <v>3541</v>
      </c>
      <c r="K57" t="s">
        <v>3536</v>
      </c>
    </row>
    <row r="58" spans="1:11" x14ac:dyDescent="0.2">
      <c r="A58" t="s">
        <v>41</v>
      </c>
      <c r="B58" t="s">
        <v>1905</v>
      </c>
      <c r="C58" t="s">
        <v>1917</v>
      </c>
      <c r="D58" t="s">
        <v>3560</v>
      </c>
      <c r="E58" t="s">
        <v>3561</v>
      </c>
      <c r="F58" t="s">
        <v>3562</v>
      </c>
      <c r="G58" t="s">
        <v>3563</v>
      </c>
      <c r="I58" t="s">
        <v>3523</v>
      </c>
      <c r="J58" t="s">
        <v>3541</v>
      </c>
      <c r="K58" t="s">
        <v>3536</v>
      </c>
    </row>
    <row r="59" spans="1:11" x14ac:dyDescent="0.2">
      <c r="A59" t="s">
        <v>42</v>
      </c>
      <c r="B59" t="s">
        <v>1905</v>
      </c>
      <c r="C59" t="s">
        <v>1918</v>
      </c>
      <c r="D59" t="s">
        <v>3564</v>
      </c>
      <c r="E59" t="s">
        <v>3565</v>
      </c>
      <c r="F59" t="s">
        <v>3566</v>
      </c>
      <c r="G59" t="s">
        <v>3567</v>
      </c>
      <c r="I59" t="s">
        <v>3523</v>
      </c>
      <c r="J59" t="s">
        <v>3541</v>
      </c>
      <c r="K59" t="s">
        <v>3536</v>
      </c>
    </row>
    <row r="60" spans="1:11" x14ac:dyDescent="0.2">
      <c r="A60" t="s">
        <v>43</v>
      </c>
      <c r="B60" t="s">
        <v>1905</v>
      </c>
      <c r="C60" t="s">
        <v>1919</v>
      </c>
      <c r="D60" t="s">
        <v>3568</v>
      </c>
      <c r="E60" t="s">
        <v>3569</v>
      </c>
      <c r="F60" t="s">
        <v>3570</v>
      </c>
      <c r="G60" t="s">
        <v>3571</v>
      </c>
      <c r="I60" t="s">
        <v>3523</v>
      </c>
      <c r="J60" t="s">
        <v>3541</v>
      </c>
      <c r="K60" t="s">
        <v>3536</v>
      </c>
    </row>
    <row r="61" spans="1:11" x14ac:dyDescent="0.2">
      <c r="A61" t="s">
        <v>44</v>
      </c>
      <c r="B61" t="s">
        <v>1905</v>
      </c>
      <c r="C61" t="s">
        <v>1920</v>
      </c>
      <c r="D61" t="s">
        <v>3572</v>
      </c>
      <c r="E61" t="s">
        <v>3573</v>
      </c>
      <c r="F61" t="s">
        <v>3574</v>
      </c>
      <c r="G61" t="s">
        <v>3575</v>
      </c>
      <c r="I61" t="s">
        <v>3523</v>
      </c>
      <c r="J61" t="s">
        <v>3541</v>
      </c>
      <c r="K61" t="s">
        <v>3536</v>
      </c>
    </row>
    <row r="62" spans="1:11" x14ac:dyDescent="0.2">
      <c r="A62" t="s">
        <v>45</v>
      </c>
      <c r="B62" t="s">
        <v>1905</v>
      </c>
      <c r="C62" t="s">
        <v>1921</v>
      </c>
      <c r="D62" t="s">
        <v>3576</v>
      </c>
      <c r="E62" t="s">
        <v>3577</v>
      </c>
      <c r="F62" t="s">
        <v>3578</v>
      </c>
      <c r="G62" t="s">
        <v>3579</v>
      </c>
      <c r="I62" t="s">
        <v>3523</v>
      </c>
      <c r="J62" t="s">
        <v>3541</v>
      </c>
      <c r="K62" t="s">
        <v>3536</v>
      </c>
    </row>
    <row r="63" spans="1:11" x14ac:dyDescent="0.2">
      <c r="A63" t="s">
        <v>46</v>
      </c>
      <c r="B63" t="s">
        <v>1905</v>
      </c>
      <c r="C63" t="s">
        <v>1922</v>
      </c>
      <c r="D63" t="s">
        <v>3580</v>
      </c>
      <c r="E63" t="s">
        <v>3581</v>
      </c>
      <c r="F63" t="s">
        <v>3582</v>
      </c>
      <c r="G63" t="s">
        <v>2034</v>
      </c>
      <c r="I63" t="s">
        <v>3523</v>
      </c>
      <c r="J63" t="s">
        <v>3541</v>
      </c>
      <c r="K63" t="s">
        <v>3536</v>
      </c>
    </row>
    <row r="64" spans="1:11" x14ac:dyDescent="0.2">
      <c r="A64" t="s">
        <v>47</v>
      </c>
      <c r="B64" t="s">
        <v>1905</v>
      </c>
      <c r="C64" t="s">
        <v>1923</v>
      </c>
      <c r="D64" t="s">
        <v>3583</v>
      </c>
      <c r="E64" t="s">
        <v>3584</v>
      </c>
      <c r="F64" t="s">
        <v>3585</v>
      </c>
      <c r="G64" t="s">
        <v>3586</v>
      </c>
      <c r="I64" t="s">
        <v>3523</v>
      </c>
      <c r="J64" t="s">
        <v>3541</v>
      </c>
      <c r="K64" t="s">
        <v>3536</v>
      </c>
    </row>
    <row r="65" spans="1:11" x14ac:dyDescent="0.2">
      <c r="A65" t="s">
        <v>48</v>
      </c>
      <c r="B65" t="s">
        <v>1905</v>
      </c>
      <c r="C65" t="s">
        <v>1924</v>
      </c>
      <c r="D65" t="s">
        <v>3587</v>
      </c>
      <c r="E65" t="s">
        <v>3588</v>
      </c>
      <c r="F65" t="s">
        <v>3589</v>
      </c>
      <c r="G65" t="s">
        <v>3590</v>
      </c>
      <c r="I65" t="s">
        <v>3523</v>
      </c>
      <c r="J65" t="s">
        <v>3541</v>
      </c>
      <c r="K65" t="s">
        <v>3536</v>
      </c>
    </row>
    <row r="66" spans="1:11" x14ac:dyDescent="0.2">
      <c r="A66" t="s">
        <v>49</v>
      </c>
      <c r="B66" t="s">
        <v>1905</v>
      </c>
      <c r="C66" t="s">
        <v>1925</v>
      </c>
      <c r="D66" t="s">
        <v>3591</v>
      </c>
      <c r="E66" t="s">
        <v>3592</v>
      </c>
      <c r="F66" t="s">
        <v>3593</v>
      </c>
      <c r="G66" t="s">
        <v>3594</v>
      </c>
      <c r="I66" t="s">
        <v>3523</v>
      </c>
      <c r="J66" t="s">
        <v>3541</v>
      </c>
      <c r="K66" t="s">
        <v>3536</v>
      </c>
    </row>
    <row r="67" spans="1:11" x14ac:dyDescent="0.2">
      <c r="A67" t="s">
        <v>50</v>
      </c>
      <c r="B67" t="s">
        <v>1905</v>
      </c>
      <c r="C67" t="s">
        <v>1926</v>
      </c>
      <c r="D67" t="s">
        <v>3595</v>
      </c>
      <c r="E67" t="s">
        <v>3596</v>
      </c>
      <c r="F67" t="s">
        <v>3597</v>
      </c>
      <c r="G67" t="s">
        <v>3598</v>
      </c>
      <c r="I67" t="s">
        <v>3523</v>
      </c>
      <c r="J67" t="s">
        <v>3541</v>
      </c>
      <c r="K67" t="s">
        <v>3536</v>
      </c>
    </row>
    <row r="68" spans="1:11" x14ac:dyDescent="0.2">
      <c r="A68" t="s">
        <v>51</v>
      </c>
      <c r="B68" t="s">
        <v>1905</v>
      </c>
      <c r="C68" t="s">
        <v>1927</v>
      </c>
      <c r="D68" t="s">
        <v>3599</v>
      </c>
      <c r="E68" t="s">
        <v>3600</v>
      </c>
      <c r="F68" t="s">
        <v>3601</v>
      </c>
      <c r="G68" t="s">
        <v>3602</v>
      </c>
      <c r="I68" t="s">
        <v>3523</v>
      </c>
      <c r="J68" t="s">
        <v>3541</v>
      </c>
      <c r="K68" t="s">
        <v>3536</v>
      </c>
    </row>
    <row r="69" spans="1:11" x14ac:dyDescent="0.2">
      <c r="A69" t="s">
        <v>52</v>
      </c>
      <c r="B69" t="s">
        <v>1905</v>
      </c>
      <c r="C69" t="s">
        <v>1928</v>
      </c>
      <c r="D69" t="s">
        <v>3603</v>
      </c>
      <c r="E69" t="s">
        <v>3604</v>
      </c>
      <c r="F69" t="s">
        <v>3605</v>
      </c>
      <c r="G69" t="s">
        <v>3606</v>
      </c>
      <c r="I69" t="s">
        <v>3523</v>
      </c>
      <c r="J69" t="s">
        <v>3541</v>
      </c>
      <c r="K69" t="s">
        <v>3536</v>
      </c>
    </row>
    <row r="70" spans="1:11" x14ac:dyDescent="0.2">
      <c r="A70" t="s">
        <v>53</v>
      </c>
      <c r="B70" t="s">
        <v>1905</v>
      </c>
      <c r="C70" t="s">
        <v>1929</v>
      </c>
      <c r="D70" t="s">
        <v>3607</v>
      </c>
      <c r="E70" t="s">
        <v>3608</v>
      </c>
      <c r="F70" t="s">
        <v>3609</v>
      </c>
      <c r="G70" t="s">
        <v>2041</v>
      </c>
      <c r="I70" t="s">
        <v>3523</v>
      </c>
      <c r="J70" t="s">
        <v>3541</v>
      </c>
      <c r="K70" t="s">
        <v>3536</v>
      </c>
    </row>
    <row r="71" spans="1:11" x14ac:dyDescent="0.2">
      <c r="A71" t="s">
        <v>54</v>
      </c>
      <c r="B71" t="s">
        <v>1905</v>
      </c>
      <c r="C71" t="s">
        <v>1930</v>
      </c>
      <c r="D71" t="s">
        <v>3610</v>
      </c>
      <c r="E71" t="s">
        <v>3611</v>
      </c>
      <c r="F71" t="s">
        <v>3612</v>
      </c>
      <c r="G71" t="s">
        <v>3613</v>
      </c>
      <c r="I71" t="s">
        <v>3523</v>
      </c>
      <c r="J71" t="s">
        <v>3541</v>
      </c>
      <c r="K71" t="s">
        <v>3536</v>
      </c>
    </row>
    <row r="72" spans="1:11" x14ac:dyDescent="0.2">
      <c r="A72" t="s">
        <v>55</v>
      </c>
      <c r="B72" t="s">
        <v>1905</v>
      </c>
      <c r="C72" t="s">
        <v>1931</v>
      </c>
      <c r="D72" t="s">
        <v>3614</v>
      </c>
      <c r="E72" t="s">
        <v>3615</v>
      </c>
      <c r="F72" t="s">
        <v>3616</v>
      </c>
      <c r="G72" t="s">
        <v>3617</v>
      </c>
      <c r="I72" t="s">
        <v>3523</v>
      </c>
      <c r="J72" t="s">
        <v>3541</v>
      </c>
      <c r="K72" t="s">
        <v>3536</v>
      </c>
    </row>
    <row r="73" spans="1:11" x14ac:dyDescent="0.2">
      <c r="A73" t="s">
        <v>56</v>
      </c>
      <c r="B73" t="s">
        <v>1905</v>
      </c>
      <c r="C73" t="s">
        <v>1932</v>
      </c>
      <c r="D73" t="s">
        <v>3618</v>
      </c>
      <c r="E73" t="s">
        <v>3619</v>
      </c>
      <c r="F73" t="s">
        <v>3620</v>
      </c>
      <c r="G73" t="s">
        <v>3621</v>
      </c>
      <c r="I73" t="s">
        <v>3523</v>
      </c>
      <c r="J73" t="s">
        <v>3541</v>
      </c>
      <c r="K73" t="s">
        <v>3536</v>
      </c>
    </row>
    <row r="74" spans="1:11" x14ac:dyDescent="0.2">
      <c r="A74" t="s">
        <v>57</v>
      </c>
      <c r="B74" t="s">
        <v>1905</v>
      </c>
      <c r="C74" t="s">
        <v>1933</v>
      </c>
      <c r="D74" t="s">
        <v>3622</v>
      </c>
      <c r="E74" t="s">
        <v>3623</v>
      </c>
      <c r="F74" t="s">
        <v>3624</v>
      </c>
      <c r="G74" t="s">
        <v>3625</v>
      </c>
      <c r="I74" t="s">
        <v>3523</v>
      </c>
      <c r="J74" t="s">
        <v>3541</v>
      </c>
      <c r="K74" t="s">
        <v>3536</v>
      </c>
    </row>
    <row r="75" spans="1:11" x14ac:dyDescent="0.2">
      <c r="A75" t="s">
        <v>58</v>
      </c>
      <c r="B75" t="s">
        <v>1905</v>
      </c>
      <c r="C75" t="s">
        <v>1934</v>
      </c>
      <c r="D75" t="s">
        <v>3626</v>
      </c>
      <c r="E75" t="s">
        <v>3627</v>
      </c>
      <c r="F75" t="s">
        <v>3628</v>
      </c>
      <c r="G75" t="s">
        <v>3629</v>
      </c>
      <c r="I75" t="s">
        <v>3523</v>
      </c>
      <c r="J75" t="s">
        <v>3541</v>
      </c>
      <c r="K75" t="s">
        <v>3536</v>
      </c>
    </row>
    <row r="76" spans="1:11" x14ac:dyDescent="0.2">
      <c r="A76" t="s">
        <v>59</v>
      </c>
      <c r="B76" t="s">
        <v>1905</v>
      </c>
      <c r="C76" t="s">
        <v>1935</v>
      </c>
      <c r="D76" t="s">
        <v>3630</v>
      </c>
      <c r="E76" t="s">
        <v>3631</v>
      </c>
      <c r="F76" t="s">
        <v>3632</v>
      </c>
      <c r="G76" t="s">
        <v>3633</v>
      </c>
      <c r="I76" t="s">
        <v>3523</v>
      </c>
      <c r="J76" t="s">
        <v>3541</v>
      </c>
      <c r="K76" t="s">
        <v>3536</v>
      </c>
    </row>
    <row r="77" spans="1:11" x14ac:dyDescent="0.2">
      <c r="A77" t="s">
        <v>60</v>
      </c>
      <c r="B77" t="s">
        <v>1905</v>
      </c>
      <c r="C77" t="s">
        <v>1936</v>
      </c>
      <c r="D77" t="s">
        <v>3634</v>
      </c>
      <c r="E77" t="s">
        <v>3635</v>
      </c>
      <c r="F77" t="s">
        <v>3636</v>
      </c>
      <c r="G77" t="s">
        <v>3637</v>
      </c>
      <c r="I77" t="s">
        <v>3523</v>
      </c>
      <c r="J77" t="s">
        <v>3541</v>
      </c>
      <c r="K77" t="s">
        <v>3536</v>
      </c>
    </row>
    <row r="78" spans="1:11" x14ac:dyDescent="0.2">
      <c r="A78" t="s">
        <v>61</v>
      </c>
      <c r="B78" t="s">
        <v>1905</v>
      </c>
      <c r="C78" t="s">
        <v>1937</v>
      </c>
      <c r="D78" t="s">
        <v>3638</v>
      </c>
      <c r="E78" t="s">
        <v>3639</v>
      </c>
      <c r="F78" t="s">
        <v>3640</v>
      </c>
      <c r="G78" t="s">
        <v>3641</v>
      </c>
      <c r="I78" t="s">
        <v>3523</v>
      </c>
      <c r="J78" t="s">
        <v>3541</v>
      </c>
      <c r="K78" t="s">
        <v>3536</v>
      </c>
    </row>
    <row r="79" spans="1:11" x14ac:dyDescent="0.2">
      <c r="A79" t="s">
        <v>62</v>
      </c>
      <c r="B79" t="s">
        <v>1905</v>
      </c>
      <c r="C79" t="s">
        <v>1938</v>
      </c>
      <c r="D79" t="s">
        <v>3642</v>
      </c>
      <c r="E79" t="s">
        <v>3643</v>
      </c>
      <c r="F79" t="s">
        <v>3644</v>
      </c>
      <c r="G79" t="s">
        <v>3645</v>
      </c>
      <c r="I79" t="s">
        <v>3523</v>
      </c>
      <c r="J79" t="s">
        <v>3541</v>
      </c>
      <c r="K79" t="s">
        <v>3536</v>
      </c>
    </row>
    <row r="80" spans="1:11" x14ac:dyDescent="0.2">
      <c r="A80" t="s">
        <v>63</v>
      </c>
      <c r="B80" t="s">
        <v>1905</v>
      </c>
      <c r="C80" t="s">
        <v>1939</v>
      </c>
      <c r="D80" t="s">
        <v>3646</v>
      </c>
      <c r="E80" t="s">
        <v>3647</v>
      </c>
      <c r="F80" t="s">
        <v>3648</v>
      </c>
      <c r="G80" t="s">
        <v>3649</v>
      </c>
      <c r="I80" t="s">
        <v>3523</v>
      </c>
      <c r="J80" t="s">
        <v>3541</v>
      </c>
      <c r="K80" t="s">
        <v>3536</v>
      </c>
    </row>
    <row r="81" spans="1:11" x14ac:dyDescent="0.2">
      <c r="A81" t="s">
        <v>64</v>
      </c>
      <c r="B81" t="s">
        <v>1905</v>
      </c>
      <c r="C81" t="s">
        <v>1940</v>
      </c>
      <c r="D81" t="s">
        <v>3650</v>
      </c>
      <c r="E81" t="s">
        <v>3651</v>
      </c>
      <c r="F81" t="s">
        <v>3652</v>
      </c>
      <c r="G81" t="s">
        <v>3653</v>
      </c>
      <c r="I81" t="s">
        <v>3523</v>
      </c>
      <c r="J81" t="s">
        <v>3541</v>
      </c>
      <c r="K81" t="s">
        <v>3536</v>
      </c>
    </row>
    <row r="82" spans="1:11" x14ac:dyDescent="0.2">
      <c r="A82" t="s">
        <v>65</v>
      </c>
      <c r="B82" t="s">
        <v>1905</v>
      </c>
      <c r="C82" t="s">
        <v>1941</v>
      </c>
      <c r="D82" t="s">
        <v>3654</v>
      </c>
      <c r="E82" t="s">
        <v>3655</v>
      </c>
      <c r="F82" t="s">
        <v>3656</v>
      </c>
      <c r="G82" t="s">
        <v>3657</v>
      </c>
      <c r="I82" t="s">
        <v>3523</v>
      </c>
      <c r="J82" t="s">
        <v>3541</v>
      </c>
      <c r="K82" t="s">
        <v>3536</v>
      </c>
    </row>
    <row r="83" spans="1:11" x14ac:dyDescent="0.2">
      <c r="A83" t="s">
        <v>66</v>
      </c>
      <c r="B83" t="s">
        <v>1905</v>
      </c>
      <c r="C83" t="s">
        <v>1942</v>
      </c>
      <c r="D83" t="s">
        <v>3658</v>
      </c>
      <c r="E83" t="s">
        <v>3659</v>
      </c>
      <c r="F83" t="s">
        <v>3660</v>
      </c>
      <c r="G83" t="s">
        <v>3661</v>
      </c>
      <c r="I83" t="s">
        <v>3523</v>
      </c>
      <c r="J83" t="s">
        <v>3541</v>
      </c>
      <c r="K83" t="s">
        <v>3536</v>
      </c>
    </row>
    <row r="84" spans="1:11" x14ac:dyDescent="0.2">
      <c r="A84" t="s">
        <v>67</v>
      </c>
      <c r="B84" t="s">
        <v>1905</v>
      </c>
      <c r="C84" t="s">
        <v>1943</v>
      </c>
      <c r="D84" t="s">
        <v>3662</v>
      </c>
      <c r="E84" t="s">
        <v>3663</v>
      </c>
      <c r="F84" t="s">
        <v>3664</v>
      </c>
      <c r="G84" t="s">
        <v>2048</v>
      </c>
      <c r="I84" t="s">
        <v>3523</v>
      </c>
      <c r="J84" t="s">
        <v>3541</v>
      </c>
      <c r="K84" t="s">
        <v>3536</v>
      </c>
    </row>
    <row r="85" spans="1:11" x14ac:dyDescent="0.2">
      <c r="A85" t="s">
        <v>68</v>
      </c>
      <c r="B85" t="s">
        <v>1905</v>
      </c>
      <c r="C85" t="s">
        <v>1944</v>
      </c>
      <c r="D85" t="s">
        <v>3665</v>
      </c>
      <c r="E85" t="s">
        <v>3666</v>
      </c>
      <c r="F85" t="s">
        <v>3667</v>
      </c>
      <c r="G85" t="s">
        <v>3668</v>
      </c>
      <c r="I85" t="s">
        <v>3523</v>
      </c>
      <c r="J85" t="s">
        <v>3541</v>
      </c>
      <c r="K85" t="s">
        <v>3536</v>
      </c>
    </row>
    <row r="86" spans="1:11" x14ac:dyDescent="0.2">
      <c r="A86" t="s">
        <v>69</v>
      </c>
      <c r="B86" t="s">
        <v>1905</v>
      </c>
      <c r="C86" t="s">
        <v>1945</v>
      </c>
      <c r="D86" t="s">
        <v>3669</v>
      </c>
      <c r="E86" t="s">
        <v>3670</v>
      </c>
      <c r="F86" t="s">
        <v>3671</v>
      </c>
      <c r="G86" t="s">
        <v>3672</v>
      </c>
      <c r="I86" t="s">
        <v>3523</v>
      </c>
      <c r="J86" t="s">
        <v>3541</v>
      </c>
      <c r="K86" t="s">
        <v>3536</v>
      </c>
    </row>
    <row r="87" spans="1:11" x14ac:dyDescent="0.2">
      <c r="A87" t="s">
        <v>70</v>
      </c>
      <c r="B87" t="s">
        <v>1905</v>
      </c>
      <c r="C87" t="s">
        <v>1946</v>
      </c>
      <c r="D87" t="s">
        <v>3673</v>
      </c>
      <c r="E87" t="s">
        <v>3674</v>
      </c>
      <c r="F87" t="s">
        <v>3675</v>
      </c>
      <c r="G87" t="s">
        <v>3676</v>
      </c>
      <c r="I87" t="s">
        <v>3523</v>
      </c>
      <c r="J87" t="s">
        <v>3541</v>
      </c>
      <c r="K87" t="s">
        <v>3536</v>
      </c>
    </row>
    <row r="88" spans="1:11" x14ac:dyDescent="0.2">
      <c r="A88" t="s">
        <v>71</v>
      </c>
      <c r="B88" t="s">
        <v>1905</v>
      </c>
      <c r="C88" t="s">
        <v>1947</v>
      </c>
      <c r="D88" t="s">
        <v>3677</v>
      </c>
      <c r="E88" t="s">
        <v>3678</v>
      </c>
      <c r="F88" t="s">
        <v>3679</v>
      </c>
      <c r="G88" t="s">
        <v>3680</v>
      </c>
      <c r="I88" t="s">
        <v>3523</v>
      </c>
      <c r="J88" t="s">
        <v>3541</v>
      </c>
      <c r="K88" t="s">
        <v>3536</v>
      </c>
    </row>
    <row r="89" spans="1:11" x14ac:dyDescent="0.2">
      <c r="A89" t="s">
        <v>72</v>
      </c>
      <c r="B89" t="s">
        <v>1905</v>
      </c>
      <c r="C89" t="s">
        <v>1948</v>
      </c>
      <c r="D89" t="s">
        <v>3681</v>
      </c>
      <c r="E89" t="s">
        <v>3682</v>
      </c>
      <c r="F89" t="s">
        <v>3683</v>
      </c>
      <c r="G89" t="s">
        <v>3684</v>
      </c>
      <c r="I89" t="s">
        <v>3523</v>
      </c>
      <c r="J89" t="s">
        <v>3541</v>
      </c>
      <c r="K89" t="s">
        <v>3536</v>
      </c>
    </row>
    <row r="90" spans="1:11" x14ac:dyDescent="0.2">
      <c r="A90" t="s">
        <v>73</v>
      </c>
      <c r="B90" t="s">
        <v>1905</v>
      </c>
      <c r="C90" t="s">
        <v>1949</v>
      </c>
      <c r="D90" t="s">
        <v>3685</v>
      </c>
      <c r="E90" t="s">
        <v>3686</v>
      </c>
      <c r="F90" t="s">
        <v>3687</v>
      </c>
      <c r="G90" t="s">
        <v>3688</v>
      </c>
      <c r="I90" t="s">
        <v>3523</v>
      </c>
      <c r="J90" t="s">
        <v>3541</v>
      </c>
      <c r="K90" t="s">
        <v>3536</v>
      </c>
    </row>
    <row r="91" spans="1:11" x14ac:dyDescent="0.2">
      <c r="A91" t="s">
        <v>74</v>
      </c>
      <c r="B91" t="s">
        <v>1905</v>
      </c>
      <c r="C91" t="s">
        <v>1950</v>
      </c>
      <c r="D91" t="s">
        <v>3689</v>
      </c>
      <c r="E91" t="s">
        <v>3690</v>
      </c>
      <c r="F91" t="s">
        <v>3691</v>
      </c>
      <c r="G91" t="s">
        <v>2055</v>
      </c>
      <c r="I91" t="s">
        <v>3523</v>
      </c>
      <c r="J91" t="s">
        <v>3541</v>
      </c>
      <c r="K91" t="s">
        <v>3536</v>
      </c>
    </row>
    <row r="92" spans="1:11" x14ac:dyDescent="0.2">
      <c r="A92" t="s">
        <v>75</v>
      </c>
      <c r="B92" t="s">
        <v>1905</v>
      </c>
      <c r="C92" t="s">
        <v>1951</v>
      </c>
      <c r="D92" t="s">
        <v>3692</v>
      </c>
      <c r="E92" t="s">
        <v>3693</v>
      </c>
      <c r="F92" t="s">
        <v>3694</v>
      </c>
      <c r="G92" t="s">
        <v>3695</v>
      </c>
      <c r="I92" t="s">
        <v>3523</v>
      </c>
      <c r="J92" t="s">
        <v>3541</v>
      </c>
      <c r="K92" t="s">
        <v>3536</v>
      </c>
    </row>
    <row r="93" spans="1:11" x14ac:dyDescent="0.2">
      <c r="A93" t="s">
        <v>76</v>
      </c>
      <c r="B93" t="s">
        <v>1905</v>
      </c>
      <c r="C93" t="s">
        <v>1952</v>
      </c>
      <c r="D93" t="s">
        <v>3696</v>
      </c>
      <c r="E93" t="s">
        <v>3697</v>
      </c>
      <c r="F93" t="s">
        <v>3698</v>
      </c>
      <c r="G93" t="s">
        <v>3699</v>
      </c>
      <c r="I93" t="s">
        <v>3523</v>
      </c>
      <c r="J93" t="s">
        <v>3541</v>
      </c>
      <c r="K93" t="s">
        <v>3536</v>
      </c>
    </row>
    <row r="94" spans="1:11" x14ac:dyDescent="0.2">
      <c r="A94" t="s">
        <v>77</v>
      </c>
      <c r="B94" t="s">
        <v>1905</v>
      </c>
      <c r="C94" t="s">
        <v>1953</v>
      </c>
      <c r="D94" t="s">
        <v>3700</v>
      </c>
      <c r="E94" t="s">
        <v>3701</v>
      </c>
      <c r="F94" t="s">
        <v>3702</v>
      </c>
      <c r="G94" t="s">
        <v>3703</v>
      </c>
      <c r="I94" t="s">
        <v>3523</v>
      </c>
      <c r="J94" t="s">
        <v>3541</v>
      </c>
      <c r="K94" t="s">
        <v>3536</v>
      </c>
    </row>
    <row r="95" spans="1:11" x14ac:dyDescent="0.2">
      <c r="A95" t="s">
        <v>78</v>
      </c>
      <c r="B95" t="s">
        <v>1905</v>
      </c>
      <c r="C95" t="s">
        <v>1954</v>
      </c>
      <c r="D95" t="s">
        <v>3704</v>
      </c>
      <c r="E95" t="s">
        <v>3705</v>
      </c>
      <c r="F95" t="s">
        <v>3706</v>
      </c>
      <c r="G95" t="s">
        <v>3707</v>
      </c>
      <c r="I95" t="s">
        <v>3523</v>
      </c>
      <c r="J95" t="s">
        <v>3541</v>
      </c>
      <c r="K95" t="s">
        <v>3536</v>
      </c>
    </row>
    <row r="96" spans="1:11" x14ac:dyDescent="0.2">
      <c r="A96" t="s">
        <v>79</v>
      </c>
      <c r="B96" t="s">
        <v>1905</v>
      </c>
      <c r="C96" t="s">
        <v>1955</v>
      </c>
      <c r="D96" t="s">
        <v>3708</v>
      </c>
      <c r="E96" t="s">
        <v>3709</v>
      </c>
      <c r="F96" t="s">
        <v>3710</v>
      </c>
      <c r="G96" t="s">
        <v>3711</v>
      </c>
      <c r="I96" t="s">
        <v>3523</v>
      </c>
      <c r="J96" t="s">
        <v>3541</v>
      </c>
      <c r="K96" t="s">
        <v>3536</v>
      </c>
    </row>
    <row r="97" spans="1:11" x14ac:dyDescent="0.2">
      <c r="A97" t="s">
        <v>80</v>
      </c>
      <c r="B97" t="s">
        <v>1905</v>
      </c>
      <c r="C97" t="s">
        <v>1956</v>
      </c>
      <c r="D97" t="s">
        <v>3712</v>
      </c>
      <c r="E97" t="s">
        <v>3713</v>
      </c>
      <c r="F97" t="s">
        <v>3714</v>
      </c>
      <c r="G97" t="s">
        <v>3715</v>
      </c>
      <c r="I97" t="s">
        <v>3523</v>
      </c>
      <c r="J97" t="s">
        <v>3541</v>
      </c>
      <c r="K97" t="s">
        <v>3536</v>
      </c>
    </row>
    <row r="98" spans="1:11" x14ac:dyDescent="0.2">
      <c r="A98" t="s">
        <v>81</v>
      </c>
      <c r="B98" t="s">
        <v>1905</v>
      </c>
      <c r="C98" t="s">
        <v>1957</v>
      </c>
      <c r="D98" t="s">
        <v>3716</v>
      </c>
      <c r="E98" t="s">
        <v>3717</v>
      </c>
      <c r="F98" t="s">
        <v>3718</v>
      </c>
      <c r="G98" t="s">
        <v>3719</v>
      </c>
      <c r="I98" t="s">
        <v>3523</v>
      </c>
      <c r="J98" t="s">
        <v>3541</v>
      </c>
      <c r="K98" t="s">
        <v>3536</v>
      </c>
    </row>
    <row r="99" spans="1:11" x14ac:dyDescent="0.2">
      <c r="A99" t="s">
        <v>82</v>
      </c>
      <c r="B99" t="s">
        <v>1905</v>
      </c>
      <c r="C99" t="s">
        <v>1958</v>
      </c>
      <c r="D99" t="s">
        <v>3720</v>
      </c>
      <c r="E99" t="s">
        <v>3721</v>
      </c>
      <c r="F99" t="s">
        <v>3722</v>
      </c>
      <c r="G99" t="s">
        <v>3723</v>
      </c>
      <c r="I99" t="s">
        <v>3523</v>
      </c>
      <c r="J99" t="s">
        <v>3541</v>
      </c>
      <c r="K99" t="s">
        <v>3536</v>
      </c>
    </row>
    <row r="100" spans="1:11" x14ac:dyDescent="0.2">
      <c r="A100" t="s">
        <v>83</v>
      </c>
      <c r="B100" t="s">
        <v>1905</v>
      </c>
      <c r="C100" t="s">
        <v>1959</v>
      </c>
      <c r="D100" t="s">
        <v>3724</v>
      </c>
      <c r="E100" t="s">
        <v>3725</v>
      </c>
      <c r="F100" t="s">
        <v>3726</v>
      </c>
      <c r="G100" t="s">
        <v>3727</v>
      </c>
      <c r="I100" t="s">
        <v>3523</v>
      </c>
      <c r="J100" t="s">
        <v>3541</v>
      </c>
      <c r="K100" t="s">
        <v>3536</v>
      </c>
    </row>
    <row r="101" spans="1:11" x14ac:dyDescent="0.2">
      <c r="A101" t="s">
        <v>3502</v>
      </c>
      <c r="B101" t="s">
        <v>3502</v>
      </c>
      <c r="C101" t="s">
        <v>1960</v>
      </c>
      <c r="D101" t="s">
        <v>3728</v>
      </c>
      <c r="I101" t="s">
        <v>3502</v>
      </c>
      <c r="J101" t="s">
        <v>3502</v>
      </c>
      <c r="K101" t="s">
        <v>3729</v>
      </c>
    </row>
    <row r="102" spans="1:11" x14ac:dyDescent="0.2">
      <c r="A102" t="s">
        <v>84</v>
      </c>
      <c r="B102" t="s">
        <v>1961</v>
      </c>
      <c r="C102" t="s">
        <v>1911</v>
      </c>
      <c r="D102" t="s">
        <v>2740</v>
      </c>
      <c r="E102" t="s">
        <v>3730</v>
      </c>
      <c r="F102" t="s">
        <v>3731</v>
      </c>
      <c r="G102" t="s">
        <v>3540</v>
      </c>
      <c r="I102" t="s">
        <v>3732</v>
      </c>
      <c r="J102" t="s">
        <v>3541</v>
      </c>
      <c r="K102" t="s">
        <v>3729</v>
      </c>
    </row>
    <row r="103" spans="1:11" x14ac:dyDescent="0.2">
      <c r="A103" t="s">
        <v>85</v>
      </c>
      <c r="B103" t="s">
        <v>1961</v>
      </c>
      <c r="C103" t="s">
        <v>1912</v>
      </c>
      <c r="D103" t="s">
        <v>2741</v>
      </c>
      <c r="E103" t="s">
        <v>3733</v>
      </c>
      <c r="F103" t="s">
        <v>3734</v>
      </c>
      <c r="G103" t="s">
        <v>3545</v>
      </c>
      <c r="I103" t="s">
        <v>3732</v>
      </c>
      <c r="J103" t="s">
        <v>3541</v>
      </c>
      <c r="K103" t="s">
        <v>3729</v>
      </c>
    </row>
    <row r="104" spans="1:11" x14ac:dyDescent="0.2">
      <c r="A104" t="s">
        <v>86</v>
      </c>
      <c r="B104" t="s">
        <v>1961</v>
      </c>
      <c r="C104" t="s">
        <v>1913</v>
      </c>
      <c r="D104" t="s">
        <v>2742</v>
      </c>
      <c r="E104" t="s">
        <v>3735</v>
      </c>
      <c r="F104" t="s">
        <v>3736</v>
      </c>
      <c r="G104" t="s">
        <v>3549</v>
      </c>
      <c r="I104" t="s">
        <v>3732</v>
      </c>
      <c r="J104" t="s">
        <v>3541</v>
      </c>
      <c r="K104" t="s">
        <v>3729</v>
      </c>
    </row>
    <row r="105" spans="1:11" x14ac:dyDescent="0.2">
      <c r="A105" t="s">
        <v>87</v>
      </c>
      <c r="B105" t="s">
        <v>1961</v>
      </c>
      <c r="C105" t="s">
        <v>1914</v>
      </c>
      <c r="D105" t="s">
        <v>2743</v>
      </c>
      <c r="E105" t="s">
        <v>3737</v>
      </c>
      <c r="F105" t="s">
        <v>3738</v>
      </c>
      <c r="G105" t="s">
        <v>2026</v>
      </c>
      <c r="I105" t="s">
        <v>3732</v>
      </c>
      <c r="J105" t="s">
        <v>3541</v>
      </c>
      <c r="K105" t="s">
        <v>3729</v>
      </c>
    </row>
    <row r="106" spans="1:11" x14ac:dyDescent="0.2">
      <c r="A106" t="s">
        <v>88</v>
      </c>
      <c r="B106" t="s">
        <v>1961</v>
      </c>
      <c r="C106" t="s">
        <v>1915</v>
      </c>
      <c r="D106" t="s">
        <v>2744</v>
      </c>
      <c r="E106" t="s">
        <v>3739</v>
      </c>
      <c r="F106" t="s">
        <v>3740</v>
      </c>
      <c r="G106" t="s">
        <v>2027</v>
      </c>
      <c r="I106" t="s">
        <v>3732</v>
      </c>
      <c r="J106" t="s">
        <v>3541</v>
      </c>
      <c r="K106" t="s">
        <v>3729</v>
      </c>
    </row>
    <row r="107" spans="1:11" x14ac:dyDescent="0.2">
      <c r="A107" t="s">
        <v>89</v>
      </c>
      <c r="B107" t="s">
        <v>1961</v>
      </c>
      <c r="C107" t="s">
        <v>1916</v>
      </c>
      <c r="D107" t="s">
        <v>2745</v>
      </c>
      <c r="E107" t="s">
        <v>3741</v>
      </c>
      <c r="F107" t="s">
        <v>3742</v>
      </c>
      <c r="G107" t="s">
        <v>3559</v>
      </c>
      <c r="I107" t="s">
        <v>3732</v>
      </c>
      <c r="J107" t="s">
        <v>3541</v>
      </c>
      <c r="K107" t="s">
        <v>3729</v>
      </c>
    </row>
    <row r="108" spans="1:11" x14ac:dyDescent="0.2">
      <c r="A108" t="s">
        <v>90</v>
      </c>
      <c r="B108" t="s">
        <v>1961</v>
      </c>
      <c r="C108" t="s">
        <v>1917</v>
      </c>
      <c r="D108" t="s">
        <v>2746</v>
      </c>
      <c r="E108" t="s">
        <v>3743</v>
      </c>
      <c r="F108" t="s">
        <v>3744</v>
      </c>
      <c r="G108" t="s">
        <v>3563</v>
      </c>
      <c r="I108" t="s">
        <v>3732</v>
      </c>
      <c r="J108" t="s">
        <v>3541</v>
      </c>
      <c r="K108" t="s">
        <v>3729</v>
      </c>
    </row>
    <row r="109" spans="1:11" x14ac:dyDescent="0.2">
      <c r="A109" t="s">
        <v>91</v>
      </c>
      <c r="B109" t="s">
        <v>1961</v>
      </c>
      <c r="C109" t="s">
        <v>1918</v>
      </c>
      <c r="D109" t="s">
        <v>2747</v>
      </c>
      <c r="E109" t="s">
        <v>3745</v>
      </c>
      <c r="F109" t="s">
        <v>3746</v>
      </c>
      <c r="G109" t="s">
        <v>3567</v>
      </c>
      <c r="I109" t="s">
        <v>3732</v>
      </c>
      <c r="J109" t="s">
        <v>3541</v>
      </c>
      <c r="K109" t="s">
        <v>3729</v>
      </c>
    </row>
    <row r="110" spans="1:11" x14ac:dyDescent="0.2">
      <c r="A110" t="s">
        <v>92</v>
      </c>
      <c r="B110" t="s">
        <v>1961</v>
      </c>
      <c r="C110" t="s">
        <v>1919</v>
      </c>
      <c r="D110" t="s">
        <v>2748</v>
      </c>
      <c r="E110" t="s">
        <v>3747</v>
      </c>
      <c r="F110" t="s">
        <v>3748</v>
      </c>
      <c r="G110" t="s">
        <v>3571</v>
      </c>
      <c r="I110" t="s">
        <v>3732</v>
      </c>
      <c r="J110" t="s">
        <v>3541</v>
      </c>
      <c r="K110" t="s">
        <v>3729</v>
      </c>
    </row>
    <row r="111" spans="1:11" x14ac:dyDescent="0.2">
      <c r="A111" t="s">
        <v>93</v>
      </c>
      <c r="B111" t="s">
        <v>1961</v>
      </c>
      <c r="C111" t="s">
        <v>1920</v>
      </c>
      <c r="D111" t="s">
        <v>2749</v>
      </c>
      <c r="E111" t="s">
        <v>3749</v>
      </c>
      <c r="F111" t="s">
        <v>3750</v>
      </c>
      <c r="G111" t="s">
        <v>3575</v>
      </c>
      <c r="I111" t="s">
        <v>3732</v>
      </c>
      <c r="J111" t="s">
        <v>3541</v>
      </c>
      <c r="K111" t="s">
        <v>3729</v>
      </c>
    </row>
    <row r="112" spans="1:11" x14ac:dyDescent="0.2">
      <c r="A112" t="s">
        <v>94</v>
      </c>
      <c r="B112" t="s">
        <v>1961</v>
      </c>
      <c r="C112" t="s">
        <v>1921</v>
      </c>
      <c r="D112" t="s">
        <v>2750</v>
      </c>
      <c r="E112" t="s">
        <v>3751</v>
      </c>
      <c r="F112" t="s">
        <v>3752</v>
      </c>
      <c r="G112" t="s">
        <v>3579</v>
      </c>
      <c r="I112" t="s">
        <v>3732</v>
      </c>
      <c r="J112" t="s">
        <v>3541</v>
      </c>
      <c r="K112" t="s">
        <v>3729</v>
      </c>
    </row>
    <row r="113" spans="1:11" x14ac:dyDescent="0.2">
      <c r="A113" t="s">
        <v>95</v>
      </c>
      <c r="B113" t="s">
        <v>1961</v>
      </c>
      <c r="C113" t="s">
        <v>1922</v>
      </c>
      <c r="D113" t="s">
        <v>2751</v>
      </c>
      <c r="E113" t="s">
        <v>3753</v>
      </c>
      <c r="F113" t="s">
        <v>3754</v>
      </c>
      <c r="G113" t="s">
        <v>2034</v>
      </c>
      <c r="I113" t="s">
        <v>3732</v>
      </c>
      <c r="J113" t="s">
        <v>3541</v>
      </c>
      <c r="K113" t="s">
        <v>3729</v>
      </c>
    </row>
    <row r="114" spans="1:11" x14ac:dyDescent="0.2">
      <c r="A114" t="s">
        <v>96</v>
      </c>
      <c r="B114" t="s">
        <v>1961</v>
      </c>
      <c r="C114" t="s">
        <v>1923</v>
      </c>
      <c r="D114" t="s">
        <v>2752</v>
      </c>
      <c r="E114" t="s">
        <v>3755</v>
      </c>
      <c r="F114" t="s">
        <v>3756</v>
      </c>
      <c r="G114" t="s">
        <v>3586</v>
      </c>
      <c r="I114" t="s">
        <v>3732</v>
      </c>
      <c r="J114" t="s">
        <v>3541</v>
      </c>
      <c r="K114" t="s">
        <v>3729</v>
      </c>
    </row>
    <row r="115" spans="1:11" x14ac:dyDescent="0.2">
      <c r="A115" t="s">
        <v>97</v>
      </c>
      <c r="B115" t="s">
        <v>1961</v>
      </c>
      <c r="C115" t="s">
        <v>1924</v>
      </c>
      <c r="D115" t="s">
        <v>2753</v>
      </c>
      <c r="E115" t="s">
        <v>3757</v>
      </c>
      <c r="F115" t="s">
        <v>3758</v>
      </c>
      <c r="G115" t="s">
        <v>3590</v>
      </c>
      <c r="I115" t="s">
        <v>3732</v>
      </c>
      <c r="J115" t="s">
        <v>3541</v>
      </c>
      <c r="K115" t="s">
        <v>3729</v>
      </c>
    </row>
    <row r="116" spans="1:11" x14ac:dyDescent="0.2">
      <c r="A116" t="s">
        <v>98</v>
      </c>
      <c r="B116" t="s">
        <v>1961</v>
      </c>
      <c r="C116" t="s">
        <v>1925</v>
      </c>
      <c r="D116" t="s">
        <v>2754</v>
      </c>
      <c r="E116" t="s">
        <v>3759</v>
      </c>
      <c r="F116" t="s">
        <v>3760</v>
      </c>
      <c r="G116" t="s">
        <v>3594</v>
      </c>
      <c r="I116" t="s">
        <v>3732</v>
      </c>
      <c r="J116" t="s">
        <v>3541</v>
      </c>
      <c r="K116" t="s">
        <v>3729</v>
      </c>
    </row>
    <row r="117" spans="1:11" x14ac:dyDescent="0.2">
      <c r="A117" t="s">
        <v>99</v>
      </c>
      <c r="B117" t="s">
        <v>1961</v>
      </c>
      <c r="C117" t="s">
        <v>1926</v>
      </c>
      <c r="D117" t="s">
        <v>2755</v>
      </c>
      <c r="E117" t="s">
        <v>3761</v>
      </c>
      <c r="F117" t="s">
        <v>3762</v>
      </c>
      <c r="G117" t="s">
        <v>3598</v>
      </c>
      <c r="I117" t="s">
        <v>3732</v>
      </c>
      <c r="J117" t="s">
        <v>3541</v>
      </c>
      <c r="K117" t="s">
        <v>3729</v>
      </c>
    </row>
    <row r="118" spans="1:11" x14ac:dyDescent="0.2">
      <c r="A118" t="s">
        <v>100</v>
      </c>
      <c r="B118" t="s">
        <v>1961</v>
      </c>
      <c r="C118" t="s">
        <v>1927</v>
      </c>
      <c r="D118" t="s">
        <v>2756</v>
      </c>
      <c r="E118" t="s">
        <v>3763</v>
      </c>
      <c r="F118" t="s">
        <v>3764</v>
      </c>
      <c r="G118" t="s">
        <v>3602</v>
      </c>
      <c r="I118" t="s">
        <v>3732</v>
      </c>
      <c r="J118" t="s">
        <v>3541</v>
      </c>
      <c r="K118" t="s">
        <v>3729</v>
      </c>
    </row>
    <row r="119" spans="1:11" x14ac:dyDescent="0.2">
      <c r="A119" t="s">
        <v>101</v>
      </c>
      <c r="B119" t="s">
        <v>1961</v>
      </c>
      <c r="C119" t="s">
        <v>1928</v>
      </c>
      <c r="D119" t="s">
        <v>2757</v>
      </c>
      <c r="E119" t="s">
        <v>3765</v>
      </c>
      <c r="F119" t="s">
        <v>3766</v>
      </c>
      <c r="G119" t="s">
        <v>3606</v>
      </c>
      <c r="I119" t="s">
        <v>3732</v>
      </c>
      <c r="J119" t="s">
        <v>3541</v>
      </c>
      <c r="K119" t="s">
        <v>3729</v>
      </c>
    </row>
    <row r="120" spans="1:11" x14ac:dyDescent="0.2">
      <c r="A120" t="s">
        <v>102</v>
      </c>
      <c r="B120" t="s">
        <v>1961</v>
      </c>
      <c r="C120" t="s">
        <v>1929</v>
      </c>
      <c r="D120" t="s">
        <v>2758</v>
      </c>
      <c r="E120" t="s">
        <v>3767</v>
      </c>
      <c r="F120" t="s">
        <v>3768</v>
      </c>
      <c r="G120" t="s">
        <v>2041</v>
      </c>
      <c r="I120" t="s">
        <v>3732</v>
      </c>
      <c r="J120" t="s">
        <v>3541</v>
      </c>
      <c r="K120" t="s">
        <v>3729</v>
      </c>
    </row>
    <row r="121" spans="1:11" x14ac:dyDescent="0.2">
      <c r="A121" t="s">
        <v>103</v>
      </c>
      <c r="B121" t="s">
        <v>1961</v>
      </c>
      <c r="C121" t="s">
        <v>1930</v>
      </c>
      <c r="D121" t="s">
        <v>2759</v>
      </c>
      <c r="E121" t="s">
        <v>3769</v>
      </c>
      <c r="F121" t="s">
        <v>3770</v>
      </c>
      <c r="G121" t="s">
        <v>3613</v>
      </c>
      <c r="I121" t="s">
        <v>3732</v>
      </c>
      <c r="J121" t="s">
        <v>3541</v>
      </c>
      <c r="K121" t="s">
        <v>3729</v>
      </c>
    </row>
    <row r="122" spans="1:11" x14ac:dyDescent="0.2">
      <c r="A122" t="s">
        <v>104</v>
      </c>
      <c r="B122" t="s">
        <v>1961</v>
      </c>
      <c r="C122" t="s">
        <v>1931</v>
      </c>
      <c r="D122" t="s">
        <v>2760</v>
      </c>
      <c r="E122" t="s">
        <v>3771</v>
      </c>
      <c r="F122" t="s">
        <v>3772</v>
      </c>
      <c r="G122" t="s">
        <v>3617</v>
      </c>
      <c r="I122" t="s">
        <v>3732</v>
      </c>
      <c r="J122" t="s">
        <v>3541</v>
      </c>
      <c r="K122" t="s">
        <v>3729</v>
      </c>
    </row>
    <row r="123" spans="1:11" x14ac:dyDescent="0.2">
      <c r="A123" t="s">
        <v>105</v>
      </c>
      <c r="B123" t="s">
        <v>1961</v>
      </c>
      <c r="C123" t="s">
        <v>1932</v>
      </c>
      <c r="D123" t="s">
        <v>2761</v>
      </c>
      <c r="E123" t="s">
        <v>3773</v>
      </c>
      <c r="F123" t="s">
        <v>3774</v>
      </c>
      <c r="G123" t="s">
        <v>3621</v>
      </c>
      <c r="I123" t="s">
        <v>3732</v>
      </c>
      <c r="J123" t="s">
        <v>3541</v>
      </c>
      <c r="K123" t="s">
        <v>3729</v>
      </c>
    </row>
    <row r="124" spans="1:11" x14ac:dyDescent="0.2">
      <c r="A124" t="s">
        <v>106</v>
      </c>
      <c r="B124" t="s">
        <v>1961</v>
      </c>
      <c r="C124" t="s">
        <v>1933</v>
      </c>
      <c r="D124" t="s">
        <v>2762</v>
      </c>
      <c r="E124" t="s">
        <v>3775</v>
      </c>
      <c r="F124" t="s">
        <v>3776</v>
      </c>
      <c r="G124" t="s">
        <v>3625</v>
      </c>
      <c r="I124" t="s">
        <v>3732</v>
      </c>
      <c r="J124" t="s">
        <v>3541</v>
      </c>
      <c r="K124" t="s">
        <v>3729</v>
      </c>
    </row>
    <row r="125" spans="1:11" x14ac:dyDescent="0.2">
      <c r="A125" t="s">
        <v>107</v>
      </c>
      <c r="B125" t="s">
        <v>1961</v>
      </c>
      <c r="C125" t="s">
        <v>1934</v>
      </c>
      <c r="D125" t="s">
        <v>2763</v>
      </c>
      <c r="E125" t="s">
        <v>3777</v>
      </c>
      <c r="F125" t="s">
        <v>3778</v>
      </c>
      <c r="G125" t="s">
        <v>3629</v>
      </c>
      <c r="I125" t="s">
        <v>3732</v>
      </c>
      <c r="J125" t="s">
        <v>3541</v>
      </c>
      <c r="K125" t="s">
        <v>3729</v>
      </c>
    </row>
    <row r="126" spans="1:11" x14ac:dyDescent="0.2">
      <c r="A126" t="s">
        <v>108</v>
      </c>
      <c r="B126" t="s">
        <v>1961</v>
      </c>
      <c r="C126" t="s">
        <v>1935</v>
      </c>
      <c r="D126" t="s">
        <v>2764</v>
      </c>
      <c r="E126" t="s">
        <v>3779</v>
      </c>
      <c r="F126" t="s">
        <v>3780</v>
      </c>
      <c r="G126" t="s">
        <v>3633</v>
      </c>
      <c r="I126" t="s">
        <v>3732</v>
      </c>
      <c r="J126" t="s">
        <v>3541</v>
      </c>
      <c r="K126" t="s">
        <v>3729</v>
      </c>
    </row>
    <row r="127" spans="1:11" x14ac:dyDescent="0.2">
      <c r="A127" t="s">
        <v>109</v>
      </c>
      <c r="B127" t="s">
        <v>1961</v>
      </c>
      <c r="C127" t="s">
        <v>1936</v>
      </c>
      <c r="D127" t="s">
        <v>2765</v>
      </c>
      <c r="E127" t="s">
        <v>3781</v>
      </c>
      <c r="F127" t="s">
        <v>3782</v>
      </c>
      <c r="G127" t="s">
        <v>3637</v>
      </c>
      <c r="I127" t="s">
        <v>3732</v>
      </c>
      <c r="J127" t="s">
        <v>3541</v>
      </c>
      <c r="K127" t="s">
        <v>3729</v>
      </c>
    </row>
    <row r="128" spans="1:11" x14ac:dyDescent="0.2">
      <c r="A128" t="s">
        <v>110</v>
      </c>
      <c r="B128" t="s">
        <v>1961</v>
      </c>
      <c r="C128" t="s">
        <v>1937</v>
      </c>
      <c r="D128" t="s">
        <v>2766</v>
      </c>
      <c r="E128" t="s">
        <v>3783</v>
      </c>
      <c r="F128" t="s">
        <v>3784</v>
      </c>
      <c r="G128" t="s">
        <v>3641</v>
      </c>
      <c r="I128" t="s">
        <v>3732</v>
      </c>
      <c r="J128" t="s">
        <v>3541</v>
      </c>
      <c r="K128" t="s">
        <v>3729</v>
      </c>
    </row>
    <row r="129" spans="1:11" x14ac:dyDescent="0.2">
      <c r="A129" t="s">
        <v>111</v>
      </c>
      <c r="B129" t="s">
        <v>1961</v>
      </c>
      <c r="C129" t="s">
        <v>1938</v>
      </c>
      <c r="D129" t="s">
        <v>2767</v>
      </c>
      <c r="E129" t="s">
        <v>3785</v>
      </c>
      <c r="F129" t="s">
        <v>3786</v>
      </c>
      <c r="G129" t="s">
        <v>3645</v>
      </c>
      <c r="I129" t="s">
        <v>3732</v>
      </c>
      <c r="J129" t="s">
        <v>3541</v>
      </c>
      <c r="K129" t="s">
        <v>3729</v>
      </c>
    </row>
    <row r="130" spans="1:11" x14ac:dyDescent="0.2">
      <c r="A130" t="s">
        <v>112</v>
      </c>
      <c r="B130" t="s">
        <v>1961</v>
      </c>
      <c r="C130" t="s">
        <v>1939</v>
      </c>
      <c r="D130" t="s">
        <v>2768</v>
      </c>
      <c r="E130" t="s">
        <v>3787</v>
      </c>
      <c r="F130" t="s">
        <v>3788</v>
      </c>
      <c r="G130" t="s">
        <v>3649</v>
      </c>
      <c r="I130" t="s">
        <v>3732</v>
      </c>
      <c r="J130" t="s">
        <v>3541</v>
      </c>
      <c r="K130" t="s">
        <v>3729</v>
      </c>
    </row>
    <row r="131" spans="1:11" x14ac:dyDescent="0.2">
      <c r="A131" t="s">
        <v>113</v>
      </c>
      <c r="B131" t="s">
        <v>1961</v>
      </c>
      <c r="C131" t="s">
        <v>1940</v>
      </c>
      <c r="D131" t="s">
        <v>2769</v>
      </c>
      <c r="E131" t="s">
        <v>3789</v>
      </c>
      <c r="F131" t="s">
        <v>3790</v>
      </c>
      <c r="G131" t="s">
        <v>3653</v>
      </c>
      <c r="I131" t="s">
        <v>3732</v>
      </c>
      <c r="J131" t="s">
        <v>3541</v>
      </c>
      <c r="K131" t="s">
        <v>3729</v>
      </c>
    </row>
    <row r="132" spans="1:11" x14ac:dyDescent="0.2">
      <c r="A132" t="s">
        <v>114</v>
      </c>
      <c r="B132" t="s">
        <v>1961</v>
      </c>
      <c r="C132" t="s">
        <v>1941</v>
      </c>
      <c r="D132" t="s">
        <v>2770</v>
      </c>
      <c r="E132" t="s">
        <v>3791</v>
      </c>
      <c r="F132" t="s">
        <v>3792</v>
      </c>
      <c r="G132" t="s">
        <v>3657</v>
      </c>
      <c r="I132" t="s">
        <v>3732</v>
      </c>
      <c r="J132" t="s">
        <v>3541</v>
      </c>
      <c r="K132" t="s">
        <v>3729</v>
      </c>
    </row>
    <row r="133" spans="1:11" x14ac:dyDescent="0.2">
      <c r="A133" t="s">
        <v>115</v>
      </c>
      <c r="B133" t="s">
        <v>1961</v>
      </c>
      <c r="C133" t="s">
        <v>1942</v>
      </c>
      <c r="D133" t="s">
        <v>2771</v>
      </c>
      <c r="E133" t="s">
        <v>3793</v>
      </c>
      <c r="F133" t="s">
        <v>3794</v>
      </c>
      <c r="G133" t="s">
        <v>3661</v>
      </c>
      <c r="I133" t="s">
        <v>3732</v>
      </c>
      <c r="J133" t="s">
        <v>3541</v>
      </c>
      <c r="K133" t="s">
        <v>3729</v>
      </c>
    </row>
    <row r="134" spans="1:11" x14ac:dyDescent="0.2">
      <c r="A134" t="s">
        <v>116</v>
      </c>
      <c r="B134" t="s">
        <v>1961</v>
      </c>
      <c r="C134" t="s">
        <v>1943</v>
      </c>
      <c r="D134" t="s">
        <v>2772</v>
      </c>
      <c r="E134" t="s">
        <v>3795</v>
      </c>
      <c r="F134" t="s">
        <v>3796</v>
      </c>
      <c r="G134" t="s">
        <v>2048</v>
      </c>
      <c r="I134" t="s">
        <v>3732</v>
      </c>
      <c r="J134" t="s">
        <v>3541</v>
      </c>
      <c r="K134" t="s">
        <v>3729</v>
      </c>
    </row>
    <row r="135" spans="1:11" x14ac:dyDescent="0.2">
      <c r="A135" t="s">
        <v>117</v>
      </c>
      <c r="B135" t="s">
        <v>1961</v>
      </c>
      <c r="C135" t="s">
        <v>1944</v>
      </c>
      <c r="D135" t="s">
        <v>2773</v>
      </c>
      <c r="E135" t="s">
        <v>3797</v>
      </c>
      <c r="F135" t="s">
        <v>3798</v>
      </c>
      <c r="G135" t="s">
        <v>3668</v>
      </c>
      <c r="I135" t="s">
        <v>3732</v>
      </c>
      <c r="J135" t="s">
        <v>3541</v>
      </c>
      <c r="K135" t="s">
        <v>3729</v>
      </c>
    </row>
    <row r="136" spans="1:11" x14ac:dyDescent="0.2">
      <c r="A136" t="s">
        <v>118</v>
      </c>
      <c r="B136" t="s">
        <v>1961</v>
      </c>
      <c r="C136" t="s">
        <v>1945</v>
      </c>
      <c r="D136" t="s">
        <v>2774</v>
      </c>
      <c r="E136" t="s">
        <v>3799</v>
      </c>
      <c r="F136" t="s">
        <v>3800</v>
      </c>
      <c r="G136" t="s">
        <v>3672</v>
      </c>
      <c r="I136" t="s">
        <v>3732</v>
      </c>
      <c r="J136" t="s">
        <v>3541</v>
      </c>
      <c r="K136" t="s">
        <v>3729</v>
      </c>
    </row>
    <row r="137" spans="1:11" x14ac:dyDescent="0.2">
      <c r="A137" t="s">
        <v>119</v>
      </c>
      <c r="B137" t="s">
        <v>1961</v>
      </c>
      <c r="C137" t="s">
        <v>1946</v>
      </c>
      <c r="D137" t="s">
        <v>2775</v>
      </c>
      <c r="E137" t="s">
        <v>3801</v>
      </c>
      <c r="F137" t="s">
        <v>3802</v>
      </c>
      <c r="G137" t="s">
        <v>3676</v>
      </c>
      <c r="I137" t="s">
        <v>3732</v>
      </c>
      <c r="J137" t="s">
        <v>3541</v>
      </c>
      <c r="K137" t="s">
        <v>3729</v>
      </c>
    </row>
    <row r="138" spans="1:11" x14ac:dyDescent="0.2">
      <c r="A138" t="s">
        <v>120</v>
      </c>
      <c r="B138" t="s">
        <v>1961</v>
      </c>
      <c r="C138" t="s">
        <v>1947</v>
      </c>
      <c r="D138" t="s">
        <v>2776</v>
      </c>
      <c r="E138" t="s">
        <v>3803</v>
      </c>
      <c r="F138" t="s">
        <v>3804</v>
      </c>
      <c r="G138" t="s">
        <v>3680</v>
      </c>
      <c r="I138" t="s">
        <v>3732</v>
      </c>
      <c r="J138" t="s">
        <v>3541</v>
      </c>
      <c r="K138" t="s">
        <v>3729</v>
      </c>
    </row>
    <row r="139" spans="1:11" x14ac:dyDescent="0.2">
      <c r="A139" t="s">
        <v>121</v>
      </c>
      <c r="B139" t="s">
        <v>1961</v>
      </c>
      <c r="C139" t="s">
        <v>1948</v>
      </c>
      <c r="D139" t="s">
        <v>2777</v>
      </c>
      <c r="E139" t="s">
        <v>3805</v>
      </c>
      <c r="F139" t="s">
        <v>3806</v>
      </c>
      <c r="G139" t="s">
        <v>3684</v>
      </c>
      <c r="I139" t="s">
        <v>3732</v>
      </c>
      <c r="J139" t="s">
        <v>3541</v>
      </c>
      <c r="K139" t="s">
        <v>3729</v>
      </c>
    </row>
    <row r="140" spans="1:11" x14ac:dyDescent="0.2">
      <c r="A140" t="s">
        <v>122</v>
      </c>
      <c r="B140" t="s">
        <v>1961</v>
      </c>
      <c r="C140" t="s">
        <v>1949</v>
      </c>
      <c r="D140" t="s">
        <v>2778</v>
      </c>
      <c r="E140" t="s">
        <v>3807</v>
      </c>
      <c r="F140" t="s">
        <v>3808</v>
      </c>
      <c r="G140" t="s">
        <v>3688</v>
      </c>
      <c r="I140" t="s">
        <v>3732</v>
      </c>
      <c r="J140" t="s">
        <v>3541</v>
      </c>
      <c r="K140" t="s">
        <v>3729</v>
      </c>
    </row>
    <row r="141" spans="1:11" x14ac:dyDescent="0.2">
      <c r="A141" t="s">
        <v>123</v>
      </c>
      <c r="B141" t="s">
        <v>1961</v>
      </c>
      <c r="C141" t="s">
        <v>1950</v>
      </c>
      <c r="D141" t="s">
        <v>2779</v>
      </c>
      <c r="E141" t="s">
        <v>3809</v>
      </c>
      <c r="F141" t="s">
        <v>3810</v>
      </c>
      <c r="G141" t="s">
        <v>2055</v>
      </c>
      <c r="I141" t="s">
        <v>3732</v>
      </c>
      <c r="J141" t="s">
        <v>3541</v>
      </c>
      <c r="K141" t="s">
        <v>3729</v>
      </c>
    </row>
    <row r="142" spans="1:11" x14ac:dyDescent="0.2">
      <c r="A142" t="s">
        <v>124</v>
      </c>
      <c r="B142" t="s">
        <v>1961</v>
      </c>
      <c r="C142" t="s">
        <v>1951</v>
      </c>
      <c r="D142" t="s">
        <v>2780</v>
      </c>
      <c r="E142" t="s">
        <v>3811</v>
      </c>
      <c r="F142" t="s">
        <v>3812</v>
      </c>
      <c r="G142" t="s">
        <v>3695</v>
      </c>
      <c r="I142" t="s">
        <v>3732</v>
      </c>
      <c r="J142" t="s">
        <v>3541</v>
      </c>
      <c r="K142" t="s">
        <v>3729</v>
      </c>
    </row>
    <row r="143" spans="1:11" x14ac:dyDescent="0.2">
      <c r="A143" t="s">
        <v>125</v>
      </c>
      <c r="B143" t="s">
        <v>1961</v>
      </c>
      <c r="C143" t="s">
        <v>1952</v>
      </c>
      <c r="D143" t="s">
        <v>2781</v>
      </c>
      <c r="E143" t="s">
        <v>3813</v>
      </c>
      <c r="F143" t="s">
        <v>3814</v>
      </c>
      <c r="G143" t="s">
        <v>3699</v>
      </c>
      <c r="I143" t="s">
        <v>3732</v>
      </c>
      <c r="J143" t="s">
        <v>3541</v>
      </c>
      <c r="K143" t="s">
        <v>3729</v>
      </c>
    </row>
    <row r="144" spans="1:11" x14ac:dyDescent="0.2">
      <c r="A144" t="s">
        <v>126</v>
      </c>
      <c r="B144" t="s">
        <v>1961</v>
      </c>
      <c r="C144" t="s">
        <v>1953</v>
      </c>
      <c r="D144" t="s">
        <v>2782</v>
      </c>
      <c r="E144" t="s">
        <v>3815</v>
      </c>
      <c r="F144" t="s">
        <v>3816</v>
      </c>
      <c r="G144" t="s">
        <v>3703</v>
      </c>
      <c r="I144" t="s">
        <v>3732</v>
      </c>
      <c r="J144" t="s">
        <v>3541</v>
      </c>
      <c r="K144" t="s">
        <v>3729</v>
      </c>
    </row>
    <row r="145" spans="1:11" x14ac:dyDescent="0.2">
      <c r="A145" t="s">
        <v>127</v>
      </c>
      <c r="B145" t="s">
        <v>1961</v>
      </c>
      <c r="C145" t="s">
        <v>1954</v>
      </c>
      <c r="D145" t="s">
        <v>2783</v>
      </c>
      <c r="E145" t="s">
        <v>3817</v>
      </c>
      <c r="F145" t="s">
        <v>3818</v>
      </c>
      <c r="G145" t="s">
        <v>3707</v>
      </c>
      <c r="I145" t="s">
        <v>3732</v>
      </c>
      <c r="J145" t="s">
        <v>3541</v>
      </c>
      <c r="K145" t="s">
        <v>3729</v>
      </c>
    </row>
    <row r="146" spans="1:11" x14ac:dyDescent="0.2">
      <c r="A146" t="s">
        <v>128</v>
      </c>
      <c r="B146" t="s">
        <v>1961</v>
      </c>
      <c r="C146" t="s">
        <v>1955</v>
      </c>
      <c r="D146" t="s">
        <v>2784</v>
      </c>
      <c r="E146" t="s">
        <v>3819</v>
      </c>
      <c r="F146" t="s">
        <v>3820</v>
      </c>
      <c r="G146" t="s">
        <v>3711</v>
      </c>
      <c r="I146" t="s">
        <v>3732</v>
      </c>
      <c r="J146" t="s">
        <v>3541</v>
      </c>
      <c r="K146" t="s">
        <v>3729</v>
      </c>
    </row>
    <row r="147" spans="1:11" x14ac:dyDescent="0.2">
      <c r="A147" t="s">
        <v>129</v>
      </c>
      <c r="B147" t="s">
        <v>1961</v>
      </c>
      <c r="C147" t="s">
        <v>1956</v>
      </c>
      <c r="D147" t="s">
        <v>2785</v>
      </c>
      <c r="E147" t="s">
        <v>3821</v>
      </c>
      <c r="F147" t="s">
        <v>3822</v>
      </c>
      <c r="G147" t="s">
        <v>3715</v>
      </c>
      <c r="I147" t="s">
        <v>3732</v>
      </c>
      <c r="J147" t="s">
        <v>3541</v>
      </c>
      <c r="K147" t="s">
        <v>3729</v>
      </c>
    </row>
    <row r="148" spans="1:11" x14ac:dyDescent="0.2">
      <c r="A148" t="s">
        <v>130</v>
      </c>
      <c r="B148" t="s">
        <v>1961</v>
      </c>
      <c r="C148" t="s">
        <v>1957</v>
      </c>
      <c r="D148" t="s">
        <v>2786</v>
      </c>
      <c r="E148" t="s">
        <v>3823</v>
      </c>
      <c r="F148" t="s">
        <v>3824</v>
      </c>
      <c r="G148" t="s">
        <v>3719</v>
      </c>
      <c r="I148" t="s">
        <v>3732</v>
      </c>
      <c r="J148" t="s">
        <v>3541</v>
      </c>
      <c r="K148" t="s">
        <v>3729</v>
      </c>
    </row>
    <row r="149" spans="1:11" x14ac:dyDescent="0.2">
      <c r="A149" t="s">
        <v>131</v>
      </c>
      <c r="B149" t="s">
        <v>1961</v>
      </c>
      <c r="C149" t="s">
        <v>1958</v>
      </c>
      <c r="D149" t="s">
        <v>2787</v>
      </c>
      <c r="E149" t="s">
        <v>3825</v>
      </c>
      <c r="F149" t="s">
        <v>3826</v>
      </c>
      <c r="G149" t="s">
        <v>3723</v>
      </c>
      <c r="I149" t="s">
        <v>3732</v>
      </c>
      <c r="J149" t="s">
        <v>3541</v>
      </c>
      <c r="K149" t="s">
        <v>3729</v>
      </c>
    </row>
    <row r="150" spans="1:11" x14ac:dyDescent="0.2">
      <c r="A150" t="s">
        <v>132</v>
      </c>
      <c r="B150" t="s">
        <v>1961</v>
      </c>
      <c r="C150" t="s">
        <v>1962</v>
      </c>
      <c r="D150" t="s">
        <v>2788</v>
      </c>
      <c r="E150" t="s">
        <v>3827</v>
      </c>
      <c r="F150" t="s">
        <v>3828</v>
      </c>
      <c r="G150" t="s">
        <v>3727</v>
      </c>
      <c r="I150" t="s">
        <v>3732</v>
      </c>
      <c r="J150" t="s">
        <v>3541</v>
      </c>
      <c r="K150" t="s">
        <v>3729</v>
      </c>
    </row>
    <row r="151" spans="1:11" x14ac:dyDescent="0.2">
      <c r="A151" t="s">
        <v>3502</v>
      </c>
      <c r="B151" t="s">
        <v>3502</v>
      </c>
      <c r="C151" t="s">
        <v>1964</v>
      </c>
      <c r="D151" t="s">
        <v>3829</v>
      </c>
      <c r="I151" t="s">
        <v>3502</v>
      </c>
      <c r="J151" t="s">
        <v>3502</v>
      </c>
      <c r="K151" t="s">
        <v>280</v>
      </c>
    </row>
    <row r="152" spans="1:11" x14ac:dyDescent="0.2">
      <c r="A152" t="s">
        <v>169</v>
      </c>
      <c r="B152" t="s">
        <v>1905</v>
      </c>
      <c r="C152" t="s">
        <v>1965</v>
      </c>
      <c r="D152" t="s">
        <v>3830</v>
      </c>
      <c r="E152" t="s">
        <v>3831</v>
      </c>
      <c r="F152" t="s">
        <v>3832</v>
      </c>
      <c r="G152" t="s">
        <v>3833</v>
      </c>
      <c r="I152" t="s">
        <v>3523</v>
      </c>
      <c r="J152" t="s">
        <v>3834</v>
      </c>
      <c r="K152" t="s">
        <v>280</v>
      </c>
    </row>
    <row r="153" spans="1:11" x14ac:dyDescent="0.2">
      <c r="A153" t="s">
        <v>170</v>
      </c>
      <c r="B153" t="s">
        <v>1905</v>
      </c>
      <c r="C153" t="s">
        <v>1966</v>
      </c>
      <c r="D153" t="s">
        <v>3835</v>
      </c>
      <c r="E153" t="s">
        <v>3836</v>
      </c>
      <c r="F153" t="s">
        <v>3837</v>
      </c>
      <c r="G153" t="s">
        <v>3838</v>
      </c>
      <c r="I153" t="s">
        <v>3523</v>
      </c>
      <c r="J153" t="s">
        <v>3834</v>
      </c>
      <c r="K153" t="s">
        <v>280</v>
      </c>
    </row>
    <row r="154" spans="1:11" x14ac:dyDescent="0.2">
      <c r="A154" t="s">
        <v>171</v>
      </c>
      <c r="B154" t="s">
        <v>1905</v>
      </c>
      <c r="C154" t="s">
        <v>1967</v>
      </c>
      <c r="D154" t="s">
        <v>3839</v>
      </c>
      <c r="E154" t="s">
        <v>3840</v>
      </c>
      <c r="F154" t="s">
        <v>3841</v>
      </c>
      <c r="G154" t="s">
        <v>3842</v>
      </c>
      <c r="I154" t="s">
        <v>3523</v>
      </c>
      <c r="J154" t="s">
        <v>3834</v>
      </c>
      <c r="K154" t="s">
        <v>280</v>
      </c>
    </row>
    <row r="155" spans="1:11" x14ac:dyDescent="0.2">
      <c r="A155" t="s">
        <v>172</v>
      </c>
      <c r="B155" t="s">
        <v>1905</v>
      </c>
      <c r="C155" t="s">
        <v>1968</v>
      </c>
      <c r="D155" t="s">
        <v>3843</v>
      </c>
      <c r="E155" t="s">
        <v>3844</v>
      </c>
      <c r="F155" t="s">
        <v>3845</v>
      </c>
      <c r="G155" t="s">
        <v>1968</v>
      </c>
      <c r="I155" t="s">
        <v>3523</v>
      </c>
      <c r="J155" t="s">
        <v>3834</v>
      </c>
      <c r="K155" t="s">
        <v>280</v>
      </c>
    </row>
    <row r="156" spans="1:11" x14ac:dyDescent="0.2">
      <c r="A156" t="s">
        <v>173</v>
      </c>
      <c r="B156" t="s">
        <v>1905</v>
      </c>
      <c r="C156" t="s">
        <v>1969</v>
      </c>
      <c r="D156" t="s">
        <v>3846</v>
      </c>
      <c r="E156" t="s">
        <v>3847</v>
      </c>
      <c r="F156" t="s">
        <v>3848</v>
      </c>
      <c r="G156" t="s">
        <v>1969</v>
      </c>
      <c r="I156" t="s">
        <v>3523</v>
      </c>
      <c r="J156" t="s">
        <v>3834</v>
      </c>
      <c r="K156" t="s">
        <v>280</v>
      </c>
    </row>
    <row r="157" spans="1:11" x14ac:dyDescent="0.2">
      <c r="A157" t="s">
        <v>174</v>
      </c>
      <c r="B157" t="s">
        <v>1905</v>
      </c>
      <c r="C157" t="s">
        <v>1970</v>
      </c>
      <c r="D157" t="s">
        <v>3849</v>
      </c>
      <c r="E157" t="s">
        <v>3850</v>
      </c>
      <c r="F157" t="s">
        <v>3851</v>
      </c>
      <c r="G157" t="s">
        <v>1970</v>
      </c>
      <c r="I157" t="s">
        <v>3523</v>
      </c>
      <c r="J157" t="s">
        <v>3834</v>
      </c>
      <c r="K157" t="s">
        <v>280</v>
      </c>
    </row>
    <row r="158" spans="1:11" x14ac:dyDescent="0.2">
      <c r="A158" t="s">
        <v>175</v>
      </c>
      <c r="B158" t="s">
        <v>1905</v>
      </c>
      <c r="C158" t="s">
        <v>1971</v>
      </c>
      <c r="D158" t="s">
        <v>3852</v>
      </c>
      <c r="E158" t="s">
        <v>3853</v>
      </c>
      <c r="F158" t="s">
        <v>3854</v>
      </c>
      <c r="G158" t="s">
        <v>3855</v>
      </c>
      <c r="I158" t="s">
        <v>3523</v>
      </c>
      <c r="J158" t="s">
        <v>3834</v>
      </c>
      <c r="K158" t="s">
        <v>280</v>
      </c>
    </row>
    <row r="159" spans="1:11" x14ac:dyDescent="0.2">
      <c r="A159" t="s">
        <v>176</v>
      </c>
      <c r="B159" t="s">
        <v>1905</v>
      </c>
      <c r="C159" t="s">
        <v>1972</v>
      </c>
      <c r="D159" t="s">
        <v>3856</v>
      </c>
      <c r="E159" t="s">
        <v>3857</v>
      </c>
      <c r="F159" t="s">
        <v>3858</v>
      </c>
      <c r="G159" t="s">
        <v>3859</v>
      </c>
      <c r="I159" t="s">
        <v>3523</v>
      </c>
      <c r="J159" t="s">
        <v>3834</v>
      </c>
      <c r="K159" t="s">
        <v>280</v>
      </c>
    </row>
    <row r="160" spans="1:11" x14ac:dyDescent="0.2">
      <c r="A160" t="s">
        <v>177</v>
      </c>
      <c r="B160" t="s">
        <v>1905</v>
      </c>
      <c r="C160" t="s">
        <v>1973</v>
      </c>
      <c r="D160" t="s">
        <v>3860</v>
      </c>
      <c r="E160" t="s">
        <v>3861</v>
      </c>
      <c r="F160" t="s">
        <v>3862</v>
      </c>
      <c r="G160" t="s">
        <v>3863</v>
      </c>
      <c r="I160" t="s">
        <v>3523</v>
      </c>
      <c r="J160" t="s">
        <v>3834</v>
      </c>
      <c r="K160" t="s">
        <v>280</v>
      </c>
    </row>
    <row r="161" spans="1:11" x14ac:dyDescent="0.2">
      <c r="A161" t="s">
        <v>178</v>
      </c>
      <c r="B161" t="s">
        <v>1905</v>
      </c>
      <c r="C161" t="s">
        <v>1974</v>
      </c>
      <c r="D161" t="s">
        <v>3864</v>
      </c>
      <c r="E161" t="s">
        <v>3865</v>
      </c>
      <c r="F161" t="s">
        <v>3866</v>
      </c>
      <c r="G161" t="s">
        <v>3867</v>
      </c>
      <c r="I161" t="s">
        <v>3523</v>
      </c>
      <c r="J161" t="s">
        <v>3834</v>
      </c>
      <c r="K161" t="s">
        <v>280</v>
      </c>
    </row>
    <row r="162" spans="1:11" x14ac:dyDescent="0.2">
      <c r="A162" t="s">
        <v>179</v>
      </c>
      <c r="B162" t="s">
        <v>1905</v>
      </c>
      <c r="C162" t="s">
        <v>1975</v>
      </c>
      <c r="D162" t="s">
        <v>3868</v>
      </c>
      <c r="E162" t="s">
        <v>3869</v>
      </c>
      <c r="F162" t="s">
        <v>3870</v>
      </c>
      <c r="G162" t="s">
        <v>1975</v>
      </c>
      <c r="I162" t="s">
        <v>3523</v>
      </c>
      <c r="J162" t="s">
        <v>3834</v>
      </c>
      <c r="K162" t="s">
        <v>280</v>
      </c>
    </row>
    <row r="163" spans="1:11" x14ac:dyDescent="0.2">
      <c r="A163" t="s">
        <v>180</v>
      </c>
      <c r="B163" t="s">
        <v>1905</v>
      </c>
      <c r="C163" t="s">
        <v>1976</v>
      </c>
      <c r="D163" t="s">
        <v>3871</v>
      </c>
      <c r="E163" t="s">
        <v>3872</v>
      </c>
      <c r="F163" t="s">
        <v>3873</v>
      </c>
      <c r="G163" t="s">
        <v>1976</v>
      </c>
      <c r="I163" t="s">
        <v>3523</v>
      </c>
      <c r="J163" t="s">
        <v>3834</v>
      </c>
      <c r="K163" t="s">
        <v>280</v>
      </c>
    </row>
    <row r="164" spans="1:11" x14ac:dyDescent="0.2">
      <c r="A164" t="s">
        <v>181</v>
      </c>
      <c r="B164" t="s">
        <v>1905</v>
      </c>
      <c r="C164" t="s">
        <v>1977</v>
      </c>
      <c r="D164" t="s">
        <v>3874</v>
      </c>
      <c r="E164" t="s">
        <v>3875</v>
      </c>
      <c r="F164" t="s">
        <v>3876</v>
      </c>
      <c r="G164" t="s">
        <v>1977</v>
      </c>
      <c r="I164" t="s">
        <v>3523</v>
      </c>
      <c r="J164" t="s">
        <v>3834</v>
      </c>
      <c r="K164" t="s">
        <v>280</v>
      </c>
    </row>
    <row r="165" spans="1:11" x14ac:dyDescent="0.2">
      <c r="A165" t="s">
        <v>182</v>
      </c>
      <c r="B165" t="s">
        <v>1905</v>
      </c>
      <c r="C165" t="s">
        <v>1978</v>
      </c>
      <c r="D165" t="s">
        <v>3877</v>
      </c>
      <c r="E165" t="s">
        <v>3878</v>
      </c>
      <c r="F165" t="s">
        <v>3879</v>
      </c>
      <c r="G165" t="s">
        <v>3880</v>
      </c>
      <c r="I165" t="s">
        <v>3523</v>
      </c>
      <c r="J165" t="s">
        <v>3834</v>
      </c>
      <c r="K165" t="s">
        <v>280</v>
      </c>
    </row>
    <row r="166" spans="1:11" x14ac:dyDescent="0.2">
      <c r="A166" t="s">
        <v>183</v>
      </c>
      <c r="B166" t="s">
        <v>1905</v>
      </c>
      <c r="C166" t="s">
        <v>1979</v>
      </c>
      <c r="D166" t="s">
        <v>3881</v>
      </c>
      <c r="E166" t="s">
        <v>3882</v>
      </c>
      <c r="F166" t="s">
        <v>3883</v>
      </c>
      <c r="G166" t="s">
        <v>3884</v>
      </c>
      <c r="I166" t="s">
        <v>3523</v>
      </c>
      <c r="J166" t="s">
        <v>3834</v>
      </c>
      <c r="K166" t="s">
        <v>280</v>
      </c>
    </row>
    <row r="167" spans="1:11" x14ac:dyDescent="0.2">
      <c r="A167" t="s">
        <v>184</v>
      </c>
      <c r="B167" t="s">
        <v>1905</v>
      </c>
      <c r="C167" t="s">
        <v>1980</v>
      </c>
      <c r="D167" t="s">
        <v>3885</v>
      </c>
      <c r="E167" t="s">
        <v>3886</v>
      </c>
      <c r="F167" t="s">
        <v>3887</v>
      </c>
      <c r="G167" t="s">
        <v>3888</v>
      </c>
      <c r="I167" t="s">
        <v>3523</v>
      </c>
      <c r="J167" t="s">
        <v>3834</v>
      </c>
      <c r="K167" t="s">
        <v>280</v>
      </c>
    </row>
    <row r="168" spans="1:11" x14ac:dyDescent="0.2">
      <c r="A168" t="s">
        <v>185</v>
      </c>
      <c r="B168" t="s">
        <v>1905</v>
      </c>
      <c r="C168" t="s">
        <v>1981</v>
      </c>
      <c r="D168" t="s">
        <v>3889</v>
      </c>
      <c r="E168" t="s">
        <v>3890</v>
      </c>
      <c r="F168" t="s">
        <v>3891</v>
      </c>
      <c r="G168" t="s">
        <v>3892</v>
      </c>
      <c r="I168" t="s">
        <v>3523</v>
      </c>
      <c r="J168" t="s">
        <v>3834</v>
      </c>
      <c r="K168" t="s">
        <v>280</v>
      </c>
    </row>
    <row r="169" spans="1:11" x14ac:dyDescent="0.2">
      <c r="A169" t="s">
        <v>186</v>
      </c>
      <c r="B169" t="s">
        <v>1905</v>
      </c>
      <c r="C169" t="s">
        <v>1982</v>
      </c>
      <c r="D169" t="s">
        <v>3893</v>
      </c>
      <c r="E169" t="s">
        <v>3894</v>
      </c>
      <c r="F169" t="s">
        <v>3895</v>
      </c>
      <c r="G169" t="s">
        <v>1982</v>
      </c>
      <c r="I169" t="s">
        <v>3523</v>
      </c>
      <c r="J169" t="s">
        <v>3834</v>
      </c>
      <c r="K169" t="s">
        <v>280</v>
      </c>
    </row>
    <row r="170" spans="1:11" x14ac:dyDescent="0.2">
      <c r="A170" t="s">
        <v>187</v>
      </c>
      <c r="B170" t="s">
        <v>1905</v>
      </c>
      <c r="C170" t="s">
        <v>1983</v>
      </c>
      <c r="D170" t="s">
        <v>3896</v>
      </c>
      <c r="E170" t="s">
        <v>3897</v>
      </c>
      <c r="F170" t="s">
        <v>3898</v>
      </c>
      <c r="G170" t="s">
        <v>1983</v>
      </c>
      <c r="I170" t="s">
        <v>3523</v>
      </c>
      <c r="J170" t="s">
        <v>3834</v>
      </c>
      <c r="K170" t="s">
        <v>280</v>
      </c>
    </row>
    <row r="171" spans="1:11" x14ac:dyDescent="0.2">
      <c r="A171" t="s">
        <v>188</v>
      </c>
      <c r="B171" t="s">
        <v>1905</v>
      </c>
      <c r="C171" t="s">
        <v>1984</v>
      </c>
      <c r="D171" t="s">
        <v>3899</v>
      </c>
      <c r="E171" t="s">
        <v>3900</v>
      </c>
      <c r="F171" t="s">
        <v>3901</v>
      </c>
      <c r="G171" t="s">
        <v>1984</v>
      </c>
      <c r="I171" t="s">
        <v>3523</v>
      </c>
      <c r="J171" t="s">
        <v>3834</v>
      </c>
      <c r="K171" t="s">
        <v>280</v>
      </c>
    </row>
    <row r="172" spans="1:11" x14ac:dyDescent="0.2">
      <c r="A172" t="s">
        <v>189</v>
      </c>
      <c r="B172" t="s">
        <v>1905</v>
      </c>
      <c r="C172" t="s">
        <v>1985</v>
      </c>
      <c r="D172" t="s">
        <v>3902</v>
      </c>
      <c r="E172" t="s">
        <v>3903</v>
      </c>
      <c r="F172" t="s">
        <v>3904</v>
      </c>
      <c r="G172" t="s">
        <v>3905</v>
      </c>
      <c r="I172" t="s">
        <v>3523</v>
      </c>
      <c r="J172" t="s">
        <v>3834</v>
      </c>
      <c r="K172" t="s">
        <v>280</v>
      </c>
    </row>
    <row r="173" spans="1:11" x14ac:dyDescent="0.2">
      <c r="A173" t="s">
        <v>190</v>
      </c>
      <c r="B173" t="s">
        <v>1905</v>
      </c>
      <c r="C173" t="s">
        <v>1986</v>
      </c>
      <c r="D173" t="s">
        <v>3906</v>
      </c>
      <c r="E173" t="s">
        <v>3907</v>
      </c>
      <c r="F173" t="s">
        <v>3908</v>
      </c>
      <c r="G173" t="s">
        <v>3909</v>
      </c>
      <c r="I173" t="s">
        <v>3523</v>
      </c>
      <c r="J173" t="s">
        <v>3834</v>
      </c>
      <c r="K173" t="s">
        <v>280</v>
      </c>
    </row>
    <row r="174" spans="1:11" x14ac:dyDescent="0.2">
      <c r="A174" t="s">
        <v>191</v>
      </c>
      <c r="B174" t="s">
        <v>1905</v>
      </c>
      <c r="C174" t="s">
        <v>1987</v>
      </c>
      <c r="D174" t="s">
        <v>3910</v>
      </c>
      <c r="E174" t="s">
        <v>3911</v>
      </c>
      <c r="F174" t="s">
        <v>3912</v>
      </c>
      <c r="G174" t="s">
        <v>3913</v>
      </c>
      <c r="I174" t="s">
        <v>3523</v>
      </c>
      <c r="J174" t="s">
        <v>3834</v>
      </c>
      <c r="K174" t="s">
        <v>280</v>
      </c>
    </row>
    <row r="175" spans="1:11" x14ac:dyDescent="0.2">
      <c r="A175" t="s">
        <v>192</v>
      </c>
      <c r="B175" t="s">
        <v>1905</v>
      </c>
      <c r="C175" t="s">
        <v>1988</v>
      </c>
      <c r="D175" t="s">
        <v>3914</v>
      </c>
      <c r="E175" t="s">
        <v>3915</v>
      </c>
      <c r="F175" t="s">
        <v>3916</v>
      </c>
      <c r="G175" t="s">
        <v>3917</v>
      </c>
      <c r="I175" t="s">
        <v>3523</v>
      </c>
      <c r="J175" t="s">
        <v>3834</v>
      </c>
      <c r="K175" t="s">
        <v>280</v>
      </c>
    </row>
    <row r="176" spans="1:11" x14ac:dyDescent="0.2">
      <c r="A176" t="s">
        <v>193</v>
      </c>
      <c r="B176" t="s">
        <v>1905</v>
      </c>
      <c r="C176" t="s">
        <v>1989</v>
      </c>
      <c r="D176" t="s">
        <v>3918</v>
      </c>
      <c r="E176" t="s">
        <v>3919</v>
      </c>
      <c r="F176" t="s">
        <v>3920</v>
      </c>
      <c r="G176" t="s">
        <v>1989</v>
      </c>
      <c r="I176" t="s">
        <v>3523</v>
      </c>
      <c r="J176" t="s">
        <v>3834</v>
      </c>
      <c r="K176" t="s">
        <v>280</v>
      </c>
    </row>
    <row r="177" spans="1:11" x14ac:dyDescent="0.2">
      <c r="A177" t="s">
        <v>194</v>
      </c>
      <c r="B177" t="s">
        <v>1905</v>
      </c>
      <c r="C177" t="s">
        <v>1990</v>
      </c>
      <c r="D177" t="s">
        <v>3921</v>
      </c>
      <c r="E177" t="s">
        <v>3922</v>
      </c>
      <c r="F177" t="s">
        <v>3923</v>
      </c>
      <c r="G177" t="s">
        <v>1990</v>
      </c>
      <c r="I177" t="s">
        <v>3523</v>
      </c>
      <c r="J177" t="s">
        <v>3834</v>
      </c>
      <c r="K177" t="s">
        <v>280</v>
      </c>
    </row>
    <row r="178" spans="1:11" x14ac:dyDescent="0.2">
      <c r="A178" t="s">
        <v>195</v>
      </c>
      <c r="B178" t="s">
        <v>1905</v>
      </c>
      <c r="C178" t="s">
        <v>1991</v>
      </c>
      <c r="D178" t="s">
        <v>3924</v>
      </c>
      <c r="E178" t="s">
        <v>3925</v>
      </c>
      <c r="F178" t="s">
        <v>3926</v>
      </c>
      <c r="G178" t="s">
        <v>1991</v>
      </c>
      <c r="I178" t="s">
        <v>3523</v>
      </c>
      <c r="J178" t="s">
        <v>3834</v>
      </c>
      <c r="K178" t="s">
        <v>280</v>
      </c>
    </row>
    <row r="179" spans="1:11" x14ac:dyDescent="0.2">
      <c r="A179" t="s">
        <v>196</v>
      </c>
      <c r="B179" t="s">
        <v>1905</v>
      </c>
      <c r="C179" t="s">
        <v>1992</v>
      </c>
      <c r="D179" t="s">
        <v>3927</v>
      </c>
      <c r="E179" t="s">
        <v>3928</v>
      </c>
      <c r="F179" t="s">
        <v>3929</v>
      </c>
      <c r="G179" t="s">
        <v>3930</v>
      </c>
      <c r="I179" t="s">
        <v>3523</v>
      </c>
      <c r="J179" t="s">
        <v>3834</v>
      </c>
      <c r="K179" t="s">
        <v>280</v>
      </c>
    </row>
    <row r="180" spans="1:11" x14ac:dyDescent="0.2">
      <c r="A180" t="s">
        <v>197</v>
      </c>
      <c r="B180" t="s">
        <v>1905</v>
      </c>
      <c r="C180" t="s">
        <v>1993</v>
      </c>
      <c r="D180" t="s">
        <v>3931</v>
      </c>
      <c r="E180" t="s">
        <v>3932</v>
      </c>
      <c r="F180" t="s">
        <v>3933</v>
      </c>
      <c r="G180" t="s">
        <v>3934</v>
      </c>
      <c r="I180" t="s">
        <v>3523</v>
      </c>
      <c r="J180" t="s">
        <v>3834</v>
      </c>
      <c r="K180" t="s">
        <v>280</v>
      </c>
    </row>
    <row r="181" spans="1:11" x14ac:dyDescent="0.2">
      <c r="A181" t="s">
        <v>198</v>
      </c>
      <c r="B181" t="s">
        <v>1905</v>
      </c>
      <c r="C181" t="s">
        <v>1994</v>
      </c>
      <c r="D181" t="s">
        <v>3935</v>
      </c>
      <c r="E181" t="s">
        <v>3936</v>
      </c>
      <c r="F181" t="s">
        <v>3937</v>
      </c>
      <c r="G181" t="s">
        <v>3938</v>
      </c>
      <c r="I181" t="s">
        <v>3523</v>
      </c>
      <c r="J181" t="s">
        <v>3834</v>
      </c>
      <c r="K181" t="s">
        <v>280</v>
      </c>
    </row>
    <row r="182" spans="1:11" x14ac:dyDescent="0.2">
      <c r="A182" t="s">
        <v>199</v>
      </c>
      <c r="B182" t="s">
        <v>1905</v>
      </c>
      <c r="C182" t="s">
        <v>1995</v>
      </c>
      <c r="D182" t="s">
        <v>3939</v>
      </c>
      <c r="E182" t="s">
        <v>3940</v>
      </c>
      <c r="F182" t="s">
        <v>3941</v>
      </c>
      <c r="G182" t="s">
        <v>3942</v>
      </c>
      <c r="I182" t="s">
        <v>3523</v>
      </c>
      <c r="J182" t="s">
        <v>3834</v>
      </c>
      <c r="K182" t="s">
        <v>280</v>
      </c>
    </row>
    <row r="183" spans="1:11" x14ac:dyDescent="0.2">
      <c r="A183" t="s">
        <v>200</v>
      </c>
      <c r="B183" t="s">
        <v>1905</v>
      </c>
      <c r="C183" t="s">
        <v>1996</v>
      </c>
      <c r="D183" t="s">
        <v>3943</v>
      </c>
      <c r="E183" t="s">
        <v>3944</v>
      </c>
      <c r="F183" t="s">
        <v>3945</v>
      </c>
      <c r="G183" t="s">
        <v>3946</v>
      </c>
      <c r="I183" t="s">
        <v>3523</v>
      </c>
      <c r="J183" t="s">
        <v>3834</v>
      </c>
      <c r="K183" t="s">
        <v>280</v>
      </c>
    </row>
    <row r="184" spans="1:11" x14ac:dyDescent="0.2">
      <c r="A184" t="s">
        <v>201</v>
      </c>
      <c r="B184" t="s">
        <v>1905</v>
      </c>
      <c r="C184" t="s">
        <v>1997</v>
      </c>
      <c r="D184" t="s">
        <v>3947</v>
      </c>
      <c r="E184" t="s">
        <v>3948</v>
      </c>
      <c r="F184" t="s">
        <v>3949</v>
      </c>
      <c r="G184" t="s">
        <v>3950</v>
      </c>
      <c r="I184" t="s">
        <v>3523</v>
      </c>
      <c r="J184" t="s">
        <v>3834</v>
      </c>
      <c r="K184" t="s">
        <v>280</v>
      </c>
    </row>
    <row r="185" spans="1:11" x14ac:dyDescent="0.2">
      <c r="A185" t="s">
        <v>202</v>
      </c>
      <c r="B185" t="s">
        <v>1905</v>
      </c>
      <c r="C185" t="s">
        <v>1998</v>
      </c>
      <c r="D185" t="s">
        <v>3951</v>
      </c>
      <c r="E185" t="s">
        <v>3952</v>
      </c>
      <c r="F185" t="s">
        <v>3953</v>
      </c>
      <c r="G185" t="s">
        <v>3954</v>
      </c>
      <c r="I185" t="s">
        <v>3523</v>
      </c>
      <c r="J185" t="s">
        <v>3834</v>
      </c>
      <c r="K185" t="s">
        <v>280</v>
      </c>
    </row>
    <row r="186" spans="1:11" x14ac:dyDescent="0.2">
      <c r="A186" t="s">
        <v>203</v>
      </c>
      <c r="B186" t="s">
        <v>1905</v>
      </c>
      <c r="C186" t="s">
        <v>1999</v>
      </c>
      <c r="D186" t="s">
        <v>3955</v>
      </c>
      <c r="E186" t="s">
        <v>3956</v>
      </c>
      <c r="F186" t="s">
        <v>3957</v>
      </c>
      <c r="G186" t="s">
        <v>3958</v>
      </c>
      <c r="I186" t="s">
        <v>3523</v>
      </c>
      <c r="J186" t="s">
        <v>3834</v>
      </c>
      <c r="K186" t="s">
        <v>280</v>
      </c>
    </row>
    <row r="187" spans="1:11" x14ac:dyDescent="0.2">
      <c r="A187" t="s">
        <v>204</v>
      </c>
      <c r="B187" t="s">
        <v>1905</v>
      </c>
      <c r="C187" t="s">
        <v>2000</v>
      </c>
      <c r="D187" t="s">
        <v>3959</v>
      </c>
      <c r="E187" t="s">
        <v>3960</v>
      </c>
      <c r="F187" t="s">
        <v>3961</v>
      </c>
      <c r="G187" t="s">
        <v>3962</v>
      </c>
      <c r="I187" t="s">
        <v>3523</v>
      </c>
      <c r="J187" t="s">
        <v>3834</v>
      </c>
      <c r="K187" t="s">
        <v>280</v>
      </c>
    </row>
    <row r="188" spans="1:11" x14ac:dyDescent="0.2">
      <c r="A188" t="s">
        <v>205</v>
      </c>
      <c r="B188" t="s">
        <v>1905</v>
      </c>
      <c r="C188" t="s">
        <v>2001</v>
      </c>
      <c r="D188" t="s">
        <v>3963</v>
      </c>
      <c r="E188" t="s">
        <v>3964</v>
      </c>
      <c r="F188" t="s">
        <v>3965</v>
      </c>
      <c r="G188" t="s">
        <v>3966</v>
      </c>
      <c r="I188" t="s">
        <v>3523</v>
      </c>
      <c r="J188" t="s">
        <v>3834</v>
      </c>
      <c r="K188" t="s">
        <v>280</v>
      </c>
    </row>
    <row r="189" spans="1:11" x14ac:dyDescent="0.2">
      <c r="A189" t="s">
        <v>206</v>
      </c>
      <c r="B189" t="s">
        <v>1905</v>
      </c>
      <c r="C189" t="s">
        <v>2002</v>
      </c>
      <c r="D189" t="s">
        <v>3967</v>
      </c>
      <c r="E189" t="s">
        <v>3968</v>
      </c>
      <c r="F189" t="s">
        <v>3969</v>
      </c>
      <c r="G189" t="s">
        <v>3970</v>
      </c>
      <c r="I189" t="s">
        <v>3523</v>
      </c>
      <c r="J189" t="s">
        <v>3834</v>
      </c>
      <c r="K189" t="s">
        <v>280</v>
      </c>
    </row>
    <row r="190" spans="1:11" x14ac:dyDescent="0.2">
      <c r="A190" t="s">
        <v>207</v>
      </c>
      <c r="B190" t="s">
        <v>1905</v>
      </c>
      <c r="C190" t="s">
        <v>2003</v>
      </c>
      <c r="D190" t="s">
        <v>3971</v>
      </c>
      <c r="E190" t="s">
        <v>3972</v>
      </c>
      <c r="F190" t="s">
        <v>3973</v>
      </c>
      <c r="G190" t="s">
        <v>2003</v>
      </c>
      <c r="I190" t="s">
        <v>3523</v>
      </c>
      <c r="J190" t="s">
        <v>3834</v>
      </c>
      <c r="K190" t="s">
        <v>280</v>
      </c>
    </row>
    <row r="191" spans="1:11" x14ac:dyDescent="0.2">
      <c r="A191" t="s">
        <v>208</v>
      </c>
      <c r="B191" t="s">
        <v>1905</v>
      </c>
      <c r="C191" t="s">
        <v>2004</v>
      </c>
      <c r="D191" t="s">
        <v>3974</v>
      </c>
      <c r="E191" t="s">
        <v>3975</v>
      </c>
      <c r="F191" t="s">
        <v>3976</v>
      </c>
      <c r="G191" t="s">
        <v>2004</v>
      </c>
      <c r="I191" t="s">
        <v>3523</v>
      </c>
      <c r="J191" t="s">
        <v>3834</v>
      </c>
      <c r="K191" t="s">
        <v>280</v>
      </c>
    </row>
    <row r="192" spans="1:11" x14ac:dyDescent="0.2">
      <c r="A192" t="s">
        <v>209</v>
      </c>
      <c r="B192" t="s">
        <v>1905</v>
      </c>
      <c r="C192" t="s">
        <v>2005</v>
      </c>
      <c r="D192" t="s">
        <v>3977</v>
      </c>
      <c r="E192" t="s">
        <v>3978</v>
      </c>
      <c r="F192" t="s">
        <v>3979</v>
      </c>
      <c r="G192" t="s">
        <v>2005</v>
      </c>
      <c r="I192" t="s">
        <v>3523</v>
      </c>
      <c r="J192" t="s">
        <v>3834</v>
      </c>
      <c r="K192" t="s">
        <v>280</v>
      </c>
    </row>
    <row r="193" spans="1:11" x14ac:dyDescent="0.2">
      <c r="A193" t="s">
        <v>210</v>
      </c>
      <c r="B193" t="s">
        <v>1905</v>
      </c>
      <c r="C193" t="s">
        <v>1957</v>
      </c>
      <c r="D193" t="s">
        <v>3980</v>
      </c>
      <c r="E193" t="s">
        <v>3981</v>
      </c>
      <c r="F193" t="s">
        <v>3982</v>
      </c>
      <c r="G193" t="s">
        <v>3983</v>
      </c>
      <c r="I193" t="s">
        <v>3523</v>
      </c>
      <c r="J193" t="s">
        <v>3834</v>
      </c>
      <c r="K193" t="s">
        <v>280</v>
      </c>
    </row>
    <row r="194" spans="1:11" x14ac:dyDescent="0.2">
      <c r="A194" t="s">
        <v>211</v>
      </c>
      <c r="B194" t="s">
        <v>1905</v>
      </c>
      <c r="C194" t="s">
        <v>2006</v>
      </c>
      <c r="D194" t="s">
        <v>3984</v>
      </c>
      <c r="E194" t="s">
        <v>3985</v>
      </c>
      <c r="F194" t="s">
        <v>3986</v>
      </c>
      <c r="G194" t="s">
        <v>3987</v>
      </c>
      <c r="I194" t="s">
        <v>3523</v>
      </c>
      <c r="J194" t="s">
        <v>3834</v>
      </c>
      <c r="K194" t="s">
        <v>280</v>
      </c>
    </row>
    <row r="195" spans="1:11" x14ac:dyDescent="0.2">
      <c r="A195" t="s">
        <v>212</v>
      </c>
      <c r="B195" t="s">
        <v>1905</v>
      </c>
      <c r="C195" t="s">
        <v>2007</v>
      </c>
      <c r="D195" t="s">
        <v>3988</v>
      </c>
      <c r="E195" t="s">
        <v>3989</v>
      </c>
      <c r="F195" t="s">
        <v>3990</v>
      </c>
      <c r="G195" t="s">
        <v>3991</v>
      </c>
      <c r="I195" t="s">
        <v>3523</v>
      </c>
      <c r="J195" t="s">
        <v>3834</v>
      </c>
      <c r="K195" t="s">
        <v>280</v>
      </c>
    </row>
    <row r="196" spans="1:11" x14ac:dyDescent="0.2">
      <c r="A196" t="s">
        <v>213</v>
      </c>
      <c r="B196" t="s">
        <v>1905</v>
      </c>
      <c r="C196" t="s">
        <v>2008</v>
      </c>
      <c r="D196" t="s">
        <v>3992</v>
      </c>
      <c r="E196" t="s">
        <v>3993</v>
      </c>
      <c r="F196" t="s">
        <v>3994</v>
      </c>
      <c r="G196" t="s">
        <v>3995</v>
      </c>
      <c r="I196" t="s">
        <v>3523</v>
      </c>
      <c r="J196" t="s">
        <v>3834</v>
      </c>
      <c r="K196" t="s">
        <v>280</v>
      </c>
    </row>
    <row r="197" spans="1:11" x14ac:dyDescent="0.2">
      <c r="A197" t="s">
        <v>214</v>
      </c>
      <c r="B197" t="s">
        <v>1905</v>
      </c>
      <c r="C197" t="s">
        <v>2009</v>
      </c>
      <c r="D197" t="s">
        <v>3996</v>
      </c>
      <c r="E197" t="s">
        <v>3997</v>
      </c>
      <c r="F197" t="s">
        <v>3998</v>
      </c>
      <c r="G197" t="s">
        <v>3999</v>
      </c>
      <c r="I197" t="s">
        <v>3523</v>
      </c>
      <c r="J197" t="s">
        <v>3834</v>
      </c>
      <c r="K197" t="s">
        <v>280</v>
      </c>
    </row>
    <row r="198" spans="1:11" x14ac:dyDescent="0.2">
      <c r="A198" t="s">
        <v>215</v>
      </c>
      <c r="B198" t="s">
        <v>1905</v>
      </c>
      <c r="C198" t="s">
        <v>2010</v>
      </c>
      <c r="D198" t="s">
        <v>4000</v>
      </c>
      <c r="E198" t="s">
        <v>4001</v>
      </c>
      <c r="F198" t="s">
        <v>4002</v>
      </c>
      <c r="G198" t="s">
        <v>4003</v>
      </c>
      <c r="I198" t="s">
        <v>3523</v>
      </c>
      <c r="J198" t="s">
        <v>3834</v>
      </c>
      <c r="K198" t="s">
        <v>280</v>
      </c>
    </row>
    <row r="199" spans="1:11" x14ac:dyDescent="0.2">
      <c r="A199" t="s">
        <v>216</v>
      </c>
      <c r="B199" t="s">
        <v>1905</v>
      </c>
      <c r="C199" t="s">
        <v>2011</v>
      </c>
      <c r="D199" t="s">
        <v>4004</v>
      </c>
      <c r="E199" t="s">
        <v>4005</v>
      </c>
      <c r="F199" t="s">
        <v>4006</v>
      </c>
      <c r="G199" t="s">
        <v>4007</v>
      </c>
      <c r="I199" t="s">
        <v>3523</v>
      </c>
      <c r="J199" t="s">
        <v>3834</v>
      </c>
      <c r="K199" t="s">
        <v>280</v>
      </c>
    </row>
    <row r="200" spans="1:11" x14ac:dyDescent="0.2">
      <c r="A200" t="s">
        <v>217</v>
      </c>
      <c r="B200" t="s">
        <v>1905</v>
      </c>
      <c r="C200" t="s">
        <v>2012</v>
      </c>
      <c r="D200" t="s">
        <v>4008</v>
      </c>
      <c r="E200" t="s">
        <v>4009</v>
      </c>
      <c r="F200" t="s">
        <v>4010</v>
      </c>
      <c r="G200" t="s">
        <v>4011</v>
      </c>
      <c r="I200" t="s">
        <v>3523</v>
      </c>
      <c r="J200" t="s">
        <v>3834</v>
      </c>
      <c r="K200" t="s">
        <v>280</v>
      </c>
    </row>
    <row r="201" spans="1:11" x14ac:dyDescent="0.2">
      <c r="A201" t="s">
        <v>218</v>
      </c>
      <c r="B201" t="s">
        <v>1890</v>
      </c>
      <c r="C201" t="s">
        <v>2013</v>
      </c>
      <c r="D201" t="s">
        <v>4012</v>
      </c>
      <c r="E201" t="s">
        <v>4013</v>
      </c>
      <c r="F201" t="s">
        <v>4014</v>
      </c>
      <c r="G201" t="s">
        <v>4015</v>
      </c>
      <c r="I201" t="s">
        <v>3523</v>
      </c>
      <c r="J201" t="s">
        <v>3834</v>
      </c>
      <c r="K201" t="s">
        <v>280</v>
      </c>
    </row>
    <row r="202" spans="1:11" x14ac:dyDescent="0.2">
      <c r="A202" t="s">
        <v>219</v>
      </c>
      <c r="B202" t="s">
        <v>1905</v>
      </c>
      <c r="C202" t="s">
        <v>2014</v>
      </c>
      <c r="D202" t="s">
        <v>4016</v>
      </c>
      <c r="E202" t="s">
        <v>4017</v>
      </c>
      <c r="F202" t="s">
        <v>4018</v>
      </c>
      <c r="G202" t="s">
        <v>4019</v>
      </c>
      <c r="I202" t="s">
        <v>3523</v>
      </c>
      <c r="J202" t="s">
        <v>3834</v>
      </c>
      <c r="K202" t="s">
        <v>280</v>
      </c>
    </row>
    <row r="203" spans="1:11" x14ac:dyDescent="0.2">
      <c r="A203" t="s">
        <v>220</v>
      </c>
      <c r="B203" t="s">
        <v>1905</v>
      </c>
      <c r="C203" t="s">
        <v>2015</v>
      </c>
      <c r="D203" t="s">
        <v>4020</v>
      </c>
      <c r="E203" t="s">
        <v>4021</v>
      </c>
      <c r="F203" t="s">
        <v>4022</v>
      </c>
      <c r="G203" t="s">
        <v>4023</v>
      </c>
      <c r="I203" t="s">
        <v>3523</v>
      </c>
      <c r="J203" t="s">
        <v>3834</v>
      </c>
      <c r="K203" t="s">
        <v>280</v>
      </c>
    </row>
    <row r="204" spans="1:11" x14ac:dyDescent="0.2">
      <c r="A204" t="s">
        <v>221</v>
      </c>
      <c r="B204" t="s">
        <v>1905</v>
      </c>
      <c r="C204" t="s">
        <v>2016</v>
      </c>
      <c r="D204" t="s">
        <v>4024</v>
      </c>
      <c r="E204" t="s">
        <v>4025</v>
      </c>
      <c r="F204" t="s">
        <v>4026</v>
      </c>
      <c r="G204" t="s">
        <v>4027</v>
      </c>
      <c r="I204" t="s">
        <v>3523</v>
      </c>
      <c r="J204" t="s">
        <v>3834</v>
      </c>
      <c r="K204" t="s">
        <v>280</v>
      </c>
    </row>
    <row r="205" spans="1:11" x14ac:dyDescent="0.2">
      <c r="A205" t="s">
        <v>222</v>
      </c>
      <c r="B205" t="s">
        <v>1905</v>
      </c>
      <c r="C205" t="s">
        <v>2017</v>
      </c>
      <c r="D205" t="s">
        <v>4028</v>
      </c>
      <c r="E205" t="s">
        <v>4029</v>
      </c>
      <c r="F205" t="s">
        <v>4030</v>
      </c>
      <c r="G205" t="s">
        <v>4031</v>
      </c>
      <c r="I205" t="s">
        <v>3523</v>
      </c>
      <c r="J205" t="s">
        <v>3834</v>
      </c>
      <c r="K205" t="s">
        <v>280</v>
      </c>
    </row>
    <row r="206" spans="1:11" x14ac:dyDescent="0.2">
      <c r="A206" t="s">
        <v>223</v>
      </c>
      <c r="B206" t="s">
        <v>1905</v>
      </c>
      <c r="C206" t="s">
        <v>2018</v>
      </c>
      <c r="D206" t="s">
        <v>4032</v>
      </c>
      <c r="E206" t="s">
        <v>4033</v>
      </c>
      <c r="F206" t="s">
        <v>4034</v>
      </c>
      <c r="G206" t="s">
        <v>4035</v>
      </c>
      <c r="I206" t="s">
        <v>3523</v>
      </c>
      <c r="J206" t="s">
        <v>3834</v>
      </c>
      <c r="K206" t="s">
        <v>280</v>
      </c>
    </row>
    <row r="207" spans="1:11" x14ac:dyDescent="0.2">
      <c r="A207" t="s">
        <v>224</v>
      </c>
      <c r="B207" t="s">
        <v>1905</v>
      </c>
      <c r="C207" t="s">
        <v>2019</v>
      </c>
      <c r="D207" t="s">
        <v>4036</v>
      </c>
      <c r="E207" t="s">
        <v>4037</v>
      </c>
      <c r="F207" t="s">
        <v>4038</v>
      </c>
      <c r="G207" t="s">
        <v>4039</v>
      </c>
      <c r="I207" t="s">
        <v>3523</v>
      </c>
      <c r="J207" t="s">
        <v>3834</v>
      </c>
      <c r="K207" t="s">
        <v>280</v>
      </c>
    </row>
    <row r="208" spans="1:11" x14ac:dyDescent="0.2">
      <c r="A208" t="s">
        <v>225</v>
      </c>
      <c r="B208" t="s">
        <v>1905</v>
      </c>
      <c r="C208" t="s">
        <v>2020</v>
      </c>
      <c r="D208" t="s">
        <v>4040</v>
      </c>
      <c r="E208" t="s">
        <v>4041</v>
      </c>
      <c r="F208" t="s">
        <v>4042</v>
      </c>
      <c r="G208" t="s">
        <v>4043</v>
      </c>
      <c r="I208" t="s">
        <v>3523</v>
      </c>
      <c r="J208" t="s">
        <v>3834</v>
      </c>
      <c r="K208" t="s">
        <v>280</v>
      </c>
    </row>
    <row r="209" spans="1:11" x14ac:dyDescent="0.2">
      <c r="A209" t="s">
        <v>226</v>
      </c>
      <c r="B209" t="s">
        <v>1905</v>
      </c>
      <c r="C209" t="s">
        <v>1953</v>
      </c>
      <c r="D209" t="s">
        <v>2827</v>
      </c>
      <c r="E209" t="s">
        <v>4044</v>
      </c>
      <c r="F209" t="s">
        <v>4045</v>
      </c>
      <c r="G209" t="s">
        <v>4046</v>
      </c>
      <c r="I209" t="s">
        <v>3523</v>
      </c>
      <c r="J209" t="s">
        <v>3834</v>
      </c>
      <c r="K209" t="s">
        <v>280</v>
      </c>
    </row>
    <row r="210" spans="1:11" x14ac:dyDescent="0.2">
      <c r="A210" t="s">
        <v>227</v>
      </c>
      <c r="B210" t="s">
        <v>1905</v>
      </c>
      <c r="C210" t="s">
        <v>1954</v>
      </c>
      <c r="D210" t="s">
        <v>2828</v>
      </c>
      <c r="E210" t="s">
        <v>4047</v>
      </c>
      <c r="F210" t="s">
        <v>4048</v>
      </c>
      <c r="G210" t="s">
        <v>4049</v>
      </c>
      <c r="I210" t="s">
        <v>3523</v>
      </c>
      <c r="J210" t="s">
        <v>3834</v>
      </c>
      <c r="K210" t="s">
        <v>280</v>
      </c>
    </row>
    <row r="211" spans="1:11" x14ac:dyDescent="0.2">
      <c r="A211" t="s">
        <v>228</v>
      </c>
      <c r="B211" t="s">
        <v>1905</v>
      </c>
      <c r="C211" t="s">
        <v>1955</v>
      </c>
      <c r="D211" t="s">
        <v>2829</v>
      </c>
      <c r="E211" t="s">
        <v>4050</v>
      </c>
      <c r="F211" t="s">
        <v>4051</v>
      </c>
      <c r="G211" t="s">
        <v>4052</v>
      </c>
      <c r="I211" t="s">
        <v>3523</v>
      </c>
      <c r="J211" t="s">
        <v>3834</v>
      </c>
      <c r="K211" t="s">
        <v>280</v>
      </c>
    </row>
    <row r="212" spans="1:11" x14ac:dyDescent="0.2">
      <c r="A212" t="s">
        <v>229</v>
      </c>
      <c r="B212" t="s">
        <v>1905</v>
      </c>
      <c r="C212" t="s">
        <v>1956</v>
      </c>
      <c r="D212" t="s">
        <v>2830</v>
      </c>
      <c r="E212" t="s">
        <v>4053</v>
      </c>
      <c r="F212" t="s">
        <v>4054</v>
      </c>
      <c r="G212" t="s">
        <v>4055</v>
      </c>
      <c r="I212" t="s">
        <v>3523</v>
      </c>
      <c r="J212" t="s">
        <v>3834</v>
      </c>
      <c r="K212" t="s">
        <v>280</v>
      </c>
    </row>
    <row r="213" spans="1:11" x14ac:dyDescent="0.2">
      <c r="A213" t="s">
        <v>230</v>
      </c>
      <c r="B213" t="s">
        <v>1905</v>
      </c>
      <c r="C213" t="s">
        <v>1957</v>
      </c>
      <c r="D213" t="s">
        <v>2831</v>
      </c>
      <c r="E213" t="s">
        <v>4056</v>
      </c>
      <c r="F213" t="s">
        <v>4057</v>
      </c>
      <c r="G213" t="s">
        <v>4058</v>
      </c>
      <c r="I213" t="s">
        <v>3523</v>
      </c>
      <c r="J213" t="s">
        <v>3834</v>
      </c>
      <c r="K213" t="s">
        <v>280</v>
      </c>
    </row>
    <row r="214" spans="1:11" x14ac:dyDescent="0.2">
      <c r="A214" t="s">
        <v>231</v>
      </c>
      <c r="B214" t="s">
        <v>1905</v>
      </c>
      <c r="C214" t="s">
        <v>1958</v>
      </c>
      <c r="D214" t="s">
        <v>2832</v>
      </c>
      <c r="E214" t="s">
        <v>4059</v>
      </c>
      <c r="F214" t="s">
        <v>4060</v>
      </c>
      <c r="G214" t="s">
        <v>4061</v>
      </c>
      <c r="I214" t="s">
        <v>3523</v>
      </c>
      <c r="J214" t="s">
        <v>3834</v>
      </c>
      <c r="K214" t="s">
        <v>280</v>
      </c>
    </row>
    <row r="215" spans="1:11" x14ac:dyDescent="0.2">
      <c r="A215" t="s">
        <v>232</v>
      </c>
      <c r="B215" t="s">
        <v>1905</v>
      </c>
      <c r="C215" t="s">
        <v>2021</v>
      </c>
      <c r="D215" t="s">
        <v>2833</v>
      </c>
      <c r="E215" t="s">
        <v>4062</v>
      </c>
      <c r="F215" t="s">
        <v>4063</v>
      </c>
      <c r="G215" t="s">
        <v>4064</v>
      </c>
      <c r="I215" t="s">
        <v>3523</v>
      </c>
      <c r="J215" t="s">
        <v>3834</v>
      </c>
      <c r="K215" t="s">
        <v>280</v>
      </c>
    </row>
    <row r="216" spans="1:11" x14ac:dyDescent="0.2">
      <c r="A216" t="s">
        <v>3502</v>
      </c>
      <c r="B216" t="s">
        <v>3502</v>
      </c>
      <c r="C216" t="s">
        <v>2022</v>
      </c>
      <c r="D216" t="s">
        <v>4065</v>
      </c>
      <c r="I216" t="s">
        <v>3502</v>
      </c>
      <c r="J216" t="s">
        <v>3502</v>
      </c>
      <c r="K216" t="s">
        <v>281</v>
      </c>
    </row>
    <row r="217" spans="1:11" x14ac:dyDescent="0.2">
      <c r="A217" t="s">
        <v>233</v>
      </c>
      <c r="B217" t="s">
        <v>1905</v>
      </c>
      <c r="C217" t="s">
        <v>2023</v>
      </c>
      <c r="D217" t="s">
        <v>4066</v>
      </c>
      <c r="E217" t="s">
        <v>4067</v>
      </c>
      <c r="F217" t="s">
        <v>4068</v>
      </c>
      <c r="G217" t="s">
        <v>3540</v>
      </c>
      <c r="I217" t="s">
        <v>3523</v>
      </c>
      <c r="J217" t="s">
        <v>4069</v>
      </c>
      <c r="K217" t="s">
        <v>281</v>
      </c>
    </row>
    <row r="218" spans="1:11" x14ac:dyDescent="0.2">
      <c r="A218" t="s">
        <v>234</v>
      </c>
      <c r="B218" t="s">
        <v>1905</v>
      </c>
      <c r="C218" t="s">
        <v>2024</v>
      </c>
      <c r="D218" t="s">
        <v>4070</v>
      </c>
      <c r="E218" t="s">
        <v>4071</v>
      </c>
      <c r="F218" t="s">
        <v>4072</v>
      </c>
      <c r="G218" t="s">
        <v>4073</v>
      </c>
      <c r="I218" t="s">
        <v>3523</v>
      </c>
      <c r="J218" t="s">
        <v>4069</v>
      </c>
      <c r="K218" t="s">
        <v>281</v>
      </c>
    </row>
    <row r="219" spans="1:11" x14ac:dyDescent="0.2">
      <c r="A219" t="s">
        <v>235</v>
      </c>
      <c r="B219" t="s">
        <v>1905</v>
      </c>
      <c r="C219" t="s">
        <v>2025</v>
      </c>
      <c r="D219" t="s">
        <v>4074</v>
      </c>
      <c r="E219" t="s">
        <v>4075</v>
      </c>
      <c r="F219" t="s">
        <v>4076</v>
      </c>
      <c r="G219" t="s">
        <v>4077</v>
      </c>
      <c r="I219" t="s">
        <v>3523</v>
      </c>
      <c r="J219" t="s">
        <v>4069</v>
      </c>
      <c r="K219" t="s">
        <v>281</v>
      </c>
    </row>
    <row r="220" spans="1:11" x14ac:dyDescent="0.2">
      <c r="A220" t="s">
        <v>236</v>
      </c>
      <c r="B220" t="s">
        <v>1905</v>
      </c>
      <c r="C220" t="s">
        <v>2026</v>
      </c>
      <c r="D220" t="s">
        <v>4078</v>
      </c>
      <c r="E220" t="s">
        <v>4079</v>
      </c>
      <c r="F220" t="s">
        <v>4080</v>
      </c>
      <c r="G220" t="s">
        <v>2026</v>
      </c>
      <c r="I220" t="s">
        <v>3523</v>
      </c>
      <c r="J220" t="s">
        <v>4069</v>
      </c>
      <c r="K220" t="s">
        <v>281</v>
      </c>
    </row>
    <row r="221" spans="1:11" x14ac:dyDescent="0.2">
      <c r="A221" t="s">
        <v>237</v>
      </c>
      <c r="B221" t="s">
        <v>1905</v>
      </c>
      <c r="C221" t="s">
        <v>2027</v>
      </c>
      <c r="D221" t="s">
        <v>4081</v>
      </c>
      <c r="E221" t="s">
        <v>4082</v>
      </c>
      <c r="F221" t="s">
        <v>4083</v>
      </c>
      <c r="G221" t="s">
        <v>2027</v>
      </c>
      <c r="I221" t="s">
        <v>3523</v>
      </c>
      <c r="J221" t="s">
        <v>4069</v>
      </c>
      <c r="K221" t="s">
        <v>281</v>
      </c>
    </row>
    <row r="222" spans="1:11" x14ac:dyDescent="0.2">
      <c r="A222" t="s">
        <v>238</v>
      </c>
      <c r="B222" t="s">
        <v>1905</v>
      </c>
      <c r="C222" t="s">
        <v>2028</v>
      </c>
      <c r="D222" t="s">
        <v>4084</v>
      </c>
      <c r="E222" t="s">
        <v>4085</v>
      </c>
      <c r="F222" t="s">
        <v>4086</v>
      </c>
      <c r="G222" t="s">
        <v>3559</v>
      </c>
      <c r="I222" t="s">
        <v>3523</v>
      </c>
      <c r="J222" t="s">
        <v>4069</v>
      </c>
      <c r="K222" t="s">
        <v>281</v>
      </c>
    </row>
    <row r="223" spans="1:11" x14ac:dyDescent="0.2">
      <c r="A223" t="s">
        <v>239</v>
      </c>
      <c r="B223" t="s">
        <v>1905</v>
      </c>
      <c r="C223" t="s">
        <v>2029</v>
      </c>
      <c r="D223" t="s">
        <v>4087</v>
      </c>
      <c r="E223" t="s">
        <v>4088</v>
      </c>
      <c r="F223" t="s">
        <v>4089</v>
      </c>
      <c r="G223" t="s">
        <v>3563</v>
      </c>
      <c r="I223" t="s">
        <v>3523</v>
      </c>
      <c r="J223" t="s">
        <v>4069</v>
      </c>
      <c r="K223" t="s">
        <v>281</v>
      </c>
    </row>
    <row r="224" spans="1:11" x14ac:dyDescent="0.2">
      <c r="A224" t="s">
        <v>240</v>
      </c>
      <c r="B224" t="s">
        <v>1905</v>
      </c>
      <c r="C224" t="s">
        <v>2030</v>
      </c>
      <c r="D224" t="s">
        <v>4090</v>
      </c>
      <c r="E224" t="s">
        <v>4091</v>
      </c>
      <c r="F224" t="s">
        <v>4092</v>
      </c>
      <c r="G224" t="s">
        <v>3567</v>
      </c>
      <c r="I224" t="s">
        <v>3523</v>
      </c>
      <c r="J224" t="s">
        <v>4069</v>
      </c>
      <c r="K224" t="s">
        <v>281</v>
      </c>
    </row>
    <row r="225" spans="1:11" x14ac:dyDescent="0.2">
      <c r="A225" t="s">
        <v>241</v>
      </c>
      <c r="B225" t="s">
        <v>1905</v>
      </c>
      <c r="C225" t="s">
        <v>2031</v>
      </c>
      <c r="D225" t="s">
        <v>4093</v>
      </c>
      <c r="E225" t="s">
        <v>4094</v>
      </c>
      <c r="F225" t="s">
        <v>4095</v>
      </c>
      <c r="G225" t="s">
        <v>4096</v>
      </c>
      <c r="I225" t="s">
        <v>3523</v>
      </c>
      <c r="J225" t="s">
        <v>4069</v>
      </c>
      <c r="K225" t="s">
        <v>281</v>
      </c>
    </row>
    <row r="226" spans="1:11" x14ac:dyDescent="0.2">
      <c r="A226" t="s">
        <v>242</v>
      </c>
      <c r="B226" t="s">
        <v>1905</v>
      </c>
      <c r="C226" t="s">
        <v>2032</v>
      </c>
      <c r="D226" t="s">
        <v>4097</v>
      </c>
      <c r="E226" t="s">
        <v>4098</v>
      </c>
      <c r="F226" t="s">
        <v>4099</v>
      </c>
      <c r="G226" t="s">
        <v>4100</v>
      </c>
      <c r="I226" t="s">
        <v>3523</v>
      </c>
      <c r="J226" t="s">
        <v>4069</v>
      </c>
      <c r="K226" t="s">
        <v>281</v>
      </c>
    </row>
    <row r="227" spans="1:11" x14ac:dyDescent="0.2">
      <c r="A227" t="s">
        <v>243</v>
      </c>
      <c r="B227" t="s">
        <v>1905</v>
      </c>
      <c r="C227" t="s">
        <v>2033</v>
      </c>
      <c r="D227" t="s">
        <v>4101</v>
      </c>
      <c r="E227" t="s">
        <v>4102</v>
      </c>
      <c r="F227" t="s">
        <v>4103</v>
      </c>
      <c r="G227" t="s">
        <v>3579</v>
      </c>
      <c r="I227" t="s">
        <v>3523</v>
      </c>
      <c r="J227" t="s">
        <v>4069</v>
      </c>
      <c r="K227" t="s">
        <v>281</v>
      </c>
    </row>
    <row r="228" spans="1:11" x14ac:dyDescent="0.2">
      <c r="A228" t="s">
        <v>244</v>
      </c>
      <c r="B228" t="s">
        <v>1905</v>
      </c>
      <c r="C228" t="s">
        <v>2034</v>
      </c>
      <c r="D228" t="s">
        <v>4104</v>
      </c>
      <c r="E228" t="s">
        <v>4105</v>
      </c>
      <c r="F228" t="s">
        <v>4106</v>
      </c>
      <c r="G228" t="s">
        <v>2034</v>
      </c>
      <c r="I228" t="s">
        <v>3523</v>
      </c>
      <c r="J228" t="s">
        <v>4069</v>
      </c>
      <c r="K228" t="s">
        <v>281</v>
      </c>
    </row>
    <row r="229" spans="1:11" x14ac:dyDescent="0.2">
      <c r="A229" t="s">
        <v>245</v>
      </c>
      <c r="B229" t="s">
        <v>1905</v>
      </c>
      <c r="C229" t="s">
        <v>2035</v>
      </c>
      <c r="D229" t="s">
        <v>4107</v>
      </c>
      <c r="E229" t="s">
        <v>4108</v>
      </c>
      <c r="F229" t="s">
        <v>4109</v>
      </c>
      <c r="G229" t="s">
        <v>3586</v>
      </c>
      <c r="I229" t="s">
        <v>3523</v>
      </c>
      <c r="J229" t="s">
        <v>4069</v>
      </c>
      <c r="K229" t="s">
        <v>281</v>
      </c>
    </row>
    <row r="230" spans="1:11" x14ac:dyDescent="0.2">
      <c r="A230" t="s">
        <v>246</v>
      </c>
      <c r="B230" t="s">
        <v>1905</v>
      </c>
      <c r="C230" t="s">
        <v>2036</v>
      </c>
      <c r="D230" t="s">
        <v>4110</v>
      </c>
      <c r="E230" t="s">
        <v>4111</v>
      </c>
      <c r="F230" t="s">
        <v>4112</v>
      </c>
      <c r="G230" t="s">
        <v>3590</v>
      </c>
      <c r="I230" t="s">
        <v>3523</v>
      </c>
      <c r="J230" t="s">
        <v>4069</v>
      </c>
      <c r="K230" t="s">
        <v>281</v>
      </c>
    </row>
    <row r="231" spans="1:11" x14ac:dyDescent="0.2">
      <c r="A231" t="s">
        <v>247</v>
      </c>
      <c r="B231" t="s">
        <v>1905</v>
      </c>
      <c r="C231" t="s">
        <v>2037</v>
      </c>
      <c r="D231" t="s">
        <v>4113</v>
      </c>
      <c r="E231" t="s">
        <v>4114</v>
      </c>
      <c r="F231" t="s">
        <v>4115</v>
      </c>
      <c r="G231" t="s">
        <v>3594</v>
      </c>
      <c r="I231" t="s">
        <v>3523</v>
      </c>
      <c r="J231" t="s">
        <v>4069</v>
      </c>
      <c r="K231" t="s">
        <v>281</v>
      </c>
    </row>
    <row r="232" spans="1:11" x14ac:dyDescent="0.2">
      <c r="A232" t="s">
        <v>248</v>
      </c>
      <c r="B232" t="s">
        <v>1905</v>
      </c>
      <c r="C232" t="s">
        <v>2038</v>
      </c>
      <c r="D232" t="s">
        <v>4116</v>
      </c>
      <c r="E232" t="s">
        <v>4117</v>
      </c>
      <c r="F232" t="s">
        <v>4118</v>
      </c>
      <c r="G232" t="s">
        <v>4119</v>
      </c>
      <c r="I232" t="s">
        <v>3523</v>
      </c>
      <c r="J232" t="s">
        <v>4069</v>
      </c>
      <c r="K232" t="s">
        <v>281</v>
      </c>
    </row>
    <row r="233" spans="1:11" x14ac:dyDescent="0.2">
      <c r="A233" t="s">
        <v>249</v>
      </c>
      <c r="B233" t="s">
        <v>1905</v>
      </c>
      <c r="C233" t="s">
        <v>2039</v>
      </c>
      <c r="D233" t="s">
        <v>4120</v>
      </c>
      <c r="E233" t="s">
        <v>4121</v>
      </c>
      <c r="F233" t="s">
        <v>4122</v>
      </c>
      <c r="G233" t="s">
        <v>4123</v>
      </c>
      <c r="I233" t="s">
        <v>3523</v>
      </c>
      <c r="J233" t="s">
        <v>4069</v>
      </c>
      <c r="K233" t="s">
        <v>281</v>
      </c>
    </row>
    <row r="234" spans="1:11" x14ac:dyDescent="0.2">
      <c r="A234" t="s">
        <v>250</v>
      </c>
      <c r="B234" t="s">
        <v>1905</v>
      </c>
      <c r="C234" t="s">
        <v>2040</v>
      </c>
      <c r="D234" t="s">
        <v>4124</v>
      </c>
      <c r="E234" t="s">
        <v>4125</v>
      </c>
      <c r="F234" t="s">
        <v>4126</v>
      </c>
      <c r="G234" t="s">
        <v>3606</v>
      </c>
      <c r="I234" t="s">
        <v>3523</v>
      </c>
      <c r="J234" t="s">
        <v>4069</v>
      </c>
      <c r="K234" t="s">
        <v>281</v>
      </c>
    </row>
    <row r="235" spans="1:11" x14ac:dyDescent="0.2">
      <c r="A235" t="s">
        <v>251</v>
      </c>
      <c r="B235" t="s">
        <v>1905</v>
      </c>
      <c r="C235" t="s">
        <v>2041</v>
      </c>
      <c r="D235" t="s">
        <v>4127</v>
      </c>
      <c r="E235" t="s">
        <v>4128</v>
      </c>
      <c r="F235" t="s">
        <v>4129</v>
      </c>
      <c r="G235" t="s">
        <v>2041</v>
      </c>
      <c r="I235" t="s">
        <v>3523</v>
      </c>
      <c r="J235" t="s">
        <v>4069</v>
      </c>
      <c r="K235" t="s">
        <v>281</v>
      </c>
    </row>
    <row r="236" spans="1:11" x14ac:dyDescent="0.2">
      <c r="A236" t="s">
        <v>252</v>
      </c>
      <c r="B236" t="s">
        <v>1905</v>
      </c>
      <c r="C236" t="s">
        <v>2042</v>
      </c>
      <c r="D236" t="s">
        <v>4130</v>
      </c>
      <c r="E236" t="s">
        <v>4131</v>
      </c>
      <c r="F236" t="s">
        <v>4132</v>
      </c>
      <c r="G236" t="s">
        <v>3613</v>
      </c>
      <c r="I236" t="s">
        <v>3523</v>
      </c>
      <c r="J236" t="s">
        <v>4069</v>
      </c>
      <c r="K236" t="s">
        <v>281</v>
      </c>
    </row>
    <row r="237" spans="1:11" x14ac:dyDescent="0.2">
      <c r="A237" t="s">
        <v>253</v>
      </c>
      <c r="B237" t="s">
        <v>1905</v>
      </c>
      <c r="C237" t="s">
        <v>2043</v>
      </c>
      <c r="D237" t="s">
        <v>4133</v>
      </c>
      <c r="E237" t="s">
        <v>4134</v>
      </c>
      <c r="F237" t="s">
        <v>4135</v>
      </c>
      <c r="G237" t="s">
        <v>3617</v>
      </c>
      <c r="I237" t="s">
        <v>3523</v>
      </c>
      <c r="J237" t="s">
        <v>4069</v>
      </c>
      <c r="K237" t="s">
        <v>281</v>
      </c>
    </row>
    <row r="238" spans="1:11" x14ac:dyDescent="0.2">
      <c r="A238" t="s">
        <v>254</v>
      </c>
      <c r="B238" t="s">
        <v>1905</v>
      </c>
      <c r="C238" t="s">
        <v>2044</v>
      </c>
      <c r="D238" t="s">
        <v>4136</v>
      </c>
      <c r="E238" t="s">
        <v>4137</v>
      </c>
      <c r="F238" t="s">
        <v>4138</v>
      </c>
      <c r="G238" t="s">
        <v>3649</v>
      </c>
      <c r="I238" t="s">
        <v>3523</v>
      </c>
      <c r="J238" t="s">
        <v>4069</v>
      </c>
      <c r="K238" t="s">
        <v>281</v>
      </c>
    </row>
    <row r="239" spans="1:11" x14ac:dyDescent="0.2">
      <c r="A239" t="s">
        <v>255</v>
      </c>
      <c r="B239" t="s">
        <v>1905</v>
      </c>
      <c r="C239" t="s">
        <v>2045</v>
      </c>
      <c r="D239" t="s">
        <v>4139</v>
      </c>
      <c r="E239" t="s">
        <v>4140</v>
      </c>
      <c r="F239" t="s">
        <v>4141</v>
      </c>
      <c r="G239" t="s">
        <v>4142</v>
      </c>
      <c r="I239" t="s">
        <v>3523</v>
      </c>
      <c r="J239" t="s">
        <v>4069</v>
      </c>
      <c r="K239" t="s">
        <v>281</v>
      </c>
    </row>
    <row r="240" spans="1:11" x14ac:dyDescent="0.2">
      <c r="A240" t="s">
        <v>256</v>
      </c>
      <c r="B240" t="s">
        <v>1905</v>
      </c>
      <c r="C240" t="s">
        <v>2046</v>
      </c>
      <c r="D240" t="s">
        <v>4143</v>
      </c>
      <c r="E240" t="s">
        <v>4144</v>
      </c>
      <c r="F240" t="s">
        <v>4145</v>
      </c>
      <c r="G240" t="s">
        <v>4146</v>
      </c>
      <c r="I240" t="s">
        <v>3523</v>
      </c>
      <c r="J240" t="s">
        <v>4069</v>
      </c>
      <c r="K240" t="s">
        <v>281</v>
      </c>
    </row>
    <row r="241" spans="1:11" x14ac:dyDescent="0.2">
      <c r="A241" t="s">
        <v>257</v>
      </c>
      <c r="B241" t="s">
        <v>1905</v>
      </c>
      <c r="C241" t="s">
        <v>2047</v>
      </c>
      <c r="D241" t="s">
        <v>4147</v>
      </c>
      <c r="E241" t="s">
        <v>4148</v>
      </c>
      <c r="F241" t="s">
        <v>4149</v>
      </c>
      <c r="G241" t="s">
        <v>3661</v>
      </c>
      <c r="I241" t="s">
        <v>3523</v>
      </c>
      <c r="J241" t="s">
        <v>4069</v>
      </c>
      <c r="K241" t="s">
        <v>281</v>
      </c>
    </row>
    <row r="242" spans="1:11" x14ac:dyDescent="0.2">
      <c r="A242" t="s">
        <v>258</v>
      </c>
      <c r="B242" t="s">
        <v>1905</v>
      </c>
      <c r="C242" t="s">
        <v>2048</v>
      </c>
      <c r="D242" t="s">
        <v>4150</v>
      </c>
      <c r="E242" t="s">
        <v>4151</v>
      </c>
      <c r="F242" t="s">
        <v>4152</v>
      </c>
      <c r="G242" t="s">
        <v>2048</v>
      </c>
      <c r="I242" t="s">
        <v>3523</v>
      </c>
      <c r="J242" t="s">
        <v>4069</v>
      </c>
      <c r="K242" t="s">
        <v>281</v>
      </c>
    </row>
    <row r="243" spans="1:11" x14ac:dyDescent="0.2">
      <c r="A243" t="s">
        <v>259</v>
      </c>
      <c r="B243" t="s">
        <v>1905</v>
      </c>
      <c r="C243" t="s">
        <v>2049</v>
      </c>
      <c r="D243" t="s">
        <v>4153</v>
      </c>
      <c r="E243" t="s">
        <v>4154</v>
      </c>
      <c r="F243" t="s">
        <v>4155</v>
      </c>
      <c r="G243" t="s">
        <v>3668</v>
      </c>
      <c r="I243" t="s">
        <v>3523</v>
      </c>
      <c r="J243" t="s">
        <v>4069</v>
      </c>
      <c r="K243" t="s">
        <v>281</v>
      </c>
    </row>
    <row r="244" spans="1:11" x14ac:dyDescent="0.2">
      <c r="A244" t="s">
        <v>260</v>
      </c>
      <c r="B244" t="s">
        <v>1905</v>
      </c>
      <c r="C244" t="s">
        <v>2050</v>
      </c>
      <c r="D244" t="s">
        <v>4156</v>
      </c>
      <c r="E244" t="s">
        <v>4157</v>
      </c>
      <c r="F244" t="s">
        <v>4158</v>
      </c>
      <c r="G244" t="s">
        <v>3672</v>
      </c>
      <c r="I244" t="s">
        <v>3523</v>
      </c>
      <c r="J244" t="s">
        <v>4069</v>
      </c>
      <c r="K244" t="s">
        <v>281</v>
      </c>
    </row>
    <row r="245" spans="1:11" x14ac:dyDescent="0.2">
      <c r="A245" t="s">
        <v>261</v>
      </c>
      <c r="B245" t="s">
        <v>1905</v>
      </c>
      <c r="C245" t="s">
        <v>2051</v>
      </c>
      <c r="D245" t="s">
        <v>4159</v>
      </c>
      <c r="E245" t="s">
        <v>4160</v>
      </c>
      <c r="F245" t="s">
        <v>4161</v>
      </c>
      <c r="G245" t="s">
        <v>3676</v>
      </c>
      <c r="I245" t="s">
        <v>3523</v>
      </c>
      <c r="J245" t="s">
        <v>4069</v>
      </c>
      <c r="K245" t="s">
        <v>281</v>
      </c>
    </row>
    <row r="246" spans="1:11" x14ac:dyDescent="0.2">
      <c r="A246" t="s">
        <v>262</v>
      </c>
      <c r="B246" t="s">
        <v>1905</v>
      </c>
      <c r="C246" t="s">
        <v>2052</v>
      </c>
      <c r="D246" t="s">
        <v>4162</v>
      </c>
      <c r="E246" t="s">
        <v>4163</v>
      </c>
      <c r="F246" t="s">
        <v>4164</v>
      </c>
      <c r="G246" t="s">
        <v>4165</v>
      </c>
      <c r="I246" t="s">
        <v>3523</v>
      </c>
      <c r="J246" t="s">
        <v>4069</v>
      </c>
      <c r="K246" t="s">
        <v>281</v>
      </c>
    </row>
    <row r="247" spans="1:11" x14ac:dyDescent="0.2">
      <c r="A247" t="s">
        <v>263</v>
      </c>
      <c r="B247" t="s">
        <v>1905</v>
      </c>
      <c r="C247" t="s">
        <v>2053</v>
      </c>
      <c r="D247" t="s">
        <v>4166</v>
      </c>
      <c r="E247" t="s">
        <v>4167</v>
      </c>
      <c r="F247" t="s">
        <v>4168</v>
      </c>
      <c r="G247" t="s">
        <v>4169</v>
      </c>
      <c r="I247" t="s">
        <v>3523</v>
      </c>
      <c r="J247" t="s">
        <v>4069</v>
      </c>
      <c r="K247" t="s">
        <v>281</v>
      </c>
    </row>
    <row r="248" spans="1:11" x14ac:dyDescent="0.2">
      <c r="A248" t="s">
        <v>264</v>
      </c>
      <c r="B248" t="s">
        <v>1905</v>
      </c>
      <c r="C248" t="s">
        <v>2054</v>
      </c>
      <c r="D248" t="s">
        <v>4170</v>
      </c>
      <c r="E248" t="s">
        <v>4171</v>
      </c>
      <c r="F248" t="s">
        <v>4172</v>
      </c>
      <c r="G248" t="s">
        <v>3688</v>
      </c>
      <c r="I248" t="s">
        <v>3523</v>
      </c>
      <c r="J248" t="s">
        <v>4069</v>
      </c>
      <c r="K248" t="s">
        <v>281</v>
      </c>
    </row>
    <row r="249" spans="1:11" x14ac:dyDescent="0.2">
      <c r="A249" t="s">
        <v>265</v>
      </c>
      <c r="B249" t="s">
        <v>1905</v>
      </c>
      <c r="C249" t="s">
        <v>2055</v>
      </c>
      <c r="D249" t="s">
        <v>4173</v>
      </c>
      <c r="E249" t="s">
        <v>4174</v>
      </c>
      <c r="F249" t="s">
        <v>4175</v>
      </c>
      <c r="G249" t="s">
        <v>2055</v>
      </c>
      <c r="I249" t="s">
        <v>3523</v>
      </c>
      <c r="J249" t="s">
        <v>4069</v>
      </c>
      <c r="K249" t="s">
        <v>281</v>
      </c>
    </row>
    <row r="250" spans="1:11" x14ac:dyDescent="0.2">
      <c r="A250" t="s">
        <v>266</v>
      </c>
      <c r="B250" t="s">
        <v>1905</v>
      </c>
      <c r="C250" t="s">
        <v>2056</v>
      </c>
      <c r="D250" t="s">
        <v>4176</v>
      </c>
      <c r="E250" t="s">
        <v>4177</v>
      </c>
      <c r="F250" t="s">
        <v>4178</v>
      </c>
      <c r="G250" t="s">
        <v>3695</v>
      </c>
      <c r="I250" t="s">
        <v>3523</v>
      </c>
      <c r="J250" t="s">
        <v>4069</v>
      </c>
      <c r="K250" t="s">
        <v>281</v>
      </c>
    </row>
    <row r="251" spans="1:11" x14ac:dyDescent="0.2">
      <c r="A251" t="s">
        <v>267</v>
      </c>
      <c r="B251" t="s">
        <v>1905</v>
      </c>
      <c r="C251" t="s">
        <v>2057</v>
      </c>
      <c r="D251" t="s">
        <v>4179</v>
      </c>
      <c r="E251" t="s">
        <v>4180</v>
      </c>
      <c r="F251" t="s">
        <v>4181</v>
      </c>
      <c r="G251" t="s">
        <v>3699</v>
      </c>
      <c r="I251" t="s">
        <v>3523</v>
      </c>
      <c r="J251" t="s">
        <v>4069</v>
      </c>
      <c r="K251" t="s">
        <v>281</v>
      </c>
    </row>
    <row r="252" spans="1:11" x14ac:dyDescent="0.2">
      <c r="A252" t="s">
        <v>268</v>
      </c>
      <c r="B252" t="s">
        <v>1905</v>
      </c>
      <c r="C252" t="s">
        <v>1953</v>
      </c>
      <c r="D252" t="s">
        <v>2834</v>
      </c>
      <c r="E252" t="s">
        <v>4182</v>
      </c>
      <c r="F252" t="s">
        <v>4183</v>
      </c>
      <c r="G252" t="s">
        <v>3703</v>
      </c>
      <c r="I252" t="s">
        <v>3523</v>
      </c>
      <c r="J252" t="s">
        <v>4069</v>
      </c>
      <c r="K252" t="s">
        <v>281</v>
      </c>
    </row>
    <row r="253" spans="1:11" x14ac:dyDescent="0.2">
      <c r="A253" t="s">
        <v>269</v>
      </c>
      <c r="B253" t="s">
        <v>1905</v>
      </c>
      <c r="C253" t="s">
        <v>1954</v>
      </c>
      <c r="D253" t="s">
        <v>2835</v>
      </c>
      <c r="E253" t="s">
        <v>4184</v>
      </c>
      <c r="F253" t="s">
        <v>4185</v>
      </c>
      <c r="G253" t="s">
        <v>3707</v>
      </c>
      <c r="I253" t="s">
        <v>3523</v>
      </c>
      <c r="J253" t="s">
        <v>4069</v>
      </c>
      <c r="K253" t="s">
        <v>281</v>
      </c>
    </row>
    <row r="254" spans="1:11" x14ac:dyDescent="0.2">
      <c r="A254" t="s">
        <v>270</v>
      </c>
      <c r="B254" t="s">
        <v>1905</v>
      </c>
      <c r="C254" t="s">
        <v>1955</v>
      </c>
      <c r="D254" t="s">
        <v>2836</v>
      </c>
      <c r="E254" t="s">
        <v>4186</v>
      </c>
      <c r="F254" t="s">
        <v>4187</v>
      </c>
      <c r="G254" t="s">
        <v>4188</v>
      </c>
      <c r="I254" t="s">
        <v>3523</v>
      </c>
      <c r="J254" t="s">
        <v>4069</v>
      </c>
      <c r="K254" t="s">
        <v>281</v>
      </c>
    </row>
    <row r="255" spans="1:11" x14ac:dyDescent="0.2">
      <c r="A255" t="s">
        <v>271</v>
      </c>
      <c r="B255" t="s">
        <v>1905</v>
      </c>
      <c r="C255" t="s">
        <v>1956</v>
      </c>
      <c r="D255" t="s">
        <v>2837</v>
      </c>
      <c r="E255" t="s">
        <v>4189</v>
      </c>
      <c r="F255" t="s">
        <v>4190</v>
      </c>
      <c r="G255" t="s">
        <v>3715</v>
      </c>
      <c r="I255" t="s">
        <v>3523</v>
      </c>
      <c r="J255" t="s">
        <v>4069</v>
      </c>
      <c r="K255" t="s">
        <v>281</v>
      </c>
    </row>
    <row r="256" spans="1:11" x14ac:dyDescent="0.2">
      <c r="A256" t="s">
        <v>272</v>
      </c>
      <c r="B256" t="s">
        <v>1905</v>
      </c>
      <c r="C256" t="s">
        <v>1957</v>
      </c>
      <c r="D256" t="s">
        <v>2838</v>
      </c>
      <c r="E256" t="s">
        <v>4191</v>
      </c>
      <c r="F256" t="s">
        <v>4192</v>
      </c>
      <c r="G256" t="s">
        <v>3719</v>
      </c>
      <c r="I256" t="s">
        <v>3523</v>
      </c>
      <c r="J256" t="s">
        <v>4069</v>
      </c>
      <c r="K256" t="s">
        <v>281</v>
      </c>
    </row>
    <row r="257" spans="1:11" x14ac:dyDescent="0.2">
      <c r="A257" t="s">
        <v>273</v>
      </c>
      <c r="B257" t="s">
        <v>1905</v>
      </c>
      <c r="C257" t="s">
        <v>1958</v>
      </c>
      <c r="D257" t="s">
        <v>2839</v>
      </c>
      <c r="E257" t="s">
        <v>4193</v>
      </c>
      <c r="F257" t="s">
        <v>4194</v>
      </c>
      <c r="G257" t="s">
        <v>3723</v>
      </c>
      <c r="I257" t="s">
        <v>3523</v>
      </c>
      <c r="J257" t="s">
        <v>4069</v>
      </c>
      <c r="K257" t="s">
        <v>281</v>
      </c>
    </row>
    <row r="258" spans="1:11" x14ac:dyDescent="0.2">
      <c r="A258" t="s">
        <v>274</v>
      </c>
      <c r="B258" t="s">
        <v>1905</v>
      </c>
      <c r="C258" t="s">
        <v>2058</v>
      </c>
      <c r="D258" t="s">
        <v>2840</v>
      </c>
      <c r="E258" t="s">
        <v>4195</v>
      </c>
      <c r="F258" t="s">
        <v>4196</v>
      </c>
      <c r="G258" t="s">
        <v>3727</v>
      </c>
      <c r="I258" t="s">
        <v>3523</v>
      </c>
      <c r="J258" t="s">
        <v>4069</v>
      </c>
      <c r="K258" t="s">
        <v>281</v>
      </c>
    </row>
    <row r="259" spans="1:11" x14ac:dyDescent="0.2">
      <c r="A259" t="s">
        <v>3502</v>
      </c>
      <c r="B259" t="s">
        <v>3502</v>
      </c>
      <c r="C259" t="s">
        <v>2059</v>
      </c>
      <c r="D259" t="s">
        <v>4197</v>
      </c>
      <c r="K259" t="s">
        <v>4198</v>
      </c>
    </row>
    <row r="260" spans="1:11" x14ac:dyDescent="0.2">
      <c r="A260" t="s">
        <v>275</v>
      </c>
      <c r="B260" t="s">
        <v>4199</v>
      </c>
      <c r="C260" t="s">
        <v>2061</v>
      </c>
      <c r="D260" t="s">
        <v>4200</v>
      </c>
      <c r="E260" t="s">
        <v>4201</v>
      </c>
      <c r="F260" t="s">
        <v>4202</v>
      </c>
      <c r="G260" t="s">
        <v>2061</v>
      </c>
      <c r="I260" t="s">
        <v>3523</v>
      </c>
      <c r="J260" t="s">
        <v>4203</v>
      </c>
      <c r="K260" t="s">
        <v>4198</v>
      </c>
    </row>
    <row r="261" spans="1:11" x14ac:dyDescent="0.2">
      <c r="A261" t="s">
        <v>276</v>
      </c>
      <c r="B261" t="s">
        <v>4199</v>
      </c>
      <c r="C261" t="s">
        <v>2062</v>
      </c>
      <c r="D261" t="s">
        <v>4204</v>
      </c>
      <c r="E261" t="s">
        <v>4205</v>
      </c>
      <c r="F261" t="s">
        <v>4206</v>
      </c>
      <c r="G261" t="s">
        <v>4207</v>
      </c>
      <c r="I261" t="s">
        <v>3523</v>
      </c>
      <c r="J261" t="s">
        <v>4203</v>
      </c>
      <c r="K261" t="s">
        <v>4198</v>
      </c>
    </row>
    <row r="262" spans="1:11" x14ac:dyDescent="0.2">
      <c r="A262" t="s">
        <v>277</v>
      </c>
      <c r="B262" t="s">
        <v>4199</v>
      </c>
      <c r="C262" t="s">
        <v>2063</v>
      </c>
      <c r="D262" t="s">
        <v>4208</v>
      </c>
      <c r="E262" t="s">
        <v>4209</v>
      </c>
      <c r="F262" t="s">
        <v>4210</v>
      </c>
      <c r="G262" t="s">
        <v>4211</v>
      </c>
      <c r="I262" t="s">
        <v>3523</v>
      </c>
      <c r="J262" t="s">
        <v>4203</v>
      </c>
      <c r="K262" t="s">
        <v>4198</v>
      </c>
    </row>
    <row r="263" spans="1:11" x14ac:dyDescent="0.2">
      <c r="A263" t="s">
        <v>278</v>
      </c>
      <c r="B263" t="s">
        <v>1890</v>
      </c>
      <c r="C263" t="s">
        <v>2013</v>
      </c>
      <c r="D263" t="s">
        <v>2825</v>
      </c>
      <c r="E263" t="s">
        <v>4212</v>
      </c>
      <c r="F263" t="s">
        <v>4213</v>
      </c>
      <c r="G263" t="s">
        <v>4214</v>
      </c>
      <c r="I263" t="s">
        <v>3523</v>
      </c>
      <c r="J263" t="s">
        <v>4203</v>
      </c>
      <c r="K263" t="s">
        <v>4198</v>
      </c>
    </row>
    <row r="264" spans="1:11" x14ac:dyDescent="0.2">
      <c r="A264" t="s">
        <v>279</v>
      </c>
      <c r="B264" t="s">
        <v>4199</v>
      </c>
      <c r="C264" t="s">
        <v>2064</v>
      </c>
      <c r="D264" t="s">
        <v>4215</v>
      </c>
      <c r="E264" t="s">
        <v>4216</v>
      </c>
      <c r="F264" t="s">
        <v>4217</v>
      </c>
      <c r="G264" t="s">
        <v>4218</v>
      </c>
      <c r="I264" t="s">
        <v>3523</v>
      </c>
      <c r="J264" t="s">
        <v>4203</v>
      </c>
      <c r="K264" t="s">
        <v>4198</v>
      </c>
    </row>
    <row r="265" spans="1:11" x14ac:dyDescent="0.2">
      <c r="A265" t="s">
        <v>280</v>
      </c>
      <c r="B265" t="s">
        <v>1900</v>
      </c>
      <c r="C265" t="s">
        <v>2065</v>
      </c>
      <c r="D265" t="s">
        <v>4219</v>
      </c>
      <c r="E265" t="s">
        <v>4220</v>
      </c>
      <c r="F265" t="s">
        <v>4221</v>
      </c>
      <c r="I265" t="s">
        <v>3523</v>
      </c>
      <c r="J265" t="s">
        <v>4203</v>
      </c>
      <c r="K265" t="s">
        <v>4222</v>
      </c>
    </row>
    <row r="266" spans="1:11" x14ac:dyDescent="0.2">
      <c r="A266" t="s">
        <v>281</v>
      </c>
      <c r="B266" t="s">
        <v>1900</v>
      </c>
      <c r="C266" t="s">
        <v>2066</v>
      </c>
      <c r="D266" t="s">
        <v>4223</v>
      </c>
      <c r="E266" t="s">
        <v>4224</v>
      </c>
      <c r="F266" t="s">
        <v>4225</v>
      </c>
      <c r="I266" t="s">
        <v>3523</v>
      </c>
      <c r="J266" t="s">
        <v>4203</v>
      </c>
      <c r="K266" t="s">
        <v>4226</v>
      </c>
    </row>
    <row r="267" spans="1:11" x14ac:dyDescent="0.2">
      <c r="A267" t="s">
        <v>282</v>
      </c>
      <c r="B267" t="s">
        <v>1900</v>
      </c>
      <c r="C267" t="s">
        <v>2067</v>
      </c>
      <c r="D267" t="s">
        <v>4227</v>
      </c>
      <c r="E267" t="s">
        <v>4228</v>
      </c>
      <c r="F267" t="s">
        <v>4229</v>
      </c>
      <c r="I267" t="s">
        <v>4230</v>
      </c>
      <c r="J267" t="s">
        <v>4230</v>
      </c>
      <c r="K267" t="s">
        <v>4231</v>
      </c>
    </row>
    <row r="268" spans="1:11" x14ac:dyDescent="0.2">
      <c r="A268" t="s">
        <v>2094</v>
      </c>
      <c r="B268" t="s">
        <v>3502</v>
      </c>
      <c r="C268" t="s">
        <v>2068</v>
      </c>
      <c r="D268" t="s">
        <v>4232</v>
      </c>
      <c r="I268" t="s">
        <v>4233</v>
      </c>
      <c r="J268" t="s">
        <v>3834</v>
      </c>
      <c r="K268" t="s">
        <v>4234</v>
      </c>
    </row>
    <row r="269" spans="1:11" x14ac:dyDescent="0.2">
      <c r="A269" t="s">
        <v>2095</v>
      </c>
      <c r="B269" t="s">
        <v>1905</v>
      </c>
      <c r="C269" t="s">
        <v>1965</v>
      </c>
      <c r="D269" t="s">
        <v>2826</v>
      </c>
      <c r="E269" t="s">
        <v>4235</v>
      </c>
      <c r="F269" t="s">
        <v>4236</v>
      </c>
      <c r="G269" t="s">
        <v>3833</v>
      </c>
      <c r="I269" t="s">
        <v>4233</v>
      </c>
      <c r="J269" t="s">
        <v>3834</v>
      </c>
      <c r="K269" t="s">
        <v>4234</v>
      </c>
    </row>
    <row r="270" spans="1:11" x14ac:dyDescent="0.2">
      <c r="A270" t="s">
        <v>2096</v>
      </c>
      <c r="B270" t="s">
        <v>1905</v>
      </c>
      <c r="C270" t="s">
        <v>1966</v>
      </c>
      <c r="D270" t="s">
        <v>2841</v>
      </c>
      <c r="E270" t="s">
        <v>4237</v>
      </c>
      <c r="F270" t="s">
        <v>4238</v>
      </c>
      <c r="G270" t="s">
        <v>3838</v>
      </c>
      <c r="I270" t="s">
        <v>4233</v>
      </c>
      <c r="J270" t="s">
        <v>3834</v>
      </c>
      <c r="K270" t="s">
        <v>4234</v>
      </c>
    </row>
    <row r="271" spans="1:11" x14ac:dyDescent="0.2">
      <c r="A271" t="s">
        <v>2097</v>
      </c>
      <c r="B271" t="s">
        <v>1905</v>
      </c>
      <c r="C271" t="s">
        <v>1967</v>
      </c>
      <c r="D271" t="s">
        <v>2842</v>
      </c>
      <c r="E271" t="s">
        <v>4239</v>
      </c>
      <c r="F271" t="s">
        <v>4240</v>
      </c>
      <c r="G271" t="s">
        <v>3842</v>
      </c>
      <c r="I271" t="s">
        <v>4233</v>
      </c>
      <c r="J271" t="s">
        <v>3834</v>
      </c>
      <c r="K271" t="s">
        <v>4234</v>
      </c>
    </row>
    <row r="272" spans="1:11" x14ac:dyDescent="0.2">
      <c r="A272" t="s">
        <v>2098</v>
      </c>
      <c r="B272" t="s">
        <v>1905</v>
      </c>
      <c r="C272" t="s">
        <v>1968</v>
      </c>
      <c r="D272" t="s">
        <v>2843</v>
      </c>
      <c r="E272" t="s">
        <v>4241</v>
      </c>
      <c r="F272" t="s">
        <v>4242</v>
      </c>
      <c r="G272" t="s">
        <v>1968</v>
      </c>
      <c r="I272" t="s">
        <v>4233</v>
      </c>
      <c r="J272" t="s">
        <v>3834</v>
      </c>
      <c r="K272" t="s">
        <v>4234</v>
      </c>
    </row>
    <row r="273" spans="1:11" x14ac:dyDescent="0.2">
      <c r="A273" t="s">
        <v>2099</v>
      </c>
      <c r="B273" t="s">
        <v>1905</v>
      </c>
      <c r="C273" t="s">
        <v>1969</v>
      </c>
      <c r="D273" t="s">
        <v>2844</v>
      </c>
      <c r="E273" t="s">
        <v>4243</v>
      </c>
      <c r="F273" t="s">
        <v>4244</v>
      </c>
      <c r="G273" t="s">
        <v>1969</v>
      </c>
      <c r="I273" t="s">
        <v>4233</v>
      </c>
      <c r="J273" t="s">
        <v>3834</v>
      </c>
      <c r="K273" t="s">
        <v>4234</v>
      </c>
    </row>
    <row r="274" spans="1:11" x14ac:dyDescent="0.2">
      <c r="A274" t="s">
        <v>2100</v>
      </c>
      <c r="B274" t="s">
        <v>1905</v>
      </c>
      <c r="C274" t="s">
        <v>1970</v>
      </c>
      <c r="D274" t="s">
        <v>2845</v>
      </c>
      <c r="E274" t="s">
        <v>4245</v>
      </c>
      <c r="F274" t="s">
        <v>4246</v>
      </c>
      <c r="G274" t="s">
        <v>1970</v>
      </c>
      <c r="I274" t="s">
        <v>4233</v>
      </c>
      <c r="J274" t="s">
        <v>3834</v>
      </c>
      <c r="K274" t="s">
        <v>4234</v>
      </c>
    </row>
    <row r="275" spans="1:11" x14ac:dyDescent="0.2">
      <c r="A275" t="s">
        <v>2101</v>
      </c>
      <c r="B275" t="s">
        <v>1905</v>
      </c>
      <c r="C275" t="s">
        <v>1971</v>
      </c>
      <c r="D275" t="s">
        <v>2846</v>
      </c>
      <c r="E275" t="s">
        <v>4247</v>
      </c>
      <c r="F275" t="s">
        <v>4248</v>
      </c>
      <c r="G275" t="s">
        <v>3855</v>
      </c>
      <c r="I275" t="s">
        <v>4233</v>
      </c>
      <c r="J275" t="s">
        <v>3834</v>
      </c>
      <c r="K275" t="s">
        <v>4234</v>
      </c>
    </row>
    <row r="276" spans="1:11" x14ac:dyDescent="0.2">
      <c r="A276" t="s">
        <v>2102</v>
      </c>
      <c r="B276" t="s">
        <v>1905</v>
      </c>
      <c r="C276" t="s">
        <v>1972</v>
      </c>
      <c r="D276" t="s">
        <v>2847</v>
      </c>
      <c r="E276" t="s">
        <v>4249</v>
      </c>
      <c r="F276" t="s">
        <v>4250</v>
      </c>
      <c r="G276" t="s">
        <v>3859</v>
      </c>
      <c r="I276" t="s">
        <v>4233</v>
      </c>
      <c r="J276" t="s">
        <v>3834</v>
      </c>
      <c r="K276" t="s">
        <v>4234</v>
      </c>
    </row>
    <row r="277" spans="1:11" x14ac:dyDescent="0.2">
      <c r="A277" t="s">
        <v>2103</v>
      </c>
      <c r="B277" t="s">
        <v>1905</v>
      </c>
      <c r="C277" t="s">
        <v>1973</v>
      </c>
      <c r="D277" t="s">
        <v>2848</v>
      </c>
      <c r="E277" t="s">
        <v>4251</v>
      </c>
      <c r="F277" t="s">
        <v>4252</v>
      </c>
      <c r="G277" t="s">
        <v>3863</v>
      </c>
      <c r="I277" t="s">
        <v>4233</v>
      </c>
      <c r="J277" t="s">
        <v>3834</v>
      </c>
      <c r="K277" t="s">
        <v>4234</v>
      </c>
    </row>
    <row r="278" spans="1:11" x14ac:dyDescent="0.2">
      <c r="A278" t="s">
        <v>2104</v>
      </c>
      <c r="B278" t="s">
        <v>1905</v>
      </c>
      <c r="C278" t="s">
        <v>1974</v>
      </c>
      <c r="D278" t="s">
        <v>2849</v>
      </c>
      <c r="E278" t="s">
        <v>4253</v>
      </c>
      <c r="F278" t="s">
        <v>4254</v>
      </c>
      <c r="G278" t="s">
        <v>3867</v>
      </c>
      <c r="I278" t="s">
        <v>4233</v>
      </c>
      <c r="J278" t="s">
        <v>3834</v>
      </c>
      <c r="K278" t="s">
        <v>4234</v>
      </c>
    </row>
    <row r="279" spans="1:11" x14ac:dyDescent="0.2">
      <c r="A279" t="s">
        <v>2105</v>
      </c>
      <c r="B279" t="s">
        <v>1905</v>
      </c>
      <c r="C279" t="s">
        <v>1975</v>
      </c>
      <c r="D279" t="s">
        <v>2850</v>
      </c>
      <c r="E279" t="s">
        <v>4255</v>
      </c>
      <c r="F279" t="s">
        <v>4256</v>
      </c>
      <c r="G279" t="s">
        <v>1975</v>
      </c>
      <c r="I279" t="s">
        <v>4233</v>
      </c>
      <c r="J279" t="s">
        <v>3834</v>
      </c>
      <c r="K279" t="s">
        <v>4234</v>
      </c>
    </row>
    <row r="280" spans="1:11" x14ac:dyDescent="0.2">
      <c r="A280" t="s">
        <v>2106</v>
      </c>
      <c r="B280" t="s">
        <v>1905</v>
      </c>
      <c r="C280" t="s">
        <v>1976</v>
      </c>
      <c r="D280" t="s">
        <v>2851</v>
      </c>
      <c r="E280" t="s">
        <v>4257</v>
      </c>
      <c r="F280" t="s">
        <v>4258</v>
      </c>
      <c r="G280" t="s">
        <v>1976</v>
      </c>
      <c r="I280" t="s">
        <v>4233</v>
      </c>
      <c r="J280" t="s">
        <v>3834</v>
      </c>
      <c r="K280" t="s">
        <v>4234</v>
      </c>
    </row>
    <row r="281" spans="1:11" x14ac:dyDescent="0.2">
      <c r="A281" t="s">
        <v>2107</v>
      </c>
      <c r="B281" t="s">
        <v>1905</v>
      </c>
      <c r="C281" t="s">
        <v>1977</v>
      </c>
      <c r="D281" t="s">
        <v>2852</v>
      </c>
      <c r="E281" t="s">
        <v>4259</v>
      </c>
      <c r="F281" t="s">
        <v>4260</v>
      </c>
      <c r="G281" t="s">
        <v>1977</v>
      </c>
      <c r="I281" t="s">
        <v>4233</v>
      </c>
      <c r="J281" t="s">
        <v>3834</v>
      </c>
      <c r="K281" t="s">
        <v>4234</v>
      </c>
    </row>
    <row r="282" spans="1:11" x14ac:dyDescent="0.2">
      <c r="A282" t="s">
        <v>2108</v>
      </c>
      <c r="B282" t="s">
        <v>1905</v>
      </c>
      <c r="C282" t="s">
        <v>1978</v>
      </c>
      <c r="D282" t="s">
        <v>2853</v>
      </c>
      <c r="E282" t="s">
        <v>4261</v>
      </c>
      <c r="F282" t="s">
        <v>4262</v>
      </c>
      <c r="G282" t="s">
        <v>3880</v>
      </c>
      <c r="I282" t="s">
        <v>4233</v>
      </c>
      <c r="J282" t="s">
        <v>3834</v>
      </c>
      <c r="K282" t="s">
        <v>4234</v>
      </c>
    </row>
    <row r="283" spans="1:11" x14ac:dyDescent="0.2">
      <c r="A283" t="s">
        <v>2109</v>
      </c>
      <c r="B283" t="s">
        <v>1905</v>
      </c>
      <c r="C283" t="s">
        <v>1979</v>
      </c>
      <c r="D283" t="s">
        <v>2854</v>
      </c>
      <c r="E283" t="s">
        <v>4263</v>
      </c>
      <c r="F283" t="s">
        <v>4264</v>
      </c>
      <c r="G283" t="s">
        <v>3884</v>
      </c>
      <c r="I283" t="s">
        <v>4233</v>
      </c>
      <c r="J283" t="s">
        <v>3834</v>
      </c>
      <c r="K283" t="s">
        <v>4234</v>
      </c>
    </row>
    <row r="284" spans="1:11" x14ac:dyDescent="0.2">
      <c r="A284" t="s">
        <v>2110</v>
      </c>
      <c r="B284" t="s">
        <v>1905</v>
      </c>
      <c r="C284" t="s">
        <v>1980</v>
      </c>
      <c r="D284" t="s">
        <v>2855</v>
      </c>
      <c r="E284" t="s">
        <v>4265</v>
      </c>
      <c r="F284" t="s">
        <v>4266</v>
      </c>
      <c r="G284" t="s">
        <v>3888</v>
      </c>
      <c r="I284" t="s">
        <v>4233</v>
      </c>
      <c r="J284" t="s">
        <v>3834</v>
      </c>
      <c r="K284" t="s">
        <v>4234</v>
      </c>
    </row>
    <row r="285" spans="1:11" x14ac:dyDescent="0.2">
      <c r="A285" t="s">
        <v>2111</v>
      </c>
      <c r="B285" t="s">
        <v>1905</v>
      </c>
      <c r="C285" t="s">
        <v>1981</v>
      </c>
      <c r="D285" t="s">
        <v>2856</v>
      </c>
      <c r="E285" t="s">
        <v>4267</v>
      </c>
      <c r="F285" t="s">
        <v>4268</v>
      </c>
      <c r="G285" t="s">
        <v>3892</v>
      </c>
      <c r="I285" t="s">
        <v>4233</v>
      </c>
      <c r="J285" t="s">
        <v>3834</v>
      </c>
      <c r="K285" t="s">
        <v>4234</v>
      </c>
    </row>
    <row r="286" spans="1:11" x14ac:dyDescent="0.2">
      <c r="A286" t="s">
        <v>2112</v>
      </c>
      <c r="B286" t="s">
        <v>1905</v>
      </c>
      <c r="C286" t="s">
        <v>1982</v>
      </c>
      <c r="D286" t="s">
        <v>2857</v>
      </c>
      <c r="E286" t="s">
        <v>4269</v>
      </c>
      <c r="F286" t="s">
        <v>4270</v>
      </c>
      <c r="G286" t="s">
        <v>1982</v>
      </c>
      <c r="I286" t="s">
        <v>4233</v>
      </c>
      <c r="J286" t="s">
        <v>3834</v>
      </c>
      <c r="K286" t="s">
        <v>4234</v>
      </c>
    </row>
    <row r="287" spans="1:11" x14ac:dyDescent="0.2">
      <c r="A287" t="s">
        <v>2113</v>
      </c>
      <c r="B287" t="s">
        <v>1905</v>
      </c>
      <c r="C287" t="s">
        <v>1983</v>
      </c>
      <c r="D287" t="s">
        <v>2858</v>
      </c>
      <c r="E287" t="s">
        <v>4271</v>
      </c>
      <c r="F287" t="s">
        <v>4272</v>
      </c>
      <c r="G287" t="s">
        <v>1983</v>
      </c>
      <c r="I287" t="s">
        <v>4233</v>
      </c>
      <c r="J287" t="s">
        <v>3834</v>
      </c>
      <c r="K287" t="s">
        <v>4234</v>
      </c>
    </row>
    <row r="288" spans="1:11" x14ac:dyDescent="0.2">
      <c r="A288" t="s">
        <v>2114</v>
      </c>
      <c r="B288" t="s">
        <v>1905</v>
      </c>
      <c r="C288" t="s">
        <v>1984</v>
      </c>
      <c r="D288" t="s">
        <v>2859</v>
      </c>
      <c r="E288" t="s">
        <v>4273</v>
      </c>
      <c r="F288" t="s">
        <v>4274</v>
      </c>
      <c r="G288" t="s">
        <v>1984</v>
      </c>
      <c r="I288" t="s">
        <v>4233</v>
      </c>
      <c r="J288" t="s">
        <v>3834</v>
      </c>
      <c r="K288" t="s">
        <v>4234</v>
      </c>
    </row>
    <row r="289" spans="1:11" x14ac:dyDescent="0.2">
      <c r="A289" t="s">
        <v>2115</v>
      </c>
      <c r="B289" t="s">
        <v>1905</v>
      </c>
      <c r="C289" t="s">
        <v>1985</v>
      </c>
      <c r="D289" t="s">
        <v>2860</v>
      </c>
      <c r="E289" t="s">
        <v>4275</v>
      </c>
      <c r="F289" t="s">
        <v>4276</v>
      </c>
      <c r="G289" t="s">
        <v>3905</v>
      </c>
      <c r="I289" t="s">
        <v>4233</v>
      </c>
      <c r="J289" t="s">
        <v>3834</v>
      </c>
      <c r="K289" t="s">
        <v>4234</v>
      </c>
    </row>
    <row r="290" spans="1:11" x14ac:dyDescent="0.2">
      <c r="A290" t="s">
        <v>2116</v>
      </c>
      <c r="B290" t="s">
        <v>1905</v>
      </c>
      <c r="C290" t="s">
        <v>1986</v>
      </c>
      <c r="D290" t="s">
        <v>2861</v>
      </c>
      <c r="E290" t="s">
        <v>4277</v>
      </c>
      <c r="F290" t="s">
        <v>4278</v>
      </c>
      <c r="G290" t="s">
        <v>3909</v>
      </c>
      <c r="I290" t="s">
        <v>4233</v>
      </c>
      <c r="J290" t="s">
        <v>3834</v>
      </c>
      <c r="K290" t="s">
        <v>4234</v>
      </c>
    </row>
    <row r="291" spans="1:11" x14ac:dyDescent="0.2">
      <c r="A291" t="s">
        <v>2117</v>
      </c>
      <c r="B291" t="s">
        <v>1905</v>
      </c>
      <c r="C291" t="s">
        <v>1987</v>
      </c>
      <c r="D291" t="s">
        <v>2862</v>
      </c>
      <c r="E291" t="s">
        <v>4279</v>
      </c>
      <c r="F291" t="s">
        <v>4280</v>
      </c>
      <c r="G291" t="s">
        <v>3913</v>
      </c>
      <c r="I291" t="s">
        <v>4233</v>
      </c>
      <c r="J291" t="s">
        <v>3834</v>
      </c>
      <c r="K291" t="s">
        <v>4234</v>
      </c>
    </row>
    <row r="292" spans="1:11" x14ac:dyDescent="0.2">
      <c r="A292" t="s">
        <v>2118</v>
      </c>
      <c r="B292" t="s">
        <v>1905</v>
      </c>
      <c r="C292" t="s">
        <v>1988</v>
      </c>
      <c r="D292" t="s">
        <v>2863</v>
      </c>
      <c r="E292" t="s">
        <v>4281</v>
      </c>
      <c r="F292" t="s">
        <v>4282</v>
      </c>
      <c r="G292" t="s">
        <v>3917</v>
      </c>
      <c r="I292" t="s">
        <v>4233</v>
      </c>
      <c r="J292" t="s">
        <v>3834</v>
      </c>
      <c r="K292" t="s">
        <v>4234</v>
      </c>
    </row>
    <row r="293" spans="1:11" x14ac:dyDescent="0.2">
      <c r="A293" t="s">
        <v>2119</v>
      </c>
      <c r="B293" t="s">
        <v>1905</v>
      </c>
      <c r="C293" t="s">
        <v>1989</v>
      </c>
      <c r="D293" t="s">
        <v>2864</v>
      </c>
      <c r="E293" t="s">
        <v>4283</v>
      </c>
      <c r="F293" t="s">
        <v>4284</v>
      </c>
      <c r="G293" t="s">
        <v>1989</v>
      </c>
      <c r="I293" t="s">
        <v>4233</v>
      </c>
      <c r="J293" t="s">
        <v>3834</v>
      </c>
      <c r="K293" t="s">
        <v>4234</v>
      </c>
    </row>
    <row r="294" spans="1:11" x14ac:dyDescent="0.2">
      <c r="A294" t="s">
        <v>2120</v>
      </c>
      <c r="B294" t="s">
        <v>1905</v>
      </c>
      <c r="C294" t="s">
        <v>1990</v>
      </c>
      <c r="D294" t="s">
        <v>2865</v>
      </c>
      <c r="E294" t="s">
        <v>4285</v>
      </c>
      <c r="F294" t="s">
        <v>4286</v>
      </c>
      <c r="G294" t="s">
        <v>1990</v>
      </c>
      <c r="I294" t="s">
        <v>4233</v>
      </c>
      <c r="J294" t="s">
        <v>3834</v>
      </c>
      <c r="K294" t="s">
        <v>4234</v>
      </c>
    </row>
    <row r="295" spans="1:11" x14ac:dyDescent="0.2">
      <c r="A295" t="s">
        <v>2121</v>
      </c>
      <c r="B295" t="s">
        <v>1905</v>
      </c>
      <c r="C295" t="s">
        <v>1991</v>
      </c>
      <c r="D295" t="s">
        <v>2866</v>
      </c>
      <c r="E295" t="s">
        <v>4287</v>
      </c>
      <c r="F295" t="s">
        <v>4288</v>
      </c>
      <c r="G295" t="s">
        <v>1991</v>
      </c>
      <c r="I295" t="s">
        <v>4233</v>
      </c>
      <c r="J295" t="s">
        <v>3834</v>
      </c>
      <c r="K295" t="s">
        <v>4234</v>
      </c>
    </row>
    <row r="296" spans="1:11" x14ac:dyDescent="0.2">
      <c r="A296" t="s">
        <v>2122</v>
      </c>
      <c r="B296" t="s">
        <v>1905</v>
      </c>
      <c r="C296" t="s">
        <v>1992</v>
      </c>
      <c r="D296" t="s">
        <v>2867</v>
      </c>
      <c r="E296" t="s">
        <v>4289</v>
      </c>
      <c r="F296" t="s">
        <v>4290</v>
      </c>
      <c r="G296" t="s">
        <v>3930</v>
      </c>
      <c r="I296" t="s">
        <v>4233</v>
      </c>
      <c r="J296" t="s">
        <v>3834</v>
      </c>
      <c r="K296" t="s">
        <v>4234</v>
      </c>
    </row>
    <row r="297" spans="1:11" x14ac:dyDescent="0.2">
      <c r="A297" t="s">
        <v>2123</v>
      </c>
      <c r="B297" t="s">
        <v>1905</v>
      </c>
      <c r="C297" t="s">
        <v>1993</v>
      </c>
      <c r="D297" t="s">
        <v>2868</v>
      </c>
      <c r="E297" t="s">
        <v>4291</v>
      </c>
      <c r="F297" t="s">
        <v>4292</v>
      </c>
      <c r="G297" t="s">
        <v>3934</v>
      </c>
      <c r="I297" t="s">
        <v>4233</v>
      </c>
      <c r="J297" t="s">
        <v>3834</v>
      </c>
      <c r="K297" t="s">
        <v>4234</v>
      </c>
    </row>
    <row r="298" spans="1:11" x14ac:dyDescent="0.2">
      <c r="A298" t="s">
        <v>2124</v>
      </c>
      <c r="B298" t="s">
        <v>1905</v>
      </c>
      <c r="C298" t="s">
        <v>1994</v>
      </c>
      <c r="D298" t="s">
        <v>2869</v>
      </c>
      <c r="E298" t="s">
        <v>4293</v>
      </c>
      <c r="F298" t="s">
        <v>4294</v>
      </c>
      <c r="G298" t="s">
        <v>3938</v>
      </c>
      <c r="I298" t="s">
        <v>4233</v>
      </c>
      <c r="J298" t="s">
        <v>3834</v>
      </c>
      <c r="K298" t="s">
        <v>4234</v>
      </c>
    </row>
    <row r="299" spans="1:11" x14ac:dyDescent="0.2">
      <c r="A299" t="s">
        <v>2125</v>
      </c>
      <c r="B299" t="s">
        <v>1905</v>
      </c>
      <c r="C299" t="s">
        <v>1995</v>
      </c>
      <c r="D299" t="s">
        <v>2870</v>
      </c>
      <c r="E299" t="s">
        <v>4295</v>
      </c>
      <c r="F299" t="s">
        <v>4296</v>
      </c>
      <c r="G299" t="s">
        <v>3942</v>
      </c>
      <c r="I299" t="s">
        <v>4233</v>
      </c>
      <c r="J299" t="s">
        <v>3834</v>
      </c>
      <c r="K299" t="s">
        <v>4234</v>
      </c>
    </row>
    <row r="300" spans="1:11" x14ac:dyDescent="0.2">
      <c r="A300" t="s">
        <v>2126</v>
      </c>
      <c r="B300" t="s">
        <v>1905</v>
      </c>
      <c r="C300" t="s">
        <v>1996</v>
      </c>
      <c r="D300" t="s">
        <v>2871</v>
      </c>
      <c r="E300" t="s">
        <v>4297</v>
      </c>
      <c r="F300" t="s">
        <v>4298</v>
      </c>
      <c r="G300" t="s">
        <v>3946</v>
      </c>
      <c r="I300" t="s">
        <v>4233</v>
      </c>
      <c r="J300" t="s">
        <v>3834</v>
      </c>
      <c r="K300" t="s">
        <v>4234</v>
      </c>
    </row>
    <row r="301" spans="1:11" x14ac:dyDescent="0.2">
      <c r="A301" t="s">
        <v>2127</v>
      </c>
      <c r="B301" t="s">
        <v>1905</v>
      </c>
      <c r="C301" t="s">
        <v>1997</v>
      </c>
      <c r="D301" t="s">
        <v>2872</v>
      </c>
      <c r="E301" t="s">
        <v>4299</v>
      </c>
      <c r="F301" t="s">
        <v>4300</v>
      </c>
      <c r="G301" t="s">
        <v>3950</v>
      </c>
      <c r="I301" t="s">
        <v>4233</v>
      </c>
      <c r="J301" t="s">
        <v>3834</v>
      </c>
      <c r="K301" t="s">
        <v>4234</v>
      </c>
    </row>
    <row r="302" spans="1:11" x14ac:dyDescent="0.2">
      <c r="A302" t="s">
        <v>2128</v>
      </c>
      <c r="B302" t="s">
        <v>1905</v>
      </c>
      <c r="C302" t="s">
        <v>1998</v>
      </c>
      <c r="D302" t="s">
        <v>2873</v>
      </c>
      <c r="E302" t="s">
        <v>4301</v>
      </c>
      <c r="F302" t="s">
        <v>4302</v>
      </c>
      <c r="G302" t="s">
        <v>3954</v>
      </c>
      <c r="I302" t="s">
        <v>4233</v>
      </c>
      <c r="J302" t="s">
        <v>3834</v>
      </c>
      <c r="K302" t="s">
        <v>4234</v>
      </c>
    </row>
    <row r="303" spans="1:11" x14ac:dyDescent="0.2">
      <c r="A303" t="s">
        <v>2129</v>
      </c>
      <c r="B303" t="s">
        <v>1905</v>
      </c>
      <c r="C303" t="s">
        <v>1999</v>
      </c>
      <c r="D303" t="s">
        <v>2874</v>
      </c>
      <c r="E303" t="s">
        <v>4303</v>
      </c>
      <c r="F303" t="s">
        <v>4304</v>
      </c>
      <c r="G303" t="s">
        <v>3958</v>
      </c>
      <c r="I303" t="s">
        <v>4233</v>
      </c>
      <c r="J303" t="s">
        <v>3834</v>
      </c>
      <c r="K303" t="s">
        <v>4234</v>
      </c>
    </row>
    <row r="304" spans="1:11" x14ac:dyDescent="0.2">
      <c r="A304" t="s">
        <v>2130</v>
      </c>
      <c r="B304" t="s">
        <v>1905</v>
      </c>
      <c r="C304" t="s">
        <v>2000</v>
      </c>
      <c r="D304" t="s">
        <v>2875</v>
      </c>
      <c r="E304" t="s">
        <v>4305</v>
      </c>
      <c r="F304" t="s">
        <v>4306</v>
      </c>
      <c r="G304" t="s">
        <v>3962</v>
      </c>
      <c r="I304" t="s">
        <v>4233</v>
      </c>
      <c r="J304" t="s">
        <v>3834</v>
      </c>
      <c r="K304" t="s">
        <v>4234</v>
      </c>
    </row>
    <row r="305" spans="1:11" x14ac:dyDescent="0.2">
      <c r="A305" t="s">
        <v>2131</v>
      </c>
      <c r="B305" t="s">
        <v>1905</v>
      </c>
      <c r="C305" t="s">
        <v>2001</v>
      </c>
      <c r="D305" t="s">
        <v>2876</v>
      </c>
      <c r="E305" t="s">
        <v>4307</v>
      </c>
      <c r="F305" t="s">
        <v>4308</v>
      </c>
      <c r="G305" t="s">
        <v>3966</v>
      </c>
      <c r="I305" t="s">
        <v>4233</v>
      </c>
      <c r="J305" t="s">
        <v>3834</v>
      </c>
      <c r="K305" t="s">
        <v>4234</v>
      </c>
    </row>
    <row r="306" spans="1:11" x14ac:dyDescent="0.2">
      <c r="A306" t="s">
        <v>2132</v>
      </c>
      <c r="B306" t="s">
        <v>1905</v>
      </c>
      <c r="C306" t="s">
        <v>2002</v>
      </c>
      <c r="D306" t="s">
        <v>2877</v>
      </c>
      <c r="E306" t="s">
        <v>4309</v>
      </c>
      <c r="F306" t="s">
        <v>4310</v>
      </c>
      <c r="G306" t="s">
        <v>3970</v>
      </c>
      <c r="I306" t="s">
        <v>4233</v>
      </c>
      <c r="J306" t="s">
        <v>3834</v>
      </c>
      <c r="K306" t="s">
        <v>4234</v>
      </c>
    </row>
    <row r="307" spans="1:11" x14ac:dyDescent="0.2">
      <c r="A307" t="s">
        <v>2133</v>
      </c>
      <c r="B307" t="s">
        <v>1905</v>
      </c>
      <c r="C307" t="s">
        <v>2003</v>
      </c>
      <c r="D307" t="s">
        <v>2878</v>
      </c>
      <c r="E307" t="s">
        <v>4311</v>
      </c>
      <c r="F307" t="s">
        <v>4312</v>
      </c>
      <c r="G307" t="s">
        <v>2003</v>
      </c>
      <c r="I307" t="s">
        <v>4233</v>
      </c>
      <c r="J307" t="s">
        <v>3834</v>
      </c>
      <c r="K307" t="s">
        <v>4234</v>
      </c>
    </row>
    <row r="308" spans="1:11" x14ac:dyDescent="0.2">
      <c r="A308" t="s">
        <v>2134</v>
      </c>
      <c r="B308" t="s">
        <v>1905</v>
      </c>
      <c r="C308" t="s">
        <v>2004</v>
      </c>
      <c r="D308" t="s">
        <v>2879</v>
      </c>
      <c r="E308" t="s">
        <v>4313</v>
      </c>
      <c r="F308" t="s">
        <v>4314</v>
      </c>
      <c r="G308" t="s">
        <v>2004</v>
      </c>
      <c r="I308" t="s">
        <v>4233</v>
      </c>
      <c r="J308" t="s">
        <v>3834</v>
      </c>
      <c r="K308" t="s">
        <v>4234</v>
      </c>
    </row>
    <row r="309" spans="1:11" x14ac:dyDescent="0.2">
      <c r="A309" t="s">
        <v>2135</v>
      </c>
      <c r="B309" t="s">
        <v>1905</v>
      </c>
      <c r="C309" t="s">
        <v>2005</v>
      </c>
      <c r="D309" t="s">
        <v>2880</v>
      </c>
      <c r="E309" t="s">
        <v>4315</v>
      </c>
      <c r="F309" t="s">
        <v>4316</v>
      </c>
      <c r="G309" t="s">
        <v>2005</v>
      </c>
      <c r="I309" t="s">
        <v>4233</v>
      </c>
      <c r="J309" t="s">
        <v>3834</v>
      </c>
      <c r="K309" t="s">
        <v>4234</v>
      </c>
    </row>
    <row r="310" spans="1:11" x14ac:dyDescent="0.2">
      <c r="A310" t="s">
        <v>2136</v>
      </c>
      <c r="B310" t="s">
        <v>1905</v>
      </c>
      <c r="C310" t="s">
        <v>1957</v>
      </c>
      <c r="D310" t="s">
        <v>2881</v>
      </c>
      <c r="E310" t="s">
        <v>4317</v>
      </c>
      <c r="F310" t="s">
        <v>4318</v>
      </c>
      <c r="G310" t="s">
        <v>3983</v>
      </c>
      <c r="I310" t="s">
        <v>4233</v>
      </c>
      <c r="J310" t="s">
        <v>3834</v>
      </c>
      <c r="K310" t="s">
        <v>4234</v>
      </c>
    </row>
    <row r="311" spans="1:11" x14ac:dyDescent="0.2">
      <c r="A311" t="s">
        <v>2137</v>
      </c>
      <c r="B311" t="s">
        <v>1905</v>
      </c>
      <c r="C311" t="s">
        <v>2006</v>
      </c>
      <c r="D311" t="s">
        <v>2882</v>
      </c>
      <c r="E311" t="s">
        <v>4319</v>
      </c>
      <c r="F311" t="s">
        <v>4320</v>
      </c>
      <c r="G311" t="s">
        <v>3987</v>
      </c>
      <c r="I311" t="s">
        <v>4233</v>
      </c>
      <c r="J311" t="s">
        <v>3834</v>
      </c>
      <c r="K311" t="s">
        <v>4234</v>
      </c>
    </row>
    <row r="312" spans="1:11" x14ac:dyDescent="0.2">
      <c r="A312" t="s">
        <v>2138</v>
      </c>
      <c r="B312" t="s">
        <v>1905</v>
      </c>
      <c r="C312" t="s">
        <v>2007</v>
      </c>
      <c r="D312" t="s">
        <v>2883</v>
      </c>
      <c r="E312" t="s">
        <v>4321</v>
      </c>
      <c r="F312" t="s">
        <v>4322</v>
      </c>
      <c r="G312" t="s">
        <v>3991</v>
      </c>
      <c r="I312" t="s">
        <v>4233</v>
      </c>
      <c r="J312" t="s">
        <v>3834</v>
      </c>
      <c r="K312" t="s">
        <v>4234</v>
      </c>
    </row>
    <row r="313" spans="1:11" x14ac:dyDescent="0.2">
      <c r="A313" t="s">
        <v>2139</v>
      </c>
      <c r="B313" t="s">
        <v>1905</v>
      </c>
      <c r="C313" t="s">
        <v>2008</v>
      </c>
      <c r="D313" t="s">
        <v>2884</v>
      </c>
      <c r="E313" t="s">
        <v>4323</v>
      </c>
      <c r="F313" t="s">
        <v>4324</v>
      </c>
      <c r="G313" t="s">
        <v>3995</v>
      </c>
      <c r="I313" t="s">
        <v>4233</v>
      </c>
      <c r="J313" t="s">
        <v>3834</v>
      </c>
      <c r="K313" t="s">
        <v>4234</v>
      </c>
    </row>
    <row r="314" spans="1:11" x14ac:dyDescent="0.2">
      <c r="A314" t="s">
        <v>2140</v>
      </c>
      <c r="B314" t="s">
        <v>1905</v>
      </c>
      <c r="C314" t="s">
        <v>2009</v>
      </c>
      <c r="D314" t="s">
        <v>2885</v>
      </c>
      <c r="E314" t="s">
        <v>4325</v>
      </c>
      <c r="F314" t="s">
        <v>4326</v>
      </c>
      <c r="G314" t="s">
        <v>3999</v>
      </c>
      <c r="I314" t="s">
        <v>4233</v>
      </c>
      <c r="J314" t="s">
        <v>3834</v>
      </c>
      <c r="K314" t="s">
        <v>4234</v>
      </c>
    </row>
    <row r="315" spans="1:11" x14ac:dyDescent="0.2">
      <c r="A315" t="s">
        <v>2141</v>
      </c>
      <c r="B315" t="s">
        <v>1905</v>
      </c>
      <c r="C315" t="s">
        <v>2010</v>
      </c>
      <c r="D315" t="s">
        <v>2886</v>
      </c>
      <c r="E315" t="s">
        <v>4327</v>
      </c>
      <c r="F315" t="s">
        <v>4328</v>
      </c>
      <c r="G315" t="s">
        <v>4003</v>
      </c>
      <c r="I315" t="s">
        <v>4233</v>
      </c>
      <c r="J315" t="s">
        <v>3834</v>
      </c>
      <c r="K315" t="s">
        <v>4234</v>
      </c>
    </row>
    <row r="316" spans="1:11" x14ac:dyDescent="0.2">
      <c r="A316" t="s">
        <v>2142</v>
      </c>
      <c r="B316" t="s">
        <v>1905</v>
      </c>
      <c r="C316" t="s">
        <v>2011</v>
      </c>
      <c r="D316" t="s">
        <v>2887</v>
      </c>
      <c r="E316" t="s">
        <v>4329</v>
      </c>
      <c r="F316" t="s">
        <v>4330</v>
      </c>
      <c r="G316" t="s">
        <v>4007</v>
      </c>
      <c r="I316" t="s">
        <v>4233</v>
      </c>
      <c r="J316" t="s">
        <v>3834</v>
      </c>
      <c r="K316" t="s">
        <v>4234</v>
      </c>
    </row>
    <row r="317" spans="1:11" x14ac:dyDescent="0.2">
      <c r="A317" t="s">
        <v>2143</v>
      </c>
      <c r="B317" t="s">
        <v>1905</v>
      </c>
      <c r="C317" t="s">
        <v>2012</v>
      </c>
      <c r="D317" t="s">
        <v>2888</v>
      </c>
      <c r="E317" t="s">
        <v>4331</v>
      </c>
      <c r="F317" t="s">
        <v>4332</v>
      </c>
      <c r="G317" t="s">
        <v>4011</v>
      </c>
      <c r="I317" t="s">
        <v>4233</v>
      </c>
      <c r="J317" t="s">
        <v>3834</v>
      </c>
      <c r="K317" t="s">
        <v>4234</v>
      </c>
    </row>
    <row r="318" spans="1:11" x14ac:dyDescent="0.2">
      <c r="A318" t="s">
        <v>2144</v>
      </c>
      <c r="B318" t="s">
        <v>1890</v>
      </c>
      <c r="C318" t="s">
        <v>2013</v>
      </c>
      <c r="D318" t="s">
        <v>2889</v>
      </c>
      <c r="E318" t="s">
        <v>4333</v>
      </c>
      <c r="F318" t="s">
        <v>4334</v>
      </c>
      <c r="G318" t="s">
        <v>4015</v>
      </c>
      <c r="I318" t="s">
        <v>4233</v>
      </c>
      <c r="J318" t="s">
        <v>3834</v>
      </c>
      <c r="K318" t="s">
        <v>4234</v>
      </c>
    </row>
    <row r="319" spans="1:11" x14ac:dyDescent="0.2">
      <c r="A319" t="s">
        <v>2145</v>
      </c>
      <c r="B319" t="s">
        <v>1905</v>
      </c>
      <c r="C319" t="s">
        <v>2014</v>
      </c>
      <c r="D319" t="s">
        <v>2890</v>
      </c>
      <c r="E319" t="s">
        <v>4335</v>
      </c>
      <c r="F319" t="s">
        <v>4336</v>
      </c>
      <c r="G319" t="s">
        <v>4019</v>
      </c>
      <c r="I319" t="s">
        <v>4233</v>
      </c>
      <c r="J319" t="s">
        <v>3834</v>
      </c>
      <c r="K319" t="s">
        <v>4234</v>
      </c>
    </row>
    <row r="320" spans="1:11" x14ac:dyDescent="0.2">
      <c r="A320" t="s">
        <v>2146</v>
      </c>
      <c r="B320" t="s">
        <v>1905</v>
      </c>
      <c r="C320" t="s">
        <v>2015</v>
      </c>
      <c r="D320" t="s">
        <v>2891</v>
      </c>
      <c r="E320" t="s">
        <v>4337</v>
      </c>
      <c r="F320" t="s">
        <v>4338</v>
      </c>
      <c r="G320" t="s">
        <v>4023</v>
      </c>
      <c r="I320" t="s">
        <v>4233</v>
      </c>
      <c r="J320" t="s">
        <v>3834</v>
      </c>
      <c r="K320" t="s">
        <v>4234</v>
      </c>
    </row>
    <row r="321" spans="1:11" x14ac:dyDescent="0.2">
      <c r="A321" t="s">
        <v>2147</v>
      </c>
      <c r="B321" t="s">
        <v>1905</v>
      </c>
      <c r="C321" t="s">
        <v>2016</v>
      </c>
      <c r="D321" t="s">
        <v>2892</v>
      </c>
      <c r="E321" t="s">
        <v>4339</v>
      </c>
      <c r="F321" t="s">
        <v>4340</v>
      </c>
      <c r="G321" t="s">
        <v>4027</v>
      </c>
      <c r="I321" t="s">
        <v>4233</v>
      </c>
      <c r="J321" t="s">
        <v>3834</v>
      </c>
      <c r="K321" t="s">
        <v>4234</v>
      </c>
    </row>
    <row r="322" spans="1:11" x14ac:dyDescent="0.2">
      <c r="A322" t="s">
        <v>2148</v>
      </c>
      <c r="B322" t="s">
        <v>1905</v>
      </c>
      <c r="C322" t="s">
        <v>2017</v>
      </c>
      <c r="D322" t="s">
        <v>2893</v>
      </c>
      <c r="E322" t="s">
        <v>4341</v>
      </c>
      <c r="F322" t="s">
        <v>4342</v>
      </c>
      <c r="G322" t="s">
        <v>4031</v>
      </c>
      <c r="I322" t="s">
        <v>4233</v>
      </c>
      <c r="J322" t="s">
        <v>3834</v>
      </c>
      <c r="K322" t="s">
        <v>4234</v>
      </c>
    </row>
    <row r="323" spans="1:11" x14ac:dyDescent="0.2">
      <c r="A323" t="s">
        <v>2149</v>
      </c>
      <c r="B323" t="s">
        <v>1905</v>
      </c>
      <c r="C323" t="s">
        <v>2018</v>
      </c>
      <c r="D323" t="s">
        <v>2894</v>
      </c>
      <c r="E323" t="s">
        <v>4343</v>
      </c>
      <c r="F323" t="s">
        <v>4344</v>
      </c>
      <c r="G323" t="s">
        <v>4035</v>
      </c>
      <c r="I323" t="s">
        <v>4233</v>
      </c>
      <c r="J323" t="s">
        <v>3834</v>
      </c>
      <c r="K323" t="s">
        <v>4234</v>
      </c>
    </row>
    <row r="324" spans="1:11" x14ac:dyDescent="0.2">
      <c r="A324" t="s">
        <v>2150</v>
      </c>
      <c r="B324" t="s">
        <v>1905</v>
      </c>
      <c r="C324" t="s">
        <v>2019</v>
      </c>
      <c r="D324" t="s">
        <v>2895</v>
      </c>
      <c r="E324" t="s">
        <v>4345</v>
      </c>
      <c r="F324" t="s">
        <v>4346</v>
      </c>
      <c r="G324" t="s">
        <v>4039</v>
      </c>
      <c r="I324" t="s">
        <v>4233</v>
      </c>
      <c r="J324" t="s">
        <v>3834</v>
      </c>
      <c r="K324" t="s">
        <v>4234</v>
      </c>
    </row>
    <row r="325" spans="1:11" x14ac:dyDescent="0.2">
      <c r="A325" t="s">
        <v>2151</v>
      </c>
      <c r="B325" t="s">
        <v>1905</v>
      </c>
      <c r="C325" t="s">
        <v>2020</v>
      </c>
      <c r="D325" t="s">
        <v>2896</v>
      </c>
      <c r="E325" t="s">
        <v>4347</v>
      </c>
      <c r="F325" t="s">
        <v>4348</v>
      </c>
      <c r="G325" t="s">
        <v>4043</v>
      </c>
      <c r="I325" t="s">
        <v>4233</v>
      </c>
      <c r="J325" t="s">
        <v>3834</v>
      </c>
      <c r="K325" t="s">
        <v>4234</v>
      </c>
    </row>
    <row r="326" spans="1:11" x14ac:dyDescent="0.2">
      <c r="A326" t="s">
        <v>2152</v>
      </c>
      <c r="B326" t="s">
        <v>1905</v>
      </c>
      <c r="C326" t="s">
        <v>1953</v>
      </c>
      <c r="D326" t="s">
        <v>2897</v>
      </c>
      <c r="E326" t="s">
        <v>4349</v>
      </c>
      <c r="F326" t="s">
        <v>4350</v>
      </c>
      <c r="G326" t="s">
        <v>4046</v>
      </c>
      <c r="I326" t="s">
        <v>4233</v>
      </c>
      <c r="J326" t="s">
        <v>3834</v>
      </c>
      <c r="K326" t="s">
        <v>4234</v>
      </c>
    </row>
    <row r="327" spans="1:11" x14ac:dyDescent="0.2">
      <c r="A327" t="s">
        <v>2153</v>
      </c>
      <c r="B327" t="s">
        <v>1905</v>
      </c>
      <c r="C327" t="s">
        <v>1954</v>
      </c>
      <c r="D327" t="s">
        <v>2898</v>
      </c>
      <c r="E327" t="s">
        <v>4351</v>
      </c>
      <c r="F327" t="s">
        <v>4352</v>
      </c>
      <c r="G327" t="s">
        <v>4049</v>
      </c>
      <c r="I327" t="s">
        <v>4233</v>
      </c>
      <c r="J327" t="s">
        <v>3834</v>
      </c>
      <c r="K327" t="s">
        <v>4234</v>
      </c>
    </row>
    <row r="328" spans="1:11" x14ac:dyDescent="0.2">
      <c r="A328" t="s">
        <v>2154</v>
      </c>
      <c r="B328" t="s">
        <v>1905</v>
      </c>
      <c r="C328" t="s">
        <v>1955</v>
      </c>
      <c r="D328" t="s">
        <v>2899</v>
      </c>
      <c r="E328" t="s">
        <v>4353</v>
      </c>
      <c r="F328" t="s">
        <v>4354</v>
      </c>
      <c r="G328" t="s">
        <v>4052</v>
      </c>
      <c r="I328" t="s">
        <v>4233</v>
      </c>
      <c r="J328" t="s">
        <v>3834</v>
      </c>
      <c r="K328" t="s">
        <v>4234</v>
      </c>
    </row>
    <row r="329" spans="1:11" x14ac:dyDescent="0.2">
      <c r="A329" t="s">
        <v>2155</v>
      </c>
      <c r="B329" t="s">
        <v>1905</v>
      </c>
      <c r="C329" t="s">
        <v>1956</v>
      </c>
      <c r="D329" t="s">
        <v>2900</v>
      </c>
      <c r="E329" t="s">
        <v>4355</v>
      </c>
      <c r="F329" t="s">
        <v>4356</v>
      </c>
      <c r="G329" t="s">
        <v>4055</v>
      </c>
      <c r="I329" t="s">
        <v>4233</v>
      </c>
      <c r="J329" t="s">
        <v>3834</v>
      </c>
      <c r="K329" t="s">
        <v>4234</v>
      </c>
    </row>
    <row r="330" spans="1:11" x14ac:dyDescent="0.2">
      <c r="A330" t="s">
        <v>2156</v>
      </c>
      <c r="B330" t="s">
        <v>1905</v>
      </c>
      <c r="C330" t="s">
        <v>1957</v>
      </c>
      <c r="D330" t="s">
        <v>2901</v>
      </c>
      <c r="E330" t="s">
        <v>4357</v>
      </c>
      <c r="F330" t="s">
        <v>4358</v>
      </c>
      <c r="G330" t="s">
        <v>4058</v>
      </c>
      <c r="I330" t="s">
        <v>4233</v>
      </c>
      <c r="J330" t="s">
        <v>3834</v>
      </c>
      <c r="K330" t="s">
        <v>4234</v>
      </c>
    </row>
    <row r="331" spans="1:11" x14ac:dyDescent="0.2">
      <c r="A331" t="s">
        <v>2157</v>
      </c>
      <c r="B331" t="s">
        <v>1905</v>
      </c>
      <c r="C331" t="s">
        <v>1958</v>
      </c>
      <c r="D331" t="s">
        <v>2902</v>
      </c>
      <c r="E331" t="s">
        <v>4359</v>
      </c>
      <c r="F331" t="s">
        <v>4360</v>
      </c>
      <c r="G331" t="s">
        <v>4061</v>
      </c>
      <c r="I331" t="s">
        <v>4233</v>
      </c>
      <c r="J331" t="s">
        <v>3834</v>
      </c>
      <c r="K331" t="s">
        <v>4234</v>
      </c>
    </row>
    <row r="332" spans="1:11" x14ac:dyDescent="0.2">
      <c r="A332" t="s">
        <v>2158</v>
      </c>
      <c r="B332" t="s">
        <v>1905</v>
      </c>
      <c r="C332" t="s">
        <v>2069</v>
      </c>
      <c r="D332" t="s">
        <v>2903</v>
      </c>
      <c r="E332" t="s">
        <v>4361</v>
      </c>
      <c r="F332" t="s">
        <v>4362</v>
      </c>
      <c r="G332" t="s">
        <v>4064</v>
      </c>
      <c r="I332" t="s">
        <v>4233</v>
      </c>
      <c r="J332" t="s">
        <v>3834</v>
      </c>
      <c r="K332" t="s">
        <v>4234</v>
      </c>
    </row>
    <row r="333" spans="1:11" x14ac:dyDescent="0.2">
      <c r="A333" t="s">
        <v>2087</v>
      </c>
      <c r="B333" t="s">
        <v>3502</v>
      </c>
      <c r="C333" t="s">
        <v>2070</v>
      </c>
      <c r="D333" t="s">
        <v>4363</v>
      </c>
      <c r="I333" t="s">
        <v>4233</v>
      </c>
      <c r="J333" t="s">
        <v>4069</v>
      </c>
      <c r="K333" t="s">
        <v>4364</v>
      </c>
    </row>
    <row r="334" spans="1:11" x14ac:dyDescent="0.2">
      <c r="A334" t="s">
        <v>2159</v>
      </c>
      <c r="B334" t="s">
        <v>1905</v>
      </c>
      <c r="C334" t="s">
        <v>2030</v>
      </c>
      <c r="D334" t="s">
        <v>2904</v>
      </c>
      <c r="E334" t="s">
        <v>4365</v>
      </c>
      <c r="F334" t="s">
        <v>4366</v>
      </c>
      <c r="G334" t="s">
        <v>3567</v>
      </c>
      <c r="I334" t="s">
        <v>4233</v>
      </c>
      <c r="J334" t="s">
        <v>4069</v>
      </c>
      <c r="K334" t="s">
        <v>4364</v>
      </c>
    </row>
    <row r="335" spans="1:11" x14ac:dyDescent="0.2">
      <c r="A335" t="s">
        <v>2160</v>
      </c>
      <c r="B335" t="s">
        <v>1905</v>
      </c>
      <c r="C335" t="s">
        <v>2031</v>
      </c>
      <c r="D335" t="s">
        <v>2905</v>
      </c>
      <c r="E335" t="s">
        <v>4368</v>
      </c>
      <c r="F335" t="s">
        <v>4369</v>
      </c>
      <c r="G335" t="s">
        <v>3571</v>
      </c>
      <c r="I335" t="s">
        <v>4233</v>
      </c>
      <c r="J335" t="s">
        <v>4069</v>
      </c>
      <c r="K335" t="s">
        <v>4364</v>
      </c>
    </row>
    <row r="336" spans="1:11" x14ac:dyDescent="0.2">
      <c r="A336" t="s">
        <v>2161</v>
      </c>
      <c r="B336" t="s">
        <v>1905</v>
      </c>
      <c r="C336" t="s">
        <v>2032</v>
      </c>
      <c r="D336" t="s">
        <v>2906</v>
      </c>
      <c r="E336" t="s">
        <v>4370</v>
      </c>
      <c r="F336" t="s">
        <v>4371</v>
      </c>
      <c r="G336" t="s">
        <v>3575</v>
      </c>
      <c r="I336" t="s">
        <v>4233</v>
      </c>
      <c r="J336" t="s">
        <v>4069</v>
      </c>
      <c r="K336" t="s">
        <v>4364</v>
      </c>
    </row>
    <row r="337" spans="1:11" x14ac:dyDescent="0.2">
      <c r="A337" t="s">
        <v>2162</v>
      </c>
      <c r="B337" t="s">
        <v>1905</v>
      </c>
      <c r="C337" t="s">
        <v>2033</v>
      </c>
      <c r="D337" t="s">
        <v>2907</v>
      </c>
      <c r="E337" t="s">
        <v>4372</v>
      </c>
      <c r="F337" t="s">
        <v>4373</v>
      </c>
      <c r="G337" t="s">
        <v>2033</v>
      </c>
      <c r="I337" t="s">
        <v>4233</v>
      </c>
      <c r="J337" t="s">
        <v>4069</v>
      </c>
      <c r="K337" t="s">
        <v>4364</v>
      </c>
    </row>
    <row r="338" spans="1:11" x14ac:dyDescent="0.2">
      <c r="A338" t="s">
        <v>2163</v>
      </c>
      <c r="B338" t="s">
        <v>1905</v>
      </c>
      <c r="C338" t="s">
        <v>2034</v>
      </c>
      <c r="D338" t="s">
        <v>2908</v>
      </c>
      <c r="E338" t="s">
        <v>4374</v>
      </c>
      <c r="F338" t="s">
        <v>4375</v>
      </c>
      <c r="G338" t="s">
        <v>2034</v>
      </c>
      <c r="I338" t="s">
        <v>4233</v>
      </c>
      <c r="J338" t="s">
        <v>4069</v>
      </c>
      <c r="K338" t="s">
        <v>4364</v>
      </c>
    </row>
    <row r="339" spans="1:11" x14ac:dyDescent="0.2">
      <c r="A339" t="s">
        <v>2164</v>
      </c>
      <c r="B339" t="s">
        <v>1905</v>
      </c>
      <c r="C339" t="s">
        <v>2035</v>
      </c>
      <c r="D339" t="s">
        <v>2909</v>
      </c>
      <c r="E339" t="s">
        <v>4376</v>
      </c>
      <c r="F339" t="s">
        <v>4377</v>
      </c>
      <c r="G339" t="s">
        <v>2035</v>
      </c>
      <c r="I339" t="s">
        <v>4233</v>
      </c>
      <c r="J339" t="s">
        <v>4069</v>
      </c>
      <c r="K339" t="s">
        <v>4364</v>
      </c>
    </row>
    <row r="340" spans="1:11" x14ac:dyDescent="0.2">
      <c r="A340" t="s">
        <v>2165</v>
      </c>
      <c r="B340" t="s">
        <v>1905</v>
      </c>
      <c r="C340" t="s">
        <v>2071</v>
      </c>
      <c r="D340" t="s">
        <v>2910</v>
      </c>
      <c r="E340" t="s">
        <v>4378</v>
      </c>
      <c r="F340" t="s">
        <v>4379</v>
      </c>
      <c r="G340" t="s">
        <v>3590</v>
      </c>
      <c r="I340" t="s">
        <v>4233</v>
      </c>
      <c r="J340" t="s">
        <v>4069</v>
      </c>
      <c r="K340" t="s">
        <v>4364</v>
      </c>
    </row>
    <row r="341" spans="1:11" x14ac:dyDescent="0.2">
      <c r="A341" t="s">
        <v>2166</v>
      </c>
      <c r="B341" t="s">
        <v>1905</v>
      </c>
      <c r="C341" t="s">
        <v>2023</v>
      </c>
      <c r="D341" t="s">
        <v>2911</v>
      </c>
      <c r="E341" t="s">
        <v>4380</v>
      </c>
      <c r="F341" t="s">
        <v>4381</v>
      </c>
      <c r="G341" t="s">
        <v>4367</v>
      </c>
      <c r="I341" t="s">
        <v>4233</v>
      </c>
      <c r="J341" t="s">
        <v>4069</v>
      </c>
      <c r="K341" t="s">
        <v>4364</v>
      </c>
    </row>
    <row r="342" spans="1:11" x14ac:dyDescent="0.2">
      <c r="A342" t="s">
        <v>2167</v>
      </c>
      <c r="B342" t="s">
        <v>1905</v>
      </c>
      <c r="C342" t="s">
        <v>2024</v>
      </c>
      <c r="D342" t="s">
        <v>2912</v>
      </c>
      <c r="E342" t="s">
        <v>4382</v>
      </c>
      <c r="F342" t="s">
        <v>4383</v>
      </c>
      <c r="G342" t="s">
        <v>3545</v>
      </c>
      <c r="I342" t="s">
        <v>4233</v>
      </c>
      <c r="J342" t="s">
        <v>4069</v>
      </c>
      <c r="K342" t="s">
        <v>4364</v>
      </c>
    </row>
    <row r="343" spans="1:11" x14ac:dyDescent="0.2">
      <c r="A343" t="s">
        <v>2168</v>
      </c>
      <c r="B343" t="s">
        <v>1905</v>
      </c>
      <c r="C343" t="s">
        <v>2025</v>
      </c>
      <c r="D343" t="s">
        <v>2913</v>
      </c>
      <c r="E343" t="s">
        <v>4384</v>
      </c>
      <c r="F343" t="s">
        <v>4385</v>
      </c>
      <c r="G343" t="s">
        <v>3549</v>
      </c>
      <c r="I343" t="s">
        <v>4233</v>
      </c>
      <c r="J343" t="s">
        <v>4069</v>
      </c>
      <c r="K343" t="s">
        <v>4364</v>
      </c>
    </row>
    <row r="344" spans="1:11" x14ac:dyDescent="0.2">
      <c r="A344" t="s">
        <v>2169</v>
      </c>
      <c r="B344" t="s">
        <v>1905</v>
      </c>
      <c r="C344" t="s">
        <v>2026</v>
      </c>
      <c r="D344" t="s">
        <v>2914</v>
      </c>
      <c r="E344" t="s">
        <v>4386</v>
      </c>
      <c r="F344" t="s">
        <v>4387</v>
      </c>
      <c r="G344" t="s">
        <v>2026</v>
      </c>
      <c r="I344" t="s">
        <v>4233</v>
      </c>
      <c r="J344" t="s">
        <v>4069</v>
      </c>
      <c r="K344" t="s">
        <v>4364</v>
      </c>
    </row>
    <row r="345" spans="1:11" x14ac:dyDescent="0.2">
      <c r="A345" t="s">
        <v>2170</v>
      </c>
      <c r="B345" t="s">
        <v>1905</v>
      </c>
      <c r="C345" t="s">
        <v>2027</v>
      </c>
      <c r="D345" t="s">
        <v>2915</v>
      </c>
      <c r="E345" t="s">
        <v>4388</v>
      </c>
      <c r="F345" t="s">
        <v>4389</v>
      </c>
      <c r="G345" t="s">
        <v>2027</v>
      </c>
      <c r="I345" t="s">
        <v>4233</v>
      </c>
      <c r="J345" t="s">
        <v>4069</v>
      </c>
      <c r="K345" t="s">
        <v>4364</v>
      </c>
    </row>
    <row r="346" spans="1:11" x14ac:dyDescent="0.2">
      <c r="A346" t="s">
        <v>2171</v>
      </c>
      <c r="B346" t="s">
        <v>1905</v>
      </c>
      <c r="C346" t="s">
        <v>2028</v>
      </c>
      <c r="D346" t="s">
        <v>2916</v>
      </c>
      <c r="E346" t="s">
        <v>4390</v>
      </c>
      <c r="F346" t="s">
        <v>4391</v>
      </c>
      <c r="G346" t="s">
        <v>2028</v>
      </c>
      <c r="I346" t="s">
        <v>4233</v>
      </c>
      <c r="J346" t="s">
        <v>4069</v>
      </c>
      <c r="K346" t="s">
        <v>4364</v>
      </c>
    </row>
    <row r="347" spans="1:11" x14ac:dyDescent="0.2">
      <c r="A347" t="s">
        <v>2172</v>
      </c>
      <c r="B347" t="s">
        <v>1905</v>
      </c>
      <c r="C347" t="s">
        <v>2072</v>
      </c>
      <c r="D347" t="s">
        <v>2917</v>
      </c>
      <c r="E347" t="s">
        <v>4392</v>
      </c>
      <c r="F347" t="s">
        <v>4393</v>
      </c>
      <c r="G347" t="s">
        <v>3563</v>
      </c>
      <c r="I347" t="s">
        <v>4233</v>
      </c>
      <c r="J347" t="s">
        <v>4069</v>
      </c>
      <c r="K347" t="s">
        <v>4364</v>
      </c>
    </row>
    <row r="348" spans="1:11" x14ac:dyDescent="0.2">
      <c r="A348" t="s">
        <v>2173</v>
      </c>
      <c r="B348" t="s">
        <v>1905</v>
      </c>
      <c r="C348" t="s">
        <v>2037</v>
      </c>
      <c r="D348" t="s">
        <v>2918</v>
      </c>
      <c r="E348" t="s">
        <v>4394</v>
      </c>
      <c r="F348" t="s">
        <v>4395</v>
      </c>
      <c r="G348" t="s">
        <v>3594</v>
      </c>
      <c r="I348" t="s">
        <v>4233</v>
      </c>
      <c r="J348" t="s">
        <v>4069</v>
      </c>
      <c r="K348" t="s">
        <v>4364</v>
      </c>
    </row>
    <row r="349" spans="1:11" x14ac:dyDescent="0.2">
      <c r="A349" t="s">
        <v>2174</v>
      </c>
      <c r="B349" t="s">
        <v>1905</v>
      </c>
      <c r="C349" t="s">
        <v>2038</v>
      </c>
      <c r="D349" t="s">
        <v>2919</v>
      </c>
      <c r="E349" t="s">
        <v>4396</v>
      </c>
      <c r="F349" t="s">
        <v>4397</v>
      </c>
      <c r="G349" t="s">
        <v>3598</v>
      </c>
      <c r="I349" t="s">
        <v>4233</v>
      </c>
      <c r="J349" t="s">
        <v>4069</v>
      </c>
      <c r="K349" t="s">
        <v>4364</v>
      </c>
    </row>
    <row r="350" spans="1:11" x14ac:dyDescent="0.2">
      <c r="A350" t="s">
        <v>2175</v>
      </c>
      <c r="B350" t="s">
        <v>1905</v>
      </c>
      <c r="C350" t="s">
        <v>2039</v>
      </c>
      <c r="D350" t="s">
        <v>2920</v>
      </c>
      <c r="E350" t="s">
        <v>4398</v>
      </c>
      <c r="F350" t="s">
        <v>4399</v>
      </c>
      <c r="G350" t="s">
        <v>3602</v>
      </c>
      <c r="I350" t="s">
        <v>4233</v>
      </c>
      <c r="J350" t="s">
        <v>4069</v>
      </c>
      <c r="K350" t="s">
        <v>4364</v>
      </c>
    </row>
    <row r="351" spans="1:11" x14ac:dyDescent="0.2">
      <c r="A351" t="s">
        <v>2176</v>
      </c>
      <c r="B351" t="s">
        <v>1905</v>
      </c>
      <c r="C351" t="s">
        <v>2040</v>
      </c>
      <c r="D351" t="s">
        <v>2921</v>
      </c>
      <c r="E351" t="s">
        <v>4400</v>
      </c>
      <c r="F351" t="s">
        <v>4401</v>
      </c>
      <c r="G351" t="s">
        <v>2040</v>
      </c>
      <c r="I351" t="s">
        <v>4233</v>
      </c>
      <c r="J351" t="s">
        <v>4069</v>
      </c>
      <c r="K351" t="s">
        <v>4364</v>
      </c>
    </row>
    <row r="352" spans="1:11" x14ac:dyDescent="0.2">
      <c r="A352" t="s">
        <v>2177</v>
      </c>
      <c r="B352" t="s">
        <v>1905</v>
      </c>
      <c r="C352" t="s">
        <v>2041</v>
      </c>
      <c r="D352" t="s">
        <v>2922</v>
      </c>
      <c r="E352" t="s">
        <v>4402</v>
      </c>
      <c r="F352" t="s">
        <v>4403</v>
      </c>
      <c r="G352" t="s">
        <v>2041</v>
      </c>
      <c r="I352" t="s">
        <v>4233</v>
      </c>
      <c r="J352" t="s">
        <v>4069</v>
      </c>
      <c r="K352" t="s">
        <v>4364</v>
      </c>
    </row>
    <row r="353" spans="1:11" x14ac:dyDescent="0.2">
      <c r="A353" t="s">
        <v>2178</v>
      </c>
      <c r="B353" t="s">
        <v>1905</v>
      </c>
      <c r="C353" t="s">
        <v>2042</v>
      </c>
      <c r="D353" t="s">
        <v>2923</v>
      </c>
      <c r="E353" t="s">
        <v>4404</v>
      </c>
      <c r="F353" t="s">
        <v>4405</v>
      </c>
      <c r="G353" t="s">
        <v>2042</v>
      </c>
      <c r="I353" t="s">
        <v>4233</v>
      </c>
      <c r="J353" t="s">
        <v>4069</v>
      </c>
      <c r="K353" t="s">
        <v>4364</v>
      </c>
    </row>
    <row r="354" spans="1:11" x14ac:dyDescent="0.2">
      <c r="A354" t="s">
        <v>2179</v>
      </c>
      <c r="B354" t="s">
        <v>1905</v>
      </c>
      <c r="C354" t="s">
        <v>2073</v>
      </c>
      <c r="D354" t="s">
        <v>2924</v>
      </c>
      <c r="E354" t="s">
        <v>4406</v>
      </c>
      <c r="F354" t="s">
        <v>4407</v>
      </c>
      <c r="G354" t="s">
        <v>3617</v>
      </c>
      <c r="I354" t="s">
        <v>4233</v>
      </c>
      <c r="J354" t="s">
        <v>4069</v>
      </c>
      <c r="K354" t="s">
        <v>4364</v>
      </c>
    </row>
    <row r="355" spans="1:11" x14ac:dyDescent="0.2">
      <c r="A355" t="s">
        <v>2180</v>
      </c>
      <c r="B355" t="s">
        <v>1905</v>
      </c>
      <c r="C355" t="s">
        <v>2044</v>
      </c>
      <c r="D355" t="s">
        <v>2925</v>
      </c>
      <c r="E355" t="s">
        <v>4408</v>
      </c>
      <c r="F355" t="s">
        <v>4409</v>
      </c>
      <c r="G355" t="s">
        <v>3649</v>
      </c>
      <c r="I355" t="s">
        <v>4233</v>
      </c>
      <c r="J355" t="s">
        <v>4069</v>
      </c>
      <c r="K355" t="s">
        <v>4364</v>
      </c>
    </row>
    <row r="356" spans="1:11" x14ac:dyDescent="0.2">
      <c r="A356" t="s">
        <v>2181</v>
      </c>
      <c r="B356" t="s">
        <v>1905</v>
      </c>
      <c r="C356" t="s">
        <v>2045</v>
      </c>
      <c r="D356" t="s">
        <v>2926</v>
      </c>
      <c r="E356" t="s">
        <v>4410</v>
      </c>
      <c r="F356" t="s">
        <v>4411</v>
      </c>
      <c r="G356" t="s">
        <v>3653</v>
      </c>
      <c r="I356" t="s">
        <v>4233</v>
      </c>
      <c r="J356" t="s">
        <v>4069</v>
      </c>
      <c r="K356" t="s">
        <v>4364</v>
      </c>
    </row>
    <row r="357" spans="1:11" x14ac:dyDescent="0.2">
      <c r="A357" t="s">
        <v>2182</v>
      </c>
      <c r="B357" t="s">
        <v>1905</v>
      </c>
      <c r="C357" t="s">
        <v>2046</v>
      </c>
      <c r="D357" t="s">
        <v>2927</v>
      </c>
      <c r="E357" t="s">
        <v>4412</v>
      </c>
      <c r="F357" t="s">
        <v>4413</v>
      </c>
      <c r="G357" t="s">
        <v>3657</v>
      </c>
      <c r="I357" t="s">
        <v>4233</v>
      </c>
      <c r="J357" t="s">
        <v>4069</v>
      </c>
      <c r="K357" t="s">
        <v>4364</v>
      </c>
    </row>
    <row r="358" spans="1:11" x14ac:dyDescent="0.2">
      <c r="A358" t="s">
        <v>2183</v>
      </c>
      <c r="B358" t="s">
        <v>1905</v>
      </c>
      <c r="C358" t="s">
        <v>2047</v>
      </c>
      <c r="D358" t="s">
        <v>2928</v>
      </c>
      <c r="E358" t="s">
        <v>4414</v>
      </c>
      <c r="F358" t="s">
        <v>4415</v>
      </c>
      <c r="G358" t="s">
        <v>2047</v>
      </c>
      <c r="I358" t="s">
        <v>4233</v>
      </c>
      <c r="J358" t="s">
        <v>4069</v>
      </c>
      <c r="K358" t="s">
        <v>4364</v>
      </c>
    </row>
    <row r="359" spans="1:11" x14ac:dyDescent="0.2">
      <c r="A359" t="s">
        <v>2184</v>
      </c>
      <c r="B359" t="s">
        <v>1905</v>
      </c>
      <c r="C359" t="s">
        <v>2048</v>
      </c>
      <c r="D359" t="s">
        <v>2929</v>
      </c>
      <c r="E359" t="s">
        <v>4416</v>
      </c>
      <c r="F359" t="s">
        <v>4417</v>
      </c>
      <c r="G359" t="s">
        <v>2048</v>
      </c>
      <c r="I359" t="s">
        <v>4233</v>
      </c>
      <c r="J359" t="s">
        <v>4069</v>
      </c>
      <c r="K359" t="s">
        <v>4364</v>
      </c>
    </row>
    <row r="360" spans="1:11" x14ac:dyDescent="0.2">
      <c r="A360" t="s">
        <v>2185</v>
      </c>
      <c r="B360" t="s">
        <v>1905</v>
      </c>
      <c r="C360" t="s">
        <v>2049</v>
      </c>
      <c r="D360" t="s">
        <v>2930</v>
      </c>
      <c r="E360" t="s">
        <v>4418</v>
      </c>
      <c r="F360" t="s">
        <v>4419</v>
      </c>
      <c r="G360" t="s">
        <v>2049</v>
      </c>
      <c r="I360" t="s">
        <v>4233</v>
      </c>
      <c r="J360" t="s">
        <v>4069</v>
      </c>
      <c r="K360" t="s">
        <v>4364</v>
      </c>
    </row>
    <row r="361" spans="1:11" x14ac:dyDescent="0.2">
      <c r="A361" t="s">
        <v>2186</v>
      </c>
      <c r="B361" t="s">
        <v>1905</v>
      </c>
      <c r="C361" t="s">
        <v>2074</v>
      </c>
      <c r="D361" t="s">
        <v>2931</v>
      </c>
      <c r="E361" t="s">
        <v>4420</v>
      </c>
      <c r="F361" t="s">
        <v>4421</v>
      </c>
      <c r="G361" t="s">
        <v>3672</v>
      </c>
      <c r="I361" t="s">
        <v>4233</v>
      </c>
      <c r="J361" t="s">
        <v>4069</v>
      </c>
      <c r="K361" t="s">
        <v>4364</v>
      </c>
    </row>
    <row r="362" spans="1:11" x14ac:dyDescent="0.2">
      <c r="A362" t="s">
        <v>2187</v>
      </c>
      <c r="B362" t="s">
        <v>1905</v>
      </c>
      <c r="C362" t="s">
        <v>2051</v>
      </c>
      <c r="D362" t="s">
        <v>2932</v>
      </c>
      <c r="E362" t="s">
        <v>4422</v>
      </c>
      <c r="F362" t="s">
        <v>4423</v>
      </c>
      <c r="G362" t="s">
        <v>3676</v>
      </c>
      <c r="I362" t="s">
        <v>4233</v>
      </c>
      <c r="J362" t="s">
        <v>4069</v>
      </c>
      <c r="K362" t="s">
        <v>4364</v>
      </c>
    </row>
    <row r="363" spans="1:11" x14ac:dyDescent="0.2">
      <c r="A363" t="s">
        <v>2188</v>
      </c>
      <c r="B363" t="s">
        <v>1905</v>
      </c>
      <c r="C363" t="s">
        <v>2052</v>
      </c>
      <c r="D363" t="s">
        <v>2933</v>
      </c>
      <c r="E363" t="s">
        <v>4424</v>
      </c>
      <c r="F363" t="s">
        <v>4425</v>
      </c>
      <c r="G363" t="s">
        <v>3680</v>
      </c>
      <c r="I363" t="s">
        <v>4233</v>
      </c>
      <c r="J363" t="s">
        <v>4069</v>
      </c>
      <c r="K363" t="s">
        <v>4364</v>
      </c>
    </row>
    <row r="364" spans="1:11" x14ac:dyDescent="0.2">
      <c r="A364" t="s">
        <v>2189</v>
      </c>
      <c r="B364" t="s">
        <v>1905</v>
      </c>
      <c r="C364" t="s">
        <v>2053</v>
      </c>
      <c r="D364" t="s">
        <v>2934</v>
      </c>
      <c r="E364" t="s">
        <v>4426</v>
      </c>
      <c r="F364" t="s">
        <v>4427</v>
      </c>
      <c r="G364" t="s">
        <v>3684</v>
      </c>
      <c r="I364" t="s">
        <v>4233</v>
      </c>
      <c r="J364" t="s">
        <v>4069</v>
      </c>
      <c r="K364" t="s">
        <v>4364</v>
      </c>
    </row>
    <row r="365" spans="1:11" x14ac:dyDescent="0.2">
      <c r="A365" t="s">
        <v>2190</v>
      </c>
      <c r="B365" t="s">
        <v>1905</v>
      </c>
      <c r="C365" t="s">
        <v>2054</v>
      </c>
      <c r="D365" t="s">
        <v>2935</v>
      </c>
      <c r="E365" t="s">
        <v>4428</v>
      </c>
      <c r="F365" t="s">
        <v>4429</v>
      </c>
      <c r="G365" t="s">
        <v>2054</v>
      </c>
      <c r="I365" t="s">
        <v>4233</v>
      </c>
      <c r="J365" t="s">
        <v>4069</v>
      </c>
      <c r="K365" t="s">
        <v>4364</v>
      </c>
    </row>
    <row r="366" spans="1:11" x14ac:dyDescent="0.2">
      <c r="A366" t="s">
        <v>2191</v>
      </c>
      <c r="B366" t="s">
        <v>1905</v>
      </c>
      <c r="C366" t="s">
        <v>2055</v>
      </c>
      <c r="D366" t="s">
        <v>2936</v>
      </c>
      <c r="E366" t="s">
        <v>4430</v>
      </c>
      <c r="F366" t="s">
        <v>4431</v>
      </c>
      <c r="G366" t="s">
        <v>2055</v>
      </c>
      <c r="I366" t="s">
        <v>4233</v>
      </c>
      <c r="J366" t="s">
        <v>4069</v>
      </c>
      <c r="K366" t="s">
        <v>4364</v>
      </c>
    </row>
    <row r="367" spans="1:11" x14ac:dyDescent="0.2">
      <c r="A367" t="s">
        <v>2192</v>
      </c>
      <c r="B367" t="s">
        <v>1905</v>
      </c>
      <c r="C367" t="s">
        <v>2056</v>
      </c>
      <c r="D367" t="s">
        <v>2937</v>
      </c>
      <c r="E367" t="s">
        <v>4432</v>
      </c>
      <c r="F367" t="s">
        <v>4433</v>
      </c>
      <c r="G367" t="s">
        <v>2056</v>
      </c>
      <c r="I367" t="s">
        <v>4233</v>
      </c>
      <c r="J367" t="s">
        <v>4069</v>
      </c>
      <c r="K367" t="s">
        <v>4364</v>
      </c>
    </row>
    <row r="368" spans="1:11" x14ac:dyDescent="0.2">
      <c r="A368" t="s">
        <v>2193</v>
      </c>
      <c r="B368" t="s">
        <v>1905</v>
      </c>
      <c r="C368" t="s">
        <v>2057</v>
      </c>
      <c r="D368" t="s">
        <v>2938</v>
      </c>
      <c r="E368" t="s">
        <v>4434</v>
      </c>
      <c r="F368" t="s">
        <v>4435</v>
      </c>
      <c r="G368" t="s">
        <v>3699</v>
      </c>
      <c r="I368" t="s">
        <v>4233</v>
      </c>
      <c r="J368" t="s">
        <v>4069</v>
      </c>
      <c r="K368" t="s">
        <v>4364</v>
      </c>
    </row>
    <row r="369" spans="1:11" x14ac:dyDescent="0.2">
      <c r="A369" t="s">
        <v>2194</v>
      </c>
      <c r="B369" t="s">
        <v>1905</v>
      </c>
      <c r="C369" t="s">
        <v>1953</v>
      </c>
      <c r="D369" t="s">
        <v>2939</v>
      </c>
      <c r="E369" t="s">
        <v>4436</v>
      </c>
      <c r="F369" t="s">
        <v>4437</v>
      </c>
      <c r="G369" t="s">
        <v>4438</v>
      </c>
      <c r="I369" t="s">
        <v>4233</v>
      </c>
      <c r="J369" t="s">
        <v>4069</v>
      </c>
      <c r="K369" t="s">
        <v>4364</v>
      </c>
    </row>
    <row r="370" spans="1:11" x14ac:dyDescent="0.2">
      <c r="A370" t="s">
        <v>2195</v>
      </c>
      <c r="B370" t="s">
        <v>1905</v>
      </c>
      <c r="C370" t="s">
        <v>1954</v>
      </c>
      <c r="D370" t="s">
        <v>2940</v>
      </c>
      <c r="E370" t="s">
        <v>4439</v>
      </c>
      <c r="F370" t="s">
        <v>4440</v>
      </c>
      <c r="G370" t="s">
        <v>4441</v>
      </c>
      <c r="I370" t="s">
        <v>4233</v>
      </c>
      <c r="J370" t="s">
        <v>4069</v>
      </c>
      <c r="K370" t="s">
        <v>4364</v>
      </c>
    </row>
    <row r="371" spans="1:11" x14ac:dyDescent="0.2">
      <c r="A371" t="s">
        <v>2196</v>
      </c>
      <c r="B371" t="s">
        <v>1905</v>
      </c>
      <c r="C371" t="s">
        <v>1955</v>
      </c>
      <c r="D371" t="s">
        <v>2941</v>
      </c>
      <c r="E371" t="s">
        <v>4442</v>
      </c>
      <c r="F371" t="s">
        <v>4443</v>
      </c>
      <c r="G371" t="s">
        <v>4444</v>
      </c>
      <c r="I371" t="s">
        <v>4233</v>
      </c>
      <c r="J371" t="s">
        <v>4069</v>
      </c>
      <c r="K371" t="s">
        <v>4364</v>
      </c>
    </row>
    <row r="372" spans="1:11" x14ac:dyDescent="0.2">
      <c r="A372" t="s">
        <v>2197</v>
      </c>
      <c r="B372" t="s">
        <v>1905</v>
      </c>
      <c r="C372" t="s">
        <v>1956</v>
      </c>
      <c r="D372" t="s">
        <v>2942</v>
      </c>
      <c r="E372" t="s">
        <v>4445</v>
      </c>
      <c r="F372" t="s">
        <v>4446</v>
      </c>
      <c r="G372" t="s">
        <v>4447</v>
      </c>
      <c r="I372" t="s">
        <v>4233</v>
      </c>
      <c r="J372" t="s">
        <v>4069</v>
      </c>
      <c r="K372" t="s">
        <v>4364</v>
      </c>
    </row>
    <row r="373" spans="1:11" x14ac:dyDescent="0.2">
      <c r="A373" t="s">
        <v>2198</v>
      </c>
      <c r="B373" t="s">
        <v>1905</v>
      </c>
      <c r="C373" t="s">
        <v>1957</v>
      </c>
      <c r="D373" t="s">
        <v>2943</v>
      </c>
      <c r="E373" t="s">
        <v>4448</v>
      </c>
      <c r="F373" t="s">
        <v>4449</v>
      </c>
      <c r="G373" t="s">
        <v>4450</v>
      </c>
      <c r="I373" t="s">
        <v>4233</v>
      </c>
      <c r="J373" t="s">
        <v>4069</v>
      </c>
      <c r="K373" t="s">
        <v>4364</v>
      </c>
    </row>
    <row r="374" spans="1:11" x14ac:dyDescent="0.2">
      <c r="A374" t="s">
        <v>2199</v>
      </c>
      <c r="B374" t="s">
        <v>1905</v>
      </c>
      <c r="C374" t="s">
        <v>1958</v>
      </c>
      <c r="D374" t="s">
        <v>2944</v>
      </c>
      <c r="E374" t="s">
        <v>4451</v>
      </c>
      <c r="F374" t="s">
        <v>4452</v>
      </c>
      <c r="G374" t="s">
        <v>4453</v>
      </c>
      <c r="I374" t="s">
        <v>4233</v>
      </c>
      <c r="J374" t="s">
        <v>4069</v>
      </c>
      <c r="K374" t="s">
        <v>4364</v>
      </c>
    </row>
    <row r="375" spans="1:11" x14ac:dyDescent="0.2">
      <c r="A375" t="s">
        <v>2200</v>
      </c>
      <c r="B375" t="s">
        <v>1905</v>
      </c>
      <c r="C375" t="s">
        <v>2075</v>
      </c>
      <c r="D375" t="s">
        <v>2945</v>
      </c>
      <c r="E375" t="s">
        <v>4454</v>
      </c>
      <c r="F375" t="s">
        <v>4455</v>
      </c>
      <c r="G375" t="s">
        <v>4456</v>
      </c>
      <c r="I375" t="s">
        <v>4233</v>
      </c>
      <c r="J375" t="s">
        <v>4069</v>
      </c>
      <c r="K375" t="s">
        <v>4364</v>
      </c>
    </row>
    <row r="376" spans="1:11" x14ac:dyDescent="0.2">
      <c r="A376" t="s">
        <v>2201</v>
      </c>
      <c r="B376" t="s">
        <v>3502</v>
      </c>
      <c r="C376" t="s">
        <v>2076</v>
      </c>
      <c r="D376" t="s">
        <v>4457</v>
      </c>
      <c r="I376" t="s">
        <v>4458</v>
      </c>
      <c r="J376" t="s">
        <v>3834</v>
      </c>
      <c r="K376" t="s">
        <v>4459</v>
      </c>
    </row>
    <row r="377" spans="1:11" x14ac:dyDescent="0.2">
      <c r="A377" t="s">
        <v>2202</v>
      </c>
      <c r="B377" t="s">
        <v>1905</v>
      </c>
      <c r="C377" t="s">
        <v>1965</v>
      </c>
      <c r="D377" t="s">
        <v>2946</v>
      </c>
      <c r="E377" t="s">
        <v>4460</v>
      </c>
      <c r="F377" t="s">
        <v>4461</v>
      </c>
      <c r="G377" t="s">
        <v>3833</v>
      </c>
      <c r="I377" t="s">
        <v>4458</v>
      </c>
      <c r="J377" t="s">
        <v>3834</v>
      </c>
      <c r="K377" t="s">
        <v>4459</v>
      </c>
    </row>
    <row r="378" spans="1:11" x14ac:dyDescent="0.2">
      <c r="A378" t="s">
        <v>2203</v>
      </c>
      <c r="B378" t="s">
        <v>1905</v>
      </c>
      <c r="C378" t="s">
        <v>1966</v>
      </c>
      <c r="D378" t="s">
        <v>2947</v>
      </c>
      <c r="E378" t="s">
        <v>4462</v>
      </c>
      <c r="F378" t="s">
        <v>4463</v>
      </c>
      <c r="G378" t="s">
        <v>3838</v>
      </c>
      <c r="I378" t="s">
        <v>4458</v>
      </c>
      <c r="J378" t="s">
        <v>3834</v>
      </c>
      <c r="K378" t="s">
        <v>4459</v>
      </c>
    </row>
    <row r="379" spans="1:11" x14ac:dyDescent="0.2">
      <c r="A379" t="s">
        <v>2204</v>
      </c>
      <c r="B379" t="s">
        <v>1905</v>
      </c>
      <c r="C379" t="s">
        <v>1967</v>
      </c>
      <c r="D379" t="s">
        <v>2948</v>
      </c>
      <c r="E379" t="s">
        <v>4464</v>
      </c>
      <c r="F379" t="s">
        <v>4465</v>
      </c>
      <c r="G379" t="s">
        <v>3842</v>
      </c>
      <c r="I379" t="s">
        <v>4458</v>
      </c>
      <c r="J379" t="s">
        <v>3834</v>
      </c>
      <c r="K379" t="s">
        <v>4459</v>
      </c>
    </row>
    <row r="380" spans="1:11" x14ac:dyDescent="0.2">
      <c r="A380" t="s">
        <v>2205</v>
      </c>
      <c r="B380" t="s">
        <v>1905</v>
      </c>
      <c r="C380" t="s">
        <v>1968</v>
      </c>
      <c r="D380" t="s">
        <v>2949</v>
      </c>
      <c r="E380" t="s">
        <v>4466</v>
      </c>
      <c r="F380" t="s">
        <v>4467</v>
      </c>
      <c r="G380" t="s">
        <v>1968</v>
      </c>
      <c r="I380" t="s">
        <v>4458</v>
      </c>
      <c r="J380" t="s">
        <v>3834</v>
      </c>
      <c r="K380" t="s">
        <v>4459</v>
      </c>
    </row>
    <row r="381" spans="1:11" x14ac:dyDescent="0.2">
      <c r="A381" t="s">
        <v>2206</v>
      </c>
      <c r="B381" t="s">
        <v>1905</v>
      </c>
      <c r="C381" t="s">
        <v>1969</v>
      </c>
      <c r="D381" t="s">
        <v>2950</v>
      </c>
      <c r="E381" t="s">
        <v>4468</v>
      </c>
      <c r="F381" t="s">
        <v>4469</v>
      </c>
      <c r="G381" t="s">
        <v>1969</v>
      </c>
      <c r="I381" t="s">
        <v>4458</v>
      </c>
      <c r="J381" t="s">
        <v>3834</v>
      </c>
      <c r="K381" t="s">
        <v>4459</v>
      </c>
    </row>
    <row r="382" spans="1:11" x14ac:dyDescent="0.2">
      <c r="A382" t="s">
        <v>2207</v>
      </c>
      <c r="B382" t="s">
        <v>1905</v>
      </c>
      <c r="C382" t="s">
        <v>1970</v>
      </c>
      <c r="D382" t="s">
        <v>2951</v>
      </c>
      <c r="E382" t="s">
        <v>4470</v>
      </c>
      <c r="F382" t="s">
        <v>4471</v>
      </c>
      <c r="G382" t="s">
        <v>1970</v>
      </c>
      <c r="I382" t="s">
        <v>4458</v>
      </c>
      <c r="J382" t="s">
        <v>3834</v>
      </c>
      <c r="K382" t="s">
        <v>4459</v>
      </c>
    </row>
    <row r="383" spans="1:11" x14ac:dyDescent="0.2">
      <c r="A383" t="s">
        <v>2208</v>
      </c>
      <c r="B383" t="s">
        <v>1905</v>
      </c>
      <c r="C383" t="s">
        <v>1971</v>
      </c>
      <c r="D383" t="s">
        <v>2952</v>
      </c>
      <c r="E383" t="s">
        <v>4472</v>
      </c>
      <c r="F383" t="s">
        <v>4473</v>
      </c>
      <c r="G383" t="s">
        <v>3855</v>
      </c>
      <c r="I383" t="s">
        <v>4458</v>
      </c>
      <c r="J383" t="s">
        <v>3834</v>
      </c>
      <c r="K383" t="s">
        <v>4459</v>
      </c>
    </row>
    <row r="384" spans="1:11" x14ac:dyDescent="0.2">
      <c r="A384" t="s">
        <v>2209</v>
      </c>
      <c r="B384" t="s">
        <v>1905</v>
      </c>
      <c r="C384" t="s">
        <v>1972</v>
      </c>
      <c r="D384" t="s">
        <v>2953</v>
      </c>
      <c r="E384" t="s">
        <v>4474</v>
      </c>
      <c r="F384" t="s">
        <v>4475</v>
      </c>
      <c r="G384" t="s">
        <v>3859</v>
      </c>
      <c r="I384" t="s">
        <v>4458</v>
      </c>
      <c r="J384" t="s">
        <v>3834</v>
      </c>
      <c r="K384" t="s">
        <v>4459</v>
      </c>
    </row>
    <row r="385" spans="1:11" x14ac:dyDescent="0.2">
      <c r="A385" t="s">
        <v>2210</v>
      </c>
      <c r="B385" t="s">
        <v>1905</v>
      </c>
      <c r="C385" t="s">
        <v>1973</v>
      </c>
      <c r="D385" t="s">
        <v>2954</v>
      </c>
      <c r="E385" t="s">
        <v>4476</v>
      </c>
      <c r="F385" t="s">
        <v>4477</v>
      </c>
      <c r="G385" t="s">
        <v>3863</v>
      </c>
      <c r="I385" t="s">
        <v>4458</v>
      </c>
      <c r="J385" t="s">
        <v>3834</v>
      </c>
      <c r="K385" t="s">
        <v>4459</v>
      </c>
    </row>
    <row r="386" spans="1:11" x14ac:dyDescent="0.2">
      <c r="A386" t="s">
        <v>2211</v>
      </c>
      <c r="B386" t="s">
        <v>1905</v>
      </c>
      <c r="C386" t="s">
        <v>1974</v>
      </c>
      <c r="D386" t="s">
        <v>2955</v>
      </c>
      <c r="E386" t="s">
        <v>4478</v>
      </c>
      <c r="F386" t="s">
        <v>4479</v>
      </c>
      <c r="G386" t="s">
        <v>3867</v>
      </c>
      <c r="I386" t="s">
        <v>4458</v>
      </c>
      <c r="J386" t="s">
        <v>3834</v>
      </c>
      <c r="K386" t="s">
        <v>4459</v>
      </c>
    </row>
    <row r="387" spans="1:11" x14ac:dyDescent="0.2">
      <c r="A387" t="s">
        <v>2212</v>
      </c>
      <c r="B387" t="s">
        <v>1905</v>
      </c>
      <c r="C387" t="s">
        <v>1975</v>
      </c>
      <c r="D387" t="s">
        <v>2956</v>
      </c>
      <c r="E387" t="s">
        <v>4480</v>
      </c>
      <c r="F387" t="s">
        <v>4481</v>
      </c>
      <c r="G387" t="s">
        <v>1975</v>
      </c>
      <c r="I387" t="s">
        <v>4458</v>
      </c>
      <c r="J387" t="s">
        <v>3834</v>
      </c>
      <c r="K387" t="s">
        <v>4459</v>
      </c>
    </row>
    <row r="388" spans="1:11" x14ac:dyDescent="0.2">
      <c r="A388" t="s">
        <v>2213</v>
      </c>
      <c r="B388" t="s">
        <v>1905</v>
      </c>
      <c r="C388" t="s">
        <v>1976</v>
      </c>
      <c r="D388" t="s">
        <v>2957</v>
      </c>
      <c r="E388" t="s">
        <v>4482</v>
      </c>
      <c r="F388" t="s">
        <v>4483</v>
      </c>
      <c r="G388" t="s">
        <v>1976</v>
      </c>
      <c r="I388" t="s">
        <v>4458</v>
      </c>
      <c r="J388" t="s">
        <v>3834</v>
      </c>
      <c r="K388" t="s">
        <v>4459</v>
      </c>
    </row>
    <row r="389" spans="1:11" x14ac:dyDescent="0.2">
      <c r="A389" t="s">
        <v>2214</v>
      </c>
      <c r="B389" t="s">
        <v>1905</v>
      </c>
      <c r="C389" t="s">
        <v>1977</v>
      </c>
      <c r="D389" t="s">
        <v>2958</v>
      </c>
      <c r="E389" t="s">
        <v>4484</v>
      </c>
      <c r="F389" t="s">
        <v>4485</v>
      </c>
      <c r="G389" t="s">
        <v>1977</v>
      </c>
      <c r="I389" t="s">
        <v>4458</v>
      </c>
      <c r="J389" t="s">
        <v>3834</v>
      </c>
      <c r="K389" t="s">
        <v>4459</v>
      </c>
    </row>
    <row r="390" spans="1:11" x14ac:dyDescent="0.2">
      <c r="A390" t="s">
        <v>2215</v>
      </c>
      <c r="B390" t="s">
        <v>1905</v>
      </c>
      <c r="C390" t="s">
        <v>1978</v>
      </c>
      <c r="D390" t="s">
        <v>2959</v>
      </c>
      <c r="E390" t="s">
        <v>4486</v>
      </c>
      <c r="F390" t="s">
        <v>4487</v>
      </c>
      <c r="G390" t="s">
        <v>3880</v>
      </c>
      <c r="I390" t="s">
        <v>4458</v>
      </c>
      <c r="J390" t="s">
        <v>3834</v>
      </c>
      <c r="K390" t="s">
        <v>4459</v>
      </c>
    </row>
    <row r="391" spans="1:11" x14ac:dyDescent="0.2">
      <c r="A391" t="s">
        <v>2216</v>
      </c>
      <c r="B391" t="s">
        <v>1905</v>
      </c>
      <c r="C391" t="s">
        <v>1979</v>
      </c>
      <c r="D391" t="s">
        <v>2960</v>
      </c>
      <c r="E391" t="s">
        <v>4488</v>
      </c>
      <c r="F391" t="s">
        <v>4489</v>
      </c>
      <c r="G391" t="s">
        <v>3884</v>
      </c>
      <c r="I391" t="s">
        <v>4458</v>
      </c>
      <c r="J391" t="s">
        <v>3834</v>
      </c>
      <c r="K391" t="s">
        <v>4459</v>
      </c>
    </row>
    <row r="392" spans="1:11" x14ac:dyDescent="0.2">
      <c r="A392" t="s">
        <v>2217</v>
      </c>
      <c r="B392" t="s">
        <v>1905</v>
      </c>
      <c r="C392" t="s">
        <v>1980</v>
      </c>
      <c r="D392" t="s">
        <v>2961</v>
      </c>
      <c r="E392" t="s">
        <v>4490</v>
      </c>
      <c r="F392" t="s">
        <v>4491</v>
      </c>
      <c r="G392" t="s">
        <v>3888</v>
      </c>
      <c r="I392" t="s">
        <v>4458</v>
      </c>
      <c r="J392" t="s">
        <v>3834</v>
      </c>
      <c r="K392" t="s">
        <v>4459</v>
      </c>
    </row>
    <row r="393" spans="1:11" x14ac:dyDescent="0.2">
      <c r="A393" t="s">
        <v>2218</v>
      </c>
      <c r="B393" t="s">
        <v>1905</v>
      </c>
      <c r="C393" t="s">
        <v>1981</v>
      </c>
      <c r="D393" t="s">
        <v>2962</v>
      </c>
      <c r="E393" t="s">
        <v>4492</v>
      </c>
      <c r="F393" t="s">
        <v>4493</v>
      </c>
      <c r="G393" t="s">
        <v>3892</v>
      </c>
      <c r="I393" t="s">
        <v>4458</v>
      </c>
      <c r="J393" t="s">
        <v>3834</v>
      </c>
      <c r="K393" t="s">
        <v>4459</v>
      </c>
    </row>
    <row r="394" spans="1:11" x14ac:dyDescent="0.2">
      <c r="A394" t="s">
        <v>2219</v>
      </c>
      <c r="B394" t="s">
        <v>1905</v>
      </c>
      <c r="C394" t="s">
        <v>1982</v>
      </c>
      <c r="D394" t="s">
        <v>2963</v>
      </c>
      <c r="E394" t="s">
        <v>4494</v>
      </c>
      <c r="F394" t="s">
        <v>4495</v>
      </c>
      <c r="G394" t="s">
        <v>1982</v>
      </c>
      <c r="I394" t="s">
        <v>4458</v>
      </c>
      <c r="J394" t="s">
        <v>3834</v>
      </c>
      <c r="K394" t="s">
        <v>4459</v>
      </c>
    </row>
    <row r="395" spans="1:11" x14ac:dyDescent="0.2">
      <c r="A395" t="s">
        <v>2220</v>
      </c>
      <c r="B395" t="s">
        <v>1905</v>
      </c>
      <c r="C395" t="s">
        <v>1983</v>
      </c>
      <c r="D395" t="s">
        <v>2964</v>
      </c>
      <c r="E395" t="s">
        <v>4496</v>
      </c>
      <c r="F395" t="s">
        <v>4497</v>
      </c>
      <c r="G395" t="s">
        <v>1983</v>
      </c>
      <c r="I395" t="s">
        <v>4458</v>
      </c>
      <c r="J395" t="s">
        <v>3834</v>
      </c>
      <c r="K395" t="s">
        <v>4459</v>
      </c>
    </row>
    <row r="396" spans="1:11" x14ac:dyDescent="0.2">
      <c r="A396" t="s">
        <v>2221</v>
      </c>
      <c r="B396" t="s">
        <v>1905</v>
      </c>
      <c r="C396" t="s">
        <v>1984</v>
      </c>
      <c r="D396" t="s">
        <v>2965</v>
      </c>
      <c r="E396" t="s">
        <v>4498</v>
      </c>
      <c r="F396" t="s">
        <v>4499</v>
      </c>
      <c r="G396" t="s">
        <v>1984</v>
      </c>
      <c r="I396" t="s">
        <v>4458</v>
      </c>
      <c r="J396" t="s">
        <v>3834</v>
      </c>
      <c r="K396" t="s">
        <v>4459</v>
      </c>
    </row>
    <row r="397" spans="1:11" x14ac:dyDescent="0.2">
      <c r="A397" t="s">
        <v>2222</v>
      </c>
      <c r="B397" t="s">
        <v>1905</v>
      </c>
      <c r="C397" t="s">
        <v>1985</v>
      </c>
      <c r="D397" t="s">
        <v>2966</v>
      </c>
      <c r="E397" t="s">
        <v>4500</v>
      </c>
      <c r="F397" t="s">
        <v>4501</v>
      </c>
      <c r="G397" t="s">
        <v>3905</v>
      </c>
      <c r="I397" t="s">
        <v>4458</v>
      </c>
      <c r="J397" t="s">
        <v>3834</v>
      </c>
      <c r="K397" t="s">
        <v>4459</v>
      </c>
    </row>
    <row r="398" spans="1:11" x14ac:dyDescent="0.2">
      <c r="A398" t="s">
        <v>2223</v>
      </c>
      <c r="B398" t="s">
        <v>1905</v>
      </c>
      <c r="C398" t="s">
        <v>1986</v>
      </c>
      <c r="D398" t="s">
        <v>2967</v>
      </c>
      <c r="E398" t="s">
        <v>4502</v>
      </c>
      <c r="F398" t="s">
        <v>4503</v>
      </c>
      <c r="G398" t="s">
        <v>3909</v>
      </c>
      <c r="I398" t="s">
        <v>4458</v>
      </c>
      <c r="J398" t="s">
        <v>3834</v>
      </c>
      <c r="K398" t="s">
        <v>4459</v>
      </c>
    </row>
    <row r="399" spans="1:11" x14ac:dyDescent="0.2">
      <c r="A399" t="s">
        <v>2224</v>
      </c>
      <c r="B399" t="s">
        <v>1905</v>
      </c>
      <c r="C399" t="s">
        <v>1987</v>
      </c>
      <c r="D399" t="s">
        <v>2968</v>
      </c>
      <c r="E399" t="s">
        <v>4504</v>
      </c>
      <c r="F399" t="s">
        <v>4505</v>
      </c>
      <c r="G399" t="s">
        <v>3913</v>
      </c>
      <c r="I399" t="s">
        <v>4458</v>
      </c>
      <c r="J399" t="s">
        <v>3834</v>
      </c>
      <c r="K399" t="s">
        <v>4459</v>
      </c>
    </row>
    <row r="400" spans="1:11" x14ac:dyDescent="0.2">
      <c r="A400" t="s">
        <v>2225</v>
      </c>
      <c r="B400" t="s">
        <v>1905</v>
      </c>
      <c r="C400" t="s">
        <v>1988</v>
      </c>
      <c r="D400" t="s">
        <v>2969</v>
      </c>
      <c r="E400" t="s">
        <v>4506</v>
      </c>
      <c r="F400" t="s">
        <v>4507</v>
      </c>
      <c r="G400" t="s">
        <v>3917</v>
      </c>
      <c r="I400" t="s">
        <v>4458</v>
      </c>
      <c r="J400" t="s">
        <v>3834</v>
      </c>
      <c r="K400" t="s">
        <v>4459</v>
      </c>
    </row>
    <row r="401" spans="1:11" x14ac:dyDescent="0.2">
      <c r="A401" t="s">
        <v>2226</v>
      </c>
      <c r="B401" t="s">
        <v>1905</v>
      </c>
      <c r="C401" t="s">
        <v>1989</v>
      </c>
      <c r="D401" t="s">
        <v>2970</v>
      </c>
      <c r="E401" t="s">
        <v>4508</v>
      </c>
      <c r="F401" t="s">
        <v>4509</v>
      </c>
      <c r="G401" t="s">
        <v>1989</v>
      </c>
      <c r="I401" t="s">
        <v>4458</v>
      </c>
      <c r="J401" t="s">
        <v>3834</v>
      </c>
      <c r="K401" t="s">
        <v>4459</v>
      </c>
    </row>
    <row r="402" spans="1:11" x14ac:dyDescent="0.2">
      <c r="A402" t="s">
        <v>2227</v>
      </c>
      <c r="B402" t="s">
        <v>1905</v>
      </c>
      <c r="C402" t="s">
        <v>1990</v>
      </c>
      <c r="D402" t="s">
        <v>2971</v>
      </c>
      <c r="E402" t="s">
        <v>4510</v>
      </c>
      <c r="F402" t="s">
        <v>4511</v>
      </c>
      <c r="G402" t="s">
        <v>1990</v>
      </c>
      <c r="I402" t="s">
        <v>4458</v>
      </c>
      <c r="J402" t="s">
        <v>3834</v>
      </c>
      <c r="K402" t="s">
        <v>4459</v>
      </c>
    </row>
    <row r="403" spans="1:11" x14ac:dyDescent="0.2">
      <c r="A403" t="s">
        <v>2228</v>
      </c>
      <c r="B403" t="s">
        <v>1905</v>
      </c>
      <c r="C403" t="s">
        <v>1991</v>
      </c>
      <c r="D403" t="s">
        <v>2972</v>
      </c>
      <c r="E403" t="s">
        <v>4512</v>
      </c>
      <c r="F403" t="s">
        <v>4513</v>
      </c>
      <c r="G403" t="s">
        <v>1991</v>
      </c>
      <c r="I403" t="s">
        <v>4458</v>
      </c>
      <c r="J403" t="s">
        <v>3834</v>
      </c>
      <c r="K403" t="s">
        <v>4459</v>
      </c>
    </row>
    <row r="404" spans="1:11" x14ac:dyDescent="0.2">
      <c r="A404" t="s">
        <v>2229</v>
      </c>
      <c r="B404" t="s">
        <v>1905</v>
      </c>
      <c r="C404" t="s">
        <v>1992</v>
      </c>
      <c r="D404" t="s">
        <v>2973</v>
      </c>
      <c r="E404" t="s">
        <v>4514</v>
      </c>
      <c r="F404" t="s">
        <v>4515</v>
      </c>
      <c r="G404" t="s">
        <v>3930</v>
      </c>
      <c r="I404" t="s">
        <v>4458</v>
      </c>
      <c r="J404" t="s">
        <v>3834</v>
      </c>
      <c r="K404" t="s">
        <v>4459</v>
      </c>
    </row>
    <row r="405" spans="1:11" x14ac:dyDescent="0.2">
      <c r="A405" t="s">
        <v>2230</v>
      </c>
      <c r="B405" t="s">
        <v>1905</v>
      </c>
      <c r="C405" t="s">
        <v>1993</v>
      </c>
      <c r="D405" t="s">
        <v>2974</v>
      </c>
      <c r="E405" t="s">
        <v>4516</v>
      </c>
      <c r="F405" t="s">
        <v>4517</v>
      </c>
      <c r="G405" t="s">
        <v>3934</v>
      </c>
      <c r="I405" t="s">
        <v>4458</v>
      </c>
      <c r="J405" t="s">
        <v>3834</v>
      </c>
      <c r="K405" t="s">
        <v>4459</v>
      </c>
    </row>
    <row r="406" spans="1:11" x14ac:dyDescent="0.2">
      <c r="A406" t="s">
        <v>2231</v>
      </c>
      <c r="B406" t="s">
        <v>1905</v>
      </c>
      <c r="C406" t="s">
        <v>1994</v>
      </c>
      <c r="D406" t="s">
        <v>2975</v>
      </c>
      <c r="E406" t="s">
        <v>4518</v>
      </c>
      <c r="F406" t="s">
        <v>4519</v>
      </c>
      <c r="G406" t="s">
        <v>3938</v>
      </c>
      <c r="I406" t="s">
        <v>4458</v>
      </c>
      <c r="J406" t="s">
        <v>3834</v>
      </c>
      <c r="K406" t="s">
        <v>4459</v>
      </c>
    </row>
    <row r="407" spans="1:11" x14ac:dyDescent="0.2">
      <c r="A407" t="s">
        <v>2232</v>
      </c>
      <c r="B407" t="s">
        <v>1905</v>
      </c>
      <c r="C407" t="s">
        <v>1995</v>
      </c>
      <c r="D407" t="s">
        <v>2976</v>
      </c>
      <c r="E407" t="s">
        <v>4520</v>
      </c>
      <c r="F407" t="s">
        <v>4521</v>
      </c>
      <c r="G407" t="s">
        <v>3942</v>
      </c>
      <c r="I407" t="s">
        <v>4458</v>
      </c>
      <c r="J407" t="s">
        <v>3834</v>
      </c>
      <c r="K407" t="s">
        <v>4459</v>
      </c>
    </row>
    <row r="408" spans="1:11" x14ac:dyDescent="0.2">
      <c r="A408" t="s">
        <v>2233</v>
      </c>
      <c r="B408" t="s">
        <v>1905</v>
      </c>
      <c r="C408" t="s">
        <v>1996</v>
      </c>
      <c r="D408" t="s">
        <v>2977</v>
      </c>
      <c r="E408" t="s">
        <v>4522</v>
      </c>
      <c r="F408" t="s">
        <v>4523</v>
      </c>
      <c r="G408" t="s">
        <v>3946</v>
      </c>
      <c r="I408" t="s">
        <v>4458</v>
      </c>
      <c r="J408" t="s">
        <v>3834</v>
      </c>
      <c r="K408" t="s">
        <v>4459</v>
      </c>
    </row>
    <row r="409" spans="1:11" x14ac:dyDescent="0.2">
      <c r="A409" t="s">
        <v>2234</v>
      </c>
      <c r="B409" t="s">
        <v>1905</v>
      </c>
      <c r="C409" t="s">
        <v>1997</v>
      </c>
      <c r="D409" t="s">
        <v>2978</v>
      </c>
      <c r="E409" t="s">
        <v>4524</v>
      </c>
      <c r="F409" t="s">
        <v>4525</v>
      </c>
      <c r="G409" t="s">
        <v>3950</v>
      </c>
      <c r="I409" t="s">
        <v>4458</v>
      </c>
      <c r="J409" t="s">
        <v>3834</v>
      </c>
      <c r="K409" t="s">
        <v>4459</v>
      </c>
    </row>
    <row r="410" spans="1:11" x14ac:dyDescent="0.2">
      <c r="A410" t="s">
        <v>2235</v>
      </c>
      <c r="B410" t="s">
        <v>1905</v>
      </c>
      <c r="C410" t="s">
        <v>1998</v>
      </c>
      <c r="D410" t="s">
        <v>2979</v>
      </c>
      <c r="E410" t="s">
        <v>4526</v>
      </c>
      <c r="F410" t="s">
        <v>4527</v>
      </c>
      <c r="G410" t="s">
        <v>3954</v>
      </c>
      <c r="I410" t="s">
        <v>4458</v>
      </c>
      <c r="J410" t="s">
        <v>3834</v>
      </c>
      <c r="K410" t="s">
        <v>4459</v>
      </c>
    </row>
    <row r="411" spans="1:11" x14ac:dyDescent="0.2">
      <c r="A411" t="s">
        <v>2236</v>
      </c>
      <c r="B411" t="s">
        <v>1905</v>
      </c>
      <c r="C411" t="s">
        <v>1999</v>
      </c>
      <c r="D411" t="s">
        <v>2980</v>
      </c>
      <c r="E411" t="s">
        <v>4528</v>
      </c>
      <c r="F411" t="s">
        <v>4529</v>
      </c>
      <c r="G411" t="s">
        <v>3958</v>
      </c>
      <c r="I411" t="s">
        <v>4458</v>
      </c>
      <c r="J411" t="s">
        <v>3834</v>
      </c>
      <c r="K411" t="s">
        <v>4459</v>
      </c>
    </row>
    <row r="412" spans="1:11" x14ac:dyDescent="0.2">
      <c r="A412" t="s">
        <v>2237</v>
      </c>
      <c r="B412" t="s">
        <v>1905</v>
      </c>
      <c r="C412" t="s">
        <v>2000</v>
      </c>
      <c r="D412" t="s">
        <v>2981</v>
      </c>
      <c r="E412" t="s">
        <v>4530</v>
      </c>
      <c r="F412" t="s">
        <v>4531</v>
      </c>
      <c r="G412" t="s">
        <v>3962</v>
      </c>
      <c r="I412" t="s">
        <v>4458</v>
      </c>
      <c r="J412" t="s">
        <v>3834</v>
      </c>
      <c r="K412" t="s">
        <v>4459</v>
      </c>
    </row>
    <row r="413" spans="1:11" x14ac:dyDescent="0.2">
      <c r="A413" t="s">
        <v>2238</v>
      </c>
      <c r="B413" t="s">
        <v>1905</v>
      </c>
      <c r="C413" t="s">
        <v>2001</v>
      </c>
      <c r="D413" t="s">
        <v>2982</v>
      </c>
      <c r="E413" t="s">
        <v>4532</v>
      </c>
      <c r="F413" t="s">
        <v>4533</v>
      </c>
      <c r="G413" t="s">
        <v>3966</v>
      </c>
      <c r="I413" t="s">
        <v>4458</v>
      </c>
      <c r="J413" t="s">
        <v>3834</v>
      </c>
      <c r="K413" t="s">
        <v>4459</v>
      </c>
    </row>
    <row r="414" spans="1:11" x14ac:dyDescent="0.2">
      <c r="A414" t="s">
        <v>2239</v>
      </c>
      <c r="B414" t="s">
        <v>1905</v>
      </c>
      <c r="C414" t="s">
        <v>2002</v>
      </c>
      <c r="D414" t="s">
        <v>2983</v>
      </c>
      <c r="E414" t="s">
        <v>4534</v>
      </c>
      <c r="F414" t="s">
        <v>4535</v>
      </c>
      <c r="G414" t="s">
        <v>3970</v>
      </c>
      <c r="I414" t="s">
        <v>4458</v>
      </c>
      <c r="J414" t="s">
        <v>3834</v>
      </c>
      <c r="K414" t="s">
        <v>4459</v>
      </c>
    </row>
    <row r="415" spans="1:11" x14ac:dyDescent="0.2">
      <c r="A415" t="s">
        <v>2240</v>
      </c>
      <c r="B415" t="s">
        <v>1905</v>
      </c>
      <c r="C415" t="s">
        <v>2003</v>
      </c>
      <c r="D415" t="s">
        <v>2984</v>
      </c>
      <c r="E415" t="s">
        <v>4536</v>
      </c>
      <c r="F415" t="s">
        <v>4537</v>
      </c>
      <c r="G415" t="s">
        <v>2003</v>
      </c>
      <c r="I415" t="s">
        <v>4458</v>
      </c>
      <c r="J415" t="s">
        <v>3834</v>
      </c>
      <c r="K415" t="s">
        <v>4459</v>
      </c>
    </row>
    <row r="416" spans="1:11" x14ac:dyDescent="0.2">
      <c r="A416" t="s">
        <v>2241</v>
      </c>
      <c r="B416" t="s">
        <v>1905</v>
      </c>
      <c r="C416" t="s">
        <v>2004</v>
      </c>
      <c r="D416" t="s">
        <v>2985</v>
      </c>
      <c r="E416" t="s">
        <v>4538</v>
      </c>
      <c r="F416" t="s">
        <v>4539</v>
      </c>
      <c r="G416" t="s">
        <v>2004</v>
      </c>
      <c r="I416" t="s">
        <v>4458</v>
      </c>
      <c r="J416" t="s">
        <v>3834</v>
      </c>
      <c r="K416" t="s">
        <v>4459</v>
      </c>
    </row>
    <row r="417" spans="1:11" x14ac:dyDescent="0.2">
      <c r="A417" t="s">
        <v>2242</v>
      </c>
      <c r="B417" t="s">
        <v>1905</v>
      </c>
      <c r="C417" t="s">
        <v>2005</v>
      </c>
      <c r="D417" t="s">
        <v>2986</v>
      </c>
      <c r="E417" t="s">
        <v>4540</v>
      </c>
      <c r="F417" t="s">
        <v>4541</v>
      </c>
      <c r="G417" t="s">
        <v>2005</v>
      </c>
      <c r="I417" t="s">
        <v>4458</v>
      </c>
      <c r="J417" t="s">
        <v>3834</v>
      </c>
      <c r="K417" t="s">
        <v>4459</v>
      </c>
    </row>
    <row r="418" spans="1:11" x14ac:dyDescent="0.2">
      <c r="A418" t="s">
        <v>2243</v>
      </c>
      <c r="B418" t="s">
        <v>1905</v>
      </c>
      <c r="C418" t="s">
        <v>1957</v>
      </c>
      <c r="D418" t="s">
        <v>2987</v>
      </c>
      <c r="E418" t="s">
        <v>4542</v>
      </c>
      <c r="F418" t="s">
        <v>4543</v>
      </c>
      <c r="G418" t="s">
        <v>3983</v>
      </c>
      <c r="I418" t="s">
        <v>4458</v>
      </c>
      <c r="J418" t="s">
        <v>3834</v>
      </c>
      <c r="K418" t="s">
        <v>4459</v>
      </c>
    </row>
    <row r="419" spans="1:11" x14ac:dyDescent="0.2">
      <c r="A419" t="s">
        <v>2244</v>
      </c>
      <c r="B419" t="s">
        <v>1905</v>
      </c>
      <c r="C419" t="s">
        <v>2006</v>
      </c>
      <c r="D419" t="s">
        <v>2988</v>
      </c>
      <c r="E419" t="s">
        <v>4544</v>
      </c>
      <c r="F419" t="s">
        <v>4545</v>
      </c>
      <c r="G419" t="s">
        <v>3987</v>
      </c>
      <c r="I419" t="s">
        <v>4458</v>
      </c>
      <c r="J419" t="s">
        <v>3834</v>
      </c>
      <c r="K419" t="s">
        <v>4459</v>
      </c>
    </row>
    <row r="420" spans="1:11" x14ac:dyDescent="0.2">
      <c r="A420" t="s">
        <v>2245</v>
      </c>
      <c r="B420" t="s">
        <v>1905</v>
      </c>
      <c r="C420" t="s">
        <v>2007</v>
      </c>
      <c r="D420" t="s">
        <v>2989</v>
      </c>
      <c r="E420" t="s">
        <v>4546</v>
      </c>
      <c r="F420" t="s">
        <v>4547</v>
      </c>
      <c r="G420" t="s">
        <v>3991</v>
      </c>
      <c r="I420" t="s">
        <v>4458</v>
      </c>
      <c r="J420" t="s">
        <v>3834</v>
      </c>
      <c r="K420" t="s">
        <v>4459</v>
      </c>
    </row>
    <row r="421" spans="1:11" x14ac:dyDescent="0.2">
      <c r="A421" t="s">
        <v>2246</v>
      </c>
      <c r="B421" t="s">
        <v>1905</v>
      </c>
      <c r="C421" t="s">
        <v>2008</v>
      </c>
      <c r="D421" t="s">
        <v>2990</v>
      </c>
      <c r="E421" t="s">
        <v>4548</v>
      </c>
      <c r="F421" t="s">
        <v>4549</v>
      </c>
      <c r="G421" t="s">
        <v>3995</v>
      </c>
      <c r="I421" t="s">
        <v>4458</v>
      </c>
      <c r="J421" t="s">
        <v>3834</v>
      </c>
      <c r="K421" t="s">
        <v>4459</v>
      </c>
    </row>
    <row r="422" spans="1:11" x14ac:dyDescent="0.2">
      <c r="A422" t="s">
        <v>2247</v>
      </c>
      <c r="B422" t="s">
        <v>1905</v>
      </c>
      <c r="C422" t="s">
        <v>2009</v>
      </c>
      <c r="D422" t="s">
        <v>2991</v>
      </c>
      <c r="E422" t="s">
        <v>4550</v>
      </c>
      <c r="F422" t="s">
        <v>4551</v>
      </c>
      <c r="G422" t="s">
        <v>3999</v>
      </c>
      <c r="I422" t="s">
        <v>4458</v>
      </c>
      <c r="J422" t="s">
        <v>3834</v>
      </c>
      <c r="K422" t="s">
        <v>4459</v>
      </c>
    </row>
    <row r="423" spans="1:11" x14ac:dyDescent="0.2">
      <c r="A423" t="s">
        <v>2248</v>
      </c>
      <c r="B423" t="s">
        <v>1905</v>
      </c>
      <c r="C423" t="s">
        <v>2010</v>
      </c>
      <c r="D423" t="s">
        <v>2992</v>
      </c>
      <c r="E423" t="s">
        <v>4552</v>
      </c>
      <c r="F423" t="s">
        <v>4553</v>
      </c>
      <c r="G423" t="s">
        <v>4003</v>
      </c>
      <c r="I423" t="s">
        <v>4458</v>
      </c>
      <c r="J423" t="s">
        <v>3834</v>
      </c>
      <c r="K423" t="s">
        <v>4459</v>
      </c>
    </row>
    <row r="424" spans="1:11" x14ac:dyDescent="0.2">
      <c r="A424" t="s">
        <v>2249</v>
      </c>
      <c r="B424" t="s">
        <v>1905</v>
      </c>
      <c r="C424" t="s">
        <v>2011</v>
      </c>
      <c r="D424" t="s">
        <v>2993</v>
      </c>
      <c r="E424" t="s">
        <v>4554</v>
      </c>
      <c r="F424" t="s">
        <v>4555</v>
      </c>
      <c r="G424" t="s">
        <v>4007</v>
      </c>
      <c r="I424" t="s">
        <v>4458</v>
      </c>
      <c r="J424" t="s">
        <v>3834</v>
      </c>
      <c r="K424" t="s">
        <v>4459</v>
      </c>
    </row>
    <row r="425" spans="1:11" x14ac:dyDescent="0.2">
      <c r="A425" t="s">
        <v>2250</v>
      </c>
      <c r="B425" t="s">
        <v>1905</v>
      </c>
      <c r="C425" t="s">
        <v>2012</v>
      </c>
      <c r="D425" t="s">
        <v>2994</v>
      </c>
      <c r="E425" t="s">
        <v>4556</v>
      </c>
      <c r="F425" t="s">
        <v>4557</v>
      </c>
      <c r="G425" t="s">
        <v>4011</v>
      </c>
      <c r="I425" t="s">
        <v>4458</v>
      </c>
      <c r="J425" t="s">
        <v>3834</v>
      </c>
      <c r="K425" t="s">
        <v>4459</v>
      </c>
    </row>
    <row r="426" spans="1:11" x14ac:dyDescent="0.2">
      <c r="A426" t="s">
        <v>2251</v>
      </c>
      <c r="B426" t="s">
        <v>1890</v>
      </c>
      <c r="C426" t="s">
        <v>2013</v>
      </c>
      <c r="D426" t="s">
        <v>2995</v>
      </c>
      <c r="E426" t="s">
        <v>4558</v>
      </c>
      <c r="F426" t="s">
        <v>4559</v>
      </c>
      <c r="G426" t="s">
        <v>4015</v>
      </c>
      <c r="I426" t="s">
        <v>4458</v>
      </c>
      <c r="J426" t="s">
        <v>3834</v>
      </c>
      <c r="K426" t="s">
        <v>4459</v>
      </c>
    </row>
    <row r="427" spans="1:11" x14ac:dyDescent="0.2">
      <c r="A427" t="s">
        <v>2252</v>
      </c>
      <c r="B427" t="s">
        <v>1905</v>
      </c>
      <c r="C427" t="s">
        <v>2014</v>
      </c>
      <c r="D427" t="s">
        <v>2996</v>
      </c>
      <c r="E427" t="s">
        <v>4560</v>
      </c>
      <c r="F427" t="s">
        <v>4561</v>
      </c>
      <c r="G427" t="s">
        <v>4019</v>
      </c>
      <c r="I427" t="s">
        <v>4458</v>
      </c>
      <c r="J427" t="s">
        <v>3834</v>
      </c>
      <c r="K427" t="s">
        <v>4459</v>
      </c>
    </row>
    <row r="428" spans="1:11" x14ac:dyDescent="0.2">
      <c r="A428" t="s">
        <v>2253</v>
      </c>
      <c r="B428" t="s">
        <v>1905</v>
      </c>
      <c r="C428" t="s">
        <v>2015</v>
      </c>
      <c r="D428" t="s">
        <v>2997</v>
      </c>
      <c r="E428" t="s">
        <v>4562</v>
      </c>
      <c r="F428" t="s">
        <v>4563</v>
      </c>
      <c r="G428" t="s">
        <v>4023</v>
      </c>
      <c r="I428" t="s">
        <v>4458</v>
      </c>
      <c r="J428" t="s">
        <v>3834</v>
      </c>
      <c r="K428" t="s">
        <v>4459</v>
      </c>
    </row>
    <row r="429" spans="1:11" x14ac:dyDescent="0.2">
      <c r="A429" t="s">
        <v>2254</v>
      </c>
      <c r="B429" t="s">
        <v>1905</v>
      </c>
      <c r="C429" t="s">
        <v>2016</v>
      </c>
      <c r="D429" t="s">
        <v>2998</v>
      </c>
      <c r="E429" t="s">
        <v>4564</v>
      </c>
      <c r="F429" t="s">
        <v>4565</v>
      </c>
      <c r="G429" t="s">
        <v>4027</v>
      </c>
      <c r="I429" t="s">
        <v>4458</v>
      </c>
      <c r="J429" t="s">
        <v>3834</v>
      </c>
      <c r="K429" t="s">
        <v>4459</v>
      </c>
    </row>
    <row r="430" spans="1:11" x14ac:dyDescent="0.2">
      <c r="A430" t="s">
        <v>2255</v>
      </c>
      <c r="B430" t="s">
        <v>1905</v>
      </c>
      <c r="C430" t="s">
        <v>2017</v>
      </c>
      <c r="D430" t="s">
        <v>2999</v>
      </c>
      <c r="E430" t="s">
        <v>4566</v>
      </c>
      <c r="F430" t="s">
        <v>4567</v>
      </c>
      <c r="G430" t="s">
        <v>4031</v>
      </c>
      <c r="I430" t="s">
        <v>4458</v>
      </c>
      <c r="J430" t="s">
        <v>3834</v>
      </c>
      <c r="K430" t="s">
        <v>4459</v>
      </c>
    </row>
    <row r="431" spans="1:11" x14ac:dyDescent="0.2">
      <c r="A431" t="s">
        <v>2256</v>
      </c>
      <c r="B431" t="s">
        <v>1905</v>
      </c>
      <c r="C431" t="s">
        <v>2018</v>
      </c>
      <c r="D431" t="s">
        <v>3000</v>
      </c>
      <c r="E431" t="s">
        <v>4568</v>
      </c>
      <c r="F431" t="s">
        <v>4569</v>
      </c>
      <c r="G431" t="s">
        <v>4035</v>
      </c>
      <c r="I431" t="s">
        <v>4458</v>
      </c>
      <c r="J431" t="s">
        <v>3834</v>
      </c>
      <c r="K431" t="s">
        <v>4459</v>
      </c>
    </row>
    <row r="432" spans="1:11" x14ac:dyDescent="0.2">
      <c r="A432" t="s">
        <v>2257</v>
      </c>
      <c r="B432" t="s">
        <v>1905</v>
      </c>
      <c r="C432" t="s">
        <v>2019</v>
      </c>
      <c r="D432" t="s">
        <v>3001</v>
      </c>
      <c r="E432" t="s">
        <v>4570</v>
      </c>
      <c r="F432" t="s">
        <v>4571</v>
      </c>
      <c r="G432" t="s">
        <v>4039</v>
      </c>
      <c r="I432" t="s">
        <v>4458</v>
      </c>
      <c r="J432" t="s">
        <v>3834</v>
      </c>
      <c r="K432" t="s">
        <v>4459</v>
      </c>
    </row>
    <row r="433" spans="1:11" x14ac:dyDescent="0.2">
      <c r="A433" t="s">
        <v>2258</v>
      </c>
      <c r="B433" t="s">
        <v>1905</v>
      </c>
      <c r="C433" t="s">
        <v>2020</v>
      </c>
      <c r="D433" t="s">
        <v>3002</v>
      </c>
      <c r="E433" t="s">
        <v>4572</v>
      </c>
      <c r="F433" t="s">
        <v>4573</v>
      </c>
      <c r="G433" t="s">
        <v>4043</v>
      </c>
      <c r="I433" t="s">
        <v>4458</v>
      </c>
      <c r="J433" t="s">
        <v>3834</v>
      </c>
      <c r="K433" t="s">
        <v>4459</v>
      </c>
    </row>
    <row r="434" spans="1:11" x14ac:dyDescent="0.2">
      <c r="A434" t="s">
        <v>2259</v>
      </c>
      <c r="B434" t="s">
        <v>1905</v>
      </c>
      <c r="C434" t="s">
        <v>1953</v>
      </c>
      <c r="D434" t="s">
        <v>3003</v>
      </c>
      <c r="E434" t="s">
        <v>4574</v>
      </c>
      <c r="F434" t="s">
        <v>4575</v>
      </c>
      <c r="G434" t="s">
        <v>4046</v>
      </c>
      <c r="I434" t="s">
        <v>4458</v>
      </c>
      <c r="J434" t="s">
        <v>3834</v>
      </c>
      <c r="K434" t="s">
        <v>4459</v>
      </c>
    </row>
    <row r="435" spans="1:11" x14ac:dyDescent="0.2">
      <c r="A435" t="s">
        <v>2260</v>
      </c>
      <c r="B435" t="s">
        <v>1905</v>
      </c>
      <c r="C435" t="s">
        <v>1954</v>
      </c>
      <c r="D435" t="s">
        <v>3004</v>
      </c>
      <c r="E435" t="s">
        <v>4576</v>
      </c>
      <c r="F435" t="s">
        <v>4577</v>
      </c>
      <c r="G435" t="s">
        <v>4049</v>
      </c>
      <c r="I435" t="s">
        <v>4458</v>
      </c>
      <c r="J435" t="s">
        <v>3834</v>
      </c>
      <c r="K435" t="s">
        <v>4459</v>
      </c>
    </row>
    <row r="436" spans="1:11" x14ac:dyDescent="0.2">
      <c r="A436" t="s">
        <v>2261</v>
      </c>
      <c r="B436" t="s">
        <v>1905</v>
      </c>
      <c r="C436" t="s">
        <v>1955</v>
      </c>
      <c r="D436" t="s">
        <v>3005</v>
      </c>
      <c r="E436" t="s">
        <v>4578</v>
      </c>
      <c r="F436" t="s">
        <v>4579</v>
      </c>
      <c r="G436" t="s">
        <v>4052</v>
      </c>
      <c r="I436" t="s">
        <v>4458</v>
      </c>
      <c r="J436" t="s">
        <v>3834</v>
      </c>
      <c r="K436" t="s">
        <v>4459</v>
      </c>
    </row>
    <row r="437" spans="1:11" x14ac:dyDescent="0.2">
      <c r="A437" t="s">
        <v>2262</v>
      </c>
      <c r="B437" t="s">
        <v>1905</v>
      </c>
      <c r="C437" t="s">
        <v>1956</v>
      </c>
      <c r="D437" t="s">
        <v>3006</v>
      </c>
      <c r="E437" t="s">
        <v>4580</v>
      </c>
      <c r="F437" t="s">
        <v>4581</v>
      </c>
      <c r="G437" t="s">
        <v>4055</v>
      </c>
      <c r="I437" t="s">
        <v>4458</v>
      </c>
      <c r="J437" t="s">
        <v>3834</v>
      </c>
      <c r="K437" t="s">
        <v>4459</v>
      </c>
    </row>
    <row r="438" spans="1:11" x14ac:dyDescent="0.2">
      <c r="A438" t="s">
        <v>2263</v>
      </c>
      <c r="B438" t="s">
        <v>1905</v>
      </c>
      <c r="C438" t="s">
        <v>1957</v>
      </c>
      <c r="D438" t="s">
        <v>3007</v>
      </c>
      <c r="E438" t="s">
        <v>4582</v>
      </c>
      <c r="F438" t="s">
        <v>4583</v>
      </c>
      <c r="G438" t="s">
        <v>4058</v>
      </c>
      <c r="I438" t="s">
        <v>4458</v>
      </c>
      <c r="J438" t="s">
        <v>3834</v>
      </c>
      <c r="K438" t="s">
        <v>4459</v>
      </c>
    </row>
    <row r="439" spans="1:11" x14ac:dyDescent="0.2">
      <c r="A439" t="s">
        <v>2264</v>
      </c>
      <c r="B439" t="s">
        <v>1905</v>
      </c>
      <c r="C439" t="s">
        <v>1958</v>
      </c>
      <c r="D439" t="s">
        <v>3008</v>
      </c>
      <c r="E439" t="s">
        <v>4584</v>
      </c>
      <c r="F439" t="s">
        <v>4585</v>
      </c>
      <c r="G439" t="s">
        <v>4061</v>
      </c>
      <c r="I439" t="s">
        <v>4458</v>
      </c>
      <c r="J439" t="s">
        <v>3834</v>
      </c>
      <c r="K439" t="s">
        <v>4459</v>
      </c>
    </row>
    <row r="440" spans="1:11" x14ac:dyDescent="0.2">
      <c r="A440" t="s">
        <v>2265</v>
      </c>
      <c r="B440" t="s">
        <v>1905</v>
      </c>
      <c r="C440" t="s">
        <v>2069</v>
      </c>
      <c r="D440" t="s">
        <v>3009</v>
      </c>
      <c r="E440" t="s">
        <v>4586</v>
      </c>
      <c r="F440" t="s">
        <v>4587</v>
      </c>
      <c r="G440" t="s">
        <v>4064</v>
      </c>
      <c r="I440" t="s">
        <v>4458</v>
      </c>
      <c r="J440" t="s">
        <v>3834</v>
      </c>
      <c r="K440" t="s">
        <v>4459</v>
      </c>
    </row>
    <row r="441" spans="1:11" x14ac:dyDescent="0.2">
      <c r="A441" t="s">
        <v>2088</v>
      </c>
      <c r="B441" t="s">
        <v>3502</v>
      </c>
      <c r="C441" t="s">
        <v>2077</v>
      </c>
      <c r="D441" t="s">
        <v>4588</v>
      </c>
      <c r="I441" t="s">
        <v>4458</v>
      </c>
      <c r="J441" t="s">
        <v>4069</v>
      </c>
      <c r="K441" t="s">
        <v>4590</v>
      </c>
    </row>
    <row r="442" spans="1:11" x14ac:dyDescent="0.2">
      <c r="A442" t="s">
        <v>2266</v>
      </c>
      <c r="B442" t="s">
        <v>1905</v>
      </c>
      <c r="C442" t="s">
        <v>2030</v>
      </c>
      <c r="D442" t="s">
        <v>3010</v>
      </c>
      <c r="E442" t="s">
        <v>4591</v>
      </c>
      <c r="F442" t="s">
        <v>4592</v>
      </c>
      <c r="G442" t="s">
        <v>3567</v>
      </c>
      <c r="I442" t="s">
        <v>4458</v>
      </c>
      <c r="J442" t="s">
        <v>4069</v>
      </c>
      <c r="K442" t="s">
        <v>4590</v>
      </c>
    </row>
    <row r="443" spans="1:11" x14ac:dyDescent="0.2">
      <c r="A443" t="s">
        <v>2267</v>
      </c>
      <c r="B443" t="s">
        <v>1905</v>
      </c>
      <c r="C443" t="s">
        <v>2031</v>
      </c>
      <c r="D443" t="s">
        <v>3011</v>
      </c>
      <c r="E443" t="s">
        <v>4593</v>
      </c>
      <c r="F443" t="s">
        <v>4594</v>
      </c>
      <c r="G443" t="s">
        <v>3571</v>
      </c>
      <c r="I443" t="s">
        <v>4458</v>
      </c>
      <c r="J443" t="s">
        <v>4069</v>
      </c>
      <c r="K443" t="s">
        <v>4590</v>
      </c>
    </row>
    <row r="444" spans="1:11" x14ac:dyDescent="0.2">
      <c r="A444" t="s">
        <v>2268</v>
      </c>
      <c r="B444" t="s">
        <v>1905</v>
      </c>
      <c r="C444" t="s">
        <v>2032</v>
      </c>
      <c r="D444" t="s">
        <v>3012</v>
      </c>
      <c r="E444" t="s">
        <v>4595</v>
      </c>
      <c r="F444" t="s">
        <v>4596</v>
      </c>
      <c r="G444" t="s">
        <v>3575</v>
      </c>
      <c r="I444" t="s">
        <v>4458</v>
      </c>
      <c r="J444" t="s">
        <v>4069</v>
      </c>
      <c r="K444" t="s">
        <v>4590</v>
      </c>
    </row>
    <row r="445" spans="1:11" x14ac:dyDescent="0.2">
      <c r="A445" t="s">
        <v>2269</v>
      </c>
      <c r="B445" t="s">
        <v>1905</v>
      </c>
      <c r="C445" t="s">
        <v>2033</v>
      </c>
      <c r="D445" t="s">
        <v>3013</v>
      </c>
      <c r="E445" t="s">
        <v>4597</v>
      </c>
      <c r="F445" t="s">
        <v>4598</v>
      </c>
      <c r="G445" t="s">
        <v>2033</v>
      </c>
      <c r="I445" t="s">
        <v>4458</v>
      </c>
      <c r="J445" t="s">
        <v>4069</v>
      </c>
      <c r="K445" t="s">
        <v>4590</v>
      </c>
    </row>
    <row r="446" spans="1:11" x14ac:dyDescent="0.2">
      <c r="A446" t="s">
        <v>2270</v>
      </c>
      <c r="B446" t="s">
        <v>1905</v>
      </c>
      <c r="C446" t="s">
        <v>2034</v>
      </c>
      <c r="D446" t="s">
        <v>3014</v>
      </c>
      <c r="E446" t="s">
        <v>4599</v>
      </c>
      <c r="F446" t="s">
        <v>4600</v>
      </c>
      <c r="G446" t="s">
        <v>2034</v>
      </c>
      <c r="I446" t="s">
        <v>4458</v>
      </c>
      <c r="J446" t="s">
        <v>4069</v>
      </c>
      <c r="K446" t="s">
        <v>4590</v>
      </c>
    </row>
    <row r="447" spans="1:11" x14ac:dyDescent="0.2">
      <c r="A447" t="s">
        <v>2271</v>
      </c>
      <c r="B447" t="s">
        <v>1905</v>
      </c>
      <c r="C447" t="s">
        <v>2035</v>
      </c>
      <c r="D447" t="s">
        <v>3015</v>
      </c>
      <c r="E447" t="s">
        <v>4601</v>
      </c>
      <c r="F447" t="s">
        <v>4602</v>
      </c>
      <c r="G447" t="s">
        <v>2035</v>
      </c>
      <c r="I447" t="s">
        <v>4458</v>
      </c>
      <c r="J447" t="s">
        <v>4069</v>
      </c>
      <c r="K447" t="s">
        <v>4590</v>
      </c>
    </row>
    <row r="448" spans="1:11" x14ac:dyDescent="0.2">
      <c r="A448" t="s">
        <v>2272</v>
      </c>
      <c r="B448" t="s">
        <v>1905</v>
      </c>
      <c r="C448" t="s">
        <v>2071</v>
      </c>
      <c r="D448" t="s">
        <v>3016</v>
      </c>
      <c r="E448" t="s">
        <v>4603</v>
      </c>
      <c r="F448" t="s">
        <v>4604</v>
      </c>
      <c r="G448" t="s">
        <v>3590</v>
      </c>
      <c r="I448" t="s">
        <v>4458</v>
      </c>
      <c r="J448" t="s">
        <v>4069</v>
      </c>
      <c r="K448" t="s">
        <v>4590</v>
      </c>
    </row>
    <row r="449" spans="1:11" x14ac:dyDescent="0.2">
      <c r="A449" t="s">
        <v>2273</v>
      </c>
      <c r="B449" t="s">
        <v>1905</v>
      </c>
      <c r="C449" t="s">
        <v>2023</v>
      </c>
      <c r="D449" t="s">
        <v>3017</v>
      </c>
      <c r="E449" t="s">
        <v>4605</v>
      </c>
      <c r="F449" t="s">
        <v>4606</v>
      </c>
      <c r="G449" t="s">
        <v>4367</v>
      </c>
      <c r="I449" t="s">
        <v>4458</v>
      </c>
      <c r="J449" t="s">
        <v>4069</v>
      </c>
      <c r="K449" t="s">
        <v>4590</v>
      </c>
    </row>
    <row r="450" spans="1:11" x14ac:dyDescent="0.2">
      <c r="A450" t="s">
        <v>2274</v>
      </c>
      <c r="B450" t="s">
        <v>1905</v>
      </c>
      <c r="C450" t="s">
        <v>2024</v>
      </c>
      <c r="D450" t="s">
        <v>3018</v>
      </c>
      <c r="E450" t="s">
        <v>4607</v>
      </c>
      <c r="F450" t="s">
        <v>4608</v>
      </c>
      <c r="G450" t="s">
        <v>3545</v>
      </c>
      <c r="I450" t="s">
        <v>4458</v>
      </c>
      <c r="J450" t="s">
        <v>4069</v>
      </c>
      <c r="K450" t="s">
        <v>4590</v>
      </c>
    </row>
    <row r="451" spans="1:11" x14ac:dyDescent="0.2">
      <c r="A451" t="s">
        <v>2275</v>
      </c>
      <c r="B451" t="s">
        <v>1905</v>
      </c>
      <c r="C451" t="s">
        <v>2025</v>
      </c>
      <c r="D451" t="s">
        <v>3019</v>
      </c>
      <c r="E451" t="s">
        <v>4609</v>
      </c>
      <c r="F451" t="s">
        <v>4610</v>
      </c>
      <c r="G451" t="s">
        <v>3549</v>
      </c>
      <c r="I451" t="s">
        <v>4458</v>
      </c>
      <c r="J451" t="s">
        <v>4069</v>
      </c>
      <c r="K451" t="s">
        <v>4590</v>
      </c>
    </row>
    <row r="452" spans="1:11" x14ac:dyDescent="0.2">
      <c r="A452" t="s">
        <v>2276</v>
      </c>
      <c r="B452" t="s">
        <v>1905</v>
      </c>
      <c r="C452" t="s">
        <v>2026</v>
      </c>
      <c r="D452" t="s">
        <v>3020</v>
      </c>
      <c r="E452" t="s">
        <v>4611</v>
      </c>
      <c r="F452" t="s">
        <v>4612</v>
      </c>
      <c r="G452" t="s">
        <v>2026</v>
      </c>
      <c r="I452" t="s">
        <v>4458</v>
      </c>
      <c r="J452" t="s">
        <v>4069</v>
      </c>
      <c r="K452" t="s">
        <v>4590</v>
      </c>
    </row>
    <row r="453" spans="1:11" x14ac:dyDescent="0.2">
      <c r="A453" t="s">
        <v>2277</v>
      </c>
      <c r="B453" t="s">
        <v>1905</v>
      </c>
      <c r="C453" t="s">
        <v>2027</v>
      </c>
      <c r="D453" t="s">
        <v>3021</v>
      </c>
      <c r="E453" t="s">
        <v>4613</v>
      </c>
      <c r="F453" t="s">
        <v>4614</v>
      </c>
      <c r="G453" t="s">
        <v>2027</v>
      </c>
      <c r="I453" t="s">
        <v>4458</v>
      </c>
      <c r="J453" t="s">
        <v>4069</v>
      </c>
      <c r="K453" t="s">
        <v>4590</v>
      </c>
    </row>
    <row r="454" spans="1:11" x14ac:dyDescent="0.2">
      <c r="A454" t="s">
        <v>2278</v>
      </c>
      <c r="B454" t="s">
        <v>1905</v>
      </c>
      <c r="C454" t="s">
        <v>2028</v>
      </c>
      <c r="D454" t="s">
        <v>3022</v>
      </c>
      <c r="E454" t="s">
        <v>4615</v>
      </c>
      <c r="F454" t="s">
        <v>4616</v>
      </c>
      <c r="G454" t="s">
        <v>2028</v>
      </c>
      <c r="I454" t="s">
        <v>4458</v>
      </c>
      <c r="J454" t="s">
        <v>4069</v>
      </c>
      <c r="K454" t="s">
        <v>4590</v>
      </c>
    </row>
    <row r="455" spans="1:11" x14ac:dyDescent="0.2">
      <c r="A455" t="s">
        <v>2279</v>
      </c>
      <c r="B455" t="s">
        <v>1905</v>
      </c>
      <c r="C455" t="s">
        <v>2072</v>
      </c>
      <c r="D455" t="s">
        <v>3023</v>
      </c>
      <c r="E455" t="s">
        <v>4617</v>
      </c>
      <c r="F455" t="s">
        <v>4618</v>
      </c>
      <c r="G455" t="s">
        <v>3563</v>
      </c>
      <c r="I455" t="s">
        <v>4458</v>
      </c>
      <c r="J455" t="s">
        <v>4069</v>
      </c>
      <c r="K455" t="s">
        <v>4590</v>
      </c>
    </row>
    <row r="456" spans="1:11" x14ac:dyDescent="0.2">
      <c r="A456" t="s">
        <v>2280</v>
      </c>
      <c r="B456" t="s">
        <v>1905</v>
      </c>
      <c r="C456" t="s">
        <v>2037</v>
      </c>
      <c r="D456" t="s">
        <v>3024</v>
      </c>
      <c r="E456" t="s">
        <v>4619</v>
      </c>
      <c r="F456" t="s">
        <v>4620</v>
      </c>
      <c r="G456" t="s">
        <v>3594</v>
      </c>
      <c r="I456" t="s">
        <v>4458</v>
      </c>
      <c r="J456" t="s">
        <v>4069</v>
      </c>
      <c r="K456" t="s">
        <v>4590</v>
      </c>
    </row>
    <row r="457" spans="1:11" x14ac:dyDescent="0.2">
      <c r="A457" t="s">
        <v>2281</v>
      </c>
      <c r="B457" t="s">
        <v>1905</v>
      </c>
      <c r="C457" t="s">
        <v>2038</v>
      </c>
      <c r="D457" t="s">
        <v>3025</v>
      </c>
      <c r="E457" t="s">
        <v>4621</v>
      </c>
      <c r="F457" t="s">
        <v>4622</v>
      </c>
      <c r="G457" t="s">
        <v>3598</v>
      </c>
      <c r="I457" t="s">
        <v>4458</v>
      </c>
      <c r="J457" t="s">
        <v>4069</v>
      </c>
      <c r="K457" t="s">
        <v>4590</v>
      </c>
    </row>
    <row r="458" spans="1:11" x14ac:dyDescent="0.2">
      <c r="A458" t="s">
        <v>2282</v>
      </c>
      <c r="B458" t="s">
        <v>1905</v>
      </c>
      <c r="C458" t="s">
        <v>2039</v>
      </c>
      <c r="D458" t="s">
        <v>3026</v>
      </c>
      <c r="E458" t="s">
        <v>4623</v>
      </c>
      <c r="F458" t="s">
        <v>4624</v>
      </c>
      <c r="G458" t="s">
        <v>3602</v>
      </c>
      <c r="I458" t="s">
        <v>4458</v>
      </c>
      <c r="J458" t="s">
        <v>4069</v>
      </c>
      <c r="K458" t="s">
        <v>4590</v>
      </c>
    </row>
    <row r="459" spans="1:11" x14ac:dyDescent="0.2">
      <c r="A459" t="s">
        <v>2283</v>
      </c>
      <c r="B459" t="s">
        <v>1905</v>
      </c>
      <c r="C459" t="s">
        <v>2040</v>
      </c>
      <c r="D459" t="s">
        <v>3027</v>
      </c>
      <c r="E459" t="s">
        <v>4625</v>
      </c>
      <c r="F459" t="s">
        <v>4626</v>
      </c>
      <c r="G459" t="s">
        <v>2040</v>
      </c>
      <c r="I459" t="s">
        <v>4458</v>
      </c>
      <c r="J459" t="s">
        <v>4069</v>
      </c>
      <c r="K459" t="s">
        <v>4590</v>
      </c>
    </row>
    <row r="460" spans="1:11" x14ac:dyDescent="0.2">
      <c r="A460" t="s">
        <v>2284</v>
      </c>
      <c r="B460" t="s">
        <v>1905</v>
      </c>
      <c r="C460" t="s">
        <v>2041</v>
      </c>
      <c r="D460" t="s">
        <v>3028</v>
      </c>
      <c r="E460" t="s">
        <v>4627</v>
      </c>
      <c r="F460" t="s">
        <v>4628</v>
      </c>
      <c r="G460" t="s">
        <v>2041</v>
      </c>
      <c r="I460" t="s">
        <v>4458</v>
      </c>
      <c r="J460" t="s">
        <v>4069</v>
      </c>
      <c r="K460" t="s">
        <v>4590</v>
      </c>
    </row>
    <row r="461" spans="1:11" x14ac:dyDescent="0.2">
      <c r="A461" t="s">
        <v>2285</v>
      </c>
      <c r="B461" t="s">
        <v>1905</v>
      </c>
      <c r="C461" t="s">
        <v>2042</v>
      </c>
      <c r="D461" t="s">
        <v>3029</v>
      </c>
      <c r="E461" t="s">
        <v>4629</v>
      </c>
      <c r="F461" t="s">
        <v>4630</v>
      </c>
      <c r="G461" t="s">
        <v>2042</v>
      </c>
      <c r="I461" t="s">
        <v>4458</v>
      </c>
      <c r="J461" t="s">
        <v>4069</v>
      </c>
      <c r="K461" t="s">
        <v>4590</v>
      </c>
    </row>
    <row r="462" spans="1:11" x14ac:dyDescent="0.2">
      <c r="A462" t="s">
        <v>2286</v>
      </c>
      <c r="B462" t="s">
        <v>1905</v>
      </c>
      <c r="C462" t="s">
        <v>2073</v>
      </c>
      <c r="D462" t="s">
        <v>3030</v>
      </c>
      <c r="E462" t="s">
        <v>4631</v>
      </c>
      <c r="F462" t="s">
        <v>4632</v>
      </c>
      <c r="G462" t="s">
        <v>3617</v>
      </c>
      <c r="I462" t="s">
        <v>4458</v>
      </c>
      <c r="J462" t="s">
        <v>4069</v>
      </c>
      <c r="K462" t="s">
        <v>4590</v>
      </c>
    </row>
    <row r="463" spans="1:11" x14ac:dyDescent="0.2">
      <c r="A463" t="s">
        <v>2287</v>
      </c>
      <c r="B463" t="s">
        <v>1905</v>
      </c>
      <c r="C463" t="s">
        <v>2044</v>
      </c>
      <c r="D463" t="s">
        <v>3031</v>
      </c>
      <c r="E463" t="s">
        <v>4633</v>
      </c>
      <c r="F463" t="s">
        <v>4634</v>
      </c>
      <c r="G463" t="s">
        <v>3649</v>
      </c>
      <c r="I463" t="s">
        <v>4458</v>
      </c>
      <c r="J463" t="s">
        <v>4069</v>
      </c>
      <c r="K463" t="s">
        <v>4590</v>
      </c>
    </row>
    <row r="464" spans="1:11" x14ac:dyDescent="0.2">
      <c r="A464" t="s">
        <v>2288</v>
      </c>
      <c r="B464" t="s">
        <v>1905</v>
      </c>
      <c r="C464" t="s">
        <v>2045</v>
      </c>
      <c r="D464" t="s">
        <v>3032</v>
      </c>
      <c r="E464" t="s">
        <v>4635</v>
      </c>
      <c r="F464" t="s">
        <v>4636</v>
      </c>
      <c r="G464" t="s">
        <v>3653</v>
      </c>
      <c r="I464" t="s">
        <v>4458</v>
      </c>
      <c r="J464" t="s">
        <v>4069</v>
      </c>
      <c r="K464" t="s">
        <v>4590</v>
      </c>
    </row>
    <row r="465" spans="1:11" x14ac:dyDescent="0.2">
      <c r="A465" t="s">
        <v>2289</v>
      </c>
      <c r="B465" t="s">
        <v>1905</v>
      </c>
      <c r="C465" t="s">
        <v>2046</v>
      </c>
      <c r="D465" t="s">
        <v>3033</v>
      </c>
      <c r="E465" t="s">
        <v>4637</v>
      </c>
      <c r="F465" t="s">
        <v>4638</v>
      </c>
      <c r="G465" t="s">
        <v>3657</v>
      </c>
      <c r="I465" t="s">
        <v>4458</v>
      </c>
      <c r="J465" t="s">
        <v>4069</v>
      </c>
      <c r="K465" t="s">
        <v>4590</v>
      </c>
    </row>
    <row r="466" spans="1:11" x14ac:dyDescent="0.2">
      <c r="A466" t="s">
        <v>2290</v>
      </c>
      <c r="B466" t="s">
        <v>1905</v>
      </c>
      <c r="C466" t="s">
        <v>2047</v>
      </c>
      <c r="D466" t="s">
        <v>3034</v>
      </c>
      <c r="E466" t="s">
        <v>4639</v>
      </c>
      <c r="F466" t="s">
        <v>4640</v>
      </c>
      <c r="G466" t="s">
        <v>2047</v>
      </c>
      <c r="I466" t="s">
        <v>4458</v>
      </c>
      <c r="J466" t="s">
        <v>4069</v>
      </c>
      <c r="K466" t="s">
        <v>4590</v>
      </c>
    </row>
    <row r="467" spans="1:11" x14ac:dyDescent="0.2">
      <c r="A467" t="s">
        <v>2291</v>
      </c>
      <c r="B467" t="s">
        <v>1905</v>
      </c>
      <c r="C467" t="s">
        <v>2048</v>
      </c>
      <c r="D467" t="s">
        <v>3035</v>
      </c>
      <c r="E467" t="s">
        <v>4641</v>
      </c>
      <c r="F467" t="s">
        <v>4642</v>
      </c>
      <c r="G467" t="s">
        <v>2048</v>
      </c>
      <c r="I467" t="s">
        <v>4458</v>
      </c>
      <c r="J467" t="s">
        <v>4069</v>
      </c>
      <c r="K467" t="s">
        <v>4590</v>
      </c>
    </row>
    <row r="468" spans="1:11" x14ac:dyDescent="0.2">
      <c r="A468" t="s">
        <v>2292</v>
      </c>
      <c r="B468" t="s">
        <v>1905</v>
      </c>
      <c r="C468" t="s">
        <v>2049</v>
      </c>
      <c r="D468" t="s">
        <v>3036</v>
      </c>
      <c r="E468" t="s">
        <v>4643</v>
      </c>
      <c r="F468" t="s">
        <v>4644</v>
      </c>
      <c r="G468" t="s">
        <v>2049</v>
      </c>
      <c r="I468" t="s">
        <v>4458</v>
      </c>
      <c r="J468" t="s">
        <v>4069</v>
      </c>
      <c r="K468" t="s">
        <v>4590</v>
      </c>
    </row>
    <row r="469" spans="1:11" x14ac:dyDescent="0.2">
      <c r="A469" t="s">
        <v>2293</v>
      </c>
      <c r="B469" t="s">
        <v>1905</v>
      </c>
      <c r="C469" t="s">
        <v>2074</v>
      </c>
      <c r="D469" t="s">
        <v>3037</v>
      </c>
      <c r="E469" t="s">
        <v>4645</v>
      </c>
      <c r="F469" t="s">
        <v>4646</v>
      </c>
      <c r="G469" t="s">
        <v>3672</v>
      </c>
      <c r="I469" t="s">
        <v>4458</v>
      </c>
      <c r="J469" t="s">
        <v>4069</v>
      </c>
      <c r="K469" t="s">
        <v>4590</v>
      </c>
    </row>
    <row r="470" spans="1:11" x14ac:dyDescent="0.2">
      <c r="A470" t="s">
        <v>2294</v>
      </c>
      <c r="B470" t="s">
        <v>1905</v>
      </c>
      <c r="C470" t="s">
        <v>2051</v>
      </c>
      <c r="D470" t="s">
        <v>3038</v>
      </c>
      <c r="E470" t="s">
        <v>4647</v>
      </c>
      <c r="F470" t="s">
        <v>4648</v>
      </c>
      <c r="G470" t="s">
        <v>3676</v>
      </c>
      <c r="I470" t="s">
        <v>4458</v>
      </c>
      <c r="J470" t="s">
        <v>4069</v>
      </c>
      <c r="K470" t="s">
        <v>4590</v>
      </c>
    </row>
    <row r="471" spans="1:11" x14ac:dyDescent="0.2">
      <c r="A471" t="s">
        <v>2295</v>
      </c>
      <c r="B471" t="s">
        <v>1905</v>
      </c>
      <c r="C471" t="s">
        <v>2052</v>
      </c>
      <c r="D471" t="s">
        <v>3039</v>
      </c>
      <c r="E471" t="s">
        <v>4649</v>
      </c>
      <c r="F471" t="s">
        <v>4650</v>
      </c>
      <c r="G471" t="s">
        <v>3680</v>
      </c>
      <c r="I471" t="s">
        <v>4458</v>
      </c>
      <c r="J471" t="s">
        <v>4069</v>
      </c>
      <c r="K471" t="s">
        <v>4590</v>
      </c>
    </row>
    <row r="472" spans="1:11" x14ac:dyDescent="0.2">
      <c r="A472" t="s">
        <v>2296</v>
      </c>
      <c r="B472" t="s">
        <v>1905</v>
      </c>
      <c r="C472" t="s">
        <v>2053</v>
      </c>
      <c r="D472" t="s">
        <v>3040</v>
      </c>
      <c r="E472" t="s">
        <v>4651</v>
      </c>
      <c r="F472" t="s">
        <v>4652</v>
      </c>
      <c r="G472" t="s">
        <v>3684</v>
      </c>
      <c r="I472" t="s">
        <v>4458</v>
      </c>
      <c r="J472" t="s">
        <v>4069</v>
      </c>
      <c r="K472" t="s">
        <v>4590</v>
      </c>
    </row>
    <row r="473" spans="1:11" x14ac:dyDescent="0.2">
      <c r="A473" t="s">
        <v>2297</v>
      </c>
      <c r="B473" t="s">
        <v>1905</v>
      </c>
      <c r="C473" t="s">
        <v>2054</v>
      </c>
      <c r="D473" t="s">
        <v>3041</v>
      </c>
      <c r="E473" t="s">
        <v>4653</v>
      </c>
      <c r="F473" t="s">
        <v>4654</v>
      </c>
      <c r="G473" t="s">
        <v>2054</v>
      </c>
      <c r="I473" t="s">
        <v>4458</v>
      </c>
      <c r="J473" t="s">
        <v>4069</v>
      </c>
      <c r="K473" t="s">
        <v>4590</v>
      </c>
    </row>
    <row r="474" spans="1:11" x14ac:dyDescent="0.2">
      <c r="A474" t="s">
        <v>2298</v>
      </c>
      <c r="B474" t="s">
        <v>1905</v>
      </c>
      <c r="C474" t="s">
        <v>2055</v>
      </c>
      <c r="D474" t="s">
        <v>3042</v>
      </c>
      <c r="E474" t="s">
        <v>4655</v>
      </c>
      <c r="F474" t="s">
        <v>4656</v>
      </c>
      <c r="G474" t="s">
        <v>2055</v>
      </c>
      <c r="I474" t="s">
        <v>4458</v>
      </c>
      <c r="J474" t="s">
        <v>4069</v>
      </c>
      <c r="K474" t="s">
        <v>4590</v>
      </c>
    </row>
    <row r="475" spans="1:11" x14ac:dyDescent="0.2">
      <c r="A475" t="s">
        <v>2299</v>
      </c>
      <c r="B475" t="s">
        <v>1905</v>
      </c>
      <c r="C475" t="s">
        <v>2056</v>
      </c>
      <c r="D475" t="s">
        <v>3043</v>
      </c>
      <c r="E475" t="s">
        <v>4657</v>
      </c>
      <c r="F475" t="s">
        <v>4658</v>
      </c>
      <c r="G475" t="s">
        <v>2056</v>
      </c>
      <c r="I475" t="s">
        <v>4458</v>
      </c>
      <c r="J475" t="s">
        <v>4069</v>
      </c>
      <c r="K475" t="s">
        <v>4590</v>
      </c>
    </row>
    <row r="476" spans="1:11" x14ac:dyDescent="0.2">
      <c r="A476" t="s">
        <v>2300</v>
      </c>
      <c r="B476" t="s">
        <v>1905</v>
      </c>
      <c r="C476" t="s">
        <v>2057</v>
      </c>
      <c r="D476" t="s">
        <v>3044</v>
      </c>
      <c r="E476" t="s">
        <v>4659</v>
      </c>
      <c r="F476" t="s">
        <v>4660</v>
      </c>
      <c r="G476" t="s">
        <v>3699</v>
      </c>
      <c r="I476" t="s">
        <v>4458</v>
      </c>
      <c r="J476" t="s">
        <v>4069</v>
      </c>
      <c r="K476" t="s">
        <v>4590</v>
      </c>
    </row>
    <row r="477" spans="1:11" x14ac:dyDescent="0.2">
      <c r="A477" t="s">
        <v>2301</v>
      </c>
      <c r="B477" t="s">
        <v>1905</v>
      </c>
      <c r="C477" t="s">
        <v>1953</v>
      </c>
      <c r="D477" t="s">
        <v>3045</v>
      </c>
      <c r="E477" t="s">
        <v>4661</v>
      </c>
      <c r="F477" t="s">
        <v>4662</v>
      </c>
      <c r="G477" t="s">
        <v>4438</v>
      </c>
      <c r="I477" t="s">
        <v>4458</v>
      </c>
      <c r="J477" t="s">
        <v>4069</v>
      </c>
      <c r="K477" t="s">
        <v>4590</v>
      </c>
    </row>
    <row r="478" spans="1:11" x14ac:dyDescent="0.2">
      <c r="A478" t="s">
        <v>2302</v>
      </c>
      <c r="B478" t="s">
        <v>1905</v>
      </c>
      <c r="C478" t="s">
        <v>1954</v>
      </c>
      <c r="D478" t="s">
        <v>3046</v>
      </c>
      <c r="E478" t="s">
        <v>4663</v>
      </c>
      <c r="F478" t="s">
        <v>4664</v>
      </c>
      <c r="G478" t="s">
        <v>4441</v>
      </c>
      <c r="I478" t="s">
        <v>4458</v>
      </c>
      <c r="J478" t="s">
        <v>4069</v>
      </c>
      <c r="K478" t="s">
        <v>4590</v>
      </c>
    </row>
    <row r="479" spans="1:11" x14ac:dyDescent="0.2">
      <c r="A479" t="s">
        <v>2303</v>
      </c>
      <c r="B479" t="s">
        <v>1905</v>
      </c>
      <c r="C479" t="s">
        <v>1955</v>
      </c>
      <c r="D479" t="s">
        <v>3047</v>
      </c>
      <c r="E479" t="s">
        <v>4665</v>
      </c>
      <c r="F479" t="s">
        <v>4666</v>
      </c>
      <c r="G479" t="s">
        <v>4444</v>
      </c>
      <c r="I479" t="s">
        <v>4458</v>
      </c>
      <c r="J479" t="s">
        <v>4069</v>
      </c>
      <c r="K479" t="s">
        <v>4590</v>
      </c>
    </row>
    <row r="480" spans="1:11" x14ac:dyDescent="0.2">
      <c r="A480" t="s">
        <v>2304</v>
      </c>
      <c r="B480" t="s">
        <v>1905</v>
      </c>
      <c r="C480" t="s">
        <v>1956</v>
      </c>
      <c r="D480" t="s">
        <v>3048</v>
      </c>
      <c r="E480" t="s">
        <v>4667</v>
      </c>
      <c r="F480" t="s">
        <v>4668</v>
      </c>
      <c r="G480" t="s">
        <v>4447</v>
      </c>
      <c r="I480" t="s">
        <v>4458</v>
      </c>
      <c r="J480" t="s">
        <v>4069</v>
      </c>
      <c r="K480" t="s">
        <v>4590</v>
      </c>
    </row>
    <row r="481" spans="1:11" x14ac:dyDescent="0.2">
      <c r="A481" t="s">
        <v>2305</v>
      </c>
      <c r="B481" t="s">
        <v>1905</v>
      </c>
      <c r="C481" t="s">
        <v>1957</v>
      </c>
      <c r="D481" t="s">
        <v>3049</v>
      </c>
      <c r="E481" t="s">
        <v>4669</v>
      </c>
      <c r="F481" t="s">
        <v>4670</v>
      </c>
      <c r="G481" t="s">
        <v>4450</v>
      </c>
      <c r="I481" t="s">
        <v>4458</v>
      </c>
      <c r="J481" t="s">
        <v>4069</v>
      </c>
      <c r="K481" t="s">
        <v>4590</v>
      </c>
    </row>
    <row r="482" spans="1:11" x14ac:dyDescent="0.2">
      <c r="A482" t="s">
        <v>2306</v>
      </c>
      <c r="B482" t="s">
        <v>1905</v>
      </c>
      <c r="C482" t="s">
        <v>1958</v>
      </c>
      <c r="D482" t="s">
        <v>3050</v>
      </c>
      <c r="E482" t="s">
        <v>4671</v>
      </c>
      <c r="F482" t="s">
        <v>4672</v>
      </c>
      <c r="G482" t="s">
        <v>4453</v>
      </c>
      <c r="I482" t="s">
        <v>4458</v>
      </c>
      <c r="J482" t="s">
        <v>4069</v>
      </c>
      <c r="K482" t="s">
        <v>4590</v>
      </c>
    </row>
    <row r="483" spans="1:11" x14ac:dyDescent="0.2">
      <c r="A483" t="s">
        <v>2307</v>
      </c>
      <c r="B483" t="s">
        <v>1905</v>
      </c>
      <c r="C483" t="s">
        <v>2075</v>
      </c>
      <c r="D483" t="s">
        <v>3051</v>
      </c>
      <c r="E483" t="s">
        <v>4673</v>
      </c>
      <c r="F483" t="s">
        <v>4674</v>
      </c>
      <c r="G483" t="s">
        <v>4456</v>
      </c>
      <c r="I483" t="s">
        <v>4458</v>
      </c>
      <c r="J483" t="s">
        <v>4069</v>
      </c>
      <c r="K483" t="s">
        <v>4590</v>
      </c>
    </row>
    <row r="484" spans="1:11" x14ac:dyDescent="0.2">
      <c r="A484" t="s">
        <v>2308</v>
      </c>
      <c r="B484" t="s">
        <v>3502</v>
      </c>
      <c r="C484" t="s">
        <v>2078</v>
      </c>
      <c r="D484" t="s">
        <v>4675</v>
      </c>
      <c r="I484" t="s">
        <v>4676</v>
      </c>
      <c r="J484" t="s">
        <v>3834</v>
      </c>
      <c r="K484" t="s">
        <v>4677</v>
      </c>
    </row>
    <row r="485" spans="1:11" x14ac:dyDescent="0.2">
      <c r="A485" t="s">
        <v>2309</v>
      </c>
      <c r="B485" t="s">
        <v>1905</v>
      </c>
      <c r="C485" t="s">
        <v>1965</v>
      </c>
      <c r="D485" t="s">
        <v>3052</v>
      </c>
      <c r="E485" t="s">
        <v>4678</v>
      </c>
      <c r="F485" t="s">
        <v>4679</v>
      </c>
      <c r="G485" t="s">
        <v>3833</v>
      </c>
      <c r="I485" t="s">
        <v>4676</v>
      </c>
      <c r="J485" t="s">
        <v>3834</v>
      </c>
      <c r="K485" t="s">
        <v>4677</v>
      </c>
    </row>
    <row r="486" spans="1:11" x14ac:dyDescent="0.2">
      <c r="A486" t="s">
        <v>2310</v>
      </c>
      <c r="B486" t="s">
        <v>1905</v>
      </c>
      <c r="C486" t="s">
        <v>1966</v>
      </c>
      <c r="D486" t="s">
        <v>3053</v>
      </c>
      <c r="E486" t="s">
        <v>4680</v>
      </c>
      <c r="F486" t="s">
        <v>4681</v>
      </c>
      <c r="G486" t="s">
        <v>3838</v>
      </c>
      <c r="I486" t="s">
        <v>4676</v>
      </c>
      <c r="J486" t="s">
        <v>3834</v>
      </c>
      <c r="K486" t="s">
        <v>4677</v>
      </c>
    </row>
    <row r="487" spans="1:11" x14ac:dyDescent="0.2">
      <c r="A487" t="s">
        <v>2311</v>
      </c>
      <c r="B487" t="s">
        <v>1905</v>
      </c>
      <c r="C487" t="s">
        <v>1967</v>
      </c>
      <c r="D487" t="s">
        <v>3054</v>
      </c>
      <c r="E487" t="s">
        <v>4682</v>
      </c>
      <c r="F487" t="s">
        <v>4683</v>
      </c>
      <c r="G487" t="s">
        <v>3842</v>
      </c>
      <c r="I487" t="s">
        <v>4676</v>
      </c>
      <c r="J487" t="s">
        <v>3834</v>
      </c>
      <c r="K487" t="s">
        <v>4677</v>
      </c>
    </row>
    <row r="488" spans="1:11" x14ac:dyDescent="0.2">
      <c r="A488" t="s">
        <v>2312</v>
      </c>
      <c r="B488" t="s">
        <v>1905</v>
      </c>
      <c r="C488" t="s">
        <v>1968</v>
      </c>
      <c r="D488" t="s">
        <v>3055</v>
      </c>
      <c r="E488" t="s">
        <v>4684</v>
      </c>
      <c r="F488" t="s">
        <v>4685</v>
      </c>
      <c r="G488" t="s">
        <v>1968</v>
      </c>
      <c r="I488" t="s">
        <v>4676</v>
      </c>
      <c r="J488" t="s">
        <v>3834</v>
      </c>
      <c r="K488" t="s">
        <v>4677</v>
      </c>
    </row>
    <row r="489" spans="1:11" x14ac:dyDescent="0.2">
      <c r="A489" t="s">
        <v>2313</v>
      </c>
      <c r="B489" t="s">
        <v>1905</v>
      </c>
      <c r="C489" t="s">
        <v>1969</v>
      </c>
      <c r="D489" t="s">
        <v>3056</v>
      </c>
      <c r="E489" t="s">
        <v>4686</v>
      </c>
      <c r="F489" t="s">
        <v>4687</v>
      </c>
      <c r="G489" t="s">
        <v>1969</v>
      </c>
      <c r="I489" t="s">
        <v>4676</v>
      </c>
      <c r="J489" t="s">
        <v>3834</v>
      </c>
      <c r="K489" t="s">
        <v>4677</v>
      </c>
    </row>
    <row r="490" spans="1:11" x14ac:dyDescent="0.2">
      <c r="A490" t="s">
        <v>2314</v>
      </c>
      <c r="B490" t="s">
        <v>1905</v>
      </c>
      <c r="C490" t="s">
        <v>1970</v>
      </c>
      <c r="D490" t="s">
        <v>3057</v>
      </c>
      <c r="E490" t="s">
        <v>4688</v>
      </c>
      <c r="F490" t="s">
        <v>4689</v>
      </c>
      <c r="G490" t="s">
        <v>1970</v>
      </c>
      <c r="I490" t="s">
        <v>4676</v>
      </c>
      <c r="J490" t="s">
        <v>3834</v>
      </c>
      <c r="K490" t="s">
        <v>4677</v>
      </c>
    </row>
    <row r="491" spans="1:11" x14ac:dyDescent="0.2">
      <c r="A491" t="s">
        <v>2315</v>
      </c>
      <c r="B491" t="s">
        <v>1905</v>
      </c>
      <c r="C491" t="s">
        <v>1971</v>
      </c>
      <c r="D491" t="s">
        <v>3058</v>
      </c>
      <c r="E491" t="s">
        <v>4690</v>
      </c>
      <c r="F491" t="s">
        <v>4691</v>
      </c>
      <c r="G491" t="s">
        <v>3855</v>
      </c>
      <c r="I491" t="s">
        <v>4676</v>
      </c>
      <c r="J491" t="s">
        <v>3834</v>
      </c>
      <c r="K491" t="s">
        <v>4677</v>
      </c>
    </row>
    <row r="492" spans="1:11" x14ac:dyDescent="0.2">
      <c r="A492" t="s">
        <v>2316</v>
      </c>
      <c r="B492" t="s">
        <v>1905</v>
      </c>
      <c r="C492" t="s">
        <v>1972</v>
      </c>
      <c r="D492" t="s">
        <v>3059</v>
      </c>
      <c r="E492" t="s">
        <v>4692</v>
      </c>
      <c r="F492" t="s">
        <v>4693</v>
      </c>
      <c r="G492" t="s">
        <v>3859</v>
      </c>
      <c r="I492" t="s">
        <v>4676</v>
      </c>
      <c r="J492" t="s">
        <v>3834</v>
      </c>
      <c r="K492" t="s">
        <v>4677</v>
      </c>
    </row>
    <row r="493" spans="1:11" x14ac:dyDescent="0.2">
      <c r="A493" t="s">
        <v>2317</v>
      </c>
      <c r="B493" t="s">
        <v>1905</v>
      </c>
      <c r="C493" t="s">
        <v>1973</v>
      </c>
      <c r="D493" t="s">
        <v>3060</v>
      </c>
      <c r="E493" t="s">
        <v>4694</v>
      </c>
      <c r="F493" t="s">
        <v>4695</v>
      </c>
      <c r="G493" t="s">
        <v>3863</v>
      </c>
      <c r="I493" t="s">
        <v>4676</v>
      </c>
      <c r="J493" t="s">
        <v>3834</v>
      </c>
      <c r="K493" t="s">
        <v>4677</v>
      </c>
    </row>
    <row r="494" spans="1:11" x14ac:dyDescent="0.2">
      <c r="A494" t="s">
        <v>2318</v>
      </c>
      <c r="B494" t="s">
        <v>1905</v>
      </c>
      <c r="C494" t="s">
        <v>1974</v>
      </c>
      <c r="D494" t="s">
        <v>3061</v>
      </c>
      <c r="E494" t="s">
        <v>4696</v>
      </c>
      <c r="F494" t="s">
        <v>4697</v>
      </c>
      <c r="G494" t="s">
        <v>3867</v>
      </c>
      <c r="I494" t="s">
        <v>4676</v>
      </c>
      <c r="J494" t="s">
        <v>3834</v>
      </c>
      <c r="K494" t="s">
        <v>4677</v>
      </c>
    </row>
    <row r="495" spans="1:11" x14ac:dyDescent="0.2">
      <c r="A495" t="s">
        <v>2319</v>
      </c>
      <c r="B495" t="s">
        <v>1905</v>
      </c>
      <c r="C495" t="s">
        <v>1975</v>
      </c>
      <c r="D495" t="s">
        <v>3062</v>
      </c>
      <c r="E495" t="s">
        <v>4698</v>
      </c>
      <c r="F495" t="s">
        <v>4699</v>
      </c>
      <c r="G495" t="s">
        <v>1975</v>
      </c>
      <c r="I495" t="s">
        <v>4676</v>
      </c>
      <c r="J495" t="s">
        <v>3834</v>
      </c>
      <c r="K495" t="s">
        <v>4677</v>
      </c>
    </row>
    <row r="496" spans="1:11" x14ac:dyDescent="0.2">
      <c r="A496" t="s">
        <v>2320</v>
      </c>
      <c r="B496" t="s">
        <v>1905</v>
      </c>
      <c r="C496" t="s">
        <v>1976</v>
      </c>
      <c r="D496" t="s">
        <v>3063</v>
      </c>
      <c r="E496" t="s">
        <v>4700</v>
      </c>
      <c r="F496" t="s">
        <v>4701</v>
      </c>
      <c r="G496" t="s">
        <v>1976</v>
      </c>
      <c r="I496" t="s">
        <v>4676</v>
      </c>
      <c r="J496" t="s">
        <v>3834</v>
      </c>
      <c r="K496" t="s">
        <v>4677</v>
      </c>
    </row>
    <row r="497" spans="1:11" x14ac:dyDescent="0.2">
      <c r="A497" t="s">
        <v>2321</v>
      </c>
      <c r="B497" t="s">
        <v>1905</v>
      </c>
      <c r="C497" t="s">
        <v>1977</v>
      </c>
      <c r="D497" t="s">
        <v>3064</v>
      </c>
      <c r="E497" t="s">
        <v>4702</v>
      </c>
      <c r="F497" t="s">
        <v>4703</v>
      </c>
      <c r="G497" t="s">
        <v>1977</v>
      </c>
      <c r="I497" t="s">
        <v>4676</v>
      </c>
      <c r="J497" t="s">
        <v>3834</v>
      </c>
      <c r="K497" t="s">
        <v>4677</v>
      </c>
    </row>
    <row r="498" spans="1:11" x14ac:dyDescent="0.2">
      <c r="A498" t="s">
        <v>2322</v>
      </c>
      <c r="B498" t="s">
        <v>1905</v>
      </c>
      <c r="C498" t="s">
        <v>1978</v>
      </c>
      <c r="D498" t="s">
        <v>3065</v>
      </c>
      <c r="E498" t="s">
        <v>4704</v>
      </c>
      <c r="F498" t="s">
        <v>4705</v>
      </c>
      <c r="G498" t="s">
        <v>3880</v>
      </c>
      <c r="I498" t="s">
        <v>4676</v>
      </c>
      <c r="J498" t="s">
        <v>3834</v>
      </c>
      <c r="K498" t="s">
        <v>4677</v>
      </c>
    </row>
    <row r="499" spans="1:11" x14ac:dyDescent="0.2">
      <c r="A499" t="s">
        <v>2323</v>
      </c>
      <c r="B499" t="s">
        <v>1905</v>
      </c>
      <c r="C499" t="s">
        <v>1979</v>
      </c>
      <c r="D499" t="s">
        <v>3066</v>
      </c>
      <c r="E499" t="s">
        <v>4706</v>
      </c>
      <c r="F499" t="s">
        <v>4707</v>
      </c>
      <c r="G499" t="s">
        <v>3884</v>
      </c>
      <c r="I499" t="s">
        <v>4676</v>
      </c>
      <c r="J499" t="s">
        <v>3834</v>
      </c>
      <c r="K499" t="s">
        <v>4677</v>
      </c>
    </row>
    <row r="500" spans="1:11" x14ac:dyDescent="0.2">
      <c r="A500" t="s">
        <v>2324</v>
      </c>
      <c r="B500" t="s">
        <v>1905</v>
      </c>
      <c r="C500" t="s">
        <v>1980</v>
      </c>
      <c r="D500" t="s">
        <v>3067</v>
      </c>
      <c r="E500" t="s">
        <v>4708</v>
      </c>
      <c r="F500" t="s">
        <v>4709</v>
      </c>
      <c r="G500" t="s">
        <v>3888</v>
      </c>
      <c r="I500" t="s">
        <v>4676</v>
      </c>
      <c r="J500" t="s">
        <v>3834</v>
      </c>
      <c r="K500" t="s">
        <v>4677</v>
      </c>
    </row>
    <row r="501" spans="1:11" x14ac:dyDescent="0.2">
      <c r="A501" t="s">
        <v>2325</v>
      </c>
      <c r="B501" t="s">
        <v>1905</v>
      </c>
      <c r="C501" t="s">
        <v>1981</v>
      </c>
      <c r="D501" t="s">
        <v>3068</v>
      </c>
      <c r="E501" t="s">
        <v>4710</v>
      </c>
      <c r="F501" t="s">
        <v>4711</v>
      </c>
      <c r="G501" t="s">
        <v>3892</v>
      </c>
      <c r="I501" t="s">
        <v>4676</v>
      </c>
      <c r="J501" t="s">
        <v>3834</v>
      </c>
      <c r="K501" t="s">
        <v>4677</v>
      </c>
    </row>
    <row r="502" spans="1:11" x14ac:dyDescent="0.2">
      <c r="A502" t="s">
        <v>2326</v>
      </c>
      <c r="B502" t="s">
        <v>1905</v>
      </c>
      <c r="C502" t="s">
        <v>1982</v>
      </c>
      <c r="D502" t="s">
        <v>3069</v>
      </c>
      <c r="E502" t="s">
        <v>4712</v>
      </c>
      <c r="F502" t="s">
        <v>4713</v>
      </c>
      <c r="G502" t="s">
        <v>1982</v>
      </c>
      <c r="I502" t="s">
        <v>4676</v>
      </c>
      <c r="J502" t="s">
        <v>3834</v>
      </c>
      <c r="K502" t="s">
        <v>4677</v>
      </c>
    </row>
    <row r="503" spans="1:11" x14ac:dyDescent="0.2">
      <c r="A503" t="s">
        <v>2327</v>
      </c>
      <c r="B503" t="s">
        <v>1905</v>
      </c>
      <c r="C503" t="s">
        <v>1983</v>
      </c>
      <c r="D503" t="s">
        <v>3070</v>
      </c>
      <c r="E503" t="s">
        <v>4714</v>
      </c>
      <c r="F503" t="s">
        <v>4715</v>
      </c>
      <c r="G503" t="s">
        <v>1983</v>
      </c>
      <c r="I503" t="s">
        <v>4676</v>
      </c>
      <c r="J503" t="s">
        <v>3834</v>
      </c>
      <c r="K503" t="s">
        <v>4677</v>
      </c>
    </row>
    <row r="504" spans="1:11" x14ac:dyDescent="0.2">
      <c r="A504" t="s">
        <v>2328</v>
      </c>
      <c r="B504" t="s">
        <v>1905</v>
      </c>
      <c r="C504" t="s">
        <v>1984</v>
      </c>
      <c r="D504" t="s">
        <v>3071</v>
      </c>
      <c r="E504" t="s">
        <v>4716</v>
      </c>
      <c r="F504" t="s">
        <v>4717</v>
      </c>
      <c r="G504" t="s">
        <v>1984</v>
      </c>
      <c r="I504" t="s">
        <v>4676</v>
      </c>
      <c r="J504" t="s">
        <v>3834</v>
      </c>
      <c r="K504" t="s">
        <v>4677</v>
      </c>
    </row>
    <row r="505" spans="1:11" x14ac:dyDescent="0.2">
      <c r="A505" t="s">
        <v>2329</v>
      </c>
      <c r="B505" t="s">
        <v>1905</v>
      </c>
      <c r="C505" t="s">
        <v>1985</v>
      </c>
      <c r="D505" t="s">
        <v>3072</v>
      </c>
      <c r="E505" t="s">
        <v>4718</v>
      </c>
      <c r="F505" t="s">
        <v>4719</v>
      </c>
      <c r="G505" t="s">
        <v>3905</v>
      </c>
      <c r="I505" t="s">
        <v>4676</v>
      </c>
      <c r="J505" t="s">
        <v>3834</v>
      </c>
      <c r="K505" t="s">
        <v>4677</v>
      </c>
    </row>
    <row r="506" spans="1:11" x14ac:dyDescent="0.2">
      <c r="A506" t="s">
        <v>2330</v>
      </c>
      <c r="B506" t="s">
        <v>1905</v>
      </c>
      <c r="C506" t="s">
        <v>1986</v>
      </c>
      <c r="D506" t="s">
        <v>3073</v>
      </c>
      <c r="E506" t="s">
        <v>4720</v>
      </c>
      <c r="F506" t="s">
        <v>4721</v>
      </c>
      <c r="G506" t="s">
        <v>3909</v>
      </c>
      <c r="I506" t="s">
        <v>4676</v>
      </c>
      <c r="J506" t="s">
        <v>3834</v>
      </c>
      <c r="K506" t="s">
        <v>4677</v>
      </c>
    </row>
    <row r="507" spans="1:11" x14ac:dyDescent="0.2">
      <c r="A507" t="s">
        <v>2331</v>
      </c>
      <c r="B507" t="s">
        <v>1905</v>
      </c>
      <c r="C507" t="s">
        <v>1987</v>
      </c>
      <c r="D507" t="s">
        <v>3074</v>
      </c>
      <c r="E507" t="s">
        <v>4722</v>
      </c>
      <c r="F507" t="s">
        <v>4723</v>
      </c>
      <c r="G507" t="s">
        <v>3913</v>
      </c>
      <c r="I507" t="s">
        <v>4676</v>
      </c>
      <c r="J507" t="s">
        <v>3834</v>
      </c>
      <c r="K507" t="s">
        <v>4677</v>
      </c>
    </row>
    <row r="508" spans="1:11" x14ac:dyDescent="0.2">
      <c r="A508" t="s">
        <v>2332</v>
      </c>
      <c r="B508" t="s">
        <v>1905</v>
      </c>
      <c r="C508" t="s">
        <v>1988</v>
      </c>
      <c r="D508" t="s">
        <v>3075</v>
      </c>
      <c r="E508" t="s">
        <v>4724</v>
      </c>
      <c r="F508" t="s">
        <v>4725</v>
      </c>
      <c r="G508" t="s">
        <v>3917</v>
      </c>
      <c r="I508" t="s">
        <v>4676</v>
      </c>
      <c r="J508" t="s">
        <v>3834</v>
      </c>
      <c r="K508" t="s">
        <v>4677</v>
      </c>
    </row>
    <row r="509" spans="1:11" x14ac:dyDescent="0.2">
      <c r="A509" t="s">
        <v>2333</v>
      </c>
      <c r="B509" t="s">
        <v>1905</v>
      </c>
      <c r="C509" t="s">
        <v>1989</v>
      </c>
      <c r="D509" t="s">
        <v>3076</v>
      </c>
      <c r="E509" t="s">
        <v>4726</v>
      </c>
      <c r="F509" t="s">
        <v>4727</v>
      </c>
      <c r="G509" t="s">
        <v>1989</v>
      </c>
      <c r="I509" t="s">
        <v>4676</v>
      </c>
      <c r="J509" t="s">
        <v>3834</v>
      </c>
      <c r="K509" t="s">
        <v>4677</v>
      </c>
    </row>
    <row r="510" spans="1:11" x14ac:dyDescent="0.2">
      <c r="A510" t="s">
        <v>2334</v>
      </c>
      <c r="B510" t="s">
        <v>1905</v>
      </c>
      <c r="C510" t="s">
        <v>1990</v>
      </c>
      <c r="D510" t="s">
        <v>3077</v>
      </c>
      <c r="E510" t="s">
        <v>4728</v>
      </c>
      <c r="F510" t="s">
        <v>4729</v>
      </c>
      <c r="G510" t="s">
        <v>1990</v>
      </c>
      <c r="I510" t="s">
        <v>4676</v>
      </c>
      <c r="J510" t="s">
        <v>3834</v>
      </c>
      <c r="K510" t="s">
        <v>4677</v>
      </c>
    </row>
    <row r="511" spans="1:11" x14ac:dyDescent="0.2">
      <c r="A511" t="s">
        <v>2335</v>
      </c>
      <c r="B511" t="s">
        <v>1905</v>
      </c>
      <c r="C511" t="s">
        <v>1991</v>
      </c>
      <c r="D511" t="s">
        <v>3078</v>
      </c>
      <c r="E511" t="s">
        <v>4730</v>
      </c>
      <c r="F511" t="s">
        <v>4731</v>
      </c>
      <c r="G511" t="s">
        <v>1991</v>
      </c>
      <c r="I511" t="s">
        <v>4676</v>
      </c>
      <c r="J511" t="s">
        <v>3834</v>
      </c>
      <c r="K511" t="s">
        <v>4677</v>
      </c>
    </row>
    <row r="512" spans="1:11" x14ac:dyDescent="0.2">
      <c r="A512" t="s">
        <v>2336</v>
      </c>
      <c r="B512" t="s">
        <v>1905</v>
      </c>
      <c r="C512" t="s">
        <v>1992</v>
      </c>
      <c r="D512" t="s">
        <v>3079</v>
      </c>
      <c r="E512" t="s">
        <v>4732</v>
      </c>
      <c r="F512" t="s">
        <v>4733</v>
      </c>
      <c r="G512" t="s">
        <v>3930</v>
      </c>
      <c r="I512" t="s">
        <v>4676</v>
      </c>
      <c r="J512" t="s">
        <v>3834</v>
      </c>
      <c r="K512" t="s">
        <v>4677</v>
      </c>
    </row>
    <row r="513" spans="1:11" x14ac:dyDescent="0.2">
      <c r="A513" t="s">
        <v>2337</v>
      </c>
      <c r="B513" t="s">
        <v>1905</v>
      </c>
      <c r="C513" t="s">
        <v>1993</v>
      </c>
      <c r="D513" t="s">
        <v>3080</v>
      </c>
      <c r="E513" t="s">
        <v>4734</v>
      </c>
      <c r="F513" t="s">
        <v>4735</v>
      </c>
      <c r="G513" t="s">
        <v>3934</v>
      </c>
      <c r="I513" t="s">
        <v>4676</v>
      </c>
      <c r="J513" t="s">
        <v>3834</v>
      </c>
      <c r="K513" t="s">
        <v>4677</v>
      </c>
    </row>
    <row r="514" spans="1:11" x14ac:dyDescent="0.2">
      <c r="A514" t="s">
        <v>2338</v>
      </c>
      <c r="B514" t="s">
        <v>1905</v>
      </c>
      <c r="C514" t="s">
        <v>1994</v>
      </c>
      <c r="D514" t="s">
        <v>3081</v>
      </c>
      <c r="E514" t="s">
        <v>4736</v>
      </c>
      <c r="F514" t="s">
        <v>4737</v>
      </c>
      <c r="G514" t="s">
        <v>3938</v>
      </c>
      <c r="I514" t="s">
        <v>4676</v>
      </c>
      <c r="J514" t="s">
        <v>3834</v>
      </c>
      <c r="K514" t="s">
        <v>4677</v>
      </c>
    </row>
    <row r="515" spans="1:11" x14ac:dyDescent="0.2">
      <c r="A515" t="s">
        <v>2339</v>
      </c>
      <c r="B515" t="s">
        <v>1905</v>
      </c>
      <c r="C515" t="s">
        <v>1995</v>
      </c>
      <c r="D515" t="s">
        <v>3082</v>
      </c>
      <c r="E515" t="s">
        <v>4738</v>
      </c>
      <c r="F515" t="s">
        <v>4739</v>
      </c>
      <c r="G515" t="s">
        <v>3942</v>
      </c>
      <c r="I515" t="s">
        <v>4676</v>
      </c>
      <c r="J515" t="s">
        <v>3834</v>
      </c>
      <c r="K515" t="s">
        <v>4677</v>
      </c>
    </row>
    <row r="516" spans="1:11" x14ac:dyDescent="0.2">
      <c r="A516" t="s">
        <v>2340</v>
      </c>
      <c r="B516" t="s">
        <v>1905</v>
      </c>
      <c r="C516" t="s">
        <v>1996</v>
      </c>
      <c r="D516" t="s">
        <v>3083</v>
      </c>
      <c r="E516" t="s">
        <v>4740</v>
      </c>
      <c r="F516" t="s">
        <v>4741</v>
      </c>
      <c r="G516" t="s">
        <v>3946</v>
      </c>
      <c r="I516" t="s">
        <v>4676</v>
      </c>
      <c r="J516" t="s">
        <v>3834</v>
      </c>
      <c r="K516" t="s">
        <v>4677</v>
      </c>
    </row>
    <row r="517" spans="1:11" x14ac:dyDescent="0.2">
      <c r="A517" t="s">
        <v>2341</v>
      </c>
      <c r="B517" t="s">
        <v>1905</v>
      </c>
      <c r="C517" t="s">
        <v>1997</v>
      </c>
      <c r="D517" t="s">
        <v>3084</v>
      </c>
      <c r="E517" t="s">
        <v>4742</v>
      </c>
      <c r="F517" t="s">
        <v>4743</v>
      </c>
      <c r="G517" t="s">
        <v>3950</v>
      </c>
      <c r="I517" t="s">
        <v>4676</v>
      </c>
      <c r="J517" t="s">
        <v>3834</v>
      </c>
      <c r="K517" t="s">
        <v>4677</v>
      </c>
    </row>
    <row r="518" spans="1:11" x14ac:dyDescent="0.2">
      <c r="A518" t="s">
        <v>2342</v>
      </c>
      <c r="B518" t="s">
        <v>1905</v>
      </c>
      <c r="C518" t="s">
        <v>1998</v>
      </c>
      <c r="D518" t="s">
        <v>3085</v>
      </c>
      <c r="E518" t="s">
        <v>4744</v>
      </c>
      <c r="F518" t="s">
        <v>4745</v>
      </c>
      <c r="G518" t="s">
        <v>3954</v>
      </c>
      <c r="I518" t="s">
        <v>4676</v>
      </c>
      <c r="J518" t="s">
        <v>3834</v>
      </c>
      <c r="K518" t="s">
        <v>4677</v>
      </c>
    </row>
    <row r="519" spans="1:11" x14ac:dyDescent="0.2">
      <c r="A519" t="s">
        <v>2343</v>
      </c>
      <c r="B519" t="s">
        <v>1905</v>
      </c>
      <c r="C519" t="s">
        <v>1999</v>
      </c>
      <c r="D519" t="s">
        <v>3086</v>
      </c>
      <c r="E519" t="s">
        <v>4746</v>
      </c>
      <c r="F519" t="s">
        <v>4747</v>
      </c>
      <c r="G519" t="s">
        <v>3958</v>
      </c>
      <c r="I519" t="s">
        <v>4676</v>
      </c>
      <c r="J519" t="s">
        <v>3834</v>
      </c>
      <c r="K519" t="s">
        <v>4677</v>
      </c>
    </row>
    <row r="520" spans="1:11" x14ac:dyDescent="0.2">
      <c r="A520" t="s">
        <v>2344</v>
      </c>
      <c r="B520" t="s">
        <v>1905</v>
      </c>
      <c r="C520" t="s">
        <v>2000</v>
      </c>
      <c r="D520" t="s">
        <v>3087</v>
      </c>
      <c r="E520" t="s">
        <v>4748</v>
      </c>
      <c r="F520" t="s">
        <v>4749</v>
      </c>
      <c r="G520" t="s">
        <v>3962</v>
      </c>
      <c r="I520" t="s">
        <v>4676</v>
      </c>
      <c r="J520" t="s">
        <v>3834</v>
      </c>
      <c r="K520" t="s">
        <v>4677</v>
      </c>
    </row>
    <row r="521" spans="1:11" x14ac:dyDescent="0.2">
      <c r="A521" t="s">
        <v>2345</v>
      </c>
      <c r="B521" t="s">
        <v>1905</v>
      </c>
      <c r="C521" t="s">
        <v>2001</v>
      </c>
      <c r="D521" t="s">
        <v>3088</v>
      </c>
      <c r="E521" t="s">
        <v>4750</v>
      </c>
      <c r="F521" t="s">
        <v>4751</v>
      </c>
      <c r="G521" t="s">
        <v>3966</v>
      </c>
      <c r="I521" t="s">
        <v>4676</v>
      </c>
      <c r="J521" t="s">
        <v>3834</v>
      </c>
      <c r="K521" t="s">
        <v>4677</v>
      </c>
    </row>
    <row r="522" spans="1:11" x14ac:dyDescent="0.2">
      <c r="A522" t="s">
        <v>2346</v>
      </c>
      <c r="B522" t="s">
        <v>1905</v>
      </c>
      <c r="C522" t="s">
        <v>2002</v>
      </c>
      <c r="D522" t="s">
        <v>3089</v>
      </c>
      <c r="E522" t="s">
        <v>4752</v>
      </c>
      <c r="F522" t="s">
        <v>4753</v>
      </c>
      <c r="G522" t="s">
        <v>3970</v>
      </c>
      <c r="I522" t="s">
        <v>4676</v>
      </c>
      <c r="J522" t="s">
        <v>3834</v>
      </c>
      <c r="K522" t="s">
        <v>4677</v>
      </c>
    </row>
    <row r="523" spans="1:11" x14ac:dyDescent="0.2">
      <c r="A523" t="s">
        <v>2347</v>
      </c>
      <c r="B523" t="s">
        <v>1905</v>
      </c>
      <c r="C523" t="s">
        <v>2003</v>
      </c>
      <c r="D523" t="s">
        <v>3090</v>
      </c>
      <c r="E523" t="s">
        <v>4754</v>
      </c>
      <c r="F523" t="s">
        <v>4755</v>
      </c>
      <c r="G523" t="s">
        <v>2003</v>
      </c>
      <c r="I523" t="s">
        <v>4676</v>
      </c>
      <c r="J523" t="s">
        <v>3834</v>
      </c>
      <c r="K523" t="s">
        <v>4677</v>
      </c>
    </row>
    <row r="524" spans="1:11" x14ac:dyDescent="0.2">
      <c r="A524" t="s">
        <v>2348</v>
      </c>
      <c r="B524" t="s">
        <v>1905</v>
      </c>
      <c r="C524" t="s">
        <v>2004</v>
      </c>
      <c r="D524" t="s">
        <v>3091</v>
      </c>
      <c r="E524" t="s">
        <v>4756</v>
      </c>
      <c r="F524" t="s">
        <v>4757</v>
      </c>
      <c r="G524" t="s">
        <v>2004</v>
      </c>
      <c r="I524" t="s">
        <v>4676</v>
      </c>
      <c r="J524" t="s">
        <v>3834</v>
      </c>
      <c r="K524" t="s">
        <v>4677</v>
      </c>
    </row>
    <row r="525" spans="1:11" x14ac:dyDescent="0.2">
      <c r="A525" t="s">
        <v>2349</v>
      </c>
      <c r="B525" t="s">
        <v>1905</v>
      </c>
      <c r="C525" t="s">
        <v>2005</v>
      </c>
      <c r="D525" t="s">
        <v>3092</v>
      </c>
      <c r="E525" t="s">
        <v>4758</v>
      </c>
      <c r="F525" t="s">
        <v>4759</v>
      </c>
      <c r="G525" t="s">
        <v>2005</v>
      </c>
      <c r="I525" t="s">
        <v>4676</v>
      </c>
      <c r="J525" t="s">
        <v>3834</v>
      </c>
      <c r="K525" t="s">
        <v>4677</v>
      </c>
    </row>
    <row r="526" spans="1:11" x14ac:dyDescent="0.2">
      <c r="A526" t="s">
        <v>2350</v>
      </c>
      <c r="B526" t="s">
        <v>1905</v>
      </c>
      <c r="C526" t="s">
        <v>1957</v>
      </c>
      <c r="D526" t="s">
        <v>3093</v>
      </c>
      <c r="E526" t="s">
        <v>4760</v>
      </c>
      <c r="F526" t="s">
        <v>4761</v>
      </c>
      <c r="G526" t="s">
        <v>3983</v>
      </c>
      <c r="I526" t="s">
        <v>4676</v>
      </c>
      <c r="J526" t="s">
        <v>3834</v>
      </c>
      <c r="K526" t="s">
        <v>4677</v>
      </c>
    </row>
    <row r="527" spans="1:11" x14ac:dyDescent="0.2">
      <c r="A527" t="s">
        <v>2351</v>
      </c>
      <c r="B527" t="s">
        <v>1905</v>
      </c>
      <c r="C527" t="s">
        <v>2006</v>
      </c>
      <c r="D527" t="s">
        <v>3094</v>
      </c>
      <c r="E527" t="s">
        <v>4762</v>
      </c>
      <c r="F527" t="s">
        <v>4763</v>
      </c>
      <c r="G527" t="s">
        <v>3987</v>
      </c>
      <c r="I527" t="s">
        <v>4676</v>
      </c>
      <c r="J527" t="s">
        <v>3834</v>
      </c>
      <c r="K527" t="s">
        <v>4677</v>
      </c>
    </row>
    <row r="528" spans="1:11" x14ac:dyDescent="0.2">
      <c r="A528" t="s">
        <v>2352</v>
      </c>
      <c r="B528" t="s">
        <v>1905</v>
      </c>
      <c r="C528" t="s">
        <v>2007</v>
      </c>
      <c r="D528" t="s">
        <v>3095</v>
      </c>
      <c r="E528" t="s">
        <v>4764</v>
      </c>
      <c r="F528" t="s">
        <v>4765</v>
      </c>
      <c r="G528" t="s">
        <v>3991</v>
      </c>
      <c r="I528" t="s">
        <v>4676</v>
      </c>
      <c r="J528" t="s">
        <v>3834</v>
      </c>
      <c r="K528" t="s">
        <v>4677</v>
      </c>
    </row>
    <row r="529" spans="1:11" x14ac:dyDescent="0.2">
      <c r="A529" t="s">
        <v>2353</v>
      </c>
      <c r="B529" t="s">
        <v>1905</v>
      </c>
      <c r="C529" t="s">
        <v>2008</v>
      </c>
      <c r="D529" t="s">
        <v>3096</v>
      </c>
      <c r="E529" t="s">
        <v>4766</v>
      </c>
      <c r="F529" t="s">
        <v>4767</v>
      </c>
      <c r="G529" t="s">
        <v>3995</v>
      </c>
      <c r="I529" t="s">
        <v>4676</v>
      </c>
      <c r="J529" t="s">
        <v>3834</v>
      </c>
      <c r="K529" t="s">
        <v>4677</v>
      </c>
    </row>
    <row r="530" spans="1:11" x14ac:dyDescent="0.2">
      <c r="A530" t="s">
        <v>2354</v>
      </c>
      <c r="B530" t="s">
        <v>1905</v>
      </c>
      <c r="C530" t="s">
        <v>2009</v>
      </c>
      <c r="D530" t="s">
        <v>3097</v>
      </c>
      <c r="E530" t="s">
        <v>4768</v>
      </c>
      <c r="F530" t="s">
        <v>4769</v>
      </c>
      <c r="G530" t="s">
        <v>3999</v>
      </c>
      <c r="I530" t="s">
        <v>4676</v>
      </c>
      <c r="J530" t="s">
        <v>3834</v>
      </c>
      <c r="K530" t="s">
        <v>4677</v>
      </c>
    </row>
    <row r="531" spans="1:11" x14ac:dyDescent="0.2">
      <c r="A531" t="s">
        <v>2355</v>
      </c>
      <c r="B531" t="s">
        <v>1905</v>
      </c>
      <c r="C531" t="s">
        <v>2010</v>
      </c>
      <c r="D531" t="s">
        <v>3098</v>
      </c>
      <c r="E531" t="s">
        <v>4770</v>
      </c>
      <c r="F531" t="s">
        <v>4771</v>
      </c>
      <c r="G531" t="s">
        <v>4003</v>
      </c>
      <c r="I531" t="s">
        <v>4676</v>
      </c>
      <c r="J531" t="s">
        <v>3834</v>
      </c>
      <c r="K531" t="s">
        <v>4677</v>
      </c>
    </row>
    <row r="532" spans="1:11" x14ac:dyDescent="0.2">
      <c r="A532" t="s">
        <v>2356</v>
      </c>
      <c r="B532" t="s">
        <v>1905</v>
      </c>
      <c r="C532" t="s">
        <v>2011</v>
      </c>
      <c r="D532" t="s">
        <v>3099</v>
      </c>
      <c r="E532" t="s">
        <v>4772</v>
      </c>
      <c r="F532" t="s">
        <v>4773</v>
      </c>
      <c r="G532" t="s">
        <v>4007</v>
      </c>
      <c r="I532" t="s">
        <v>4676</v>
      </c>
      <c r="J532" t="s">
        <v>3834</v>
      </c>
      <c r="K532" t="s">
        <v>4677</v>
      </c>
    </row>
    <row r="533" spans="1:11" x14ac:dyDescent="0.2">
      <c r="A533" t="s">
        <v>2357</v>
      </c>
      <c r="B533" t="s">
        <v>1905</v>
      </c>
      <c r="C533" t="s">
        <v>2012</v>
      </c>
      <c r="D533" t="s">
        <v>3100</v>
      </c>
      <c r="E533" t="s">
        <v>4774</v>
      </c>
      <c r="F533" t="s">
        <v>4775</v>
      </c>
      <c r="G533" t="s">
        <v>4011</v>
      </c>
      <c r="I533" t="s">
        <v>4676</v>
      </c>
      <c r="J533" t="s">
        <v>3834</v>
      </c>
      <c r="K533" t="s">
        <v>4677</v>
      </c>
    </row>
    <row r="534" spans="1:11" x14ac:dyDescent="0.2">
      <c r="A534" t="s">
        <v>2358</v>
      </c>
      <c r="B534" t="s">
        <v>1890</v>
      </c>
      <c r="C534" t="s">
        <v>2013</v>
      </c>
      <c r="D534" t="s">
        <v>3101</v>
      </c>
      <c r="E534" t="s">
        <v>4776</v>
      </c>
      <c r="F534" t="s">
        <v>4777</v>
      </c>
      <c r="G534" t="s">
        <v>4015</v>
      </c>
      <c r="I534" t="s">
        <v>4676</v>
      </c>
      <c r="J534" t="s">
        <v>3834</v>
      </c>
      <c r="K534" t="s">
        <v>4677</v>
      </c>
    </row>
    <row r="535" spans="1:11" x14ac:dyDescent="0.2">
      <c r="A535" t="s">
        <v>2359</v>
      </c>
      <c r="B535" t="s">
        <v>1905</v>
      </c>
      <c r="C535" t="s">
        <v>2014</v>
      </c>
      <c r="D535" t="s">
        <v>3102</v>
      </c>
      <c r="E535" t="s">
        <v>4778</v>
      </c>
      <c r="F535" t="s">
        <v>4779</v>
      </c>
      <c r="G535" t="s">
        <v>4019</v>
      </c>
      <c r="I535" t="s">
        <v>4676</v>
      </c>
      <c r="J535" t="s">
        <v>3834</v>
      </c>
      <c r="K535" t="s">
        <v>4677</v>
      </c>
    </row>
    <row r="536" spans="1:11" x14ac:dyDescent="0.2">
      <c r="A536" t="s">
        <v>2360</v>
      </c>
      <c r="B536" t="s">
        <v>1905</v>
      </c>
      <c r="C536" t="s">
        <v>2015</v>
      </c>
      <c r="D536" t="s">
        <v>3103</v>
      </c>
      <c r="E536" t="s">
        <v>4780</v>
      </c>
      <c r="F536" t="s">
        <v>4781</v>
      </c>
      <c r="G536" t="s">
        <v>4023</v>
      </c>
      <c r="I536" t="s">
        <v>4676</v>
      </c>
      <c r="J536" t="s">
        <v>3834</v>
      </c>
      <c r="K536" t="s">
        <v>4677</v>
      </c>
    </row>
    <row r="537" spans="1:11" x14ac:dyDescent="0.2">
      <c r="A537" t="s">
        <v>2361</v>
      </c>
      <c r="B537" t="s">
        <v>1905</v>
      </c>
      <c r="C537" t="s">
        <v>2016</v>
      </c>
      <c r="D537" t="s">
        <v>3104</v>
      </c>
      <c r="E537" t="s">
        <v>4782</v>
      </c>
      <c r="F537" t="s">
        <v>4783</v>
      </c>
      <c r="G537" t="s">
        <v>4027</v>
      </c>
      <c r="I537" t="s">
        <v>4676</v>
      </c>
      <c r="J537" t="s">
        <v>3834</v>
      </c>
      <c r="K537" t="s">
        <v>4677</v>
      </c>
    </row>
    <row r="538" spans="1:11" x14ac:dyDescent="0.2">
      <c r="A538" t="s">
        <v>2362</v>
      </c>
      <c r="B538" t="s">
        <v>1905</v>
      </c>
      <c r="C538" t="s">
        <v>2017</v>
      </c>
      <c r="D538" t="s">
        <v>3105</v>
      </c>
      <c r="E538" t="s">
        <v>4784</v>
      </c>
      <c r="F538" t="s">
        <v>4785</v>
      </c>
      <c r="G538" t="s">
        <v>4031</v>
      </c>
      <c r="I538" t="s">
        <v>4676</v>
      </c>
      <c r="J538" t="s">
        <v>3834</v>
      </c>
      <c r="K538" t="s">
        <v>4677</v>
      </c>
    </row>
    <row r="539" spans="1:11" x14ac:dyDescent="0.2">
      <c r="A539" t="s">
        <v>2363</v>
      </c>
      <c r="B539" t="s">
        <v>1905</v>
      </c>
      <c r="C539" t="s">
        <v>2018</v>
      </c>
      <c r="D539" t="s">
        <v>3106</v>
      </c>
      <c r="E539" t="s">
        <v>4786</v>
      </c>
      <c r="F539" t="s">
        <v>4787</v>
      </c>
      <c r="G539" t="s">
        <v>4035</v>
      </c>
      <c r="I539" t="s">
        <v>4676</v>
      </c>
      <c r="J539" t="s">
        <v>3834</v>
      </c>
      <c r="K539" t="s">
        <v>4677</v>
      </c>
    </row>
    <row r="540" spans="1:11" x14ac:dyDescent="0.2">
      <c r="A540" t="s">
        <v>2364</v>
      </c>
      <c r="B540" t="s">
        <v>1905</v>
      </c>
      <c r="C540" t="s">
        <v>2019</v>
      </c>
      <c r="D540" t="s">
        <v>3107</v>
      </c>
      <c r="E540" t="s">
        <v>4788</v>
      </c>
      <c r="F540" t="s">
        <v>4789</v>
      </c>
      <c r="G540" t="s">
        <v>4039</v>
      </c>
      <c r="I540" t="s">
        <v>4676</v>
      </c>
      <c r="J540" t="s">
        <v>3834</v>
      </c>
      <c r="K540" t="s">
        <v>4677</v>
      </c>
    </row>
    <row r="541" spans="1:11" x14ac:dyDescent="0.2">
      <c r="A541" t="s">
        <v>2365</v>
      </c>
      <c r="B541" t="s">
        <v>1905</v>
      </c>
      <c r="C541" t="s">
        <v>2020</v>
      </c>
      <c r="D541" t="s">
        <v>3108</v>
      </c>
      <c r="E541" t="s">
        <v>4790</v>
      </c>
      <c r="F541" t="s">
        <v>4791</v>
      </c>
      <c r="G541" t="s">
        <v>4043</v>
      </c>
      <c r="I541" t="s">
        <v>4676</v>
      </c>
      <c r="J541" t="s">
        <v>3834</v>
      </c>
      <c r="K541" t="s">
        <v>4677</v>
      </c>
    </row>
    <row r="542" spans="1:11" x14ac:dyDescent="0.2">
      <c r="A542" t="s">
        <v>2366</v>
      </c>
      <c r="B542" t="s">
        <v>1905</v>
      </c>
      <c r="C542" t="s">
        <v>1953</v>
      </c>
      <c r="D542" t="s">
        <v>3109</v>
      </c>
      <c r="E542" t="s">
        <v>4792</v>
      </c>
      <c r="F542" t="s">
        <v>4793</v>
      </c>
      <c r="G542" t="s">
        <v>4046</v>
      </c>
      <c r="I542" t="s">
        <v>4676</v>
      </c>
      <c r="J542" t="s">
        <v>3834</v>
      </c>
      <c r="K542" t="s">
        <v>4677</v>
      </c>
    </row>
    <row r="543" spans="1:11" x14ac:dyDescent="0.2">
      <c r="A543" t="s">
        <v>2367</v>
      </c>
      <c r="B543" t="s">
        <v>1905</v>
      </c>
      <c r="C543" t="s">
        <v>1954</v>
      </c>
      <c r="D543" t="s">
        <v>3110</v>
      </c>
      <c r="E543" t="s">
        <v>4794</v>
      </c>
      <c r="F543" t="s">
        <v>4795</v>
      </c>
      <c r="G543" t="s">
        <v>4049</v>
      </c>
      <c r="I543" t="s">
        <v>4676</v>
      </c>
      <c r="J543" t="s">
        <v>3834</v>
      </c>
      <c r="K543" t="s">
        <v>4677</v>
      </c>
    </row>
    <row r="544" spans="1:11" x14ac:dyDescent="0.2">
      <c r="A544" t="s">
        <v>2368</v>
      </c>
      <c r="B544" t="s">
        <v>1905</v>
      </c>
      <c r="C544" t="s">
        <v>1955</v>
      </c>
      <c r="D544" t="s">
        <v>3111</v>
      </c>
      <c r="E544" t="s">
        <v>4796</v>
      </c>
      <c r="F544" t="s">
        <v>4797</v>
      </c>
      <c r="G544" t="s">
        <v>4052</v>
      </c>
      <c r="I544" t="s">
        <v>4676</v>
      </c>
      <c r="J544" t="s">
        <v>3834</v>
      </c>
      <c r="K544" t="s">
        <v>4677</v>
      </c>
    </row>
    <row r="545" spans="1:11" x14ac:dyDescent="0.2">
      <c r="A545" t="s">
        <v>2369</v>
      </c>
      <c r="B545" t="s">
        <v>1905</v>
      </c>
      <c r="C545" t="s">
        <v>1956</v>
      </c>
      <c r="D545" t="s">
        <v>3112</v>
      </c>
      <c r="E545" t="s">
        <v>4798</v>
      </c>
      <c r="F545" t="s">
        <v>4799</v>
      </c>
      <c r="G545" t="s">
        <v>4055</v>
      </c>
      <c r="I545" t="s">
        <v>4676</v>
      </c>
      <c r="J545" t="s">
        <v>3834</v>
      </c>
      <c r="K545" t="s">
        <v>4677</v>
      </c>
    </row>
    <row r="546" spans="1:11" x14ac:dyDescent="0.2">
      <c r="A546" t="s">
        <v>2370</v>
      </c>
      <c r="B546" t="s">
        <v>1905</v>
      </c>
      <c r="C546" t="s">
        <v>1957</v>
      </c>
      <c r="D546" t="s">
        <v>3113</v>
      </c>
      <c r="E546" t="s">
        <v>4800</v>
      </c>
      <c r="F546" t="s">
        <v>4801</v>
      </c>
      <c r="G546" t="s">
        <v>4058</v>
      </c>
      <c r="I546" t="s">
        <v>4676</v>
      </c>
      <c r="J546" t="s">
        <v>3834</v>
      </c>
      <c r="K546" t="s">
        <v>4677</v>
      </c>
    </row>
    <row r="547" spans="1:11" x14ac:dyDescent="0.2">
      <c r="A547" t="s">
        <v>2371</v>
      </c>
      <c r="B547" t="s">
        <v>1905</v>
      </c>
      <c r="C547" t="s">
        <v>1958</v>
      </c>
      <c r="D547" t="s">
        <v>3114</v>
      </c>
      <c r="E547" t="s">
        <v>4802</v>
      </c>
      <c r="F547" t="s">
        <v>4803</v>
      </c>
      <c r="G547" t="s">
        <v>4061</v>
      </c>
      <c r="I547" t="s">
        <v>4676</v>
      </c>
      <c r="J547" t="s">
        <v>3834</v>
      </c>
      <c r="K547" t="s">
        <v>4677</v>
      </c>
    </row>
    <row r="548" spans="1:11" x14ac:dyDescent="0.2">
      <c r="A548" t="s">
        <v>2372</v>
      </c>
      <c r="B548" t="s">
        <v>1905</v>
      </c>
      <c r="C548" t="s">
        <v>2069</v>
      </c>
      <c r="D548" t="s">
        <v>3115</v>
      </c>
      <c r="E548" t="s">
        <v>4804</v>
      </c>
      <c r="F548" t="s">
        <v>4805</v>
      </c>
      <c r="G548" t="s">
        <v>4064</v>
      </c>
      <c r="I548" t="s">
        <v>4676</v>
      </c>
      <c r="J548" t="s">
        <v>3834</v>
      </c>
      <c r="K548" t="s">
        <v>4677</v>
      </c>
    </row>
    <row r="549" spans="1:11" x14ac:dyDescent="0.2">
      <c r="A549" t="s">
        <v>2089</v>
      </c>
      <c r="B549" t="s">
        <v>3502</v>
      </c>
      <c r="C549" t="s">
        <v>2079</v>
      </c>
      <c r="D549" t="s">
        <v>4806</v>
      </c>
      <c r="J549" t="s">
        <v>3502</v>
      </c>
      <c r="K549" t="s">
        <v>4807</v>
      </c>
    </row>
    <row r="550" spans="1:11" x14ac:dyDescent="0.2">
      <c r="A550" t="s">
        <v>2373</v>
      </c>
      <c r="B550" t="s">
        <v>1905</v>
      </c>
      <c r="C550" t="s">
        <v>2030</v>
      </c>
      <c r="D550" t="s">
        <v>3116</v>
      </c>
      <c r="E550" t="s">
        <v>4808</v>
      </c>
      <c r="F550" t="s">
        <v>4809</v>
      </c>
      <c r="G550" t="s">
        <v>3567</v>
      </c>
      <c r="I550" t="s">
        <v>4676</v>
      </c>
      <c r="J550" t="s">
        <v>4069</v>
      </c>
      <c r="K550" t="s">
        <v>4807</v>
      </c>
    </row>
    <row r="551" spans="1:11" x14ac:dyDescent="0.2">
      <c r="A551" t="s">
        <v>2374</v>
      </c>
      <c r="B551" t="s">
        <v>1905</v>
      </c>
      <c r="C551" t="s">
        <v>2031</v>
      </c>
      <c r="D551" t="s">
        <v>3117</v>
      </c>
      <c r="E551" t="s">
        <v>4810</v>
      </c>
      <c r="F551" t="s">
        <v>4811</v>
      </c>
      <c r="G551" t="s">
        <v>3571</v>
      </c>
      <c r="I551" t="s">
        <v>4676</v>
      </c>
      <c r="J551" t="s">
        <v>4069</v>
      </c>
      <c r="K551" t="s">
        <v>4807</v>
      </c>
    </row>
    <row r="552" spans="1:11" x14ac:dyDescent="0.2">
      <c r="A552" t="s">
        <v>2375</v>
      </c>
      <c r="B552" t="s">
        <v>1905</v>
      </c>
      <c r="C552" t="s">
        <v>2032</v>
      </c>
      <c r="D552" t="s">
        <v>3118</v>
      </c>
      <c r="E552" t="s">
        <v>4812</v>
      </c>
      <c r="F552" t="s">
        <v>4813</v>
      </c>
      <c r="G552" t="s">
        <v>3575</v>
      </c>
      <c r="I552" t="s">
        <v>4676</v>
      </c>
      <c r="J552" t="s">
        <v>4069</v>
      </c>
      <c r="K552" t="s">
        <v>4807</v>
      </c>
    </row>
    <row r="553" spans="1:11" x14ac:dyDescent="0.2">
      <c r="A553" t="s">
        <v>2376</v>
      </c>
      <c r="B553" t="s">
        <v>1905</v>
      </c>
      <c r="C553" t="s">
        <v>2033</v>
      </c>
      <c r="D553" t="s">
        <v>3119</v>
      </c>
      <c r="E553" t="s">
        <v>4814</v>
      </c>
      <c r="F553" t="s">
        <v>4815</v>
      </c>
      <c r="G553" t="s">
        <v>2033</v>
      </c>
      <c r="I553" t="s">
        <v>4676</v>
      </c>
      <c r="J553" t="s">
        <v>4069</v>
      </c>
      <c r="K553" t="s">
        <v>4807</v>
      </c>
    </row>
    <row r="554" spans="1:11" x14ac:dyDescent="0.2">
      <c r="A554" t="s">
        <v>2377</v>
      </c>
      <c r="B554" t="s">
        <v>1905</v>
      </c>
      <c r="C554" t="s">
        <v>2034</v>
      </c>
      <c r="D554" t="s">
        <v>3120</v>
      </c>
      <c r="E554" t="s">
        <v>4816</v>
      </c>
      <c r="F554" t="s">
        <v>4817</v>
      </c>
      <c r="G554" t="s">
        <v>2034</v>
      </c>
      <c r="I554" t="s">
        <v>4676</v>
      </c>
      <c r="J554" t="s">
        <v>4069</v>
      </c>
      <c r="K554" t="s">
        <v>4807</v>
      </c>
    </row>
    <row r="555" spans="1:11" x14ac:dyDescent="0.2">
      <c r="A555" t="s">
        <v>2378</v>
      </c>
      <c r="B555" t="s">
        <v>1905</v>
      </c>
      <c r="C555" t="s">
        <v>2035</v>
      </c>
      <c r="D555" t="s">
        <v>3121</v>
      </c>
      <c r="E555" t="s">
        <v>4818</v>
      </c>
      <c r="F555" t="s">
        <v>4819</v>
      </c>
      <c r="G555" t="s">
        <v>2035</v>
      </c>
      <c r="I555" t="s">
        <v>4676</v>
      </c>
      <c r="J555" t="s">
        <v>4069</v>
      </c>
      <c r="K555" t="s">
        <v>4807</v>
      </c>
    </row>
    <row r="556" spans="1:11" x14ac:dyDescent="0.2">
      <c r="A556" t="s">
        <v>2379</v>
      </c>
      <c r="B556" t="s">
        <v>1905</v>
      </c>
      <c r="C556" t="s">
        <v>2071</v>
      </c>
      <c r="D556" t="s">
        <v>3122</v>
      </c>
      <c r="E556" t="s">
        <v>4820</v>
      </c>
      <c r="F556" t="s">
        <v>4821</v>
      </c>
      <c r="G556" t="s">
        <v>3590</v>
      </c>
      <c r="I556" t="s">
        <v>4676</v>
      </c>
      <c r="J556" t="s">
        <v>4069</v>
      </c>
      <c r="K556" t="s">
        <v>4807</v>
      </c>
    </row>
    <row r="557" spans="1:11" x14ac:dyDescent="0.2">
      <c r="A557" t="s">
        <v>2380</v>
      </c>
      <c r="B557" t="s">
        <v>1905</v>
      </c>
      <c r="C557" t="s">
        <v>2023</v>
      </c>
      <c r="D557" t="s">
        <v>3123</v>
      </c>
      <c r="E557" t="s">
        <v>4822</v>
      </c>
      <c r="F557" t="s">
        <v>4823</v>
      </c>
      <c r="G557" t="s">
        <v>4367</v>
      </c>
      <c r="I557" t="s">
        <v>4676</v>
      </c>
      <c r="J557" t="s">
        <v>4069</v>
      </c>
      <c r="K557" t="s">
        <v>4807</v>
      </c>
    </row>
    <row r="558" spans="1:11" x14ac:dyDescent="0.2">
      <c r="A558" t="s">
        <v>2381</v>
      </c>
      <c r="B558" t="s">
        <v>1905</v>
      </c>
      <c r="C558" t="s">
        <v>2024</v>
      </c>
      <c r="D558" t="s">
        <v>3124</v>
      </c>
      <c r="E558" t="s">
        <v>4824</v>
      </c>
      <c r="F558" t="s">
        <v>4825</v>
      </c>
      <c r="G558" t="s">
        <v>3545</v>
      </c>
      <c r="I558" t="s">
        <v>4676</v>
      </c>
      <c r="J558" t="s">
        <v>4069</v>
      </c>
      <c r="K558" t="s">
        <v>4807</v>
      </c>
    </row>
    <row r="559" spans="1:11" x14ac:dyDescent="0.2">
      <c r="A559" t="s">
        <v>2382</v>
      </c>
      <c r="B559" t="s">
        <v>1905</v>
      </c>
      <c r="C559" t="s">
        <v>2025</v>
      </c>
      <c r="D559" t="s">
        <v>3125</v>
      </c>
      <c r="E559" t="s">
        <v>4826</v>
      </c>
      <c r="F559" t="s">
        <v>4827</v>
      </c>
      <c r="G559" t="s">
        <v>3549</v>
      </c>
      <c r="I559" t="s">
        <v>4676</v>
      </c>
      <c r="J559" t="s">
        <v>4069</v>
      </c>
      <c r="K559" t="s">
        <v>4807</v>
      </c>
    </row>
    <row r="560" spans="1:11" x14ac:dyDescent="0.2">
      <c r="A560" t="s">
        <v>2383</v>
      </c>
      <c r="B560" t="s">
        <v>1905</v>
      </c>
      <c r="C560" t="s">
        <v>2026</v>
      </c>
      <c r="D560" t="s">
        <v>3126</v>
      </c>
      <c r="E560" t="s">
        <v>4828</v>
      </c>
      <c r="F560" t="s">
        <v>4829</v>
      </c>
      <c r="G560" t="s">
        <v>2026</v>
      </c>
      <c r="I560" t="s">
        <v>4676</v>
      </c>
      <c r="J560" t="s">
        <v>4069</v>
      </c>
      <c r="K560" t="s">
        <v>4807</v>
      </c>
    </row>
    <row r="561" spans="1:11" x14ac:dyDescent="0.2">
      <c r="A561" t="s">
        <v>2384</v>
      </c>
      <c r="B561" t="s">
        <v>1905</v>
      </c>
      <c r="C561" t="s">
        <v>2027</v>
      </c>
      <c r="D561" t="s">
        <v>3127</v>
      </c>
      <c r="E561" t="s">
        <v>4830</v>
      </c>
      <c r="F561" t="s">
        <v>4831</v>
      </c>
      <c r="G561" t="s">
        <v>2027</v>
      </c>
      <c r="I561" t="s">
        <v>4676</v>
      </c>
      <c r="J561" t="s">
        <v>4069</v>
      </c>
      <c r="K561" t="s">
        <v>4807</v>
      </c>
    </row>
    <row r="562" spans="1:11" x14ac:dyDescent="0.2">
      <c r="A562" t="s">
        <v>2385</v>
      </c>
      <c r="B562" t="s">
        <v>1905</v>
      </c>
      <c r="C562" t="s">
        <v>2028</v>
      </c>
      <c r="D562" t="s">
        <v>3128</v>
      </c>
      <c r="E562" t="s">
        <v>4832</v>
      </c>
      <c r="F562" t="s">
        <v>4833</v>
      </c>
      <c r="G562" t="s">
        <v>2028</v>
      </c>
      <c r="I562" t="s">
        <v>4676</v>
      </c>
      <c r="J562" t="s">
        <v>4069</v>
      </c>
      <c r="K562" t="s">
        <v>4807</v>
      </c>
    </row>
    <row r="563" spans="1:11" x14ac:dyDescent="0.2">
      <c r="A563" t="s">
        <v>2386</v>
      </c>
      <c r="B563" t="s">
        <v>1905</v>
      </c>
      <c r="C563" t="s">
        <v>2072</v>
      </c>
      <c r="D563" t="s">
        <v>3129</v>
      </c>
      <c r="E563" t="s">
        <v>4834</v>
      </c>
      <c r="F563" t="s">
        <v>4835</v>
      </c>
      <c r="G563" t="s">
        <v>3563</v>
      </c>
      <c r="I563" t="s">
        <v>4676</v>
      </c>
      <c r="J563" t="s">
        <v>4069</v>
      </c>
      <c r="K563" t="s">
        <v>4807</v>
      </c>
    </row>
    <row r="564" spans="1:11" x14ac:dyDescent="0.2">
      <c r="A564" t="s">
        <v>2387</v>
      </c>
      <c r="B564" t="s">
        <v>1905</v>
      </c>
      <c r="C564" t="s">
        <v>2037</v>
      </c>
      <c r="D564" t="s">
        <v>3130</v>
      </c>
      <c r="E564" t="s">
        <v>4836</v>
      </c>
      <c r="F564" t="s">
        <v>4837</v>
      </c>
      <c r="G564" t="s">
        <v>3594</v>
      </c>
      <c r="I564" t="s">
        <v>4676</v>
      </c>
      <c r="J564" t="s">
        <v>4069</v>
      </c>
      <c r="K564" t="s">
        <v>4807</v>
      </c>
    </row>
    <row r="565" spans="1:11" x14ac:dyDescent="0.2">
      <c r="A565" t="s">
        <v>2388</v>
      </c>
      <c r="B565" t="s">
        <v>1905</v>
      </c>
      <c r="C565" t="s">
        <v>2038</v>
      </c>
      <c r="D565" t="s">
        <v>3131</v>
      </c>
      <c r="E565" t="s">
        <v>4838</v>
      </c>
      <c r="F565" t="s">
        <v>4839</v>
      </c>
      <c r="G565" t="s">
        <v>3598</v>
      </c>
      <c r="I565" t="s">
        <v>4676</v>
      </c>
      <c r="J565" t="s">
        <v>4069</v>
      </c>
      <c r="K565" t="s">
        <v>4807</v>
      </c>
    </row>
    <row r="566" spans="1:11" x14ac:dyDescent="0.2">
      <c r="A566" t="s">
        <v>2389</v>
      </c>
      <c r="B566" t="s">
        <v>1905</v>
      </c>
      <c r="C566" t="s">
        <v>2039</v>
      </c>
      <c r="D566" t="s">
        <v>3132</v>
      </c>
      <c r="E566" t="s">
        <v>4840</v>
      </c>
      <c r="F566" t="s">
        <v>4841</v>
      </c>
      <c r="G566" t="s">
        <v>3602</v>
      </c>
      <c r="I566" t="s">
        <v>4676</v>
      </c>
      <c r="J566" t="s">
        <v>4069</v>
      </c>
      <c r="K566" t="s">
        <v>4807</v>
      </c>
    </row>
    <row r="567" spans="1:11" x14ac:dyDescent="0.2">
      <c r="A567" t="s">
        <v>2390</v>
      </c>
      <c r="B567" t="s">
        <v>1905</v>
      </c>
      <c r="C567" t="s">
        <v>2040</v>
      </c>
      <c r="D567" t="s">
        <v>3133</v>
      </c>
      <c r="E567" t="s">
        <v>4842</v>
      </c>
      <c r="F567" t="s">
        <v>4843</v>
      </c>
      <c r="G567" t="s">
        <v>2040</v>
      </c>
      <c r="I567" t="s">
        <v>4676</v>
      </c>
      <c r="J567" t="s">
        <v>4069</v>
      </c>
      <c r="K567" t="s">
        <v>4807</v>
      </c>
    </row>
    <row r="568" spans="1:11" x14ac:dyDescent="0.2">
      <c r="A568" t="s">
        <v>2391</v>
      </c>
      <c r="B568" t="s">
        <v>1905</v>
      </c>
      <c r="C568" t="s">
        <v>2041</v>
      </c>
      <c r="D568" t="s">
        <v>3134</v>
      </c>
      <c r="E568" t="s">
        <v>4844</v>
      </c>
      <c r="F568" t="s">
        <v>4845</v>
      </c>
      <c r="G568" t="s">
        <v>2041</v>
      </c>
      <c r="I568" t="s">
        <v>4676</v>
      </c>
      <c r="J568" t="s">
        <v>4069</v>
      </c>
      <c r="K568" t="s">
        <v>4807</v>
      </c>
    </row>
    <row r="569" spans="1:11" x14ac:dyDescent="0.2">
      <c r="A569" t="s">
        <v>2392</v>
      </c>
      <c r="B569" t="s">
        <v>1905</v>
      </c>
      <c r="C569" t="s">
        <v>2042</v>
      </c>
      <c r="D569" t="s">
        <v>3135</v>
      </c>
      <c r="E569" t="s">
        <v>4846</v>
      </c>
      <c r="F569" t="s">
        <v>4847</v>
      </c>
      <c r="G569" t="s">
        <v>2042</v>
      </c>
      <c r="I569" t="s">
        <v>4676</v>
      </c>
      <c r="J569" t="s">
        <v>4069</v>
      </c>
      <c r="K569" t="s">
        <v>4807</v>
      </c>
    </row>
    <row r="570" spans="1:11" x14ac:dyDescent="0.2">
      <c r="A570" t="s">
        <v>2393</v>
      </c>
      <c r="B570" t="s">
        <v>1905</v>
      </c>
      <c r="C570" t="s">
        <v>2073</v>
      </c>
      <c r="D570" t="s">
        <v>3136</v>
      </c>
      <c r="E570" t="s">
        <v>4848</v>
      </c>
      <c r="F570" t="s">
        <v>4849</v>
      </c>
      <c r="G570" t="s">
        <v>3617</v>
      </c>
      <c r="I570" t="s">
        <v>4676</v>
      </c>
      <c r="J570" t="s">
        <v>4069</v>
      </c>
      <c r="K570" t="s">
        <v>4807</v>
      </c>
    </row>
    <row r="571" spans="1:11" x14ac:dyDescent="0.2">
      <c r="A571" t="s">
        <v>2394</v>
      </c>
      <c r="B571" t="s">
        <v>1905</v>
      </c>
      <c r="C571" t="s">
        <v>2044</v>
      </c>
      <c r="D571" t="s">
        <v>3137</v>
      </c>
      <c r="E571" t="s">
        <v>4850</v>
      </c>
      <c r="F571" t="s">
        <v>4851</v>
      </c>
      <c r="G571" t="s">
        <v>3649</v>
      </c>
      <c r="I571" t="s">
        <v>4676</v>
      </c>
      <c r="J571" t="s">
        <v>4069</v>
      </c>
      <c r="K571" t="s">
        <v>4807</v>
      </c>
    </row>
    <row r="572" spans="1:11" x14ac:dyDescent="0.2">
      <c r="A572" t="s">
        <v>2395</v>
      </c>
      <c r="B572" t="s">
        <v>1905</v>
      </c>
      <c r="C572" t="s">
        <v>2045</v>
      </c>
      <c r="D572" t="s">
        <v>3138</v>
      </c>
      <c r="E572" t="s">
        <v>4852</v>
      </c>
      <c r="F572" t="s">
        <v>4853</v>
      </c>
      <c r="G572" t="s">
        <v>3653</v>
      </c>
      <c r="I572" t="s">
        <v>4676</v>
      </c>
      <c r="J572" t="s">
        <v>4069</v>
      </c>
      <c r="K572" t="s">
        <v>4807</v>
      </c>
    </row>
    <row r="573" spans="1:11" x14ac:dyDescent="0.2">
      <c r="A573" t="s">
        <v>2396</v>
      </c>
      <c r="B573" t="s">
        <v>1905</v>
      </c>
      <c r="C573" t="s">
        <v>2046</v>
      </c>
      <c r="D573" t="s">
        <v>3139</v>
      </c>
      <c r="E573" t="s">
        <v>4854</v>
      </c>
      <c r="F573" t="s">
        <v>4855</v>
      </c>
      <c r="G573" t="s">
        <v>3657</v>
      </c>
      <c r="I573" t="s">
        <v>4676</v>
      </c>
      <c r="J573" t="s">
        <v>4069</v>
      </c>
      <c r="K573" t="s">
        <v>4807</v>
      </c>
    </row>
    <row r="574" spans="1:11" x14ac:dyDescent="0.2">
      <c r="A574" t="s">
        <v>2397</v>
      </c>
      <c r="B574" t="s">
        <v>1905</v>
      </c>
      <c r="C574" t="s">
        <v>2047</v>
      </c>
      <c r="D574" t="s">
        <v>3140</v>
      </c>
      <c r="E574" t="s">
        <v>4856</v>
      </c>
      <c r="F574" t="s">
        <v>4857</v>
      </c>
      <c r="G574" t="s">
        <v>2047</v>
      </c>
      <c r="I574" t="s">
        <v>4676</v>
      </c>
      <c r="J574" t="s">
        <v>4069</v>
      </c>
      <c r="K574" t="s">
        <v>4807</v>
      </c>
    </row>
    <row r="575" spans="1:11" x14ac:dyDescent="0.2">
      <c r="A575" t="s">
        <v>2398</v>
      </c>
      <c r="B575" t="s">
        <v>1905</v>
      </c>
      <c r="C575" t="s">
        <v>2048</v>
      </c>
      <c r="D575" t="s">
        <v>3141</v>
      </c>
      <c r="E575" t="s">
        <v>4858</v>
      </c>
      <c r="F575" t="s">
        <v>4859</v>
      </c>
      <c r="G575" t="s">
        <v>2048</v>
      </c>
      <c r="I575" t="s">
        <v>4676</v>
      </c>
      <c r="J575" t="s">
        <v>4069</v>
      </c>
      <c r="K575" t="s">
        <v>4807</v>
      </c>
    </row>
    <row r="576" spans="1:11" x14ac:dyDescent="0.2">
      <c r="A576" t="s">
        <v>2399</v>
      </c>
      <c r="B576" t="s">
        <v>1905</v>
      </c>
      <c r="C576" t="s">
        <v>2049</v>
      </c>
      <c r="D576" t="s">
        <v>3142</v>
      </c>
      <c r="E576" t="s">
        <v>4860</v>
      </c>
      <c r="F576" t="s">
        <v>4861</v>
      </c>
      <c r="G576" t="s">
        <v>2049</v>
      </c>
      <c r="I576" t="s">
        <v>4676</v>
      </c>
      <c r="J576" t="s">
        <v>4069</v>
      </c>
      <c r="K576" t="s">
        <v>4807</v>
      </c>
    </row>
    <row r="577" spans="1:11" x14ac:dyDescent="0.2">
      <c r="A577" t="s">
        <v>2400</v>
      </c>
      <c r="B577" t="s">
        <v>1905</v>
      </c>
      <c r="C577" t="s">
        <v>2074</v>
      </c>
      <c r="D577" t="s">
        <v>3143</v>
      </c>
      <c r="E577" t="s">
        <v>4862</v>
      </c>
      <c r="F577" t="s">
        <v>4863</v>
      </c>
      <c r="G577" t="s">
        <v>3672</v>
      </c>
      <c r="I577" t="s">
        <v>4676</v>
      </c>
      <c r="J577" t="s">
        <v>4069</v>
      </c>
      <c r="K577" t="s">
        <v>4807</v>
      </c>
    </row>
    <row r="578" spans="1:11" x14ac:dyDescent="0.2">
      <c r="A578" t="s">
        <v>2401</v>
      </c>
      <c r="B578" t="s">
        <v>1905</v>
      </c>
      <c r="C578" t="s">
        <v>2051</v>
      </c>
      <c r="D578" t="s">
        <v>3144</v>
      </c>
      <c r="E578" t="s">
        <v>4864</v>
      </c>
      <c r="F578" t="s">
        <v>4865</v>
      </c>
      <c r="G578" t="s">
        <v>3676</v>
      </c>
      <c r="I578" t="s">
        <v>4676</v>
      </c>
      <c r="J578" t="s">
        <v>4069</v>
      </c>
      <c r="K578" t="s">
        <v>4807</v>
      </c>
    </row>
    <row r="579" spans="1:11" x14ac:dyDescent="0.2">
      <c r="A579" t="s">
        <v>2402</v>
      </c>
      <c r="B579" t="s">
        <v>1905</v>
      </c>
      <c r="C579" t="s">
        <v>2052</v>
      </c>
      <c r="D579" t="s">
        <v>3145</v>
      </c>
      <c r="E579" t="s">
        <v>4866</v>
      </c>
      <c r="F579" t="s">
        <v>4867</v>
      </c>
      <c r="G579" t="s">
        <v>3680</v>
      </c>
      <c r="I579" t="s">
        <v>4676</v>
      </c>
      <c r="J579" t="s">
        <v>4069</v>
      </c>
      <c r="K579" t="s">
        <v>4807</v>
      </c>
    </row>
    <row r="580" spans="1:11" x14ac:dyDescent="0.2">
      <c r="A580" t="s">
        <v>2403</v>
      </c>
      <c r="B580" t="s">
        <v>1905</v>
      </c>
      <c r="C580" t="s">
        <v>2053</v>
      </c>
      <c r="D580" t="s">
        <v>3146</v>
      </c>
      <c r="E580" t="s">
        <v>4868</v>
      </c>
      <c r="F580" t="s">
        <v>4869</v>
      </c>
      <c r="G580" t="s">
        <v>3684</v>
      </c>
      <c r="I580" t="s">
        <v>4676</v>
      </c>
      <c r="J580" t="s">
        <v>4069</v>
      </c>
      <c r="K580" t="s">
        <v>4807</v>
      </c>
    </row>
    <row r="581" spans="1:11" x14ac:dyDescent="0.2">
      <c r="A581" t="s">
        <v>2404</v>
      </c>
      <c r="B581" t="s">
        <v>1905</v>
      </c>
      <c r="C581" t="s">
        <v>2054</v>
      </c>
      <c r="D581" t="s">
        <v>3147</v>
      </c>
      <c r="E581" t="s">
        <v>4870</v>
      </c>
      <c r="F581" t="s">
        <v>4871</v>
      </c>
      <c r="G581" t="s">
        <v>2054</v>
      </c>
      <c r="I581" t="s">
        <v>4676</v>
      </c>
      <c r="J581" t="s">
        <v>4069</v>
      </c>
      <c r="K581" t="s">
        <v>4807</v>
      </c>
    </row>
    <row r="582" spans="1:11" x14ac:dyDescent="0.2">
      <c r="A582" t="s">
        <v>2405</v>
      </c>
      <c r="B582" t="s">
        <v>1905</v>
      </c>
      <c r="C582" t="s">
        <v>2055</v>
      </c>
      <c r="D582" t="s">
        <v>3148</v>
      </c>
      <c r="E582" t="s">
        <v>4872</v>
      </c>
      <c r="F582" t="s">
        <v>4873</v>
      </c>
      <c r="G582" t="s">
        <v>2055</v>
      </c>
      <c r="I582" t="s">
        <v>4676</v>
      </c>
      <c r="J582" t="s">
        <v>4069</v>
      </c>
      <c r="K582" t="s">
        <v>4807</v>
      </c>
    </row>
    <row r="583" spans="1:11" x14ac:dyDescent="0.2">
      <c r="A583" t="s">
        <v>2406</v>
      </c>
      <c r="B583" t="s">
        <v>1905</v>
      </c>
      <c r="C583" t="s">
        <v>2056</v>
      </c>
      <c r="D583" t="s">
        <v>3149</v>
      </c>
      <c r="E583" t="s">
        <v>4874</v>
      </c>
      <c r="F583" t="s">
        <v>4875</v>
      </c>
      <c r="G583" t="s">
        <v>2056</v>
      </c>
      <c r="I583" t="s">
        <v>4676</v>
      </c>
      <c r="J583" t="s">
        <v>4069</v>
      </c>
      <c r="K583" t="s">
        <v>4807</v>
      </c>
    </row>
    <row r="584" spans="1:11" x14ac:dyDescent="0.2">
      <c r="A584" t="s">
        <v>2407</v>
      </c>
      <c r="B584" t="s">
        <v>1905</v>
      </c>
      <c r="C584" t="s">
        <v>2057</v>
      </c>
      <c r="D584" t="s">
        <v>3150</v>
      </c>
      <c r="E584" t="s">
        <v>4876</v>
      </c>
      <c r="F584" t="s">
        <v>4877</v>
      </c>
      <c r="G584" t="s">
        <v>3699</v>
      </c>
      <c r="I584" t="s">
        <v>4676</v>
      </c>
      <c r="J584" t="s">
        <v>4069</v>
      </c>
      <c r="K584" t="s">
        <v>4807</v>
      </c>
    </row>
    <row r="585" spans="1:11" x14ac:dyDescent="0.2">
      <c r="A585" t="s">
        <v>2408</v>
      </c>
      <c r="B585" t="s">
        <v>1905</v>
      </c>
      <c r="C585" t="s">
        <v>1953</v>
      </c>
      <c r="D585" t="s">
        <v>3151</v>
      </c>
      <c r="E585" t="s">
        <v>4878</v>
      </c>
      <c r="F585" t="s">
        <v>4879</v>
      </c>
      <c r="G585" t="s">
        <v>4438</v>
      </c>
      <c r="I585" t="s">
        <v>4676</v>
      </c>
      <c r="J585" t="s">
        <v>4069</v>
      </c>
      <c r="K585" t="s">
        <v>4807</v>
      </c>
    </row>
    <row r="586" spans="1:11" x14ac:dyDescent="0.2">
      <c r="A586" t="s">
        <v>2409</v>
      </c>
      <c r="B586" t="s">
        <v>1905</v>
      </c>
      <c r="C586" t="s">
        <v>1954</v>
      </c>
      <c r="D586" t="s">
        <v>3152</v>
      </c>
      <c r="E586" t="s">
        <v>4880</v>
      </c>
      <c r="F586" t="s">
        <v>4881</v>
      </c>
      <c r="G586" t="s">
        <v>4441</v>
      </c>
      <c r="I586" t="s">
        <v>4676</v>
      </c>
      <c r="J586" t="s">
        <v>4069</v>
      </c>
      <c r="K586" t="s">
        <v>4807</v>
      </c>
    </row>
    <row r="587" spans="1:11" x14ac:dyDescent="0.2">
      <c r="A587" t="s">
        <v>2410</v>
      </c>
      <c r="B587" t="s">
        <v>1905</v>
      </c>
      <c r="C587" t="s">
        <v>1955</v>
      </c>
      <c r="D587" t="s">
        <v>3153</v>
      </c>
      <c r="E587" t="s">
        <v>4882</v>
      </c>
      <c r="F587" t="s">
        <v>4883</v>
      </c>
      <c r="G587" t="s">
        <v>4444</v>
      </c>
      <c r="I587" t="s">
        <v>4676</v>
      </c>
      <c r="J587" t="s">
        <v>4069</v>
      </c>
      <c r="K587" t="s">
        <v>4807</v>
      </c>
    </row>
    <row r="588" spans="1:11" x14ac:dyDescent="0.2">
      <c r="A588" t="s">
        <v>2411</v>
      </c>
      <c r="B588" t="s">
        <v>1905</v>
      </c>
      <c r="C588" t="s">
        <v>1956</v>
      </c>
      <c r="D588" t="s">
        <v>3154</v>
      </c>
      <c r="E588" t="s">
        <v>4884</v>
      </c>
      <c r="F588" t="s">
        <v>4885</v>
      </c>
      <c r="G588" t="s">
        <v>4447</v>
      </c>
      <c r="I588" t="s">
        <v>4676</v>
      </c>
      <c r="J588" t="s">
        <v>4069</v>
      </c>
      <c r="K588" t="s">
        <v>4807</v>
      </c>
    </row>
    <row r="589" spans="1:11" x14ac:dyDescent="0.2">
      <c r="A589" t="s">
        <v>2412</v>
      </c>
      <c r="B589" t="s">
        <v>1905</v>
      </c>
      <c r="C589" t="s">
        <v>1957</v>
      </c>
      <c r="D589" t="s">
        <v>3155</v>
      </c>
      <c r="E589" t="s">
        <v>4886</v>
      </c>
      <c r="F589" t="s">
        <v>4887</v>
      </c>
      <c r="G589" t="s">
        <v>4450</v>
      </c>
      <c r="I589" t="s">
        <v>4676</v>
      </c>
      <c r="J589" t="s">
        <v>4069</v>
      </c>
      <c r="K589" t="s">
        <v>4807</v>
      </c>
    </row>
    <row r="590" spans="1:11" x14ac:dyDescent="0.2">
      <c r="A590" t="s">
        <v>2413</v>
      </c>
      <c r="B590" t="s">
        <v>1905</v>
      </c>
      <c r="C590" t="s">
        <v>1958</v>
      </c>
      <c r="D590" t="s">
        <v>3156</v>
      </c>
      <c r="E590" t="s">
        <v>4888</v>
      </c>
      <c r="F590" t="s">
        <v>4889</v>
      </c>
      <c r="G590" t="s">
        <v>4453</v>
      </c>
      <c r="I590" t="s">
        <v>4676</v>
      </c>
      <c r="J590" t="s">
        <v>4069</v>
      </c>
      <c r="K590" t="s">
        <v>4807</v>
      </c>
    </row>
    <row r="591" spans="1:11" x14ac:dyDescent="0.2">
      <c r="A591" t="s">
        <v>2414</v>
      </c>
      <c r="B591" t="s">
        <v>1905</v>
      </c>
      <c r="C591" t="s">
        <v>2075</v>
      </c>
      <c r="D591" t="s">
        <v>3157</v>
      </c>
      <c r="E591" t="s">
        <v>4890</v>
      </c>
      <c r="F591" t="s">
        <v>4891</v>
      </c>
      <c r="G591" t="s">
        <v>4456</v>
      </c>
      <c r="I591" t="s">
        <v>4676</v>
      </c>
      <c r="J591" t="s">
        <v>4069</v>
      </c>
      <c r="K591" t="s">
        <v>4807</v>
      </c>
    </row>
    <row r="592" spans="1:11" x14ac:dyDescent="0.2">
      <c r="A592" t="s">
        <v>2415</v>
      </c>
      <c r="B592" t="s">
        <v>3502</v>
      </c>
      <c r="C592" t="s">
        <v>2080</v>
      </c>
      <c r="D592" t="s">
        <v>4892</v>
      </c>
      <c r="I592" t="s">
        <v>4893</v>
      </c>
      <c r="J592" t="s">
        <v>3834</v>
      </c>
      <c r="K592" t="s">
        <v>4894</v>
      </c>
    </row>
    <row r="593" spans="1:11" x14ac:dyDescent="0.2">
      <c r="A593" t="s">
        <v>2416</v>
      </c>
      <c r="B593" t="s">
        <v>1905</v>
      </c>
      <c r="C593" t="s">
        <v>1965</v>
      </c>
      <c r="D593" t="s">
        <v>3158</v>
      </c>
      <c r="E593" t="s">
        <v>4895</v>
      </c>
      <c r="F593" t="s">
        <v>4896</v>
      </c>
      <c r="G593" t="s">
        <v>3833</v>
      </c>
      <c r="I593" t="s">
        <v>4893</v>
      </c>
      <c r="J593" t="s">
        <v>3834</v>
      </c>
      <c r="K593" t="s">
        <v>4894</v>
      </c>
    </row>
    <row r="594" spans="1:11" x14ac:dyDescent="0.2">
      <c r="A594" t="s">
        <v>2417</v>
      </c>
      <c r="B594" t="s">
        <v>1905</v>
      </c>
      <c r="C594" t="s">
        <v>1966</v>
      </c>
      <c r="D594" t="s">
        <v>3159</v>
      </c>
      <c r="E594" t="s">
        <v>4897</v>
      </c>
      <c r="F594" t="s">
        <v>4898</v>
      </c>
      <c r="G594" t="s">
        <v>3838</v>
      </c>
      <c r="I594" t="s">
        <v>4893</v>
      </c>
      <c r="J594" t="s">
        <v>3834</v>
      </c>
      <c r="K594" t="s">
        <v>4894</v>
      </c>
    </row>
    <row r="595" spans="1:11" x14ac:dyDescent="0.2">
      <c r="A595" t="s">
        <v>2418</v>
      </c>
      <c r="B595" t="s">
        <v>1905</v>
      </c>
      <c r="C595" t="s">
        <v>1967</v>
      </c>
      <c r="D595" t="s">
        <v>3160</v>
      </c>
      <c r="E595" t="s">
        <v>4899</v>
      </c>
      <c r="F595" t="s">
        <v>4900</v>
      </c>
      <c r="G595" t="s">
        <v>3842</v>
      </c>
      <c r="I595" t="s">
        <v>4893</v>
      </c>
      <c r="J595" t="s">
        <v>3834</v>
      </c>
      <c r="K595" t="s">
        <v>4894</v>
      </c>
    </row>
    <row r="596" spans="1:11" x14ac:dyDescent="0.2">
      <c r="A596" t="s">
        <v>2419</v>
      </c>
      <c r="B596" t="s">
        <v>1905</v>
      </c>
      <c r="C596" t="s">
        <v>1968</v>
      </c>
      <c r="D596" t="s">
        <v>3161</v>
      </c>
      <c r="E596" t="s">
        <v>4901</v>
      </c>
      <c r="F596" t="s">
        <v>4902</v>
      </c>
      <c r="G596" t="s">
        <v>1968</v>
      </c>
      <c r="I596" t="s">
        <v>4893</v>
      </c>
      <c r="J596" t="s">
        <v>3834</v>
      </c>
      <c r="K596" t="s">
        <v>4894</v>
      </c>
    </row>
    <row r="597" spans="1:11" x14ac:dyDescent="0.2">
      <c r="A597" t="s">
        <v>2420</v>
      </c>
      <c r="B597" t="s">
        <v>1905</v>
      </c>
      <c r="C597" t="s">
        <v>1969</v>
      </c>
      <c r="D597" t="s">
        <v>3162</v>
      </c>
      <c r="E597" t="s">
        <v>4903</v>
      </c>
      <c r="F597" t="s">
        <v>4904</v>
      </c>
      <c r="G597" t="s">
        <v>1969</v>
      </c>
      <c r="I597" t="s">
        <v>4893</v>
      </c>
      <c r="J597" t="s">
        <v>3834</v>
      </c>
      <c r="K597" t="s">
        <v>4894</v>
      </c>
    </row>
    <row r="598" spans="1:11" x14ac:dyDescent="0.2">
      <c r="A598" t="s">
        <v>2421</v>
      </c>
      <c r="B598" t="s">
        <v>1905</v>
      </c>
      <c r="C598" t="s">
        <v>1970</v>
      </c>
      <c r="D598" t="s">
        <v>3163</v>
      </c>
      <c r="E598" t="s">
        <v>4905</v>
      </c>
      <c r="F598" t="s">
        <v>4906</v>
      </c>
      <c r="G598" t="s">
        <v>1970</v>
      </c>
      <c r="I598" t="s">
        <v>4893</v>
      </c>
      <c r="J598" t="s">
        <v>3834</v>
      </c>
      <c r="K598" t="s">
        <v>4894</v>
      </c>
    </row>
    <row r="599" spans="1:11" x14ac:dyDescent="0.2">
      <c r="A599" t="s">
        <v>2422</v>
      </c>
      <c r="B599" t="s">
        <v>1905</v>
      </c>
      <c r="C599" t="s">
        <v>1971</v>
      </c>
      <c r="D599" t="s">
        <v>3164</v>
      </c>
      <c r="E599" t="s">
        <v>4907</v>
      </c>
      <c r="F599" t="s">
        <v>4908</v>
      </c>
      <c r="G599" t="s">
        <v>3855</v>
      </c>
      <c r="I599" t="s">
        <v>4893</v>
      </c>
      <c r="J599" t="s">
        <v>3834</v>
      </c>
      <c r="K599" t="s">
        <v>4894</v>
      </c>
    </row>
    <row r="600" spans="1:11" x14ac:dyDescent="0.2">
      <c r="A600" t="s">
        <v>2423</v>
      </c>
      <c r="B600" t="s">
        <v>1905</v>
      </c>
      <c r="C600" t="s">
        <v>1972</v>
      </c>
      <c r="D600" t="s">
        <v>3165</v>
      </c>
      <c r="E600" t="s">
        <v>4909</v>
      </c>
      <c r="F600" t="s">
        <v>4910</v>
      </c>
      <c r="G600" t="s">
        <v>3859</v>
      </c>
      <c r="I600" t="s">
        <v>4893</v>
      </c>
      <c r="J600" t="s">
        <v>3834</v>
      </c>
      <c r="K600" t="s">
        <v>4894</v>
      </c>
    </row>
    <row r="601" spans="1:11" x14ac:dyDescent="0.2">
      <c r="A601" t="s">
        <v>2424</v>
      </c>
      <c r="B601" t="s">
        <v>1905</v>
      </c>
      <c r="C601" t="s">
        <v>1973</v>
      </c>
      <c r="D601" t="s">
        <v>3166</v>
      </c>
      <c r="E601" t="s">
        <v>4911</v>
      </c>
      <c r="F601" t="s">
        <v>4912</v>
      </c>
      <c r="G601" t="s">
        <v>3863</v>
      </c>
      <c r="I601" t="s">
        <v>4893</v>
      </c>
      <c r="J601" t="s">
        <v>3834</v>
      </c>
      <c r="K601" t="s">
        <v>4894</v>
      </c>
    </row>
    <row r="602" spans="1:11" x14ac:dyDescent="0.2">
      <c r="A602" t="s">
        <v>2425</v>
      </c>
      <c r="B602" t="s">
        <v>1905</v>
      </c>
      <c r="C602" t="s">
        <v>1974</v>
      </c>
      <c r="D602" t="s">
        <v>3167</v>
      </c>
      <c r="E602" t="s">
        <v>4913</v>
      </c>
      <c r="F602" t="s">
        <v>4914</v>
      </c>
      <c r="G602" t="s">
        <v>3867</v>
      </c>
      <c r="I602" t="s">
        <v>4893</v>
      </c>
      <c r="J602" t="s">
        <v>3834</v>
      </c>
      <c r="K602" t="s">
        <v>4894</v>
      </c>
    </row>
    <row r="603" spans="1:11" x14ac:dyDescent="0.2">
      <c r="A603" t="s">
        <v>2426</v>
      </c>
      <c r="B603" t="s">
        <v>1905</v>
      </c>
      <c r="C603" t="s">
        <v>1975</v>
      </c>
      <c r="D603" t="s">
        <v>3168</v>
      </c>
      <c r="E603" t="s">
        <v>4915</v>
      </c>
      <c r="F603" t="s">
        <v>4916</v>
      </c>
      <c r="G603" t="s">
        <v>1975</v>
      </c>
      <c r="I603" t="s">
        <v>4893</v>
      </c>
      <c r="J603" t="s">
        <v>3834</v>
      </c>
      <c r="K603" t="s">
        <v>4894</v>
      </c>
    </row>
    <row r="604" spans="1:11" x14ac:dyDescent="0.2">
      <c r="A604" t="s">
        <v>2427</v>
      </c>
      <c r="B604" t="s">
        <v>1905</v>
      </c>
      <c r="C604" t="s">
        <v>1976</v>
      </c>
      <c r="D604" t="s">
        <v>3169</v>
      </c>
      <c r="E604" t="s">
        <v>4917</v>
      </c>
      <c r="F604" t="s">
        <v>4918</v>
      </c>
      <c r="G604" t="s">
        <v>1976</v>
      </c>
      <c r="I604" t="s">
        <v>4893</v>
      </c>
      <c r="J604" t="s">
        <v>3834</v>
      </c>
      <c r="K604" t="s">
        <v>4894</v>
      </c>
    </row>
    <row r="605" spans="1:11" x14ac:dyDescent="0.2">
      <c r="A605" t="s">
        <v>2428</v>
      </c>
      <c r="B605" t="s">
        <v>1905</v>
      </c>
      <c r="C605" t="s">
        <v>1977</v>
      </c>
      <c r="D605" t="s">
        <v>3170</v>
      </c>
      <c r="E605" t="s">
        <v>4919</v>
      </c>
      <c r="F605" t="s">
        <v>4920</v>
      </c>
      <c r="G605" t="s">
        <v>1977</v>
      </c>
      <c r="I605" t="s">
        <v>4893</v>
      </c>
      <c r="J605" t="s">
        <v>3834</v>
      </c>
      <c r="K605" t="s">
        <v>4894</v>
      </c>
    </row>
    <row r="606" spans="1:11" x14ac:dyDescent="0.2">
      <c r="A606" t="s">
        <v>2429</v>
      </c>
      <c r="B606" t="s">
        <v>1905</v>
      </c>
      <c r="C606" t="s">
        <v>1978</v>
      </c>
      <c r="D606" t="s">
        <v>3171</v>
      </c>
      <c r="E606" t="s">
        <v>4921</v>
      </c>
      <c r="F606" t="s">
        <v>4922</v>
      </c>
      <c r="G606" t="s">
        <v>3880</v>
      </c>
      <c r="I606" t="s">
        <v>4893</v>
      </c>
      <c r="J606" t="s">
        <v>3834</v>
      </c>
      <c r="K606" t="s">
        <v>4894</v>
      </c>
    </row>
    <row r="607" spans="1:11" x14ac:dyDescent="0.2">
      <c r="A607" t="s">
        <v>2430</v>
      </c>
      <c r="B607" t="s">
        <v>1905</v>
      </c>
      <c r="C607" t="s">
        <v>1979</v>
      </c>
      <c r="D607" t="s">
        <v>3172</v>
      </c>
      <c r="E607" t="s">
        <v>4923</v>
      </c>
      <c r="F607" t="s">
        <v>4924</v>
      </c>
      <c r="G607" t="s">
        <v>3884</v>
      </c>
      <c r="I607" t="s">
        <v>4893</v>
      </c>
      <c r="J607" t="s">
        <v>3834</v>
      </c>
      <c r="K607" t="s">
        <v>4894</v>
      </c>
    </row>
    <row r="608" spans="1:11" x14ac:dyDescent="0.2">
      <c r="A608" t="s">
        <v>2431</v>
      </c>
      <c r="B608" t="s">
        <v>1905</v>
      </c>
      <c r="C608" t="s">
        <v>1980</v>
      </c>
      <c r="D608" t="s">
        <v>3173</v>
      </c>
      <c r="E608" t="s">
        <v>4925</v>
      </c>
      <c r="F608" t="s">
        <v>4926</v>
      </c>
      <c r="G608" t="s">
        <v>3888</v>
      </c>
      <c r="I608" t="s">
        <v>4893</v>
      </c>
      <c r="J608" t="s">
        <v>3834</v>
      </c>
      <c r="K608" t="s">
        <v>4894</v>
      </c>
    </row>
    <row r="609" spans="1:11" x14ac:dyDescent="0.2">
      <c r="A609" t="s">
        <v>2432</v>
      </c>
      <c r="B609" t="s">
        <v>1905</v>
      </c>
      <c r="C609" t="s">
        <v>1981</v>
      </c>
      <c r="D609" t="s">
        <v>3174</v>
      </c>
      <c r="E609" t="s">
        <v>4927</v>
      </c>
      <c r="F609" t="s">
        <v>4928</v>
      </c>
      <c r="G609" t="s">
        <v>3892</v>
      </c>
      <c r="I609" t="s">
        <v>4893</v>
      </c>
      <c r="J609" t="s">
        <v>3834</v>
      </c>
      <c r="K609" t="s">
        <v>4894</v>
      </c>
    </row>
    <row r="610" spans="1:11" x14ac:dyDescent="0.2">
      <c r="A610" t="s">
        <v>2433</v>
      </c>
      <c r="B610" t="s">
        <v>1905</v>
      </c>
      <c r="C610" t="s">
        <v>1982</v>
      </c>
      <c r="D610" t="s">
        <v>3175</v>
      </c>
      <c r="E610" t="s">
        <v>4929</v>
      </c>
      <c r="F610" t="s">
        <v>4930</v>
      </c>
      <c r="G610" t="s">
        <v>1982</v>
      </c>
      <c r="I610" t="s">
        <v>4893</v>
      </c>
      <c r="J610" t="s">
        <v>3834</v>
      </c>
      <c r="K610" t="s">
        <v>4894</v>
      </c>
    </row>
    <row r="611" spans="1:11" x14ac:dyDescent="0.2">
      <c r="A611" t="s">
        <v>2434</v>
      </c>
      <c r="B611" t="s">
        <v>1905</v>
      </c>
      <c r="C611" t="s">
        <v>1983</v>
      </c>
      <c r="D611" t="s">
        <v>3176</v>
      </c>
      <c r="E611" t="s">
        <v>4931</v>
      </c>
      <c r="F611" t="s">
        <v>4932</v>
      </c>
      <c r="G611" t="s">
        <v>1983</v>
      </c>
      <c r="I611" t="s">
        <v>4893</v>
      </c>
      <c r="J611" t="s">
        <v>3834</v>
      </c>
      <c r="K611" t="s">
        <v>4894</v>
      </c>
    </row>
    <row r="612" spans="1:11" x14ac:dyDescent="0.2">
      <c r="A612" t="s">
        <v>2435</v>
      </c>
      <c r="B612" t="s">
        <v>1905</v>
      </c>
      <c r="C612" t="s">
        <v>1984</v>
      </c>
      <c r="D612" t="s">
        <v>3177</v>
      </c>
      <c r="E612" t="s">
        <v>4933</v>
      </c>
      <c r="F612" t="s">
        <v>4934</v>
      </c>
      <c r="G612" t="s">
        <v>1984</v>
      </c>
      <c r="I612" t="s">
        <v>4893</v>
      </c>
      <c r="J612" t="s">
        <v>3834</v>
      </c>
      <c r="K612" t="s">
        <v>4894</v>
      </c>
    </row>
    <row r="613" spans="1:11" x14ac:dyDescent="0.2">
      <c r="A613" t="s">
        <v>2436</v>
      </c>
      <c r="B613" t="s">
        <v>1905</v>
      </c>
      <c r="C613" t="s">
        <v>1985</v>
      </c>
      <c r="D613" t="s">
        <v>3178</v>
      </c>
      <c r="E613" t="s">
        <v>4935</v>
      </c>
      <c r="F613" t="s">
        <v>4936</v>
      </c>
      <c r="G613" t="s">
        <v>3905</v>
      </c>
      <c r="I613" t="s">
        <v>4893</v>
      </c>
      <c r="J613" t="s">
        <v>3834</v>
      </c>
      <c r="K613" t="s">
        <v>4894</v>
      </c>
    </row>
    <row r="614" spans="1:11" x14ac:dyDescent="0.2">
      <c r="A614" t="s">
        <v>2437</v>
      </c>
      <c r="B614" t="s">
        <v>1905</v>
      </c>
      <c r="C614" t="s">
        <v>1986</v>
      </c>
      <c r="D614" t="s">
        <v>3179</v>
      </c>
      <c r="E614" t="s">
        <v>4937</v>
      </c>
      <c r="F614" t="s">
        <v>4938</v>
      </c>
      <c r="G614" t="s">
        <v>3909</v>
      </c>
      <c r="I614" t="s">
        <v>4893</v>
      </c>
      <c r="J614" t="s">
        <v>3834</v>
      </c>
      <c r="K614" t="s">
        <v>4894</v>
      </c>
    </row>
    <row r="615" spans="1:11" x14ac:dyDescent="0.2">
      <c r="A615" t="s">
        <v>2438</v>
      </c>
      <c r="B615" t="s">
        <v>1905</v>
      </c>
      <c r="C615" t="s">
        <v>1987</v>
      </c>
      <c r="D615" t="s">
        <v>3180</v>
      </c>
      <c r="E615" t="s">
        <v>4939</v>
      </c>
      <c r="F615" t="s">
        <v>4940</v>
      </c>
      <c r="G615" t="s">
        <v>3913</v>
      </c>
      <c r="I615" t="s">
        <v>4893</v>
      </c>
      <c r="J615" t="s">
        <v>3834</v>
      </c>
      <c r="K615" t="s">
        <v>4894</v>
      </c>
    </row>
    <row r="616" spans="1:11" x14ac:dyDescent="0.2">
      <c r="A616" t="s">
        <v>2439</v>
      </c>
      <c r="B616" t="s">
        <v>1905</v>
      </c>
      <c r="C616" t="s">
        <v>1988</v>
      </c>
      <c r="D616" t="s">
        <v>3181</v>
      </c>
      <c r="E616" t="s">
        <v>4941</v>
      </c>
      <c r="F616" t="s">
        <v>4942</v>
      </c>
      <c r="G616" t="s">
        <v>3917</v>
      </c>
      <c r="I616" t="s">
        <v>4893</v>
      </c>
      <c r="J616" t="s">
        <v>3834</v>
      </c>
      <c r="K616" t="s">
        <v>4894</v>
      </c>
    </row>
    <row r="617" spans="1:11" x14ac:dyDescent="0.2">
      <c r="A617" t="s">
        <v>2440</v>
      </c>
      <c r="B617" t="s">
        <v>1905</v>
      </c>
      <c r="C617" t="s">
        <v>1989</v>
      </c>
      <c r="D617" t="s">
        <v>3182</v>
      </c>
      <c r="E617" t="s">
        <v>4943</v>
      </c>
      <c r="F617" t="s">
        <v>4944</v>
      </c>
      <c r="G617" t="s">
        <v>1989</v>
      </c>
      <c r="I617" t="s">
        <v>4893</v>
      </c>
      <c r="J617" t="s">
        <v>3834</v>
      </c>
      <c r="K617" t="s">
        <v>4894</v>
      </c>
    </row>
    <row r="618" spans="1:11" x14ac:dyDescent="0.2">
      <c r="A618" t="s">
        <v>2441</v>
      </c>
      <c r="B618" t="s">
        <v>1905</v>
      </c>
      <c r="C618" t="s">
        <v>1990</v>
      </c>
      <c r="D618" t="s">
        <v>3183</v>
      </c>
      <c r="E618" t="s">
        <v>4945</v>
      </c>
      <c r="F618" t="s">
        <v>4946</v>
      </c>
      <c r="G618" t="s">
        <v>1990</v>
      </c>
      <c r="I618" t="s">
        <v>4893</v>
      </c>
      <c r="J618" t="s">
        <v>3834</v>
      </c>
      <c r="K618" t="s">
        <v>4894</v>
      </c>
    </row>
    <row r="619" spans="1:11" x14ac:dyDescent="0.2">
      <c r="A619" t="s">
        <v>2442</v>
      </c>
      <c r="B619" t="s">
        <v>1905</v>
      </c>
      <c r="C619" t="s">
        <v>1991</v>
      </c>
      <c r="D619" t="s">
        <v>3184</v>
      </c>
      <c r="E619" t="s">
        <v>4947</v>
      </c>
      <c r="F619" t="s">
        <v>4948</v>
      </c>
      <c r="G619" t="s">
        <v>1991</v>
      </c>
      <c r="I619" t="s">
        <v>4893</v>
      </c>
      <c r="J619" t="s">
        <v>3834</v>
      </c>
      <c r="K619" t="s">
        <v>4894</v>
      </c>
    </row>
    <row r="620" spans="1:11" x14ac:dyDescent="0.2">
      <c r="A620" t="s">
        <v>2443</v>
      </c>
      <c r="B620" t="s">
        <v>1905</v>
      </c>
      <c r="C620" t="s">
        <v>1992</v>
      </c>
      <c r="D620" t="s">
        <v>3185</v>
      </c>
      <c r="E620" t="s">
        <v>4949</v>
      </c>
      <c r="F620" t="s">
        <v>4950</v>
      </c>
      <c r="G620" t="s">
        <v>3930</v>
      </c>
      <c r="I620" t="s">
        <v>4893</v>
      </c>
      <c r="J620" t="s">
        <v>3834</v>
      </c>
      <c r="K620" t="s">
        <v>4894</v>
      </c>
    </row>
    <row r="621" spans="1:11" x14ac:dyDescent="0.2">
      <c r="A621" t="s">
        <v>2444</v>
      </c>
      <c r="B621" t="s">
        <v>1905</v>
      </c>
      <c r="C621" t="s">
        <v>1993</v>
      </c>
      <c r="D621" t="s">
        <v>3186</v>
      </c>
      <c r="E621" t="s">
        <v>4951</v>
      </c>
      <c r="F621" t="s">
        <v>4952</v>
      </c>
      <c r="G621" t="s">
        <v>3934</v>
      </c>
      <c r="I621" t="s">
        <v>4893</v>
      </c>
      <c r="J621" t="s">
        <v>3834</v>
      </c>
      <c r="K621" t="s">
        <v>4894</v>
      </c>
    </row>
    <row r="622" spans="1:11" x14ac:dyDescent="0.2">
      <c r="A622" t="s">
        <v>2445</v>
      </c>
      <c r="B622" t="s">
        <v>1905</v>
      </c>
      <c r="C622" t="s">
        <v>1994</v>
      </c>
      <c r="D622" t="s">
        <v>3187</v>
      </c>
      <c r="E622" t="s">
        <v>4953</v>
      </c>
      <c r="F622" t="s">
        <v>4954</v>
      </c>
      <c r="G622" t="s">
        <v>3938</v>
      </c>
      <c r="I622" t="s">
        <v>4893</v>
      </c>
      <c r="J622" t="s">
        <v>3834</v>
      </c>
      <c r="K622" t="s">
        <v>4894</v>
      </c>
    </row>
    <row r="623" spans="1:11" x14ac:dyDescent="0.2">
      <c r="A623" t="s">
        <v>2446</v>
      </c>
      <c r="B623" t="s">
        <v>1905</v>
      </c>
      <c r="C623" t="s">
        <v>1995</v>
      </c>
      <c r="D623" t="s">
        <v>3188</v>
      </c>
      <c r="E623" t="s">
        <v>4955</v>
      </c>
      <c r="F623" t="s">
        <v>4956</v>
      </c>
      <c r="G623" t="s">
        <v>3942</v>
      </c>
      <c r="I623" t="s">
        <v>4893</v>
      </c>
      <c r="J623" t="s">
        <v>3834</v>
      </c>
      <c r="K623" t="s">
        <v>4894</v>
      </c>
    </row>
    <row r="624" spans="1:11" x14ac:dyDescent="0.2">
      <c r="A624" t="s">
        <v>2447</v>
      </c>
      <c r="B624" t="s">
        <v>1905</v>
      </c>
      <c r="C624" t="s">
        <v>1996</v>
      </c>
      <c r="D624" t="s">
        <v>3189</v>
      </c>
      <c r="E624" t="s">
        <v>4957</v>
      </c>
      <c r="F624" t="s">
        <v>4958</v>
      </c>
      <c r="G624" t="s">
        <v>3946</v>
      </c>
      <c r="I624" t="s">
        <v>4893</v>
      </c>
      <c r="J624" t="s">
        <v>3834</v>
      </c>
      <c r="K624" t="s">
        <v>4894</v>
      </c>
    </row>
    <row r="625" spans="1:11" x14ac:dyDescent="0.2">
      <c r="A625" t="s">
        <v>2448</v>
      </c>
      <c r="B625" t="s">
        <v>1905</v>
      </c>
      <c r="C625" t="s">
        <v>1997</v>
      </c>
      <c r="D625" t="s">
        <v>3190</v>
      </c>
      <c r="E625" t="s">
        <v>4959</v>
      </c>
      <c r="F625" t="s">
        <v>4960</v>
      </c>
      <c r="G625" t="s">
        <v>3950</v>
      </c>
      <c r="I625" t="s">
        <v>4893</v>
      </c>
      <c r="J625" t="s">
        <v>3834</v>
      </c>
      <c r="K625" t="s">
        <v>4894</v>
      </c>
    </row>
    <row r="626" spans="1:11" x14ac:dyDescent="0.2">
      <c r="A626" t="s">
        <v>2449</v>
      </c>
      <c r="B626" t="s">
        <v>1905</v>
      </c>
      <c r="C626" t="s">
        <v>1998</v>
      </c>
      <c r="D626" t="s">
        <v>3191</v>
      </c>
      <c r="E626" t="s">
        <v>4961</v>
      </c>
      <c r="F626" t="s">
        <v>4962</v>
      </c>
      <c r="G626" t="s">
        <v>3954</v>
      </c>
      <c r="I626" t="s">
        <v>4893</v>
      </c>
      <c r="J626" t="s">
        <v>3834</v>
      </c>
      <c r="K626" t="s">
        <v>4894</v>
      </c>
    </row>
    <row r="627" spans="1:11" x14ac:dyDescent="0.2">
      <c r="A627" t="s">
        <v>2450</v>
      </c>
      <c r="B627" t="s">
        <v>1905</v>
      </c>
      <c r="C627" t="s">
        <v>1999</v>
      </c>
      <c r="D627" t="s">
        <v>3192</v>
      </c>
      <c r="E627" t="s">
        <v>4963</v>
      </c>
      <c r="F627" t="s">
        <v>4964</v>
      </c>
      <c r="G627" t="s">
        <v>3958</v>
      </c>
      <c r="I627" t="s">
        <v>4893</v>
      </c>
      <c r="J627" t="s">
        <v>3834</v>
      </c>
      <c r="K627" t="s">
        <v>4894</v>
      </c>
    </row>
    <row r="628" spans="1:11" x14ac:dyDescent="0.2">
      <c r="A628" t="s">
        <v>2451</v>
      </c>
      <c r="B628" t="s">
        <v>1905</v>
      </c>
      <c r="C628" t="s">
        <v>2000</v>
      </c>
      <c r="D628" t="s">
        <v>3193</v>
      </c>
      <c r="E628" t="s">
        <v>4965</v>
      </c>
      <c r="F628" t="s">
        <v>4966</v>
      </c>
      <c r="G628" t="s">
        <v>3962</v>
      </c>
      <c r="I628" t="s">
        <v>4893</v>
      </c>
      <c r="J628" t="s">
        <v>3834</v>
      </c>
      <c r="K628" t="s">
        <v>4894</v>
      </c>
    </row>
    <row r="629" spans="1:11" x14ac:dyDescent="0.2">
      <c r="A629" t="s">
        <v>2452</v>
      </c>
      <c r="B629" t="s">
        <v>1905</v>
      </c>
      <c r="C629" t="s">
        <v>2001</v>
      </c>
      <c r="D629" t="s">
        <v>3194</v>
      </c>
      <c r="E629" t="s">
        <v>4967</v>
      </c>
      <c r="F629" t="s">
        <v>4968</v>
      </c>
      <c r="G629" t="s">
        <v>3966</v>
      </c>
      <c r="I629" t="s">
        <v>4893</v>
      </c>
      <c r="J629" t="s">
        <v>3834</v>
      </c>
      <c r="K629" t="s">
        <v>4894</v>
      </c>
    </row>
    <row r="630" spans="1:11" x14ac:dyDescent="0.2">
      <c r="A630" t="s">
        <v>2453</v>
      </c>
      <c r="B630" t="s">
        <v>1905</v>
      </c>
      <c r="C630" t="s">
        <v>2002</v>
      </c>
      <c r="D630" t="s">
        <v>3195</v>
      </c>
      <c r="E630" t="s">
        <v>4969</v>
      </c>
      <c r="F630" t="s">
        <v>4970</v>
      </c>
      <c r="G630" t="s">
        <v>3970</v>
      </c>
      <c r="I630" t="s">
        <v>4893</v>
      </c>
      <c r="J630" t="s">
        <v>3834</v>
      </c>
      <c r="K630" t="s">
        <v>4894</v>
      </c>
    </row>
    <row r="631" spans="1:11" x14ac:dyDescent="0.2">
      <c r="A631" t="s">
        <v>2454</v>
      </c>
      <c r="B631" t="s">
        <v>1905</v>
      </c>
      <c r="C631" t="s">
        <v>2003</v>
      </c>
      <c r="D631" t="s">
        <v>3196</v>
      </c>
      <c r="E631" t="s">
        <v>4971</v>
      </c>
      <c r="F631" t="s">
        <v>4972</v>
      </c>
      <c r="G631" t="s">
        <v>2003</v>
      </c>
      <c r="I631" t="s">
        <v>4893</v>
      </c>
      <c r="J631" t="s">
        <v>3834</v>
      </c>
      <c r="K631" t="s">
        <v>4894</v>
      </c>
    </row>
    <row r="632" spans="1:11" x14ac:dyDescent="0.2">
      <c r="A632" t="s">
        <v>2455</v>
      </c>
      <c r="B632" t="s">
        <v>1905</v>
      </c>
      <c r="C632" t="s">
        <v>2004</v>
      </c>
      <c r="D632" t="s">
        <v>3197</v>
      </c>
      <c r="E632" t="s">
        <v>4973</v>
      </c>
      <c r="F632" t="s">
        <v>4974</v>
      </c>
      <c r="G632" t="s">
        <v>2004</v>
      </c>
      <c r="I632" t="s">
        <v>4893</v>
      </c>
      <c r="J632" t="s">
        <v>3834</v>
      </c>
      <c r="K632" t="s">
        <v>4894</v>
      </c>
    </row>
    <row r="633" spans="1:11" x14ac:dyDescent="0.2">
      <c r="A633" t="s">
        <v>2456</v>
      </c>
      <c r="B633" t="s">
        <v>1905</v>
      </c>
      <c r="C633" t="s">
        <v>2005</v>
      </c>
      <c r="D633" t="s">
        <v>3198</v>
      </c>
      <c r="E633" t="s">
        <v>4975</v>
      </c>
      <c r="F633" t="s">
        <v>4976</v>
      </c>
      <c r="G633" t="s">
        <v>2005</v>
      </c>
      <c r="I633" t="s">
        <v>4893</v>
      </c>
      <c r="J633" t="s">
        <v>3834</v>
      </c>
      <c r="K633" t="s">
        <v>4894</v>
      </c>
    </row>
    <row r="634" spans="1:11" x14ac:dyDescent="0.2">
      <c r="A634" t="s">
        <v>2457</v>
      </c>
      <c r="B634" t="s">
        <v>1905</v>
      </c>
      <c r="C634" t="s">
        <v>1957</v>
      </c>
      <c r="D634" t="s">
        <v>3199</v>
      </c>
      <c r="E634" t="s">
        <v>4977</v>
      </c>
      <c r="F634" t="s">
        <v>4978</v>
      </c>
      <c r="G634" t="s">
        <v>3983</v>
      </c>
      <c r="I634" t="s">
        <v>4893</v>
      </c>
      <c r="J634" t="s">
        <v>3834</v>
      </c>
      <c r="K634" t="s">
        <v>4894</v>
      </c>
    </row>
    <row r="635" spans="1:11" x14ac:dyDescent="0.2">
      <c r="A635" t="s">
        <v>2458</v>
      </c>
      <c r="B635" t="s">
        <v>1905</v>
      </c>
      <c r="C635" t="s">
        <v>2006</v>
      </c>
      <c r="D635" t="s">
        <v>3200</v>
      </c>
      <c r="E635" t="s">
        <v>4979</v>
      </c>
      <c r="F635" t="s">
        <v>4980</v>
      </c>
      <c r="G635" t="s">
        <v>3987</v>
      </c>
      <c r="I635" t="s">
        <v>4893</v>
      </c>
      <c r="J635" t="s">
        <v>3834</v>
      </c>
      <c r="K635" t="s">
        <v>4894</v>
      </c>
    </row>
    <row r="636" spans="1:11" x14ac:dyDescent="0.2">
      <c r="A636" t="s">
        <v>2459</v>
      </c>
      <c r="B636" t="s">
        <v>1905</v>
      </c>
      <c r="C636" t="s">
        <v>2007</v>
      </c>
      <c r="D636" t="s">
        <v>3201</v>
      </c>
      <c r="E636" t="s">
        <v>4981</v>
      </c>
      <c r="F636" t="s">
        <v>4982</v>
      </c>
      <c r="G636" t="s">
        <v>3991</v>
      </c>
      <c r="I636" t="s">
        <v>4893</v>
      </c>
      <c r="J636" t="s">
        <v>3834</v>
      </c>
      <c r="K636" t="s">
        <v>4894</v>
      </c>
    </row>
    <row r="637" spans="1:11" x14ac:dyDescent="0.2">
      <c r="A637" t="s">
        <v>2460</v>
      </c>
      <c r="B637" t="s">
        <v>1905</v>
      </c>
      <c r="C637" t="s">
        <v>2008</v>
      </c>
      <c r="D637" t="s">
        <v>3202</v>
      </c>
      <c r="E637" t="s">
        <v>4983</v>
      </c>
      <c r="F637" t="s">
        <v>4984</v>
      </c>
      <c r="G637" t="s">
        <v>3995</v>
      </c>
      <c r="I637" t="s">
        <v>4893</v>
      </c>
      <c r="J637" t="s">
        <v>3834</v>
      </c>
      <c r="K637" t="s">
        <v>4894</v>
      </c>
    </row>
    <row r="638" spans="1:11" x14ac:dyDescent="0.2">
      <c r="A638" t="s">
        <v>2461</v>
      </c>
      <c r="B638" t="s">
        <v>1905</v>
      </c>
      <c r="C638" t="s">
        <v>2009</v>
      </c>
      <c r="D638" t="s">
        <v>3203</v>
      </c>
      <c r="E638" t="s">
        <v>4985</v>
      </c>
      <c r="F638" t="s">
        <v>4986</v>
      </c>
      <c r="G638" t="s">
        <v>3999</v>
      </c>
      <c r="I638" t="s">
        <v>4893</v>
      </c>
      <c r="J638" t="s">
        <v>3834</v>
      </c>
      <c r="K638" t="s">
        <v>4894</v>
      </c>
    </row>
    <row r="639" spans="1:11" x14ac:dyDescent="0.2">
      <c r="A639" t="s">
        <v>2462</v>
      </c>
      <c r="B639" t="s">
        <v>1905</v>
      </c>
      <c r="C639" t="s">
        <v>2010</v>
      </c>
      <c r="D639" t="s">
        <v>3204</v>
      </c>
      <c r="E639" t="s">
        <v>4987</v>
      </c>
      <c r="F639" t="s">
        <v>4988</v>
      </c>
      <c r="G639" t="s">
        <v>4003</v>
      </c>
      <c r="I639" t="s">
        <v>4893</v>
      </c>
      <c r="J639" t="s">
        <v>3834</v>
      </c>
      <c r="K639" t="s">
        <v>4894</v>
      </c>
    </row>
    <row r="640" spans="1:11" x14ac:dyDescent="0.2">
      <c r="A640" t="s">
        <v>2463</v>
      </c>
      <c r="B640" t="s">
        <v>1905</v>
      </c>
      <c r="C640" t="s">
        <v>2011</v>
      </c>
      <c r="D640" t="s">
        <v>3205</v>
      </c>
      <c r="E640" t="s">
        <v>4989</v>
      </c>
      <c r="F640" t="s">
        <v>4990</v>
      </c>
      <c r="G640" t="s">
        <v>4007</v>
      </c>
      <c r="I640" t="s">
        <v>4893</v>
      </c>
      <c r="J640" t="s">
        <v>3834</v>
      </c>
      <c r="K640" t="s">
        <v>4894</v>
      </c>
    </row>
    <row r="641" spans="1:11" x14ac:dyDescent="0.2">
      <c r="A641" t="s">
        <v>2464</v>
      </c>
      <c r="B641" t="s">
        <v>1905</v>
      </c>
      <c r="C641" t="s">
        <v>2012</v>
      </c>
      <c r="D641" t="s">
        <v>3206</v>
      </c>
      <c r="E641" t="s">
        <v>4991</v>
      </c>
      <c r="F641" t="s">
        <v>4992</v>
      </c>
      <c r="G641" t="s">
        <v>4011</v>
      </c>
      <c r="I641" t="s">
        <v>4893</v>
      </c>
      <c r="J641" t="s">
        <v>3834</v>
      </c>
      <c r="K641" t="s">
        <v>4894</v>
      </c>
    </row>
    <row r="642" spans="1:11" x14ac:dyDescent="0.2">
      <c r="A642" t="s">
        <v>2465</v>
      </c>
      <c r="B642" t="s">
        <v>1890</v>
      </c>
      <c r="C642" t="s">
        <v>2013</v>
      </c>
      <c r="D642" t="s">
        <v>3207</v>
      </c>
      <c r="E642" t="s">
        <v>4993</v>
      </c>
      <c r="F642" t="s">
        <v>4994</v>
      </c>
      <c r="G642" t="s">
        <v>4015</v>
      </c>
      <c r="I642" t="s">
        <v>4893</v>
      </c>
      <c r="J642" t="s">
        <v>3834</v>
      </c>
      <c r="K642" t="s">
        <v>4894</v>
      </c>
    </row>
    <row r="643" spans="1:11" x14ac:dyDescent="0.2">
      <c r="A643" t="s">
        <v>2466</v>
      </c>
      <c r="B643" t="s">
        <v>1905</v>
      </c>
      <c r="C643" t="s">
        <v>2014</v>
      </c>
      <c r="D643" t="s">
        <v>3208</v>
      </c>
      <c r="E643" t="s">
        <v>4995</v>
      </c>
      <c r="F643" t="s">
        <v>4996</v>
      </c>
      <c r="G643" t="s">
        <v>4019</v>
      </c>
      <c r="I643" t="s">
        <v>4893</v>
      </c>
      <c r="J643" t="s">
        <v>3834</v>
      </c>
      <c r="K643" t="s">
        <v>4894</v>
      </c>
    </row>
    <row r="644" spans="1:11" x14ac:dyDescent="0.2">
      <c r="A644" t="s">
        <v>2467</v>
      </c>
      <c r="B644" t="s">
        <v>1905</v>
      </c>
      <c r="C644" t="s">
        <v>2015</v>
      </c>
      <c r="D644" t="s">
        <v>3209</v>
      </c>
      <c r="E644" t="s">
        <v>4997</v>
      </c>
      <c r="F644" t="s">
        <v>4998</v>
      </c>
      <c r="G644" t="s">
        <v>4023</v>
      </c>
      <c r="I644" t="s">
        <v>4893</v>
      </c>
      <c r="J644" t="s">
        <v>3834</v>
      </c>
      <c r="K644" t="s">
        <v>4894</v>
      </c>
    </row>
    <row r="645" spans="1:11" x14ac:dyDescent="0.2">
      <c r="A645" t="s">
        <v>2468</v>
      </c>
      <c r="B645" t="s">
        <v>1905</v>
      </c>
      <c r="C645" t="s">
        <v>2016</v>
      </c>
      <c r="D645" t="s">
        <v>3210</v>
      </c>
      <c r="E645" t="s">
        <v>4999</v>
      </c>
      <c r="F645" t="s">
        <v>5000</v>
      </c>
      <c r="G645" t="s">
        <v>4027</v>
      </c>
      <c r="I645" t="s">
        <v>4893</v>
      </c>
      <c r="J645" t="s">
        <v>3834</v>
      </c>
      <c r="K645" t="s">
        <v>4894</v>
      </c>
    </row>
    <row r="646" spans="1:11" x14ac:dyDescent="0.2">
      <c r="A646" t="s">
        <v>2469</v>
      </c>
      <c r="B646" t="s">
        <v>1905</v>
      </c>
      <c r="C646" t="s">
        <v>2017</v>
      </c>
      <c r="D646" t="s">
        <v>3211</v>
      </c>
      <c r="E646" t="s">
        <v>5001</v>
      </c>
      <c r="F646" t="s">
        <v>5002</v>
      </c>
      <c r="G646" t="s">
        <v>4031</v>
      </c>
      <c r="I646" t="s">
        <v>4893</v>
      </c>
      <c r="J646" t="s">
        <v>3834</v>
      </c>
      <c r="K646" t="s">
        <v>4894</v>
      </c>
    </row>
    <row r="647" spans="1:11" x14ac:dyDescent="0.2">
      <c r="A647" t="s">
        <v>2470</v>
      </c>
      <c r="B647" t="s">
        <v>1905</v>
      </c>
      <c r="C647" t="s">
        <v>2018</v>
      </c>
      <c r="D647" t="s">
        <v>3212</v>
      </c>
      <c r="E647" t="s">
        <v>5003</v>
      </c>
      <c r="F647" t="s">
        <v>5004</v>
      </c>
      <c r="G647" t="s">
        <v>4035</v>
      </c>
      <c r="I647" t="s">
        <v>4893</v>
      </c>
      <c r="J647" t="s">
        <v>3834</v>
      </c>
      <c r="K647" t="s">
        <v>4894</v>
      </c>
    </row>
    <row r="648" spans="1:11" x14ac:dyDescent="0.2">
      <c r="A648" t="s">
        <v>2471</v>
      </c>
      <c r="B648" t="s">
        <v>1905</v>
      </c>
      <c r="C648" t="s">
        <v>2019</v>
      </c>
      <c r="D648" t="s">
        <v>3213</v>
      </c>
      <c r="E648" t="s">
        <v>5005</v>
      </c>
      <c r="F648" t="s">
        <v>5006</v>
      </c>
      <c r="G648" t="s">
        <v>4039</v>
      </c>
      <c r="I648" t="s">
        <v>4893</v>
      </c>
      <c r="J648" t="s">
        <v>3834</v>
      </c>
      <c r="K648" t="s">
        <v>4894</v>
      </c>
    </row>
    <row r="649" spans="1:11" x14ac:dyDescent="0.2">
      <c r="A649" t="s">
        <v>2472</v>
      </c>
      <c r="B649" t="s">
        <v>1905</v>
      </c>
      <c r="C649" t="s">
        <v>2020</v>
      </c>
      <c r="D649" t="s">
        <v>3214</v>
      </c>
      <c r="E649" t="s">
        <v>5007</v>
      </c>
      <c r="F649" t="s">
        <v>5008</v>
      </c>
      <c r="G649" t="s">
        <v>4043</v>
      </c>
      <c r="I649" t="s">
        <v>4893</v>
      </c>
      <c r="J649" t="s">
        <v>3834</v>
      </c>
      <c r="K649" t="s">
        <v>4894</v>
      </c>
    </row>
    <row r="650" spans="1:11" x14ac:dyDescent="0.2">
      <c r="A650" t="s">
        <v>2473</v>
      </c>
      <c r="B650" t="s">
        <v>1905</v>
      </c>
      <c r="C650" t="s">
        <v>1953</v>
      </c>
      <c r="D650" t="s">
        <v>3215</v>
      </c>
      <c r="E650" t="s">
        <v>5009</v>
      </c>
      <c r="F650" t="s">
        <v>5010</v>
      </c>
      <c r="G650" t="s">
        <v>4046</v>
      </c>
      <c r="I650" t="s">
        <v>4893</v>
      </c>
      <c r="J650" t="s">
        <v>3834</v>
      </c>
      <c r="K650" t="s">
        <v>4894</v>
      </c>
    </row>
    <row r="651" spans="1:11" x14ac:dyDescent="0.2">
      <c r="A651" t="s">
        <v>2474</v>
      </c>
      <c r="B651" t="s">
        <v>1905</v>
      </c>
      <c r="C651" t="s">
        <v>1954</v>
      </c>
      <c r="D651" t="s">
        <v>3216</v>
      </c>
      <c r="E651" t="s">
        <v>5011</v>
      </c>
      <c r="F651" t="s">
        <v>5012</v>
      </c>
      <c r="G651" t="s">
        <v>4049</v>
      </c>
      <c r="I651" t="s">
        <v>4893</v>
      </c>
      <c r="J651" t="s">
        <v>3834</v>
      </c>
      <c r="K651" t="s">
        <v>4894</v>
      </c>
    </row>
    <row r="652" spans="1:11" x14ac:dyDescent="0.2">
      <c r="A652" t="s">
        <v>2475</v>
      </c>
      <c r="B652" t="s">
        <v>1905</v>
      </c>
      <c r="C652" t="s">
        <v>1955</v>
      </c>
      <c r="D652" t="s">
        <v>3217</v>
      </c>
      <c r="E652" t="s">
        <v>5013</v>
      </c>
      <c r="F652" t="s">
        <v>5014</v>
      </c>
      <c r="G652" t="s">
        <v>4052</v>
      </c>
      <c r="I652" t="s">
        <v>4893</v>
      </c>
      <c r="J652" t="s">
        <v>3834</v>
      </c>
      <c r="K652" t="s">
        <v>4894</v>
      </c>
    </row>
    <row r="653" spans="1:11" x14ac:dyDescent="0.2">
      <c r="A653" t="s">
        <v>2476</v>
      </c>
      <c r="B653" t="s">
        <v>1905</v>
      </c>
      <c r="C653" t="s">
        <v>1956</v>
      </c>
      <c r="D653" t="s">
        <v>3218</v>
      </c>
      <c r="E653" t="s">
        <v>5015</v>
      </c>
      <c r="F653" t="s">
        <v>5016</v>
      </c>
      <c r="G653" t="s">
        <v>4055</v>
      </c>
      <c r="I653" t="s">
        <v>4893</v>
      </c>
      <c r="J653" t="s">
        <v>3834</v>
      </c>
      <c r="K653" t="s">
        <v>4894</v>
      </c>
    </row>
    <row r="654" spans="1:11" x14ac:dyDescent="0.2">
      <c r="A654" t="s">
        <v>2477</v>
      </c>
      <c r="B654" t="s">
        <v>1905</v>
      </c>
      <c r="C654" t="s">
        <v>1957</v>
      </c>
      <c r="D654" t="s">
        <v>3219</v>
      </c>
      <c r="E654" t="s">
        <v>5017</v>
      </c>
      <c r="F654" t="s">
        <v>5018</v>
      </c>
      <c r="G654" t="s">
        <v>4058</v>
      </c>
      <c r="I654" t="s">
        <v>4893</v>
      </c>
      <c r="J654" t="s">
        <v>3834</v>
      </c>
      <c r="K654" t="s">
        <v>4894</v>
      </c>
    </row>
    <row r="655" spans="1:11" x14ac:dyDescent="0.2">
      <c r="A655" t="s">
        <v>2478</v>
      </c>
      <c r="B655" t="s">
        <v>1905</v>
      </c>
      <c r="C655" t="s">
        <v>1958</v>
      </c>
      <c r="D655" t="s">
        <v>3220</v>
      </c>
      <c r="E655" t="s">
        <v>5019</v>
      </c>
      <c r="F655" t="s">
        <v>5020</v>
      </c>
      <c r="G655" t="s">
        <v>4061</v>
      </c>
      <c r="I655" t="s">
        <v>4893</v>
      </c>
      <c r="J655" t="s">
        <v>3834</v>
      </c>
      <c r="K655" t="s">
        <v>4894</v>
      </c>
    </row>
    <row r="656" spans="1:11" x14ac:dyDescent="0.2">
      <c r="A656" t="s">
        <v>2479</v>
      </c>
      <c r="B656" t="s">
        <v>1905</v>
      </c>
      <c r="C656" t="s">
        <v>2069</v>
      </c>
      <c r="D656" t="s">
        <v>3221</v>
      </c>
      <c r="E656" t="s">
        <v>5021</v>
      </c>
      <c r="F656" t="s">
        <v>5022</v>
      </c>
      <c r="G656" t="s">
        <v>4064</v>
      </c>
      <c r="I656" t="s">
        <v>4893</v>
      </c>
      <c r="J656" t="s">
        <v>3834</v>
      </c>
      <c r="K656" t="s">
        <v>4894</v>
      </c>
    </row>
    <row r="657" spans="1:11" x14ac:dyDescent="0.2">
      <c r="A657" t="s">
        <v>2090</v>
      </c>
      <c r="B657" t="s">
        <v>3502</v>
      </c>
      <c r="C657" t="s">
        <v>2081</v>
      </c>
      <c r="D657" t="s">
        <v>4589</v>
      </c>
      <c r="I657" t="s">
        <v>4893</v>
      </c>
      <c r="J657" t="s">
        <v>4069</v>
      </c>
      <c r="K657" t="s">
        <v>5023</v>
      </c>
    </row>
    <row r="658" spans="1:11" x14ac:dyDescent="0.2">
      <c r="A658" t="s">
        <v>2480</v>
      </c>
      <c r="B658" t="s">
        <v>1905</v>
      </c>
      <c r="C658" t="s">
        <v>2030</v>
      </c>
      <c r="D658" t="s">
        <v>3222</v>
      </c>
      <c r="E658" t="s">
        <v>5024</v>
      </c>
      <c r="F658" t="s">
        <v>5025</v>
      </c>
      <c r="G658" t="s">
        <v>3567</v>
      </c>
      <c r="I658" t="s">
        <v>4893</v>
      </c>
      <c r="J658" t="s">
        <v>4069</v>
      </c>
      <c r="K658" t="s">
        <v>5023</v>
      </c>
    </row>
    <row r="659" spans="1:11" x14ac:dyDescent="0.2">
      <c r="A659" t="s">
        <v>2481</v>
      </c>
      <c r="B659" t="s">
        <v>1905</v>
      </c>
      <c r="C659" t="s">
        <v>2031</v>
      </c>
      <c r="D659" t="s">
        <v>3223</v>
      </c>
      <c r="E659" t="s">
        <v>5026</v>
      </c>
      <c r="F659" t="s">
        <v>5027</v>
      </c>
      <c r="G659" t="s">
        <v>3571</v>
      </c>
      <c r="I659" t="s">
        <v>4893</v>
      </c>
      <c r="J659" t="s">
        <v>4069</v>
      </c>
      <c r="K659" t="s">
        <v>5023</v>
      </c>
    </row>
    <row r="660" spans="1:11" x14ac:dyDescent="0.2">
      <c r="A660" t="s">
        <v>2482</v>
      </c>
      <c r="B660" t="s">
        <v>1905</v>
      </c>
      <c r="C660" t="s">
        <v>2032</v>
      </c>
      <c r="D660" t="s">
        <v>3224</v>
      </c>
      <c r="E660" t="s">
        <v>5028</v>
      </c>
      <c r="F660" t="s">
        <v>5029</v>
      </c>
      <c r="G660" t="s">
        <v>3575</v>
      </c>
      <c r="I660" t="s">
        <v>4893</v>
      </c>
      <c r="J660" t="s">
        <v>4069</v>
      </c>
      <c r="K660" t="s">
        <v>5023</v>
      </c>
    </row>
    <row r="661" spans="1:11" x14ac:dyDescent="0.2">
      <c r="A661" t="s">
        <v>2483</v>
      </c>
      <c r="B661" t="s">
        <v>1905</v>
      </c>
      <c r="C661" t="s">
        <v>2033</v>
      </c>
      <c r="D661" t="s">
        <v>3225</v>
      </c>
      <c r="E661" t="s">
        <v>5030</v>
      </c>
      <c r="F661" t="s">
        <v>5031</v>
      </c>
      <c r="G661" t="s">
        <v>2033</v>
      </c>
      <c r="I661" t="s">
        <v>4893</v>
      </c>
      <c r="J661" t="s">
        <v>4069</v>
      </c>
      <c r="K661" t="s">
        <v>5023</v>
      </c>
    </row>
    <row r="662" spans="1:11" x14ac:dyDescent="0.2">
      <c r="A662" t="s">
        <v>2484</v>
      </c>
      <c r="B662" t="s">
        <v>1905</v>
      </c>
      <c r="C662" t="s">
        <v>2034</v>
      </c>
      <c r="D662" t="s">
        <v>3226</v>
      </c>
      <c r="E662" t="s">
        <v>5032</v>
      </c>
      <c r="F662" t="s">
        <v>5033</v>
      </c>
      <c r="G662" t="s">
        <v>2034</v>
      </c>
      <c r="I662" t="s">
        <v>4893</v>
      </c>
      <c r="J662" t="s">
        <v>4069</v>
      </c>
      <c r="K662" t="s">
        <v>5023</v>
      </c>
    </row>
    <row r="663" spans="1:11" x14ac:dyDescent="0.2">
      <c r="A663" t="s">
        <v>2485</v>
      </c>
      <c r="B663" t="s">
        <v>1905</v>
      </c>
      <c r="C663" t="s">
        <v>2035</v>
      </c>
      <c r="D663" t="s">
        <v>3227</v>
      </c>
      <c r="E663" t="s">
        <v>5034</v>
      </c>
      <c r="F663" t="s">
        <v>5035</v>
      </c>
      <c r="G663" t="s">
        <v>2035</v>
      </c>
      <c r="I663" t="s">
        <v>4893</v>
      </c>
      <c r="J663" t="s">
        <v>4069</v>
      </c>
      <c r="K663" t="s">
        <v>5023</v>
      </c>
    </row>
    <row r="664" spans="1:11" x14ac:dyDescent="0.2">
      <c r="A664" t="s">
        <v>2486</v>
      </c>
      <c r="B664" t="s">
        <v>1905</v>
      </c>
      <c r="C664" t="s">
        <v>2071</v>
      </c>
      <c r="D664" t="s">
        <v>3228</v>
      </c>
      <c r="E664" t="s">
        <v>5036</v>
      </c>
      <c r="F664" t="s">
        <v>5037</v>
      </c>
      <c r="G664" t="s">
        <v>3590</v>
      </c>
      <c r="I664" t="s">
        <v>4893</v>
      </c>
      <c r="J664" t="s">
        <v>4069</v>
      </c>
      <c r="K664" t="s">
        <v>5023</v>
      </c>
    </row>
    <row r="665" spans="1:11" x14ac:dyDescent="0.2">
      <c r="A665" t="s">
        <v>2487</v>
      </c>
      <c r="B665" t="s">
        <v>1905</v>
      </c>
      <c r="C665" t="s">
        <v>2023</v>
      </c>
      <c r="D665" t="s">
        <v>3229</v>
      </c>
      <c r="E665" t="s">
        <v>5038</v>
      </c>
      <c r="F665" t="s">
        <v>5039</v>
      </c>
      <c r="G665" t="s">
        <v>4367</v>
      </c>
      <c r="I665" t="s">
        <v>4893</v>
      </c>
      <c r="J665" t="s">
        <v>4069</v>
      </c>
      <c r="K665" t="s">
        <v>5023</v>
      </c>
    </row>
    <row r="666" spans="1:11" x14ac:dyDescent="0.2">
      <c r="A666" t="s">
        <v>2488</v>
      </c>
      <c r="B666" t="s">
        <v>1905</v>
      </c>
      <c r="C666" t="s">
        <v>2024</v>
      </c>
      <c r="D666" t="s">
        <v>3230</v>
      </c>
      <c r="E666" t="s">
        <v>5040</v>
      </c>
      <c r="F666" t="s">
        <v>5041</v>
      </c>
      <c r="G666" t="s">
        <v>3545</v>
      </c>
      <c r="I666" t="s">
        <v>4893</v>
      </c>
      <c r="J666" t="s">
        <v>4069</v>
      </c>
      <c r="K666" t="s">
        <v>5023</v>
      </c>
    </row>
    <row r="667" spans="1:11" x14ac:dyDescent="0.2">
      <c r="A667" t="s">
        <v>2489</v>
      </c>
      <c r="B667" t="s">
        <v>1905</v>
      </c>
      <c r="C667" t="s">
        <v>2025</v>
      </c>
      <c r="D667" t="s">
        <v>3231</v>
      </c>
      <c r="E667" t="s">
        <v>5042</v>
      </c>
      <c r="F667" t="s">
        <v>5043</v>
      </c>
      <c r="G667" t="s">
        <v>3549</v>
      </c>
      <c r="I667" t="s">
        <v>4893</v>
      </c>
      <c r="J667" t="s">
        <v>4069</v>
      </c>
      <c r="K667" t="s">
        <v>5023</v>
      </c>
    </row>
    <row r="668" spans="1:11" x14ac:dyDescent="0.2">
      <c r="A668" t="s">
        <v>2490</v>
      </c>
      <c r="B668" t="s">
        <v>1905</v>
      </c>
      <c r="C668" t="s">
        <v>2026</v>
      </c>
      <c r="D668" t="s">
        <v>3232</v>
      </c>
      <c r="E668" t="s">
        <v>5044</v>
      </c>
      <c r="F668" t="s">
        <v>5045</v>
      </c>
      <c r="G668" t="s">
        <v>2026</v>
      </c>
      <c r="I668" t="s">
        <v>4893</v>
      </c>
      <c r="J668" t="s">
        <v>4069</v>
      </c>
      <c r="K668" t="s">
        <v>5023</v>
      </c>
    </row>
    <row r="669" spans="1:11" x14ac:dyDescent="0.2">
      <c r="A669" t="s">
        <v>2491</v>
      </c>
      <c r="B669" t="s">
        <v>1905</v>
      </c>
      <c r="C669" t="s">
        <v>2027</v>
      </c>
      <c r="D669" t="s">
        <v>3233</v>
      </c>
      <c r="E669" t="s">
        <v>5046</v>
      </c>
      <c r="F669" t="s">
        <v>5047</v>
      </c>
      <c r="G669" t="s">
        <v>2027</v>
      </c>
      <c r="I669" t="s">
        <v>4893</v>
      </c>
      <c r="J669" t="s">
        <v>4069</v>
      </c>
      <c r="K669" t="s">
        <v>5023</v>
      </c>
    </row>
    <row r="670" spans="1:11" x14ac:dyDescent="0.2">
      <c r="A670" t="s">
        <v>2492</v>
      </c>
      <c r="B670" t="s">
        <v>1905</v>
      </c>
      <c r="C670" t="s">
        <v>2028</v>
      </c>
      <c r="D670" t="s">
        <v>3234</v>
      </c>
      <c r="E670" t="s">
        <v>5048</v>
      </c>
      <c r="F670" t="s">
        <v>5049</v>
      </c>
      <c r="G670" t="s">
        <v>2028</v>
      </c>
      <c r="I670" t="s">
        <v>4893</v>
      </c>
      <c r="J670" t="s">
        <v>4069</v>
      </c>
      <c r="K670" t="s">
        <v>5023</v>
      </c>
    </row>
    <row r="671" spans="1:11" x14ac:dyDescent="0.2">
      <c r="A671" t="s">
        <v>2493</v>
      </c>
      <c r="B671" t="s">
        <v>1905</v>
      </c>
      <c r="C671" t="s">
        <v>2072</v>
      </c>
      <c r="D671" t="s">
        <v>3235</v>
      </c>
      <c r="E671" t="s">
        <v>5050</v>
      </c>
      <c r="F671" t="s">
        <v>5051</v>
      </c>
      <c r="G671" t="s">
        <v>3563</v>
      </c>
      <c r="I671" t="s">
        <v>4893</v>
      </c>
      <c r="J671" t="s">
        <v>4069</v>
      </c>
      <c r="K671" t="s">
        <v>5023</v>
      </c>
    </row>
    <row r="672" spans="1:11" x14ac:dyDescent="0.2">
      <c r="A672" t="s">
        <v>2494</v>
      </c>
      <c r="B672" t="s">
        <v>1905</v>
      </c>
      <c r="C672" t="s">
        <v>2037</v>
      </c>
      <c r="D672" t="s">
        <v>3236</v>
      </c>
      <c r="E672" t="s">
        <v>5052</v>
      </c>
      <c r="F672" t="s">
        <v>5053</v>
      </c>
      <c r="G672" t="s">
        <v>3594</v>
      </c>
      <c r="I672" t="s">
        <v>4893</v>
      </c>
      <c r="J672" t="s">
        <v>4069</v>
      </c>
      <c r="K672" t="s">
        <v>5023</v>
      </c>
    </row>
    <row r="673" spans="1:11" x14ac:dyDescent="0.2">
      <c r="A673" t="s">
        <v>2495</v>
      </c>
      <c r="B673" t="s">
        <v>1905</v>
      </c>
      <c r="C673" t="s">
        <v>2038</v>
      </c>
      <c r="D673" t="s">
        <v>3237</v>
      </c>
      <c r="E673" t="s">
        <v>5054</v>
      </c>
      <c r="F673" t="s">
        <v>5055</v>
      </c>
      <c r="G673" t="s">
        <v>3598</v>
      </c>
      <c r="I673" t="s">
        <v>4893</v>
      </c>
      <c r="J673" t="s">
        <v>4069</v>
      </c>
      <c r="K673" t="s">
        <v>5023</v>
      </c>
    </row>
    <row r="674" spans="1:11" x14ac:dyDescent="0.2">
      <c r="A674" t="s">
        <v>2496</v>
      </c>
      <c r="B674" t="s">
        <v>1905</v>
      </c>
      <c r="C674" t="s">
        <v>2039</v>
      </c>
      <c r="D674" t="s">
        <v>3238</v>
      </c>
      <c r="E674" t="s">
        <v>5056</v>
      </c>
      <c r="F674" t="s">
        <v>5057</v>
      </c>
      <c r="G674" t="s">
        <v>3602</v>
      </c>
      <c r="I674" t="s">
        <v>4893</v>
      </c>
      <c r="J674" t="s">
        <v>4069</v>
      </c>
      <c r="K674" t="s">
        <v>5023</v>
      </c>
    </row>
    <row r="675" spans="1:11" x14ac:dyDescent="0.2">
      <c r="A675" t="s">
        <v>2497</v>
      </c>
      <c r="B675" t="s">
        <v>1905</v>
      </c>
      <c r="C675" t="s">
        <v>2040</v>
      </c>
      <c r="D675" t="s">
        <v>3239</v>
      </c>
      <c r="E675" t="s">
        <v>5058</v>
      </c>
      <c r="F675" t="s">
        <v>5059</v>
      </c>
      <c r="G675" t="s">
        <v>2040</v>
      </c>
      <c r="I675" t="s">
        <v>4893</v>
      </c>
      <c r="J675" t="s">
        <v>4069</v>
      </c>
      <c r="K675" t="s">
        <v>5023</v>
      </c>
    </row>
    <row r="676" spans="1:11" x14ac:dyDescent="0.2">
      <c r="A676" t="s">
        <v>2498</v>
      </c>
      <c r="B676" t="s">
        <v>1905</v>
      </c>
      <c r="C676" t="s">
        <v>2041</v>
      </c>
      <c r="D676" t="s">
        <v>3240</v>
      </c>
      <c r="E676" t="s">
        <v>5060</v>
      </c>
      <c r="F676" t="s">
        <v>5061</v>
      </c>
      <c r="G676" t="s">
        <v>2041</v>
      </c>
      <c r="I676" t="s">
        <v>4893</v>
      </c>
      <c r="J676" t="s">
        <v>4069</v>
      </c>
      <c r="K676" t="s">
        <v>5023</v>
      </c>
    </row>
    <row r="677" spans="1:11" x14ac:dyDescent="0.2">
      <c r="A677" t="s">
        <v>2499</v>
      </c>
      <c r="B677" t="s">
        <v>1905</v>
      </c>
      <c r="C677" t="s">
        <v>2042</v>
      </c>
      <c r="D677" t="s">
        <v>3241</v>
      </c>
      <c r="E677" t="s">
        <v>5062</v>
      </c>
      <c r="F677" t="s">
        <v>5063</v>
      </c>
      <c r="G677" t="s">
        <v>2042</v>
      </c>
      <c r="I677" t="s">
        <v>4893</v>
      </c>
      <c r="J677" t="s">
        <v>4069</v>
      </c>
      <c r="K677" t="s">
        <v>5023</v>
      </c>
    </row>
    <row r="678" spans="1:11" x14ac:dyDescent="0.2">
      <c r="A678" t="s">
        <v>2500</v>
      </c>
      <c r="B678" t="s">
        <v>1905</v>
      </c>
      <c r="C678" t="s">
        <v>2073</v>
      </c>
      <c r="D678" t="s">
        <v>3242</v>
      </c>
      <c r="E678" t="s">
        <v>5064</v>
      </c>
      <c r="F678" t="s">
        <v>5065</v>
      </c>
      <c r="G678" t="s">
        <v>3617</v>
      </c>
      <c r="I678" t="s">
        <v>4893</v>
      </c>
      <c r="J678" t="s">
        <v>4069</v>
      </c>
      <c r="K678" t="s">
        <v>5023</v>
      </c>
    </row>
    <row r="679" spans="1:11" x14ac:dyDescent="0.2">
      <c r="A679" t="s">
        <v>2501</v>
      </c>
      <c r="B679" t="s">
        <v>1905</v>
      </c>
      <c r="C679" t="s">
        <v>2044</v>
      </c>
      <c r="D679" t="s">
        <v>3243</v>
      </c>
      <c r="E679" t="s">
        <v>5066</v>
      </c>
      <c r="F679" t="s">
        <v>5067</v>
      </c>
      <c r="G679" t="s">
        <v>3649</v>
      </c>
      <c r="I679" t="s">
        <v>4893</v>
      </c>
      <c r="J679" t="s">
        <v>4069</v>
      </c>
      <c r="K679" t="s">
        <v>5023</v>
      </c>
    </row>
    <row r="680" spans="1:11" x14ac:dyDescent="0.2">
      <c r="A680" t="s">
        <v>2502</v>
      </c>
      <c r="B680" t="s">
        <v>1905</v>
      </c>
      <c r="C680" t="s">
        <v>2045</v>
      </c>
      <c r="D680" t="s">
        <v>3244</v>
      </c>
      <c r="E680" t="s">
        <v>5068</v>
      </c>
      <c r="F680" t="s">
        <v>5069</v>
      </c>
      <c r="G680" t="s">
        <v>3653</v>
      </c>
      <c r="I680" t="s">
        <v>4893</v>
      </c>
      <c r="J680" t="s">
        <v>4069</v>
      </c>
      <c r="K680" t="s">
        <v>5023</v>
      </c>
    </row>
    <row r="681" spans="1:11" x14ac:dyDescent="0.2">
      <c r="A681" t="s">
        <v>2503</v>
      </c>
      <c r="B681" t="s">
        <v>1905</v>
      </c>
      <c r="C681" t="s">
        <v>2046</v>
      </c>
      <c r="D681" t="s">
        <v>3245</v>
      </c>
      <c r="E681" t="s">
        <v>5070</v>
      </c>
      <c r="F681" t="s">
        <v>5071</v>
      </c>
      <c r="G681" t="s">
        <v>3657</v>
      </c>
      <c r="I681" t="s">
        <v>4893</v>
      </c>
      <c r="J681" t="s">
        <v>4069</v>
      </c>
      <c r="K681" t="s">
        <v>5023</v>
      </c>
    </row>
    <row r="682" spans="1:11" x14ac:dyDescent="0.2">
      <c r="A682" t="s">
        <v>2504</v>
      </c>
      <c r="B682" t="s">
        <v>1905</v>
      </c>
      <c r="C682" t="s">
        <v>2047</v>
      </c>
      <c r="D682" t="s">
        <v>3246</v>
      </c>
      <c r="E682" t="s">
        <v>5072</v>
      </c>
      <c r="F682" t="s">
        <v>5073</v>
      </c>
      <c r="G682" t="s">
        <v>2047</v>
      </c>
      <c r="I682" t="s">
        <v>4893</v>
      </c>
      <c r="J682" t="s">
        <v>4069</v>
      </c>
      <c r="K682" t="s">
        <v>5023</v>
      </c>
    </row>
    <row r="683" spans="1:11" x14ac:dyDescent="0.2">
      <c r="A683" t="s">
        <v>2505</v>
      </c>
      <c r="B683" t="s">
        <v>1905</v>
      </c>
      <c r="C683" t="s">
        <v>2048</v>
      </c>
      <c r="D683" t="s">
        <v>3247</v>
      </c>
      <c r="E683" t="s">
        <v>5074</v>
      </c>
      <c r="F683" t="s">
        <v>5075</v>
      </c>
      <c r="G683" t="s">
        <v>2048</v>
      </c>
      <c r="I683" t="s">
        <v>4893</v>
      </c>
      <c r="J683" t="s">
        <v>4069</v>
      </c>
      <c r="K683" t="s">
        <v>5023</v>
      </c>
    </row>
    <row r="684" spans="1:11" x14ac:dyDescent="0.2">
      <c r="A684" t="s">
        <v>2506</v>
      </c>
      <c r="B684" t="s">
        <v>1905</v>
      </c>
      <c r="C684" t="s">
        <v>2049</v>
      </c>
      <c r="D684" t="s">
        <v>3248</v>
      </c>
      <c r="E684" t="s">
        <v>5076</v>
      </c>
      <c r="F684" t="s">
        <v>5077</v>
      </c>
      <c r="G684" t="s">
        <v>2049</v>
      </c>
      <c r="I684" t="s">
        <v>4893</v>
      </c>
      <c r="J684" t="s">
        <v>4069</v>
      </c>
      <c r="K684" t="s">
        <v>5023</v>
      </c>
    </row>
    <row r="685" spans="1:11" x14ac:dyDescent="0.2">
      <c r="A685" t="s">
        <v>2507</v>
      </c>
      <c r="B685" t="s">
        <v>1905</v>
      </c>
      <c r="C685" t="s">
        <v>2074</v>
      </c>
      <c r="D685" t="s">
        <v>3249</v>
      </c>
      <c r="E685" t="s">
        <v>5078</v>
      </c>
      <c r="F685" t="s">
        <v>5079</v>
      </c>
      <c r="G685" t="s">
        <v>3672</v>
      </c>
      <c r="I685" t="s">
        <v>4893</v>
      </c>
      <c r="J685" t="s">
        <v>4069</v>
      </c>
      <c r="K685" t="s">
        <v>5023</v>
      </c>
    </row>
    <row r="686" spans="1:11" x14ac:dyDescent="0.2">
      <c r="A686" t="s">
        <v>2508</v>
      </c>
      <c r="B686" t="s">
        <v>1905</v>
      </c>
      <c r="C686" t="s">
        <v>2051</v>
      </c>
      <c r="D686" t="s">
        <v>3250</v>
      </c>
      <c r="E686" t="s">
        <v>5080</v>
      </c>
      <c r="F686" t="s">
        <v>5081</v>
      </c>
      <c r="G686" t="s">
        <v>3676</v>
      </c>
      <c r="I686" t="s">
        <v>4893</v>
      </c>
      <c r="J686" t="s">
        <v>4069</v>
      </c>
      <c r="K686" t="s">
        <v>5023</v>
      </c>
    </row>
    <row r="687" spans="1:11" x14ac:dyDescent="0.2">
      <c r="A687" t="s">
        <v>2509</v>
      </c>
      <c r="B687" t="s">
        <v>1905</v>
      </c>
      <c r="C687" t="s">
        <v>2052</v>
      </c>
      <c r="D687" t="s">
        <v>3251</v>
      </c>
      <c r="E687" t="s">
        <v>5082</v>
      </c>
      <c r="F687" t="s">
        <v>5083</v>
      </c>
      <c r="G687" t="s">
        <v>3680</v>
      </c>
      <c r="I687" t="s">
        <v>4893</v>
      </c>
      <c r="J687" t="s">
        <v>4069</v>
      </c>
      <c r="K687" t="s">
        <v>5023</v>
      </c>
    </row>
    <row r="688" spans="1:11" x14ac:dyDescent="0.2">
      <c r="A688" t="s">
        <v>2510</v>
      </c>
      <c r="B688" t="s">
        <v>1905</v>
      </c>
      <c r="C688" t="s">
        <v>2053</v>
      </c>
      <c r="D688" t="s">
        <v>3252</v>
      </c>
      <c r="E688" t="s">
        <v>5084</v>
      </c>
      <c r="F688" t="s">
        <v>5085</v>
      </c>
      <c r="G688" t="s">
        <v>3684</v>
      </c>
      <c r="I688" t="s">
        <v>4893</v>
      </c>
      <c r="J688" t="s">
        <v>4069</v>
      </c>
      <c r="K688" t="s">
        <v>5023</v>
      </c>
    </row>
    <row r="689" spans="1:11" x14ac:dyDescent="0.2">
      <c r="A689" t="s">
        <v>2511</v>
      </c>
      <c r="B689" t="s">
        <v>1905</v>
      </c>
      <c r="C689" t="s">
        <v>2054</v>
      </c>
      <c r="D689" t="s">
        <v>3253</v>
      </c>
      <c r="E689" t="s">
        <v>5086</v>
      </c>
      <c r="F689" t="s">
        <v>5087</v>
      </c>
      <c r="G689" t="s">
        <v>2054</v>
      </c>
      <c r="I689" t="s">
        <v>4893</v>
      </c>
      <c r="J689" t="s">
        <v>4069</v>
      </c>
      <c r="K689" t="s">
        <v>5023</v>
      </c>
    </row>
    <row r="690" spans="1:11" x14ac:dyDescent="0.2">
      <c r="A690" t="s">
        <v>2512</v>
      </c>
      <c r="B690" t="s">
        <v>1905</v>
      </c>
      <c r="C690" t="s">
        <v>2055</v>
      </c>
      <c r="D690" t="s">
        <v>3254</v>
      </c>
      <c r="E690" t="s">
        <v>5088</v>
      </c>
      <c r="F690" t="s">
        <v>5089</v>
      </c>
      <c r="G690" t="s">
        <v>2055</v>
      </c>
      <c r="I690" t="s">
        <v>4893</v>
      </c>
      <c r="J690" t="s">
        <v>4069</v>
      </c>
      <c r="K690" t="s">
        <v>5023</v>
      </c>
    </row>
    <row r="691" spans="1:11" x14ac:dyDescent="0.2">
      <c r="A691" t="s">
        <v>2513</v>
      </c>
      <c r="B691" t="s">
        <v>1905</v>
      </c>
      <c r="C691" t="s">
        <v>2056</v>
      </c>
      <c r="D691" t="s">
        <v>3255</v>
      </c>
      <c r="E691" t="s">
        <v>5090</v>
      </c>
      <c r="F691" t="s">
        <v>5091</v>
      </c>
      <c r="G691" t="s">
        <v>2056</v>
      </c>
      <c r="I691" t="s">
        <v>4893</v>
      </c>
      <c r="J691" t="s">
        <v>4069</v>
      </c>
      <c r="K691" t="s">
        <v>5023</v>
      </c>
    </row>
    <row r="692" spans="1:11" x14ac:dyDescent="0.2">
      <c r="A692" t="s">
        <v>2514</v>
      </c>
      <c r="B692" t="s">
        <v>1905</v>
      </c>
      <c r="C692" t="s">
        <v>2057</v>
      </c>
      <c r="D692" t="s">
        <v>3256</v>
      </c>
      <c r="E692" t="s">
        <v>5092</v>
      </c>
      <c r="F692" t="s">
        <v>5093</v>
      </c>
      <c r="G692" t="s">
        <v>3699</v>
      </c>
      <c r="I692" t="s">
        <v>4893</v>
      </c>
      <c r="J692" t="s">
        <v>4069</v>
      </c>
      <c r="K692" t="s">
        <v>5023</v>
      </c>
    </row>
    <row r="693" spans="1:11" x14ac:dyDescent="0.2">
      <c r="A693" t="s">
        <v>2515</v>
      </c>
      <c r="B693" t="s">
        <v>1905</v>
      </c>
      <c r="C693" t="s">
        <v>1953</v>
      </c>
      <c r="D693" t="s">
        <v>3257</v>
      </c>
      <c r="E693" t="s">
        <v>5094</v>
      </c>
      <c r="F693" t="s">
        <v>5095</v>
      </c>
      <c r="G693" t="s">
        <v>4438</v>
      </c>
      <c r="I693" t="s">
        <v>4893</v>
      </c>
      <c r="J693" t="s">
        <v>4069</v>
      </c>
      <c r="K693" t="s">
        <v>5023</v>
      </c>
    </row>
    <row r="694" spans="1:11" x14ac:dyDescent="0.2">
      <c r="A694" t="s">
        <v>2516</v>
      </c>
      <c r="B694" t="s">
        <v>1905</v>
      </c>
      <c r="C694" t="s">
        <v>1954</v>
      </c>
      <c r="D694" t="s">
        <v>3258</v>
      </c>
      <c r="E694" t="s">
        <v>5096</v>
      </c>
      <c r="F694" t="s">
        <v>5097</v>
      </c>
      <c r="G694" t="s">
        <v>4441</v>
      </c>
      <c r="I694" t="s">
        <v>4893</v>
      </c>
      <c r="J694" t="s">
        <v>4069</v>
      </c>
      <c r="K694" t="s">
        <v>5023</v>
      </c>
    </row>
    <row r="695" spans="1:11" x14ac:dyDescent="0.2">
      <c r="A695" t="s">
        <v>2517</v>
      </c>
      <c r="B695" t="s">
        <v>1905</v>
      </c>
      <c r="C695" t="s">
        <v>1955</v>
      </c>
      <c r="D695" t="s">
        <v>3259</v>
      </c>
      <c r="E695" t="s">
        <v>5098</v>
      </c>
      <c r="F695" t="s">
        <v>5099</v>
      </c>
      <c r="G695" t="s">
        <v>4444</v>
      </c>
      <c r="I695" t="s">
        <v>4893</v>
      </c>
      <c r="J695" t="s">
        <v>4069</v>
      </c>
      <c r="K695" t="s">
        <v>5023</v>
      </c>
    </row>
    <row r="696" spans="1:11" x14ac:dyDescent="0.2">
      <c r="A696" t="s">
        <v>2518</v>
      </c>
      <c r="B696" t="s">
        <v>1905</v>
      </c>
      <c r="C696" t="s">
        <v>1956</v>
      </c>
      <c r="D696" t="s">
        <v>3260</v>
      </c>
      <c r="E696" t="s">
        <v>5100</v>
      </c>
      <c r="F696" t="s">
        <v>5101</v>
      </c>
      <c r="G696" t="s">
        <v>4447</v>
      </c>
      <c r="I696" t="s">
        <v>4893</v>
      </c>
      <c r="J696" t="s">
        <v>4069</v>
      </c>
      <c r="K696" t="s">
        <v>5023</v>
      </c>
    </row>
    <row r="697" spans="1:11" x14ac:dyDescent="0.2">
      <c r="A697" t="s">
        <v>2519</v>
      </c>
      <c r="B697" t="s">
        <v>1905</v>
      </c>
      <c r="C697" t="s">
        <v>1957</v>
      </c>
      <c r="D697" t="s">
        <v>3261</v>
      </c>
      <c r="E697" t="s">
        <v>5102</v>
      </c>
      <c r="F697" t="s">
        <v>5103</v>
      </c>
      <c r="G697" t="s">
        <v>4450</v>
      </c>
      <c r="I697" t="s">
        <v>4893</v>
      </c>
      <c r="J697" t="s">
        <v>4069</v>
      </c>
      <c r="K697" t="s">
        <v>5023</v>
      </c>
    </row>
    <row r="698" spans="1:11" x14ac:dyDescent="0.2">
      <c r="A698" t="s">
        <v>2520</v>
      </c>
      <c r="B698" t="s">
        <v>1905</v>
      </c>
      <c r="C698" t="s">
        <v>1958</v>
      </c>
      <c r="D698" t="s">
        <v>3262</v>
      </c>
      <c r="E698" t="s">
        <v>5104</v>
      </c>
      <c r="F698" t="s">
        <v>5105</v>
      </c>
      <c r="G698" t="s">
        <v>4453</v>
      </c>
      <c r="I698" t="s">
        <v>4893</v>
      </c>
      <c r="J698" t="s">
        <v>4069</v>
      </c>
      <c r="K698" t="s">
        <v>5023</v>
      </c>
    </row>
    <row r="699" spans="1:11" x14ac:dyDescent="0.2">
      <c r="A699" t="s">
        <v>2521</v>
      </c>
      <c r="B699" t="s">
        <v>1905</v>
      </c>
      <c r="C699" t="s">
        <v>2075</v>
      </c>
      <c r="D699" t="s">
        <v>3263</v>
      </c>
      <c r="E699" t="s">
        <v>5106</v>
      </c>
      <c r="F699" t="s">
        <v>5107</v>
      </c>
      <c r="G699" t="s">
        <v>4456</v>
      </c>
      <c r="I699" t="s">
        <v>4893</v>
      </c>
      <c r="J699" t="s">
        <v>4069</v>
      </c>
      <c r="K699" t="s">
        <v>5023</v>
      </c>
    </row>
    <row r="700" spans="1:11" x14ac:dyDescent="0.2">
      <c r="A700" t="s">
        <v>2522</v>
      </c>
      <c r="B700" t="s">
        <v>3502</v>
      </c>
      <c r="C700" t="s">
        <v>2082</v>
      </c>
      <c r="D700" t="s">
        <v>5108</v>
      </c>
      <c r="I700" t="s">
        <v>5109</v>
      </c>
      <c r="J700" t="s">
        <v>3834</v>
      </c>
      <c r="K700" t="s">
        <v>5110</v>
      </c>
    </row>
    <row r="701" spans="1:11" x14ac:dyDescent="0.2">
      <c r="A701" t="s">
        <v>2523</v>
      </c>
      <c r="B701" t="s">
        <v>1905</v>
      </c>
      <c r="C701" t="s">
        <v>1965</v>
      </c>
      <c r="D701" t="s">
        <v>3264</v>
      </c>
      <c r="E701" t="s">
        <v>5111</v>
      </c>
      <c r="F701" t="s">
        <v>5112</v>
      </c>
      <c r="G701" t="s">
        <v>3833</v>
      </c>
      <c r="I701" t="s">
        <v>5109</v>
      </c>
      <c r="J701" t="s">
        <v>3834</v>
      </c>
      <c r="K701" t="s">
        <v>5110</v>
      </c>
    </row>
    <row r="702" spans="1:11" x14ac:dyDescent="0.2">
      <c r="A702" t="s">
        <v>2524</v>
      </c>
      <c r="B702" t="s">
        <v>1905</v>
      </c>
      <c r="C702" t="s">
        <v>1966</v>
      </c>
      <c r="D702" t="s">
        <v>3265</v>
      </c>
      <c r="E702" t="s">
        <v>5113</v>
      </c>
      <c r="F702" t="s">
        <v>5114</v>
      </c>
      <c r="G702" t="s">
        <v>3838</v>
      </c>
      <c r="I702" t="s">
        <v>5109</v>
      </c>
      <c r="J702" t="s">
        <v>3834</v>
      </c>
      <c r="K702" t="s">
        <v>5110</v>
      </c>
    </row>
    <row r="703" spans="1:11" x14ac:dyDescent="0.2">
      <c r="A703" t="s">
        <v>2525</v>
      </c>
      <c r="B703" t="s">
        <v>1905</v>
      </c>
      <c r="C703" t="s">
        <v>1967</v>
      </c>
      <c r="D703" t="s">
        <v>3266</v>
      </c>
      <c r="E703" t="s">
        <v>5115</v>
      </c>
      <c r="F703" t="s">
        <v>5116</v>
      </c>
      <c r="G703" t="s">
        <v>3842</v>
      </c>
      <c r="I703" t="s">
        <v>5109</v>
      </c>
      <c r="J703" t="s">
        <v>3834</v>
      </c>
      <c r="K703" t="s">
        <v>5110</v>
      </c>
    </row>
    <row r="704" spans="1:11" x14ac:dyDescent="0.2">
      <c r="A704" t="s">
        <v>2526</v>
      </c>
      <c r="B704" t="s">
        <v>1905</v>
      </c>
      <c r="C704" t="s">
        <v>1968</v>
      </c>
      <c r="D704" t="s">
        <v>3267</v>
      </c>
      <c r="E704" t="s">
        <v>5117</v>
      </c>
      <c r="F704" t="s">
        <v>5118</v>
      </c>
      <c r="G704" t="s">
        <v>1968</v>
      </c>
      <c r="I704" t="s">
        <v>5109</v>
      </c>
      <c r="J704" t="s">
        <v>3834</v>
      </c>
      <c r="K704" t="s">
        <v>5110</v>
      </c>
    </row>
    <row r="705" spans="1:11" x14ac:dyDescent="0.2">
      <c r="A705" t="s">
        <v>2527</v>
      </c>
      <c r="B705" t="s">
        <v>1905</v>
      </c>
      <c r="C705" t="s">
        <v>1969</v>
      </c>
      <c r="D705" t="s">
        <v>3268</v>
      </c>
      <c r="E705" t="s">
        <v>5119</v>
      </c>
      <c r="F705" t="s">
        <v>5120</v>
      </c>
      <c r="G705" t="s">
        <v>1969</v>
      </c>
      <c r="I705" t="s">
        <v>5109</v>
      </c>
      <c r="J705" t="s">
        <v>3834</v>
      </c>
      <c r="K705" t="s">
        <v>5110</v>
      </c>
    </row>
    <row r="706" spans="1:11" x14ac:dyDescent="0.2">
      <c r="A706" t="s">
        <v>2528</v>
      </c>
      <c r="B706" t="s">
        <v>1905</v>
      </c>
      <c r="C706" t="s">
        <v>1970</v>
      </c>
      <c r="D706" t="s">
        <v>3269</v>
      </c>
      <c r="E706" t="s">
        <v>5121</v>
      </c>
      <c r="F706" t="s">
        <v>5122</v>
      </c>
      <c r="G706" t="s">
        <v>1970</v>
      </c>
      <c r="I706" t="s">
        <v>5109</v>
      </c>
      <c r="J706" t="s">
        <v>3834</v>
      </c>
      <c r="K706" t="s">
        <v>5110</v>
      </c>
    </row>
    <row r="707" spans="1:11" x14ac:dyDescent="0.2">
      <c r="A707" t="s">
        <v>2529</v>
      </c>
      <c r="B707" t="s">
        <v>1905</v>
      </c>
      <c r="C707" t="s">
        <v>1971</v>
      </c>
      <c r="D707" t="s">
        <v>3270</v>
      </c>
      <c r="E707" t="s">
        <v>5123</v>
      </c>
      <c r="F707" t="s">
        <v>5124</v>
      </c>
      <c r="G707" t="s">
        <v>3855</v>
      </c>
      <c r="I707" t="s">
        <v>5109</v>
      </c>
      <c r="J707" t="s">
        <v>3834</v>
      </c>
      <c r="K707" t="s">
        <v>5110</v>
      </c>
    </row>
    <row r="708" spans="1:11" x14ac:dyDescent="0.2">
      <c r="A708" t="s">
        <v>2530</v>
      </c>
      <c r="B708" t="s">
        <v>1905</v>
      </c>
      <c r="C708" t="s">
        <v>1972</v>
      </c>
      <c r="D708" t="s">
        <v>3271</v>
      </c>
      <c r="E708" t="s">
        <v>5125</v>
      </c>
      <c r="F708" t="s">
        <v>5126</v>
      </c>
      <c r="G708" t="s">
        <v>3859</v>
      </c>
      <c r="I708" t="s">
        <v>5109</v>
      </c>
      <c r="J708" t="s">
        <v>3834</v>
      </c>
      <c r="K708" t="s">
        <v>5110</v>
      </c>
    </row>
    <row r="709" spans="1:11" x14ac:dyDescent="0.2">
      <c r="A709" t="s">
        <v>2531</v>
      </c>
      <c r="B709" t="s">
        <v>1905</v>
      </c>
      <c r="C709" t="s">
        <v>1973</v>
      </c>
      <c r="D709" t="s">
        <v>3272</v>
      </c>
      <c r="E709" t="s">
        <v>5127</v>
      </c>
      <c r="F709" t="s">
        <v>5128</v>
      </c>
      <c r="G709" t="s">
        <v>3863</v>
      </c>
      <c r="I709" t="s">
        <v>5109</v>
      </c>
      <c r="J709" t="s">
        <v>3834</v>
      </c>
      <c r="K709" t="s">
        <v>5110</v>
      </c>
    </row>
    <row r="710" spans="1:11" x14ac:dyDescent="0.2">
      <c r="A710" t="s">
        <v>2532</v>
      </c>
      <c r="B710" t="s">
        <v>1905</v>
      </c>
      <c r="C710" t="s">
        <v>1974</v>
      </c>
      <c r="D710" t="s">
        <v>3273</v>
      </c>
      <c r="E710" t="s">
        <v>5129</v>
      </c>
      <c r="F710" t="s">
        <v>5130</v>
      </c>
      <c r="G710" t="s">
        <v>3867</v>
      </c>
      <c r="I710" t="s">
        <v>5109</v>
      </c>
      <c r="J710" t="s">
        <v>3834</v>
      </c>
      <c r="K710" t="s">
        <v>5110</v>
      </c>
    </row>
    <row r="711" spans="1:11" x14ac:dyDescent="0.2">
      <c r="A711" t="s">
        <v>2533</v>
      </c>
      <c r="B711" t="s">
        <v>1905</v>
      </c>
      <c r="C711" t="s">
        <v>1975</v>
      </c>
      <c r="D711" t="s">
        <v>3274</v>
      </c>
      <c r="E711" t="s">
        <v>5131</v>
      </c>
      <c r="F711" t="s">
        <v>5132</v>
      </c>
      <c r="G711" t="s">
        <v>1975</v>
      </c>
      <c r="I711" t="s">
        <v>5109</v>
      </c>
      <c r="J711" t="s">
        <v>3834</v>
      </c>
      <c r="K711" t="s">
        <v>5110</v>
      </c>
    </row>
    <row r="712" spans="1:11" x14ac:dyDescent="0.2">
      <c r="A712" t="s">
        <v>2534</v>
      </c>
      <c r="B712" t="s">
        <v>1905</v>
      </c>
      <c r="C712" t="s">
        <v>1976</v>
      </c>
      <c r="D712" t="s">
        <v>3275</v>
      </c>
      <c r="E712" t="s">
        <v>5133</v>
      </c>
      <c r="F712" t="s">
        <v>5134</v>
      </c>
      <c r="G712" t="s">
        <v>1976</v>
      </c>
      <c r="I712" t="s">
        <v>5109</v>
      </c>
      <c r="J712" t="s">
        <v>3834</v>
      </c>
      <c r="K712" t="s">
        <v>5110</v>
      </c>
    </row>
    <row r="713" spans="1:11" x14ac:dyDescent="0.2">
      <c r="A713" t="s">
        <v>2535</v>
      </c>
      <c r="B713" t="s">
        <v>1905</v>
      </c>
      <c r="C713" t="s">
        <v>1977</v>
      </c>
      <c r="D713" t="s">
        <v>3276</v>
      </c>
      <c r="E713" t="s">
        <v>5135</v>
      </c>
      <c r="F713" t="s">
        <v>5136</v>
      </c>
      <c r="G713" t="s">
        <v>1977</v>
      </c>
      <c r="I713" t="s">
        <v>5109</v>
      </c>
      <c r="J713" t="s">
        <v>3834</v>
      </c>
      <c r="K713" t="s">
        <v>5110</v>
      </c>
    </row>
    <row r="714" spans="1:11" x14ac:dyDescent="0.2">
      <c r="A714" t="s">
        <v>2536</v>
      </c>
      <c r="B714" t="s">
        <v>1905</v>
      </c>
      <c r="C714" t="s">
        <v>1978</v>
      </c>
      <c r="D714" t="s">
        <v>3277</v>
      </c>
      <c r="E714" t="s">
        <v>5137</v>
      </c>
      <c r="F714" t="s">
        <v>5138</v>
      </c>
      <c r="G714" t="s">
        <v>3880</v>
      </c>
      <c r="I714" t="s">
        <v>5109</v>
      </c>
      <c r="J714" t="s">
        <v>3834</v>
      </c>
      <c r="K714" t="s">
        <v>5110</v>
      </c>
    </row>
    <row r="715" spans="1:11" x14ac:dyDescent="0.2">
      <c r="A715" t="s">
        <v>2537</v>
      </c>
      <c r="B715" t="s">
        <v>1905</v>
      </c>
      <c r="C715" t="s">
        <v>1979</v>
      </c>
      <c r="D715" t="s">
        <v>3278</v>
      </c>
      <c r="E715" t="s">
        <v>5139</v>
      </c>
      <c r="F715" t="s">
        <v>5140</v>
      </c>
      <c r="G715" t="s">
        <v>3884</v>
      </c>
      <c r="I715" t="s">
        <v>5109</v>
      </c>
      <c r="J715" t="s">
        <v>3834</v>
      </c>
      <c r="K715" t="s">
        <v>5110</v>
      </c>
    </row>
    <row r="716" spans="1:11" x14ac:dyDescent="0.2">
      <c r="A716" t="s">
        <v>2538</v>
      </c>
      <c r="B716" t="s">
        <v>1905</v>
      </c>
      <c r="C716" t="s">
        <v>1980</v>
      </c>
      <c r="D716" t="s">
        <v>3279</v>
      </c>
      <c r="E716" t="s">
        <v>5141</v>
      </c>
      <c r="F716" t="s">
        <v>5142</v>
      </c>
      <c r="G716" t="s">
        <v>3888</v>
      </c>
      <c r="I716" t="s">
        <v>5109</v>
      </c>
      <c r="J716" t="s">
        <v>3834</v>
      </c>
      <c r="K716" t="s">
        <v>5110</v>
      </c>
    </row>
    <row r="717" spans="1:11" x14ac:dyDescent="0.2">
      <c r="A717" t="s">
        <v>2539</v>
      </c>
      <c r="B717" t="s">
        <v>1905</v>
      </c>
      <c r="C717" t="s">
        <v>1981</v>
      </c>
      <c r="D717" t="s">
        <v>3280</v>
      </c>
      <c r="E717" t="s">
        <v>5143</v>
      </c>
      <c r="F717" t="s">
        <v>5144</v>
      </c>
      <c r="G717" t="s">
        <v>3892</v>
      </c>
      <c r="I717" t="s">
        <v>5109</v>
      </c>
      <c r="J717" t="s">
        <v>3834</v>
      </c>
      <c r="K717" t="s">
        <v>5110</v>
      </c>
    </row>
    <row r="718" spans="1:11" x14ac:dyDescent="0.2">
      <c r="A718" t="s">
        <v>2540</v>
      </c>
      <c r="B718" t="s">
        <v>1905</v>
      </c>
      <c r="C718" t="s">
        <v>1982</v>
      </c>
      <c r="D718" t="s">
        <v>3281</v>
      </c>
      <c r="E718" t="s">
        <v>5145</v>
      </c>
      <c r="F718" t="s">
        <v>5146</v>
      </c>
      <c r="G718" t="s">
        <v>1982</v>
      </c>
      <c r="I718" t="s">
        <v>5109</v>
      </c>
      <c r="J718" t="s">
        <v>3834</v>
      </c>
      <c r="K718" t="s">
        <v>5110</v>
      </c>
    </row>
    <row r="719" spans="1:11" x14ac:dyDescent="0.2">
      <c r="A719" t="s">
        <v>2541</v>
      </c>
      <c r="B719" t="s">
        <v>1905</v>
      </c>
      <c r="C719" t="s">
        <v>1983</v>
      </c>
      <c r="D719" t="s">
        <v>3282</v>
      </c>
      <c r="E719" t="s">
        <v>5147</v>
      </c>
      <c r="F719" t="s">
        <v>5148</v>
      </c>
      <c r="G719" t="s">
        <v>1983</v>
      </c>
      <c r="I719" t="s">
        <v>5109</v>
      </c>
      <c r="J719" t="s">
        <v>3834</v>
      </c>
      <c r="K719" t="s">
        <v>5110</v>
      </c>
    </row>
    <row r="720" spans="1:11" x14ac:dyDescent="0.2">
      <c r="A720" t="s">
        <v>2542</v>
      </c>
      <c r="B720" t="s">
        <v>1905</v>
      </c>
      <c r="C720" t="s">
        <v>1984</v>
      </c>
      <c r="D720" t="s">
        <v>3283</v>
      </c>
      <c r="E720" t="s">
        <v>5149</v>
      </c>
      <c r="F720" t="s">
        <v>5150</v>
      </c>
      <c r="G720" t="s">
        <v>1984</v>
      </c>
      <c r="I720" t="s">
        <v>5109</v>
      </c>
      <c r="J720" t="s">
        <v>3834</v>
      </c>
      <c r="K720" t="s">
        <v>5110</v>
      </c>
    </row>
    <row r="721" spans="1:11" x14ac:dyDescent="0.2">
      <c r="A721" t="s">
        <v>2543</v>
      </c>
      <c r="B721" t="s">
        <v>1905</v>
      </c>
      <c r="C721" t="s">
        <v>1985</v>
      </c>
      <c r="D721" t="s">
        <v>3284</v>
      </c>
      <c r="E721" t="s">
        <v>5151</v>
      </c>
      <c r="F721" t="s">
        <v>5152</v>
      </c>
      <c r="G721" t="s">
        <v>3905</v>
      </c>
      <c r="I721" t="s">
        <v>5109</v>
      </c>
      <c r="J721" t="s">
        <v>3834</v>
      </c>
      <c r="K721" t="s">
        <v>5110</v>
      </c>
    </row>
    <row r="722" spans="1:11" x14ac:dyDescent="0.2">
      <c r="A722" t="s">
        <v>2544</v>
      </c>
      <c r="B722" t="s">
        <v>1905</v>
      </c>
      <c r="C722" t="s">
        <v>1986</v>
      </c>
      <c r="D722" t="s">
        <v>3285</v>
      </c>
      <c r="E722" t="s">
        <v>5153</v>
      </c>
      <c r="F722" t="s">
        <v>5154</v>
      </c>
      <c r="G722" t="s">
        <v>3909</v>
      </c>
      <c r="I722" t="s">
        <v>5109</v>
      </c>
      <c r="J722" t="s">
        <v>3834</v>
      </c>
      <c r="K722" t="s">
        <v>5110</v>
      </c>
    </row>
    <row r="723" spans="1:11" x14ac:dyDescent="0.2">
      <c r="A723" t="s">
        <v>2545</v>
      </c>
      <c r="B723" t="s">
        <v>1905</v>
      </c>
      <c r="C723" t="s">
        <v>1987</v>
      </c>
      <c r="D723" t="s">
        <v>3286</v>
      </c>
      <c r="E723" t="s">
        <v>5155</v>
      </c>
      <c r="F723" t="s">
        <v>5156</v>
      </c>
      <c r="G723" t="s">
        <v>3913</v>
      </c>
      <c r="I723" t="s">
        <v>5109</v>
      </c>
      <c r="J723" t="s">
        <v>3834</v>
      </c>
      <c r="K723" t="s">
        <v>5110</v>
      </c>
    </row>
    <row r="724" spans="1:11" x14ac:dyDescent="0.2">
      <c r="A724" t="s">
        <v>2546</v>
      </c>
      <c r="B724" t="s">
        <v>1905</v>
      </c>
      <c r="C724" t="s">
        <v>1988</v>
      </c>
      <c r="D724" t="s">
        <v>3287</v>
      </c>
      <c r="E724" t="s">
        <v>5157</v>
      </c>
      <c r="F724" t="s">
        <v>5158</v>
      </c>
      <c r="G724" t="s">
        <v>3917</v>
      </c>
      <c r="I724" t="s">
        <v>5109</v>
      </c>
      <c r="J724" t="s">
        <v>3834</v>
      </c>
      <c r="K724" t="s">
        <v>5110</v>
      </c>
    </row>
    <row r="725" spans="1:11" x14ac:dyDescent="0.2">
      <c r="A725" t="s">
        <v>2547</v>
      </c>
      <c r="B725" t="s">
        <v>1905</v>
      </c>
      <c r="C725" t="s">
        <v>1989</v>
      </c>
      <c r="D725" t="s">
        <v>3288</v>
      </c>
      <c r="E725" t="s">
        <v>5159</v>
      </c>
      <c r="F725" t="s">
        <v>5160</v>
      </c>
      <c r="G725" t="s">
        <v>1989</v>
      </c>
      <c r="I725" t="s">
        <v>5109</v>
      </c>
      <c r="J725" t="s">
        <v>3834</v>
      </c>
      <c r="K725" t="s">
        <v>5110</v>
      </c>
    </row>
    <row r="726" spans="1:11" x14ac:dyDescent="0.2">
      <c r="A726" t="s">
        <v>2548</v>
      </c>
      <c r="B726" t="s">
        <v>1905</v>
      </c>
      <c r="C726" t="s">
        <v>1990</v>
      </c>
      <c r="D726" t="s">
        <v>3289</v>
      </c>
      <c r="E726" t="s">
        <v>5161</v>
      </c>
      <c r="F726" t="s">
        <v>5162</v>
      </c>
      <c r="G726" t="s">
        <v>1990</v>
      </c>
      <c r="I726" t="s">
        <v>5109</v>
      </c>
      <c r="J726" t="s">
        <v>3834</v>
      </c>
      <c r="K726" t="s">
        <v>5110</v>
      </c>
    </row>
    <row r="727" spans="1:11" x14ac:dyDescent="0.2">
      <c r="A727" t="s">
        <v>2549</v>
      </c>
      <c r="B727" t="s">
        <v>1905</v>
      </c>
      <c r="C727" t="s">
        <v>1991</v>
      </c>
      <c r="D727" t="s">
        <v>3290</v>
      </c>
      <c r="E727" t="s">
        <v>5163</v>
      </c>
      <c r="F727" t="s">
        <v>5164</v>
      </c>
      <c r="G727" t="s">
        <v>1991</v>
      </c>
      <c r="I727" t="s">
        <v>5109</v>
      </c>
      <c r="J727" t="s">
        <v>3834</v>
      </c>
      <c r="K727" t="s">
        <v>5110</v>
      </c>
    </row>
    <row r="728" spans="1:11" x14ac:dyDescent="0.2">
      <c r="A728" t="s">
        <v>2550</v>
      </c>
      <c r="B728" t="s">
        <v>1905</v>
      </c>
      <c r="C728" t="s">
        <v>1992</v>
      </c>
      <c r="D728" t="s">
        <v>3291</v>
      </c>
      <c r="E728" t="s">
        <v>5165</v>
      </c>
      <c r="F728" t="s">
        <v>5166</v>
      </c>
      <c r="G728" t="s">
        <v>3930</v>
      </c>
      <c r="I728" t="s">
        <v>5109</v>
      </c>
      <c r="J728" t="s">
        <v>3834</v>
      </c>
      <c r="K728" t="s">
        <v>5110</v>
      </c>
    </row>
    <row r="729" spans="1:11" x14ac:dyDescent="0.2">
      <c r="A729" t="s">
        <v>2551</v>
      </c>
      <c r="B729" t="s">
        <v>1905</v>
      </c>
      <c r="C729" t="s">
        <v>1993</v>
      </c>
      <c r="D729" t="s">
        <v>3292</v>
      </c>
      <c r="E729" t="s">
        <v>5167</v>
      </c>
      <c r="F729" t="s">
        <v>5168</v>
      </c>
      <c r="G729" t="s">
        <v>3934</v>
      </c>
      <c r="I729" t="s">
        <v>5109</v>
      </c>
      <c r="J729" t="s">
        <v>3834</v>
      </c>
      <c r="K729" t="s">
        <v>5110</v>
      </c>
    </row>
    <row r="730" spans="1:11" x14ac:dyDescent="0.2">
      <c r="A730" t="s">
        <v>2552</v>
      </c>
      <c r="B730" t="s">
        <v>1905</v>
      </c>
      <c r="C730" t="s">
        <v>1994</v>
      </c>
      <c r="D730" t="s">
        <v>3293</v>
      </c>
      <c r="E730" t="s">
        <v>5169</v>
      </c>
      <c r="F730" t="s">
        <v>5170</v>
      </c>
      <c r="G730" t="s">
        <v>3938</v>
      </c>
      <c r="I730" t="s">
        <v>5109</v>
      </c>
      <c r="J730" t="s">
        <v>3834</v>
      </c>
      <c r="K730" t="s">
        <v>5110</v>
      </c>
    </row>
    <row r="731" spans="1:11" x14ac:dyDescent="0.2">
      <c r="A731" t="s">
        <v>2553</v>
      </c>
      <c r="B731" t="s">
        <v>1905</v>
      </c>
      <c r="C731" t="s">
        <v>1995</v>
      </c>
      <c r="D731" t="s">
        <v>3294</v>
      </c>
      <c r="E731" t="s">
        <v>5171</v>
      </c>
      <c r="F731" t="s">
        <v>5172</v>
      </c>
      <c r="G731" t="s">
        <v>3942</v>
      </c>
      <c r="I731" t="s">
        <v>5109</v>
      </c>
      <c r="J731" t="s">
        <v>3834</v>
      </c>
      <c r="K731" t="s">
        <v>5110</v>
      </c>
    </row>
    <row r="732" spans="1:11" x14ac:dyDescent="0.2">
      <c r="A732" t="s">
        <v>2554</v>
      </c>
      <c r="B732" t="s">
        <v>1905</v>
      </c>
      <c r="C732" t="s">
        <v>1996</v>
      </c>
      <c r="D732" t="s">
        <v>3295</v>
      </c>
      <c r="E732" t="s">
        <v>5173</v>
      </c>
      <c r="F732" t="s">
        <v>5174</v>
      </c>
      <c r="G732" t="s">
        <v>3946</v>
      </c>
      <c r="I732" t="s">
        <v>5109</v>
      </c>
      <c r="J732" t="s">
        <v>3834</v>
      </c>
      <c r="K732" t="s">
        <v>5110</v>
      </c>
    </row>
    <row r="733" spans="1:11" x14ac:dyDescent="0.2">
      <c r="A733" t="s">
        <v>2555</v>
      </c>
      <c r="B733" t="s">
        <v>1905</v>
      </c>
      <c r="C733" t="s">
        <v>1997</v>
      </c>
      <c r="D733" t="s">
        <v>3296</v>
      </c>
      <c r="E733" t="s">
        <v>5175</v>
      </c>
      <c r="F733" t="s">
        <v>5176</v>
      </c>
      <c r="G733" t="s">
        <v>3950</v>
      </c>
      <c r="I733" t="s">
        <v>5109</v>
      </c>
      <c r="J733" t="s">
        <v>3834</v>
      </c>
      <c r="K733" t="s">
        <v>5110</v>
      </c>
    </row>
    <row r="734" spans="1:11" x14ac:dyDescent="0.2">
      <c r="A734" t="s">
        <v>2556</v>
      </c>
      <c r="B734" t="s">
        <v>1905</v>
      </c>
      <c r="C734" t="s">
        <v>1998</v>
      </c>
      <c r="D734" t="s">
        <v>3297</v>
      </c>
      <c r="E734" t="s">
        <v>5177</v>
      </c>
      <c r="F734" t="s">
        <v>5178</v>
      </c>
      <c r="G734" t="s">
        <v>3954</v>
      </c>
      <c r="I734" t="s">
        <v>5109</v>
      </c>
      <c r="J734" t="s">
        <v>3834</v>
      </c>
      <c r="K734" t="s">
        <v>5110</v>
      </c>
    </row>
    <row r="735" spans="1:11" x14ac:dyDescent="0.2">
      <c r="A735" t="s">
        <v>2557</v>
      </c>
      <c r="B735" t="s">
        <v>1905</v>
      </c>
      <c r="C735" t="s">
        <v>1999</v>
      </c>
      <c r="D735" t="s">
        <v>3298</v>
      </c>
      <c r="E735" t="s">
        <v>5179</v>
      </c>
      <c r="F735" t="s">
        <v>5180</v>
      </c>
      <c r="G735" t="s">
        <v>3958</v>
      </c>
      <c r="I735" t="s">
        <v>5109</v>
      </c>
      <c r="J735" t="s">
        <v>3834</v>
      </c>
      <c r="K735" t="s">
        <v>5110</v>
      </c>
    </row>
    <row r="736" spans="1:11" x14ac:dyDescent="0.2">
      <c r="A736" t="s">
        <v>2558</v>
      </c>
      <c r="B736" t="s">
        <v>1905</v>
      </c>
      <c r="C736" t="s">
        <v>2000</v>
      </c>
      <c r="D736" t="s">
        <v>3299</v>
      </c>
      <c r="E736" t="s">
        <v>5181</v>
      </c>
      <c r="F736" t="s">
        <v>5182</v>
      </c>
      <c r="G736" t="s">
        <v>3962</v>
      </c>
      <c r="I736" t="s">
        <v>5109</v>
      </c>
      <c r="J736" t="s">
        <v>3834</v>
      </c>
      <c r="K736" t="s">
        <v>5110</v>
      </c>
    </row>
    <row r="737" spans="1:11" x14ac:dyDescent="0.2">
      <c r="A737" t="s">
        <v>2559</v>
      </c>
      <c r="B737" t="s">
        <v>1905</v>
      </c>
      <c r="C737" t="s">
        <v>2001</v>
      </c>
      <c r="D737" t="s">
        <v>3300</v>
      </c>
      <c r="E737" t="s">
        <v>5183</v>
      </c>
      <c r="F737" t="s">
        <v>5184</v>
      </c>
      <c r="G737" t="s">
        <v>3966</v>
      </c>
      <c r="I737" t="s">
        <v>5109</v>
      </c>
      <c r="J737" t="s">
        <v>3834</v>
      </c>
      <c r="K737" t="s">
        <v>5110</v>
      </c>
    </row>
    <row r="738" spans="1:11" x14ac:dyDescent="0.2">
      <c r="A738" t="s">
        <v>2560</v>
      </c>
      <c r="B738" t="s">
        <v>1905</v>
      </c>
      <c r="C738" t="s">
        <v>2002</v>
      </c>
      <c r="D738" t="s">
        <v>3301</v>
      </c>
      <c r="E738" t="s">
        <v>5185</v>
      </c>
      <c r="F738" t="s">
        <v>5186</v>
      </c>
      <c r="G738" t="s">
        <v>3970</v>
      </c>
      <c r="I738" t="s">
        <v>5109</v>
      </c>
      <c r="J738" t="s">
        <v>3834</v>
      </c>
      <c r="K738" t="s">
        <v>5110</v>
      </c>
    </row>
    <row r="739" spans="1:11" x14ac:dyDescent="0.2">
      <c r="A739" t="s">
        <v>2561</v>
      </c>
      <c r="B739" t="s">
        <v>1905</v>
      </c>
      <c r="C739" t="s">
        <v>2003</v>
      </c>
      <c r="D739" t="s">
        <v>3302</v>
      </c>
      <c r="E739" t="s">
        <v>5187</v>
      </c>
      <c r="F739" t="s">
        <v>5188</v>
      </c>
      <c r="G739" t="s">
        <v>2003</v>
      </c>
      <c r="I739" t="s">
        <v>5109</v>
      </c>
      <c r="J739" t="s">
        <v>3834</v>
      </c>
      <c r="K739" t="s">
        <v>5110</v>
      </c>
    </row>
    <row r="740" spans="1:11" x14ac:dyDescent="0.2">
      <c r="A740" t="s">
        <v>2562</v>
      </c>
      <c r="B740" t="s">
        <v>1905</v>
      </c>
      <c r="C740" t="s">
        <v>2004</v>
      </c>
      <c r="D740" t="s">
        <v>3303</v>
      </c>
      <c r="E740" t="s">
        <v>5189</v>
      </c>
      <c r="F740" t="s">
        <v>5190</v>
      </c>
      <c r="G740" t="s">
        <v>2004</v>
      </c>
      <c r="I740" t="s">
        <v>5109</v>
      </c>
      <c r="J740" t="s">
        <v>3834</v>
      </c>
      <c r="K740" t="s">
        <v>5110</v>
      </c>
    </row>
    <row r="741" spans="1:11" x14ac:dyDescent="0.2">
      <c r="A741" t="s">
        <v>2563</v>
      </c>
      <c r="B741" t="s">
        <v>1905</v>
      </c>
      <c r="C741" t="s">
        <v>2005</v>
      </c>
      <c r="D741" t="s">
        <v>3304</v>
      </c>
      <c r="E741" t="s">
        <v>5191</v>
      </c>
      <c r="F741" t="s">
        <v>5192</v>
      </c>
      <c r="G741" t="s">
        <v>2005</v>
      </c>
      <c r="I741" t="s">
        <v>5109</v>
      </c>
      <c r="J741" t="s">
        <v>3834</v>
      </c>
      <c r="K741" t="s">
        <v>5110</v>
      </c>
    </row>
    <row r="742" spans="1:11" x14ac:dyDescent="0.2">
      <c r="A742" t="s">
        <v>2564</v>
      </c>
      <c r="B742" t="s">
        <v>1905</v>
      </c>
      <c r="C742" t="s">
        <v>1957</v>
      </c>
      <c r="D742" t="s">
        <v>3305</v>
      </c>
      <c r="E742" t="s">
        <v>5193</v>
      </c>
      <c r="F742" t="s">
        <v>5194</v>
      </c>
      <c r="G742" t="s">
        <v>3983</v>
      </c>
      <c r="I742" t="s">
        <v>5109</v>
      </c>
      <c r="J742" t="s">
        <v>3834</v>
      </c>
      <c r="K742" t="s">
        <v>5110</v>
      </c>
    </row>
    <row r="743" spans="1:11" x14ac:dyDescent="0.2">
      <c r="A743" t="s">
        <v>2565</v>
      </c>
      <c r="B743" t="s">
        <v>1905</v>
      </c>
      <c r="C743" t="s">
        <v>2006</v>
      </c>
      <c r="D743" t="s">
        <v>3306</v>
      </c>
      <c r="E743" t="s">
        <v>5195</v>
      </c>
      <c r="F743" t="s">
        <v>5196</v>
      </c>
      <c r="G743" t="s">
        <v>3987</v>
      </c>
      <c r="I743" t="s">
        <v>5109</v>
      </c>
      <c r="J743" t="s">
        <v>3834</v>
      </c>
      <c r="K743" t="s">
        <v>5110</v>
      </c>
    </row>
    <row r="744" spans="1:11" x14ac:dyDescent="0.2">
      <c r="A744" t="s">
        <v>2566</v>
      </c>
      <c r="B744" t="s">
        <v>1905</v>
      </c>
      <c r="C744" t="s">
        <v>2007</v>
      </c>
      <c r="D744" t="s">
        <v>3307</v>
      </c>
      <c r="E744" t="s">
        <v>5197</v>
      </c>
      <c r="F744" t="s">
        <v>5198</v>
      </c>
      <c r="G744" t="s">
        <v>3991</v>
      </c>
      <c r="I744" t="s">
        <v>5109</v>
      </c>
      <c r="J744" t="s">
        <v>3834</v>
      </c>
      <c r="K744" t="s">
        <v>5110</v>
      </c>
    </row>
    <row r="745" spans="1:11" x14ac:dyDescent="0.2">
      <c r="A745" t="s">
        <v>2567</v>
      </c>
      <c r="B745" t="s">
        <v>1905</v>
      </c>
      <c r="C745" t="s">
        <v>2008</v>
      </c>
      <c r="D745" t="s">
        <v>3308</v>
      </c>
      <c r="E745" t="s">
        <v>5199</v>
      </c>
      <c r="F745" t="s">
        <v>5200</v>
      </c>
      <c r="G745" t="s">
        <v>3995</v>
      </c>
      <c r="I745" t="s">
        <v>5109</v>
      </c>
      <c r="J745" t="s">
        <v>3834</v>
      </c>
      <c r="K745" t="s">
        <v>5110</v>
      </c>
    </row>
    <row r="746" spans="1:11" x14ac:dyDescent="0.2">
      <c r="A746" t="s">
        <v>2568</v>
      </c>
      <c r="B746" t="s">
        <v>1905</v>
      </c>
      <c r="C746" t="s">
        <v>2009</v>
      </c>
      <c r="D746" t="s">
        <v>3309</v>
      </c>
      <c r="E746" t="s">
        <v>5201</v>
      </c>
      <c r="F746" t="s">
        <v>5202</v>
      </c>
      <c r="G746" t="s">
        <v>3999</v>
      </c>
      <c r="I746" t="s">
        <v>5109</v>
      </c>
      <c r="J746" t="s">
        <v>3834</v>
      </c>
      <c r="K746" t="s">
        <v>5110</v>
      </c>
    </row>
    <row r="747" spans="1:11" x14ac:dyDescent="0.2">
      <c r="A747" t="s">
        <v>2569</v>
      </c>
      <c r="B747" t="s">
        <v>1905</v>
      </c>
      <c r="C747" t="s">
        <v>2010</v>
      </c>
      <c r="D747" t="s">
        <v>3310</v>
      </c>
      <c r="E747" t="s">
        <v>5203</v>
      </c>
      <c r="F747" t="s">
        <v>5204</v>
      </c>
      <c r="G747" t="s">
        <v>4003</v>
      </c>
      <c r="I747" t="s">
        <v>5109</v>
      </c>
      <c r="J747" t="s">
        <v>3834</v>
      </c>
      <c r="K747" t="s">
        <v>5110</v>
      </c>
    </row>
    <row r="748" spans="1:11" x14ac:dyDescent="0.2">
      <c r="A748" t="s">
        <v>2570</v>
      </c>
      <c r="B748" t="s">
        <v>1905</v>
      </c>
      <c r="C748" t="s">
        <v>2011</v>
      </c>
      <c r="D748" t="s">
        <v>3311</v>
      </c>
      <c r="E748" t="s">
        <v>5205</v>
      </c>
      <c r="F748" t="s">
        <v>5206</v>
      </c>
      <c r="G748" t="s">
        <v>4007</v>
      </c>
      <c r="I748" t="s">
        <v>5109</v>
      </c>
      <c r="J748" t="s">
        <v>3834</v>
      </c>
      <c r="K748" t="s">
        <v>5110</v>
      </c>
    </row>
    <row r="749" spans="1:11" x14ac:dyDescent="0.2">
      <c r="A749" t="s">
        <v>2571</v>
      </c>
      <c r="B749" t="s">
        <v>1905</v>
      </c>
      <c r="C749" t="s">
        <v>2012</v>
      </c>
      <c r="D749" t="s">
        <v>3312</v>
      </c>
      <c r="E749" t="s">
        <v>5207</v>
      </c>
      <c r="F749" t="s">
        <v>5208</v>
      </c>
      <c r="G749" t="s">
        <v>4011</v>
      </c>
      <c r="I749" t="s">
        <v>5109</v>
      </c>
      <c r="J749" t="s">
        <v>3834</v>
      </c>
      <c r="K749" t="s">
        <v>5110</v>
      </c>
    </row>
    <row r="750" spans="1:11" x14ac:dyDescent="0.2">
      <c r="A750" t="s">
        <v>2572</v>
      </c>
      <c r="B750" t="s">
        <v>1890</v>
      </c>
      <c r="C750" t="s">
        <v>2013</v>
      </c>
      <c r="D750" t="s">
        <v>3313</v>
      </c>
      <c r="E750" t="s">
        <v>5209</v>
      </c>
      <c r="F750" t="s">
        <v>5210</v>
      </c>
      <c r="G750" t="s">
        <v>4015</v>
      </c>
      <c r="I750" t="s">
        <v>5109</v>
      </c>
      <c r="J750" t="s">
        <v>3834</v>
      </c>
      <c r="K750" t="s">
        <v>5110</v>
      </c>
    </row>
    <row r="751" spans="1:11" x14ac:dyDescent="0.2">
      <c r="A751" t="s">
        <v>2573</v>
      </c>
      <c r="B751" t="s">
        <v>1905</v>
      </c>
      <c r="C751" t="s">
        <v>2014</v>
      </c>
      <c r="D751" t="s">
        <v>3314</v>
      </c>
      <c r="E751" t="s">
        <v>5211</v>
      </c>
      <c r="F751" t="s">
        <v>5212</v>
      </c>
      <c r="G751" t="s">
        <v>4019</v>
      </c>
      <c r="I751" t="s">
        <v>5109</v>
      </c>
      <c r="J751" t="s">
        <v>3834</v>
      </c>
      <c r="K751" t="s">
        <v>5110</v>
      </c>
    </row>
    <row r="752" spans="1:11" x14ac:dyDescent="0.2">
      <c r="A752" t="s">
        <v>2574</v>
      </c>
      <c r="B752" t="s">
        <v>1905</v>
      </c>
      <c r="C752" t="s">
        <v>2015</v>
      </c>
      <c r="D752" t="s">
        <v>3315</v>
      </c>
      <c r="E752" t="s">
        <v>5213</v>
      </c>
      <c r="F752" t="s">
        <v>5214</v>
      </c>
      <c r="G752" t="s">
        <v>4023</v>
      </c>
      <c r="I752" t="s">
        <v>5109</v>
      </c>
      <c r="J752" t="s">
        <v>3834</v>
      </c>
      <c r="K752" t="s">
        <v>5110</v>
      </c>
    </row>
    <row r="753" spans="1:11" x14ac:dyDescent="0.2">
      <c r="A753" t="s">
        <v>2575</v>
      </c>
      <c r="B753" t="s">
        <v>1905</v>
      </c>
      <c r="C753" t="s">
        <v>2016</v>
      </c>
      <c r="D753" t="s">
        <v>3316</v>
      </c>
      <c r="E753" t="s">
        <v>5215</v>
      </c>
      <c r="F753" t="s">
        <v>5216</v>
      </c>
      <c r="G753" t="s">
        <v>4027</v>
      </c>
      <c r="I753" t="s">
        <v>5109</v>
      </c>
      <c r="J753" t="s">
        <v>3834</v>
      </c>
      <c r="K753" t="s">
        <v>5110</v>
      </c>
    </row>
    <row r="754" spans="1:11" x14ac:dyDescent="0.2">
      <c r="A754" t="s">
        <v>2576</v>
      </c>
      <c r="B754" t="s">
        <v>1905</v>
      </c>
      <c r="C754" t="s">
        <v>2017</v>
      </c>
      <c r="D754" t="s">
        <v>3317</v>
      </c>
      <c r="E754" t="s">
        <v>5217</v>
      </c>
      <c r="F754" t="s">
        <v>5218</v>
      </c>
      <c r="G754" t="s">
        <v>4031</v>
      </c>
      <c r="I754" t="s">
        <v>5109</v>
      </c>
      <c r="J754" t="s">
        <v>3834</v>
      </c>
      <c r="K754" t="s">
        <v>5110</v>
      </c>
    </row>
    <row r="755" spans="1:11" x14ac:dyDescent="0.2">
      <c r="A755" t="s">
        <v>2577</v>
      </c>
      <c r="B755" t="s">
        <v>1905</v>
      </c>
      <c r="C755" t="s">
        <v>2018</v>
      </c>
      <c r="D755" t="s">
        <v>3318</v>
      </c>
      <c r="E755" t="s">
        <v>5219</v>
      </c>
      <c r="F755" t="s">
        <v>5220</v>
      </c>
      <c r="G755" t="s">
        <v>4035</v>
      </c>
      <c r="I755" t="s">
        <v>5109</v>
      </c>
      <c r="J755" t="s">
        <v>3834</v>
      </c>
      <c r="K755" t="s">
        <v>5110</v>
      </c>
    </row>
    <row r="756" spans="1:11" x14ac:dyDescent="0.2">
      <c r="A756" t="s">
        <v>2578</v>
      </c>
      <c r="B756" t="s">
        <v>1905</v>
      </c>
      <c r="C756" t="s">
        <v>2019</v>
      </c>
      <c r="D756" t="s">
        <v>3319</v>
      </c>
      <c r="E756" t="s">
        <v>5221</v>
      </c>
      <c r="F756" t="s">
        <v>5222</v>
      </c>
      <c r="G756" t="s">
        <v>4039</v>
      </c>
      <c r="I756" t="s">
        <v>5109</v>
      </c>
      <c r="J756" t="s">
        <v>3834</v>
      </c>
      <c r="K756" t="s">
        <v>5110</v>
      </c>
    </row>
    <row r="757" spans="1:11" x14ac:dyDescent="0.2">
      <c r="A757" t="s">
        <v>2579</v>
      </c>
      <c r="B757" t="s">
        <v>1905</v>
      </c>
      <c r="C757" t="s">
        <v>2020</v>
      </c>
      <c r="D757" t="s">
        <v>3320</v>
      </c>
      <c r="E757" t="s">
        <v>5223</v>
      </c>
      <c r="F757" t="s">
        <v>5224</v>
      </c>
      <c r="G757" t="s">
        <v>4043</v>
      </c>
      <c r="I757" t="s">
        <v>5109</v>
      </c>
      <c r="J757" t="s">
        <v>3834</v>
      </c>
      <c r="K757" t="s">
        <v>5110</v>
      </c>
    </row>
    <row r="758" spans="1:11" x14ac:dyDescent="0.2">
      <c r="A758" t="s">
        <v>2580</v>
      </c>
      <c r="B758" t="s">
        <v>1905</v>
      </c>
      <c r="C758" t="s">
        <v>1953</v>
      </c>
      <c r="D758" t="s">
        <v>3321</v>
      </c>
      <c r="E758" t="s">
        <v>5225</v>
      </c>
      <c r="F758" t="s">
        <v>5226</v>
      </c>
      <c r="G758" t="s">
        <v>4046</v>
      </c>
      <c r="I758" t="s">
        <v>5109</v>
      </c>
      <c r="J758" t="s">
        <v>3834</v>
      </c>
      <c r="K758" t="s">
        <v>5110</v>
      </c>
    </row>
    <row r="759" spans="1:11" x14ac:dyDescent="0.2">
      <c r="A759" t="s">
        <v>2581</v>
      </c>
      <c r="B759" t="s">
        <v>1905</v>
      </c>
      <c r="C759" t="s">
        <v>1954</v>
      </c>
      <c r="D759" t="s">
        <v>3322</v>
      </c>
      <c r="E759" t="s">
        <v>5227</v>
      </c>
      <c r="F759" t="s">
        <v>5228</v>
      </c>
      <c r="G759" t="s">
        <v>4049</v>
      </c>
      <c r="I759" t="s">
        <v>5109</v>
      </c>
      <c r="J759" t="s">
        <v>3834</v>
      </c>
      <c r="K759" t="s">
        <v>5110</v>
      </c>
    </row>
    <row r="760" spans="1:11" x14ac:dyDescent="0.2">
      <c r="A760" t="s">
        <v>2582</v>
      </c>
      <c r="B760" t="s">
        <v>1905</v>
      </c>
      <c r="C760" t="s">
        <v>1955</v>
      </c>
      <c r="D760" t="s">
        <v>3323</v>
      </c>
      <c r="E760" t="s">
        <v>5229</v>
      </c>
      <c r="F760" t="s">
        <v>5230</v>
      </c>
      <c r="G760" t="s">
        <v>4052</v>
      </c>
      <c r="I760" t="s">
        <v>5109</v>
      </c>
      <c r="J760" t="s">
        <v>3834</v>
      </c>
      <c r="K760" t="s">
        <v>5110</v>
      </c>
    </row>
    <row r="761" spans="1:11" x14ac:dyDescent="0.2">
      <c r="A761" t="s">
        <v>2583</v>
      </c>
      <c r="B761" t="s">
        <v>1905</v>
      </c>
      <c r="C761" t="s">
        <v>1956</v>
      </c>
      <c r="D761" t="s">
        <v>3324</v>
      </c>
      <c r="E761" t="s">
        <v>5231</v>
      </c>
      <c r="F761" t="s">
        <v>5232</v>
      </c>
      <c r="G761" t="s">
        <v>4055</v>
      </c>
      <c r="I761" t="s">
        <v>5109</v>
      </c>
      <c r="J761" t="s">
        <v>3834</v>
      </c>
      <c r="K761" t="s">
        <v>5110</v>
      </c>
    </row>
    <row r="762" spans="1:11" x14ac:dyDescent="0.2">
      <c r="A762" t="s">
        <v>2584</v>
      </c>
      <c r="B762" t="s">
        <v>1905</v>
      </c>
      <c r="C762" t="s">
        <v>1957</v>
      </c>
      <c r="D762" t="s">
        <v>3325</v>
      </c>
      <c r="E762" t="s">
        <v>5233</v>
      </c>
      <c r="F762" t="s">
        <v>5234</v>
      </c>
      <c r="G762" t="s">
        <v>4058</v>
      </c>
      <c r="I762" t="s">
        <v>5109</v>
      </c>
      <c r="J762" t="s">
        <v>3834</v>
      </c>
      <c r="K762" t="s">
        <v>5110</v>
      </c>
    </row>
    <row r="763" spans="1:11" x14ac:dyDescent="0.2">
      <c r="A763" t="s">
        <v>2585</v>
      </c>
      <c r="B763" t="s">
        <v>1905</v>
      </c>
      <c r="C763" t="s">
        <v>1958</v>
      </c>
      <c r="D763" t="s">
        <v>3326</v>
      </c>
      <c r="E763" t="s">
        <v>5235</v>
      </c>
      <c r="F763" t="s">
        <v>5236</v>
      </c>
      <c r="G763" t="s">
        <v>4061</v>
      </c>
      <c r="I763" t="s">
        <v>5109</v>
      </c>
      <c r="J763" t="s">
        <v>3834</v>
      </c>
      <c r="K763" t="s">
        <v>5110</v>
      </c>
    </row>
    <row r="764" spans="1:11" x14ac:dyDescent="0.2">
      <c r="A764" t="s">
        <v>2586</v>
      </c>
      <c r="B764" t="s">
        <v>1905</v>
      </c>
      <c r="C764" t="s">
        <v>2069</v>
      </c>
      <c r="D764" t="s">
        <v>3327</v>
      </c>
      <c r="E764" t="s">
        <v>5237</v>
      </c>
      <c r="F764" t="s">
        <v>5238</v>
      </c>
      <c r="G764" t="s">
        <v>4064</v>
      </c>
      <c r="I764" t="s">
        <v>5109</v>
      </c>
      <c r="J764" t="s">
        <v>3834</v>
      </c>
      <c r="K764" t="s">
        <v>5110</v>
      </c>
    </row>
    <row r="765" spans="1:11" x14ac:dyDescent="0.2">
      <c r="A765" t="s">
        <v>2091</v>
      </c>
      <c r="B765" t="s">
        <v>3502</v>
      </c>
      <c r="C765" t="s">
        <v>2083</v>
      </c>
      <c r="D765" t="s">
        <v>5239</v>
      </c>
      <c r="I765" t="s">
        <v>5109</v>
      </c>
      <c r="J765" t="s">
        <v>4069</v>
      </c>
      <c r="K765" t="s">
        <v>5240</v>
      </c>
    </row>
    <row r="766" spans="1:11" x14ac:dyDescent="0.2">
      <c r="A766" t="s">
        <v>2587</v>
      </c>
      <c r="B766" t="s">
        <v>1905</v>
      </c>
      <c r="C766" t="s">
        <v>2030</v>
      </c>
      <c r="D766" t="s">
        <v>3328</v>
      </c>
      <c r="E766" t="s">
        <v>5241</v>
      </c>
      <c r="F766" t="s">
        <v>5242</v>
      </c>
      <c r="G766" t="s">
        <v>3567</v>
      </c>
      <c r="I766" t="s">
        <v>5109</v>
      </c>
      <c r="J766" t="s">
        <v>4069</v>
      </c>
      <c r="K766" t="s">
        <v>5240</v>
      </c>
    </row>
    <row r="767" spans="1:11" x14ac:dyDescent="0.2">
      <c r="A767" t="s">
        <v>2588</v>
      </c>
      <c r="B767" t="s">
        <v>1905</v>
      </c>
      <c r="C767" t="s">
        <v>2031</v>
      </c>
      <c r="D767" t="s">
        <v>3329</v>
      </c>
      <c r="E767" t="s">
        <v>5243</v>
      </c>
      <c r="F767" t="s">
        <v>5244</v>
      </c>
      <c r="G767" t="s">
        <v>3571</v>
      </c>
      <c r="I767" t="s">
        <v>5109</v>
      </c>
      <c r="J767" t="s">
        <v>4069</v>
      </c>
      <c r="K767" t="s">
        <v>5240</v>
      </c>
    </row>
    <row r="768" spans="1:11" x14ac:dyDescent="0.2">
      <c r="A768" t="s">
        <v>2589</v>
      </c>
      <c r="B768" t="s">
        <v>1905</v>
      </c>
      <c r="C768" t="s">
        <v>2032</v>
      </c>
      <c r="D768" t="s">
        <v>3330</v>
      </c>
      <c r="E768" t="s">
        <v>5245</v>
      </c>
      <c r="F768" t="s">
        <v>5246</v>
      </c>
      <c r="G768" t="s">
        <v>3575</v>
      </c>
      <c r="I768" t="s">
        <v>5109</v>
      </c>
      <c r="J768" t="s">
        <v>4069</v>
      </c>
      <c r="K768" t="s">
        <v>5240</v>
      </c>
    </row>
    <row r="769" spans="1:11" x14ac:dyDescent="0.2">
      <c r="A769" t="s">
        <v>2590</v>
      </c>
      <c r="B769" t="s">
        <v>1905</v>
      </c>
      <c r="C769" t="s">
        <v>2033</v>
      </c>
      <c r="D769" t="s">
        <v>3331</v>
      </c>
      <c r="E769" t="s">
        <v>5247</v>
      </c>
      <c r="F769" t="s">
        <v>5248</v>
      </c>
      <c r="G769" t="s">
        <v>2033</v>
      </c>
      <c r="I769" t="s">
        <v>5109</v>
      </c>
      <c r="J769" t="s">
        <v>4069</v>
      </c>
      <c r="K769" t="s">
        <v>5240</v>
      </c>
    </row>
    <row r="770" spans="1:11" x14ac:dyDescent="0.2">
      <c r="A770" t="s">
        <v>2591</v>
      </c>
      <c r="B770" t="s">
        <v>1905</v>
      </c>
      <c r="C770" t="s">
        <v>2034</v>
      </c>
      <c r="D770" t="s">
        <v>3332</v>
      </c>
      <c r="E770" t="s">
        <v>5249</v>
      </c>
      <c r="F770" t="s">
        <v>5250</v>
      </c>
      <c r="G770" t="s">
        <v>2034</v>
      </c>
      <c r="I770" t="s">
        <v>5109</v>
      </c>
      <c r="J770" t="s">
        <v>4069</v>
      </c>
      <c r="K770" t="s">
        <v>5240</v>
      </c>
    </row>
    <row r="771" spans="1:11" x14ac:dyDescent="0.2">
      <c r="A771" t="s">
        <v>2592</v>
      </c>
      <c r="B771" t="s">
        <v>1905</v>
      </c>
      <c r="C771" t="s">
        <v>2035</v>
      </c>
      <c r="D771" t="s">
        <v>3333</v>
      </c>
      <c r="E771" t="s">
        <v>5251</v>
      </c>
      <c r="F771" t="s">
        <v>5252</v>
      </c>
      <c r="G771" t="s">
        <v>2035</v>
      </c>
      <c r="I771" t="s">
        <v>5109</v>
      </c>
      <c r="J771" t="s">
        <v>4069</v>
      </c>
      <c r="K771" t="s">
        <v>5240</v>
      </c>
    </row>
    <row r="772" spans="1:11" x14ac:dyDescent="0.2">
      <c r="A772" t="s">
        <v>2593</v>
      </c>
      <c r="B772" t="s">
        <v>1905</v>
      </c>
      <c r="C772" t="s">
        <v>2071</v>
      </c>
      <c r="D772" t="s">
        <v>3334</v>
      </c>
      <c r="E772" t="s">
        <v>5253</v>
      </c>
      <c r="F772" t="s">
        <v>5254</v>
      </c>
      <c r="G772" t="s">
        <v>3590</v>
      </c>
      <c r="I772" t="s">
        <v>5109</v>
      </c>
      <c r="J772" t="s">
        <v>4069</v>
      </c>
      <c r="K772" t="s">
        <v>5240</v>
      </c>
    </row>
    <row r="773" spans="1:11" x14ac:dyDescent="0.2">
      <c r="A773" t="s">
        <v>2594</v>
      </c>
      <c r="B773" t="s">
        <v>1905</v>
      </c>
      <c r="C773" t="s">
        <v>2023</v>
      </c>
      <c r="D773" t="s">
        <v>3335</v>
      </c>
      <c r="E773" t="s">
        <v>5255</v>
      </c>
      <c r="F773" t="s">
        <v>5256</v>
      </c>
      <c r="G773" t="s">
        <v>4367</v>
      </c>
      <c r="I773" t="s">
        <v>5109</v>
      </c>
      <c r="J773" t="s">
        <v>4069</v>
      </c>
      <c r="K773" t="s">
        <v>5240</v>
      </c>
    </row>
    <row r="774" spans="1:11" x14ac:dyDescent="0.2">
      <c r="A774" t="s">
        <v>2595</v>
      </c>
      <c r="B774" t="s">
        <v>1905</v>
      </c>
      <c r="C774" t="s">
        <v>2024</v>
      </c>
      <c r="D774" t="s">
        <v>3336</v>
      </c>
      <c r="E774" t="s">
        <v>5257</v>
      </c>
      <c r="F774" t="s">
        <v>5258</v>
      </c>
      <c r="G774" t="s">
        <v>3545</v>
      </c>
      <c r="I774" t="s">
        <v>5109</v>
      </c>
      <c r="J774" t="s">
        <v>4069</v>
      </c>
      <c r="K774" t="s">
        <v>5240</v>
      </c>
    </row>
    <row r="775" spans="1:11" x14ac:dyDescent="0.2">
      <c r="A775" t="s">
        <v>2596</v>
      </c>
      <c r="B775" t="s">
        <v>1905</v>
      </c>
      <c r="C775" t="s">
        <v>2025</v>
      </c>
      <c r="D775" t="s">
        <v>3337</v>
      </c>
      <c r="E775" t="s">
        <v>5259</v>
      </c>
      <c r="F775" t="s">
        <v>5260</v>
      </c>
      <c r="G775" t="s">
        <v>3549</v>
      </c>
      <c r="I775" t="s">
        <v>5109</v>
      </c>
      <c r="J775" t="s">
        <v>4069</v>
      </c>
      <c r="K775" t="s">
        <v>5240</v>
      </c>
    </row>
    <row r="776" spans="1:11" x14ac:dyDescent="0.2">
      <c r="A776" t="s">
        <v>2597</v>
      </c>
      <c r="B776" t="s">
        <v>1905</v>
      </c>
      <c r="C776" t="s">
        <v>2026</v>
      </c>
      <c r="D776" t="s">
        <v>3338</v>
      </c>
      <c r="E776" t="s">
        <v>5261</v>
      </c>
      <c r="F776" t="s">
        <v>5262</v>
      </c>
      <c r="G776" t="s">
        <v>2026</v>
      </c>
      <c r="I776" t="s">
        <v>5109</v>
      </c>
      <c r="J776" t="s">
        <v>4069</v>
      </c>
      <c r="K776" t="s">
        <v>5240</v>
      </c>
    </row>
    <row r="777" spans="1:11" x14ac:dyDescent="0.2">
      <c r="A777" t="s">
        <v>2598</v>
      </c>
      <c r="B777" t="s">
        <v>1905</v>
      </c>
      <c r="C777" t="s">
        <v>2027</v>
      </c>
      <c r="D777" t="s">
        <v>3339</v>
      </c>
      <c r="E777" t="s">
        <v>5263</v>
      </c>
      <c r="F777" t="s">
        <v>5264</v>
      </c>
      <c r="G777" t="s">
        <v>2027</v>
      </c>
      <c r="I777" t="s">
        <v>5109</v>
      </c>
      <c r="J777" t="s">
        <v>4069</v>
      </c>
      <c r="K777" t="s">
        <v>5240</v>
      </c>
    </row>
    <row r="778" spans="1:11" x14ac:dyDescent="0.2">
      <c r="A778" t="s">
        <v>2599</v>
      </c>
      <c r="B778" t="s">
        <v>1905</v>
      </c>
      <c r="C778" t="s">
        <v>2028</v>
      </c>
      <c r="D778" t="s">
        <v>3340</v>
      </c>
      <c r="E778" t="s">
        <v>5265</v>
      </c>
      <c r="F778" t="s">
        <v>5266</v>
      </c>
      <c r="G778" t="s">
        <v>2028</v>
      </c>
      <c r="I778" t="s">
        <v>5109</v>
      </c>
      <c r="J778" t="s">
        <v>4069</v>
      </c>
      <c r="K778" t="s">
        <v>5240</v>
      </c>
    </row>
    <row r="779" spans="1:11" x14ac:dyDescent="0.2">
      <c r="A779" t="s">
        <v>2600</v>
      </c>
      <c r="B779" t="s">
        <v>1905</v>
      </c>
      <c r="C779" t="s">
        <v>2072</v>
      </c>
      <c r="D779" t="s">
        <v>3341</v>
      </c>
      <c r="E779" t="s">
        <v>5267</v>
      </c>
      <c r="F779" t="s">
        <v>5268</v>
      </c>
      <c r="G779" t="s">
        <v>3563</v>
      </c>
      <c r="I779" t="s">
        <v>5109</v>
      </c>
      <c r="J779" t="s">
        <v>4069</v>
      </c>
      <c r="K779" t="s">
        <v>5240</v>
      </c>
    </row>
    <row r="780" spans="1:11" x14ac:dyDescent="0.2">
      <c r="A780" t="s">
        <v>2601</v>
      </c>
      <c r="B780" t="s">
        <v>1905</v>
      </c>
      <c r="C780" t="s">
        <v>2037</v>
      </c>
      <c r="D780" t="s">
        <v>3342</v>
      </c>
      <c r="E780" t="s">
        <v>5269</v>
      </c>
      <c r="F780" t="s">
        <v>5270</v>
      </c>
      <c r="G780" t="s">
        <v>3594</v>
      </c>
      <c r="I780" t="s">
        <v>5109</v>
      </c>
      <c r="J780" t="s">
        <v>4069</v>
      </c>
      <c r="K780" t="s">
        <v>5240</v>
      </c>
    </row>
    <row r="781" spans="1:11" x14ac:dyDescent="0.2">
      <c r="A781" t="s">
        <v>2602</v>
      </c>
      <c r="B781" t="s">
        <v>1905</v>
      </c>
      <c r="C781" t="s">
        <v>2038</v>
      </c>
      <c r="D781" t="s">
        <v>3343</v>
      </c>
      <c r="E781" t="s">
        <v>5271</v>
      </c>
      <c r="F781" t="s">
        <v>5272</v>
      </c>
      <c r="G781" t="s">
        <v>3598</v>
      </c>
      <c r="I781" t="s">
        <v>5109</v>
      </c>
      <c r="J781" t="s">
        <v>4069</v>
      </c>
      <c r="K781" t="s">
        <v>5240</v>
      </c>
    </row>
    <row r="782" spans="1:11" x14ac:dyDescent="0.2">
      <c r="A782" t="s">
        <v>2603</v>
      </c>
      <c r="B782" t="s">
        <v>1905</v>
      </c>
      <c r="C782" t="s">
        <v>2039</v>
      </c>
      <c r="D782" t="s">
        <v>3344</v>
      </c>
      <c r="E782" t="s">
        <v>5273</v>
      </c>
      <c r="F782" t="s">
        <v>5274</v>
      </c>
      <c r="G782" t="s">
        <v>3602</v>
      </c>
      <c r="I782" t="s">
        <v>5109</v>
      </c>
      <c r="J782" t="s">
        <v>4069</v>
      </c>
      <c r="K782" t="s">
        <v>5240</v>
      </c>
    </row>
    <row r="783" spans="1:11" x14ac:dyDescent="0.2">
      <c r="A783" t="s">
        <v>2604</v>
      </c>
      <c r="B783" t="s">
        <v>1905</v>
      </c>
      <c r="C783" t="s">
        <v>2040</v>
      </c>
      <c r="D783" t="s">
        <v>3345</v>
      </c>
      <c r="E783" t="s">
        <v>5275</v>
      </c>
      <c r="F783" t="s">
        <v>5276</v>
      </c>
      <c r="G783" t="s">
        <v>2040</v>
      </c>
      <c r="I783" t="s">
        <v>5109</v>
      </c>
      <c r="J783" t="s">
        <v>4069</v>
      </c>
      <c r="K783" t="s">
        <v>5240</v>
      </c>
    </row>
    <row r="784" spans="1:11" x14ac:dyDescent="0.2">
      <c r="A784" t="s">
        <v>2605</v>
      </c>
      <c r="B784" t="s">
        <v>1905</v>
      </c>
      <c r="C784" t="s">
        <v>2041</v>
      </c>
      <c r="D784" t="s">
        <v>3346</v>
      </c>
      <c r="E784" t="s">
        <v>5277</v>
      </c>
      <c r="F784" t="s">
        <v>5278</v>
      </c>
      <c r="G784" t="s">
        <v>2041</v>
      </c>
      <c r="I784" t="s">
        <v>5109</v>
      </c>
      <c r="J784" t="s">
        <v>4069</v>
      </c>
      <c r="K784" t="s">
        <v>5240</v>
      </c>
    </row>
    <row r="785" spans="1:11" x14ac:dyDescent="0.2">
      <c r="A785" t="s">
        <v>2606</v>
      </c>
      <c r="B785" t="s">
        <v>1905</v>
      </c>
      <c r="C785" t="s">
        <v>2042</v>
      </c>
      <c r="D785" t="s">
        <v>3347</v>
      </c>
      <c r="E785" t="s">
        <v>5279</v>
      </c>
      <c r="F785" t="s">
        <v>5280</v>
      </c>
      <c r="G785" t="s">
        <v>2042</v>
      </c>
      <c r="I785" t="s">
        <v>5109</v>
      </c>
      <c r="J785" t="s">
        <v>4069</v>
      </c>
      <c r="K785" t="s">
        <v>5240</v>
      </c>
    </row>
    <row r="786" spans="1:11" x14ac:dyDescent="0.2">
      <c r="A786" t="s">
        <v>2607</v>
      </c>
      <c r="B786" t="s">
        <v>1905</v>
      </c>
      <c r="C786" t="s">
        <v>2073</v>
      </c>
      <c r="D786" t="s">
        <v>3348</v>
      </c>
      <c r="E786" t="s">
        <v>5281</v>
      </c>
      <c r="F786" t="s">
        <v>5282</v>
      </c>
      <c r="G786" t="s">
        <v>3617</v>
      </c>
      <c r="I786" t="s">
        <v>5109</v>
      </c>
      <c r="J786" t="s">
        <v>4069</v>
      </c>
      <c r="K786" t="s">
        <v>5240</v>
      </c>
    </row>
    <row r="787" spans="1:11" x14ac:dyDescent="0.2">
      <c r="A787" t="s">
        <v>2608</v>
      </c>
      <c r="B787" t="s">
        <v>1905</v>
      </c>
      <c r="C787" t="s">
        <v>2044</v>
      </c>
      <c r="D787" t="s">
        <v>3349</v>
      </c>
      <c r="E787" t="s">
        <v>5283</v>
      </c>
      <c r="F787" t="s">
        <v>5284</v>
      </c>
      <c r="G787" t="s">
        <v>3649</v>
      </c>
      <c r="I787" t="s">
        <v>5109</v>
      </c>
      <c r="J787" t="s">
        <v>4069</v>
      </c>
      <c r="K787" t="s">
        <v>5240</v>
      </c>
    </row>
    <row r="788" spans="1:11" x14ac:dyDescent="0.2">
      <c r="A788" t="s">
        <v>2609</v>
      </c>
      <c r="B788" t="s">
        <v>1905</v>
      </c>
      <c r="C788" t="s">
        <v>2045</v>
      </c>
      <c r="D788" t="s">
        <v>3350</v>
      </c>
      <c r="E788" t="s">
        <v>5285</v>
      </c>
      <c r="F788" t="s">
        <v>5286</v>
      </c>
      <c r="G788" t="s">
        <v>3653</v>
      </c>
      <c r="I788" t="s">
        <v>5109</v>
      </c>
      <c r="J788" t="s">
        <v>4069</v>
      </c>
      <c r="K788" t="s">
        <v>5240</v>
      </c>
    </row>
    <row r="789" spans="1:11" x14ac:dyDescent="0.2">
      <c r="A789" t="s">
        <v>2610</v>
      </c>
      <c r="B789" t="s">
        <v>1905</v>
      </c>
      <c r="C789" t="s">
        <v>2046</v>
      </c>
      <c r="D789" t="s">
        <v>3351</v>
      </c>
      <c r="E789" t="s">
        <v>5287</v>
      </c>
      <c r="F789" t="s">
        <v>5288</v>
      </c>
      <c r="G789" t="s">
        <v>3657</v>
      </c>
      <c r="I789" t="s">
        <v>5109</v>
      </c>
      <c r="J789" t="s">
        <v>4069</v>
      </c>
      <c r="K789" t="s">
        <v>5240</v>
      </c>
    </row>
    <row r="790" spans="1:11" x14ac:dyDescent="0.2">
      <c r="A790" t="s">
        <v>2611</v>
      </c>
      <c r="B790" t="s">
        <v>1905</v>
      </c>
      <c r="C790" t="s">
        <v>2047</v>
      </c>
      <c r="D790" t="s">
        <v>3352</v>
      </c>
      <c r="E790" t="s">
        <v>5289</v>
      </c>
      <c r="F790" t="s">
        <v>5290</v>
      </c>
      <c r="G790" t="s">
        <v>2047</v>
      </c>
      <c r="I790" t="s">
        <v>5109</v>
      </c>
      <c r="J790" t="s">
        <v>4069</v>
      </c>
      <c r="K790" t="s">
        <v>5240</v>
      </c>
    </row>
    <row r="791" spans="1:11" x14ac:dyDescent="0.2">
      <c r="A791" t="s">
        <v>2612</v>
      </c>
      <c r="B791" t="s">
        <v>1905</v>
      </c>
      <c r="C791" t="s">
        <v>2048</v>
      </c>
      <c r="D791" t="s">
        <v>3353</v>
      </c>
      <c r="E791" t="s">
        <v>5291</v>
      </c>
      <c r="F791" t="s">
        <v>5292</v>
      </c>
      <c r="G791" t="s">
        <v>2048</v>
      </c>
      <c r="I791" t="s">
        <v>5109</v>
      </c>
      <c r="J791" t="s">
        <v>4069</v>
      </c>
      <c r="K791" t="s">
        <v>5240</v>
      </c>
    </row>
    <row r="792" spans="1:11" x14ac:dyDescent="0.2">
      <c r="A792" t="s">
        <v>2613</v>
      </c>
      <c r="B792" t="s">
        <v>1905</v>
      </c>
      <c r="C792" t="s">
        <v>2049</v>
      </c>
      <c r="D792" t="s">
        <v>3354</v>
      </c>
      <c r="E792" t="s">
        <v>5293</v>
      </c>
      <c r="F792" t="s">
        <v>5294</v>
      </c>
      <c r="G792" t="s">
        <v>2049</v>
      </c>
      <c r="I792" t="s">
        <v>5109</v>
      </c>
      <c r="J792" t="s">
        <v>4069</v>
      </c>
      <c r="K792" t="s">
        <v>5240</v>
      </c>
    </row>
    <row r="793" spans="1:11" x14ac:dyDescent="0.2">
      <c r="A793" t="s">
        <v>2614</v>
      </c>
      <c r="B793" t="s">
        <v>1905</v>
      </c>
      <c r="C793" t="s">
        <v>2074</v>
      </c>
      <c r="D793" t="s">
        <v>3355</v>
      </c>
      <c r="E793" t="s">
        <v>5295</v>
      </c>
      <c r="F793" t="s">
        <v>5296</v>
      </c>
      <c r="G793" t="s">
        <v>3672</v>
      </c>
      <c r="I793" t="s">
        <v>5109</v>
      </c>
      <c r="J793" t="s">
        <v>4069</v>
      </c>
      <c r="K793" t="s">
        <v>5240</v>
      </c>
    </row>
    <row r="794" spans="1:11" x14ac:dyDescent="0.2">
      <c r="A794" t="s">
        <v>2615</v>
      </c>
      <c r="B794" t="s">
        <v>1905</v>
      </c>
      <c r="C794" t="s">
        <v>2051</v>
      </c>
      <c r="D794" t="s">
        <v>3356</v>
      </c>
      <c r="E794" t="s">
        <v>5297</v>
      </c>
      <c r="F794" t="s">
        <v>5298</v>
      </c>
      <c r="G794" t="s">
        <v>3676</v>
      </c>
      <c r="I794" t="s">
        <v>5109</v>
      </c>
      <c r="J794" t="s">
        <v>4069</v>
      </c>
      <c r="K794" t="s">
        <v>5240</v>
      </c>
    </row>
    <row r="795" spans="1:11" x14ac:dyDescent="0.2">
      <c r="A795" t="s">
        <v>2616</v>
      </c>
      <c r="B795" t="s">
        <v>1905</v>
      </c>
      <c r="C795" t="s">
        <v>2052</v>
      </c>
      <c r="D795" t="s">
        <v>3357</v>
      </c>
      <c r="E795" t="s">
        <v>5299</v>
      </c>
      <c r="F795" t="s">
        <v>5300</v>
      </c>
      <c r="G795" t="s">
        <v>3680</v>
      </c>
      <c r="I795" t="s">
        <v>5109</v>
      </c>
      <c r="J795" t="s">
        <v>4069</v>
      </c>
      <c r="K795" t="s">
        <v>5240</v>
      </c>
    </row>
    <row r="796" spans="1:11" x14ac:dyDescent="0.2">
      <c r="A796" t="s">
        <v>2617</v>
      </c>
      <c r="B796" t="s">
        <v>1905</v>
      </c>
      <c r="C796" t="s">
        <v>2053</v>
      </c>
      <c r="D796" t="s">
        <v>3358</v>
      </c>
      <c r="E796" t="s">
        <v>5301</v>
      </c>
      <c r="F796" t="s">
        <v>5302</v>
      </c>
      <c r="G796" t="s">
        <v>3684</v>
      </c>
      <c r="I796" t="s">
        <v>5109</v>
      </c>
      <c r="J796" t="s">
        <v>4069</v>
      </c>
      <c r="K796" t="s">
        <v>5240</v>
      </c>
    </row>
    <row r="797" spans="1:11" x14ac:dyDescent="0.2">
      <c r="A797" t="s">
        <v>2618</v>
      </c>
      <c r="B797" t="s">
        <v>1905</v>
      </c>
      <c r="C797" t="s">
        <v>2054</v>
      </c>
      <c r="D797" t="s">
        <v>3359</v>
      </c>
      <c r="E797" t="s">
        <v>5303</v>
      </c>
      <c r="F797" t="s">
        <v>5304</v>
      </c>
      <c r="G797" t="s">
        <v>2054</v>
      </c>
      <c r="I797" t="s">
        <v>5109</v>
      </c>
      <c r="J797" t="s">
        <v>4069</v>
      </c>
      <c r="K797" t="s">
        <v>5240</v>
      </c>
    </row>
    <row r="798" spans="1:11" x14ac:dyDescent="0.2">
      <c r="A798" t="s">
        <v>2619</v>
      </c>
      <c r="B798" t="s">
        <v>1905</v>
      </c>
      <c r="C798" t="s">
        <v>2055</v>
      </c>
      <c r="D798" t="s">
        <v>3360</v>
      </c>
      <c r="E798" t="s">
        <v>5305</v>
      </c>
      <c r="F798" t="s">
        <v>5306</v>
      </c>
      <c r="G798" t="s">
        <v>2055</v>
      </c>
      <c r="I798" t="s">
        <v>5109</v>
      </c>
      <c r="J798" t="s">
        <v>4069</v>
      </c>
      <c r="K798" t="s">
        <v>5240</v>
      </c>
    </row>
    <row r="799" spans="1:11" x14ac:dyDescent="0.2">
      <c r="A799" t="s">
        <v>2620</v>
      </c>
      <c r="B799" t="s">
        <v>1905</v>
      </c>
      <c r="C799" t="s">
        <v>2056</v>
      </c>
      <c r="D799" t="s">
        <v>3361</v>
      </c>
      <c r="E799" t="s">
        <v>5307</v>
      </c>
      <c r="F799" t="s">
        <v>5308</v>
      </c>
      <c r="G799" t="s">
        <v>2056</v>
      </c>
      <c r="I799" t="s">
        <v>5109</v>
      </c>
      <c r="J799" t="s">
        <v>4069</v>
      </c>
      <c r="K799" t="s">
        <v>5240</v>
      </c>
    </row>
    <row r="800" spans="1:11" x14ac:dyDescent="0.2">
      <c r="A800" t="s">
        <v>2621</v>
      </c>
      <c r="B800" t="s">
        <v>1905</v>
      </c>
      <c r="C800" t="s">
        <v>2057</v>
      </c>
      <c r="D800" t="s">
        <v>3362</v>
      </c>
      <c r="E800" t="s">
        <v>5309</v>
      </c>
      <c r="F800" t="s">
        <v>5310</v>
      </c>
      <c r="G800" t="s">
        <v>3699</v>
      </c>
      <c r="I800" t="s">
        <v>5109</v>
      </c>
      <c r="J800" t="s">
        <v>4069</v>
      </c>
      <c r="K800" t="s">
        <v>5240</v>
      </c>
    </row>
    <row r="801" spans="1:11" x14ac:dyDescent="0.2">
      <c r="A801" t="s">
        <v>2622</v>
      </c>
      <c r="B801" t="s">
        <v>1905</v>
      </c>
      <c r="C801" t="s">
        <v>1953</v>
      </c>
      <c r="D801" t="s">
        <v>3363</v>
      </c>
      <c r="E801" t="s">
        <v>5311</v>
      </c>
      <c r="F801" t="s">
        <v>5312</v>
      </c>
      <c r="G801" t="s">
        <v>4438</v>
      </c>
      <c r="I801" t="s">
        <v>5109</v>
      </c>
      <c r="J801" t="s">
        <v>4069</v>
      </c>
      <c r="K801" t="s">
        <v>5240</v>
      </c>
    </row>
    <row r="802" spans="1:11" x14ac:dyDescent="0.2">
      <c r="A802" t="s">
        <v>2623</v>
      </c>
      <c r="B802" t="s">
        <v>1905</v>
      </c>
      <c r="C802" t="s">
        <v>1954</v>
      </c>
      <c r="D802" t="s">
        <v>3364</v>
      </c>
      <c r="E802" t="s">
        <v>5313</v>
      </c>
      <c r="F802" t="s">
        <v>5314</v>
      </c>
      <c r="G802" t="s">
        <v>4441</v>
      </c>
      <c r="I802" t="s">
        <v>5109</v>
      </c>
      <c r="J802" t="s">
        <v>4069</v>
      </c>
      <c r="K802" t="s">
        <v>5240</v>
      </c>
    </row>
    <row r="803" spans="1:11" x14ac:dyDescent="0.2">
      <c r="A803" t="s">
        <v>2624</v>
      </c>
      <c r="B803" t="s">
        <v>1905</v>
      </c>
      <c r="C803" t="s">
        <v>1955</v>
      </c>
      <c r="D803" t="s">
        <v>3365</v>
      </c>
      <c r="E803" t="s">
        <v>5315</v>
      </c>
      <c r="F803" t="s">
        <v>5316</v>
      </c>
      <c r="G803" t="s">
        <v>4444</v>
      </c>
      <c r="I803" t="s">
        <v>5109</v>
      </c>
      <c r="J803" t="s">
        <v>4069</v>
      </c>
      <c r="K803" t="s">
        <v>5240</v>
      </c>
    </row>
    <row r="804" spans="1:11" x14ac:dyDescent="0.2">
      <c r="A804" t="s">
        <v>2625</v>
      </c>
      <c r="B804" t="s">
        <v>1905</v>
      </c>
      <c r="C804" t="s">
        <v>1956</v>
      </c>
      <c r="D804" t="s">
        <v>3366</v>
      </c>
      <c r="E804" t="s">
        <v>5317</v>
      </c>
      <c r="F804" t="s">
        <v>5318</v>
      </c>
      <c r="G804" t="s">
        <v>4447</v>
      </c>
      <c r="I804" t="s">
        <v>5109</v>
      </c>
      <c r="J804" t="s">
        <v>4069</v>
      </c>
      <c r="K804" t="s">
        <v>5240</v>
      </c>
    </row>
    <row r="805" spans="1:11" x14ac:dyDescent="0.2">
      <c r="A805" t="s">
        <v>2626</v>
      </c>
      <c r="B805" t="s">
        <v>1905</v>
      </c>
      <c r="C805" t="s">
        <v>1957</v>
      </c>
      <c r="D805" t="s">
        <v>3367</v>
      </c>
      <c r="E805" t="s">
        <v>5319</v>
      </c>
      <c r="F805" t="s">
        <v>5320</v>
      </c>
      <c r="G805" t="s">
        <v>4450</v>
      </c>
      <c r="I805" t="s">
        <v>5109</v>
      </c>
      <c r="J805" t="s">
        <v>4069</v>
      </c>
      <c r="K805" t="s">
        <v>5240</v>
      </c>
    </row>
    <row r="806" spans="1:11" x14ac:dyDescent="0.2">
      <c r="A806" t="s">
        <v>2627</v>
      </c>
      <c r="B806" t="s">
        <v>1905</v>
      </c>
      <c r="C806" t="s">
        <v>1958</v>
      </c>
      <c r="D806" t="s">
        <v>3368</v>
      </c>
      <c r="E806" t="s">
        <v>5321</v>
      </c>
      <c r="F806" t="s">
        <v>5322</v>
      </c>
      <c r="G806" t="s">
        <v>4453</v>
      </c>
      <c r="I806" t="s">
        <v>5109</v>
      </c>
      <c r="J806" t="s">
        <v>4069</v>
      </c>
      <c r="K806" t="s">
        <v>5240</v>
      </c>
    </row>
    <row r="807" spans="1:11" x14ac:dyDescent="0.2">
      <c r="A807" t="s">
        <v>2628</v>
      </c>
      <c r="B807" t="s">
        <v>1905</v>
      </c>
      <c r="C807" t="s">
        <v>2075</v>
      </c>
      <c r="D807" t="s">
        <v>3369</v>
      </c>
      <c r="E807" t="s">
        <v>5323</v>
      </c>
      <c r="F807" t="s">
        <v>5324</v>
      </c>
      <c r="G807" t="s">
        <v>4456</v>
      </c>
      <c r="I807" t="s">
        <v>5109</v>
      </c>
      <c r="J807" t="s">
        <v>4069</v>
      </c>
      <c r="K807" t="s">
        <v>5240</v>
      </c>
    </row>
    <row r="808" spans="1:11" x14ac:dyDescent="0.2">
      <c r="A808" t="s">
        <v>2629</v>
      </c>
      <c r="B808" t="s">
        <v>3502</v>
      </c>
      <c r="C808" t="s">
        <v>2084</v>
      </c>
      <c r="D808" t="s">
        <v>5325</v>
      </c>
      <c r="I808" t="s">
        <v>5326</v>
      </c>
      <c r="J808" t="s">
        <v>3834</v>
      </c>
      <c r="K808" t="s">
        <v>5327</v>
      </c>
    </row>
    <row r="809" spans="1:11" x14ac:dyDescent="0.2">
      <c r="A809" t="s">
        <v>2630</v>
      </c>
      <c r="B809" t="s">
        <v>1905</v>
      </c>
      <c r="C809" t="s">
        <v>1965</v>
      </c>
      <c r="D809" t="s">
        <v>3370</v>
      </c>
      <c r="E809" t="s">
        <v>5328</v>
      </c>
      <c r="F809" t="s">
        <v>5329</v>
      </c>
      <c r="G809" t="s">
        <v>3833</v>
      </c>
      <c r="I809" t="s">
        <v>5326</v>
      </c>
      <c r="J809" t="s">
        <v>3834</v>
      </c>
      <c r="K809" t="s">
        <v>5327</v>
      </c>
    </row>
    <row r="810" spans="1:11" x14ac:dyDescent="0.2">
      <c r="A810" t="s">
        <v>2631</v>
      </c>
      <c r="B810" t="s">
        <v>1905</v>
      </c>
      <c r="C810" t="s">
        <v>1966</v>
      </c>
      <c r="D810" t="s">
        <v>3371</v>
      </c>
      <c r="E810" t="s">
        <v>5330</v>
      </c>
      <c r="F810" t="s">
        <v>5331</v>
      </c>
      <c r="G810" t="s">
        <v>3838</v>
      </c>
      <c r="I810" t="s">
        <v>5326</v>
      </c>
      <c r="J810" t="s">
        <v>3834</v>
      </c>
      <c r="K810" t="s">
        <v>5327</v>
      </c>
    </row>
    <row r="811" spans="1:11" x14ac:dyDescent="0.2">
      <c r="A811" t="s">
        <v>2632</v>
      </c>
      <c r="B811" t="s">
        <v>1905</v>
      </c>
      <c r="C811" t="s">
        <v>1967</v>
      </c>
      <c r="D811" t="s">
        <v>3372</v>
      </c>
      <c r="E811" t="s">
        <v>5332</v>
      </c>
      <c r="F811" t="s">
        <v>5333</v>
      </c>
      <c r="G811" t="s">
        <v>3842</v>
      </c>
      <c r="I811" t="s">
        <v>5326</v>
      </c>
      <c r="J811" t="s">
        <v>3834</v>
      </c>
      <c r="K811" t="s">
        <v>5327</v>
      </c>
    </row>
    <row r="812" spans="1:11" x14ac:dyDescent="0.2">
      <c r="A812" t="s">
        <v>2633</v>
      </c>
      <c r="B812" t="s">
        <v>1905</v>
      </c>
      <c r="C812" t="s">
        <v>1968</v>
      </c>
      <c r="D812" t="s">
        <v>3373</v>
      </c>
      <c r="E812" t="s">
        <v>5334</v>
      </c>
      <c r="F812" t="s">
        <v>5335</v>
      </c>
      <c r="G812" t="s">
        <v>1968</v>
      </c>
      <c r="I812" t="s">
        <v>5326</v>
      </c>
      <c r="J812" t="s">
        <v>3834</v>
      </c>
      <c r="K812" t="s">
        <v>5327</v>
      </c>
    </row>
    <row r="813" spans="1:11" x14ac:dyDescent="0.2">
      <c r="A813" t="s">
        <v>2634</v>
      </c>
      <c r="B813" t="s">
        <v>1905</v>
      </c>
      <c r="C813" t="s">
        <v>1969</v>
      </c>
      <c r="D813" t="s">
        <v>3374</v>
      </c>
      <c r="E813" t="s">
        <v>5336</v>
      </c>
      <c r="F813" t="s">
        <v>5337</v>
      </c>
      <c r="G813" t="s">
        <v>1969</v>
      </c>
      <c r="I813" t="s">
        <v>5326</v>
      </c>
      <c r="J813" t="s">
        <v>3834</v>
      </c>
      <c r="K813" t="s">
        <v>5327</v>
      </c>
    </row>
    <row r="814" spans="1:11" x14ac:dyDescent="0.2">
      <c r="A814" t="s">
        <v>2635</v>
      </c>
      <c r="B814" t="s">
        <v>1905</v>
      </c>
      <c r="C814" t="s">
        <v>1970</v>
      </c>
      <c r="D814" t="s">
        <v>3375</v>
      </c>
      <c r="E814" t="s">
        <v>5338</v>
      </c>
      <c r="F814" t="s">
        <v>5339</v>
      </c>
      <c r="G814" t="s">
        <v>1970</v>
      </c>
      <c r="I814" t="s">
        <v>5326</v>
      </c>
      <c r="J814" t="s">
        <v>3834</v>
      </c>
      <c r="K814" t="s">
        <v>5327</v>
      </c>
    </row>
    <row r="815" spans="1:11" x14ac:dyDescent="0.2">
      <c r="A815" t="s">
        <v>2636</v>
      </c>
      <c r="B815" t="s">
        <v>1905</v>
      </c>
      <c r="C815" t="s">
        <v>1971</v>
      </c>
      <c r="D815" t="s">
        <v>3376</v>
      </c>
      <c r="E815" t="s">
        <v>5340</v>
      </c>
      <c r="F815" t="s">
        <v>5341</v>
      </c>
      <c r="G815" t="s">
        <v>3855</v>
      </c>
      <c r="I815" t="s">
        <v>5326</v>
      </c>
      <c r="J815" t="s">
        <v>3834</v>
      </c>
      <c r="K815" t="s">
        <v>5327</v>
      </c>
    </row>
    <row r="816" spans="1:11" x14ac:dyDescent="0.2">
      <c r="A816" t="s">
        <v>2637</v>
      </c>
      <c r="B816" t="s">
        <v>1905</v>
      </c>
      <c r="C816" t="s">
        <v>1972</v>
      </c>
      <c r="D816" t="s">
        <v>3377</v>
      </c>
      <c r="E816" t="s">
        <v>5342</v>
      </c>
      <c r="F816" t="s">
        <v>5343</v>
      </c>
      <c r="G816" t="s">
        <v>3859</v>
      </c>
      <c r="I816" t="s">
        <v>5326</v>
      </c>
      <c r="J816" t="s">
        <v>3834</v>
      </c>
      <c r="K816" t="s">
        <v>5327</v>
      </c>
    </row>
    <row r="817" spans="1:11" x14ac:dyDescent="0.2">
      <c r="A817" t="s">
        <v>2638</v>
      </c>
      <c r="B817" t="s">
        <v>1905</v>
      </c>
      <c r="C817" t="s">
        <v>1973</v>
      </c>
      <c r="D817" t="s">
        <v>3378</v>
      </c>
      <c r="E817" t="s">
        <v>5344</v>
      </c>
      <c r="F817" t="s">
        <v>5345</v>
      </c>
      <c r="G817" t="s">
        <v>3863</v>
      </c>
      <c r="I817" t="s">
        <v>5326</v>
      </c>
      <c r="J817" t="s">
        <v>3834</v>
      </c>
      <c r="K817" t="s">
        <v>5327</v>
      </c>
    </row>
    <row r="818" spans="1:11" x14ac:dyDescent="0.2">
      <c r="A818" t="s">
        <v>2639</v>
      </c>
      <c r="B818" t="s">
        <v>1905</v>
      </c>
      <c r="C818" t="s">
        <v>1974</v>
      </c>
      <c r="D818" t="s">
        <v>3379</v>
      </c>
      <c r="E818" t="s">
        <v>5346</v>
      </c>
      <c r="F818" t="s">
        <v>5347</v>
      </c>
      <c r="G818" t="s">
        <v>3867</v>
      </c>
      <c r="I818" t="s">
        <v>5326</v>
      </c>
      <c r="J818" t="s">
        <v>3834</v>
      </c>
      <c r="K818" t="s">
        <v>5327</v>
      </c>
    </row>
    <row r="819" spans="1:11" x14ac:dyDescent="0.2">
      <c r="A819" t="s">
        <v>2640</v>
      </c>
      <c r="B819" t="s">
        <v>1905</v>
      </c>
      <c r="C819" t="s">
        <v>1975</v>
      </c>
      <c r="D819" t="s">
        <v>3380</v>
      </c>
      <c r="E819" t="s">
        <v>5348</v>
      </c>
      <c r="F819" t="s">
        <v>5349</v>
      </c>
      <c r="G819" t="s">
        <v>1975</v>
      </c>
      <c r="I819" t="s">
        <v>5326</v>
      </c>
      <c r="J819" t="s">
        <v>3834</v>
      </c>
      <c r="K819" t="s">
        <v>5327</v>
      </c>
    </row>
    <row r="820" spans="1:11" x14ac:dyDescent="0.2">
      <c r="A820" t="s">
        <v>2641</v>
      </c>
      <c r="B820" t="s">
        <v>1905</v>
      </c>
      <c r="C820" t="s">
        <v>1976</v>
      </c>
      <c r="D820" t="s">
        <v>3381</v>
      </c>
      <c r="E820" t="s">
        <v>5350</v>
      </c>
      <c r="F820" t="s">
        <v>5351</v>
      </c>
      <c r="G820" t="s">
        <v>1976</v>
      </c>
      <c r="I820" t="s">
        <v>5326</v>
      </c>
      <c r="J820" t="s">
        <v>3834</v>
      </c>
      <c r="K820" t="s">
        <v>5327</v>
      </c>
    </row>
    <row r="821" spans="1:11" x14ac:dyDescent="0.2">
      <c r="A821" t="s">
        <v>2642</v>
      </c>
      <c r="B821" t="s">
        <v>1905</v>
      </c>
      <c r="C821" t="s">
        <v>1977</v>
      </c>
      <c r="D821" t="s">
        <v>3382</v>
      </c>
      <c r="E821" t="s">
        <v>5352</v>
      </c>
      <c r="F821" t="s">
        <v>5353</v>
      </c>
      <c r="G821" t="s">
        <v>1977</v>
      </c>
      <c r="I821" t="s">
        <v>5326</v>
      </c>
      <c r="J821" t="s">
        <v>3834</v>
      </c>
      <c r="K821" t="s">
        <v>5327</v>
      </c>
    </row>
    <row r="822" spans="1:11" x14ac:dyDescent="0.2">
      <c r="A822" t="s">
        <v>2643</v>
      </c>
      <c r="B822" t="s">
        <v>1905</v>
      </c>
      <c r="C822" t="s">
        <v>1978</v>
      </c>
      <c r="D822" t="s">
        <v>3383</v>
      </c>
      <c r="E822" t="s">
        <v>5354</v>
      </c>
      <c r="F822" t="s">
        <v>5355</v>
      </c>
      <c r="G822" t="s">
        <v>3880</v>
      </c>
      <c r="I822" t="s">
        <v>5326</v>
      </c>
      <c r="J822" t="s">
        <v>3834</v>
      </c>
      <c r="K822" t="s">
        <v>5327</v>
      </c>
    </row>
    <row r="823" spans="1:11" x14ac:dyDescent="0.2">
      <c r="A823" t="s">
        <v>2644</v>
      </c>
      <c r="B823" t="s">
        <v>1905</v>
      </c>
      <c r="C823" t="s">
        <v>1979</v>
      </c>
      <c r="D823" t="s">
        <v>3384</v>
      </c>
      <c r="E823" t="s">
        <v>5356</v>
      </c>
      <c r="F823" t="s">
        <v>5357</v>
      </c>
      <c r="G823" t="s">
        <v>3884</v>
      </c>
      <c r="I823" t="s">
        <v>5326</v>
      </c>
      <c r="J823" t="s">
        <v>3834</v>
      </c>
      <c r="K823" t="s">
        <v>5327</v>
      </c>
    </row>
    <row r="824" spans="1:11" x14ac:dyDescent="0.2">
      <c r="A824" t="s">
        <v>2645</v>
      </c>
      <c r="B824" t="s">
        <v>1905</v>
      </c>
      <c r="C824" t="s">
        <v>1980</v>
      </c>
      <c r="D824" t="s">
        <v>3385</v>
      </c>
      <c r="E824" t="s">
        <v>5358</v>
      </c>
      <c r="F824" t="s">
        <v>5359</v>
      </c>
      <c r="G824" t="s">
        <v>3888</v>
      </c>
      <c r="I824" t="s">
        <v>5326</v>
      </c>
      <c r="J824" t="s">
        <v>3834</v>
      </c>
      <c r="K824" t="s">
        <v>5327</v>
      </c>
    </row>
    <row r="825" spans="1:11" x14ac:dyDescent="0.2">
      <c r="A825" t="s">
        <v>2646</v>
      </c>
      <c r="B825" t="s">
        <v>1905</v>
      </c>
      <c r="C825" t="s">
        <v>1981</v>
      </c>
      <c r="D825" t="s">
        <v>3386</v>
      </c>
      <c r="E825" t="s">
        <v>5360</v>
      </c>
      <c r="F825" t="s">
        <v>5361</v>
      </c>
      <c r="G825" t="s">
        <v>3892</v>
      </c>
      <c r="I825" t="s">
        <v>5326</v>
      </c>
      <c r="J825" t="s">
        <v>3834</v>
      </c>
      <c r="K825" t="s">
        <v>5327</v>
      </c>
    </row>
    <row r="826" spans="1:11" x14ac:dyDescent="0.2">
      <c r="A826" t="s">
        <v>2647</v>
      </c>
      <c r="B826" t="s">
        <v>1905</v>
      </c>
      <c r="C826" t="s">
        <v>1982</v>
      </c>
      <c r="D826" t="s">
        <v>3387</v>
      </c>
      <c r="E826" t="s">
        <v>5362</v>
      </c>
      <c r="F826" t="s">
        <v>5363</v>
      </c>
      <c r="G826" t="s">
        <v>1982</v>
      </c>
      <c r="I826" t="s">
        <v>5326</v>
      </c>
      <c r="J826" t="s">
        <v>3834</v>
      </c>
      <c r="K826" t="s">
        <v>5327</v>
      </c>
    </row>
    <row r="827" spans="1:11" x14ac:dyDescent="0.2">
      <c r="A827" t="s">
        <v>2648</v>
      </c>
      <c r="B827" t="s">
        <v>1905</v>
      </c>
      <c r="C827" t="s">
        <v>1983</v>
      </c>
      <c r="D827" t="s">
        <v>3388</v>
      </c>
      <c r="E827" t="s">
        <v>5364</v>
      </c>
      <c r="F827" t="s">
        <v>5365</v>
      </c>
      <c r="G827" t="s">
        <v>1983</v>
      </c>
      <c r="I827" t="s">
        <v>5326</v>
      </c>
      <c r="J827" t="s">
        <v>3834</v>
      </c>
      <c r="K827" t="s">
        <v>5327</v>
      </c>
    </row>
    <row r="828" spans="1:11" x14ac:dyDescent="0.2">
      <c r="A828" t="s">
        <v>2649</v>
      </c>
      <c r="B828" t="s">
        <v>1905</v>
      </c>
      <c r="C828" t="s">
        <v>1984</v>
      </c>
      <c r="D828" t="s">
        <v>3389</v>
      </c>
      <c r="E828" t="s">
        <v>5366</v>
      </c>
      <c r="F828" t="s">
        <v>5367</v>
      </c>
      <c r="G828" t="s">
        <v>1984</v>
      </c>
      <c r="I828" t="s">
        <v>5326</v>
      </c>
      <c r="J828" t="s">
        <v>3834</v>
      </c>
      <c r="K828" t="s">
        <v>5327</v>
      </c>
    </row>
    <row r="829" spans="1:11" x14ac:dyDescent="0.2">
      <c r="A829" t="s">
        <v>2650</v>
      </c>
      <c r="B829" t="s">
        <v>1905</v>
      </c>
      <c r="C829" t="s">
        <v>1985</v>
      </c>
      <c r="D829" t="s">
        <v>3390</v>
      </c>
      <c r="E829" t="s">
        <v>5368</v>
      </c>
      <c r="F829" t="s">
        <v>5369</v>
      </c>
      <c r="G829" t="s">
        <v>3905</v>
      </c>
      <c r="I829" t="s">
        <v>5326</v>
      </c>
      <c r="J829" t="s">
        <v>3834</v>
      </c>
      <c r="K829" t="s">
        <v>5327</v>
      </c>
    </row>
    <row r="830" spans="1:11" x14ac:dyDescent="0.2">
      <c r="A830" t="s">
        <v>2651</v>
      </c>
      <c r="B830" t="s">
        <v>1905</v>
      </c>
      <c r="C830" t="s">
        <v>1986</v>
      </c>
      <c r="D830" t="s">
        <v>3391</v>
      </c>
      <c r="E830" t="s">
        <v>5370</v>
      </c>
      <c r="F830" t="s">
        <v>5371</v>
      </c>
      <c r="G830" t="s">
        <v>3909</v>
      </c>
      <c r="I830" t="s">
        <v>5326</v>
      </c>
      <c r="J830" t="s">
        <v>3834</v>
      </c>
      <c r="K830" t="s">
        <v>5327</v>
      </c>
    </row>
    <row r="831" spans="1:11" x14ac:dyDescent="0.2">
      <c r="A831" t="s">
        <v>2652</v>
      </c>
      <c r="B831" t="s">
        <v>1905</v>
      </c>
      <c r="C831" t="s">
        <v>1987</v>
      </c>
      <c r="D831" t="s">
        <v>3392</v>
      </c>
      <c r="E831" t="s">
        <v>5372</v>
      </c>
      <c r="F831" t="s">
        <v>5373</v>
      </c>
      <c r="G831" t="s">
        <v>3913</v>
      </c>
      <c r="I831" t="s">
        <v>5326</v>
      </c>
      <c r="J831" t="s">
        <v>3834</v>
      </c>
      <c r="K831" t="s">
        <v>5327</v>
      </c>
    </row>
    <row r="832" spans="1:11" x14ac:dyDescent="0.2">
      <c r="A832" t="s">
        <v>2653</v>
      </c>
      <c r="B832" t="s">
        <v>1905</v>
      </c>
      <c r="C832" t="s">
        <v>1988</v>
      </c>
      <c r="D832" t="s">
        <v>3393</v>
      </c>
      <c r="E832" t="s">
        <v>5374</v>
      </c>
      <c r="F832" t="s">
        <v>5375</v>
      </c>
      <c r="G832" t="s">
        <v>3917</v>
      </c>
      <c r="I832" t="s">
        <v>5326</v>
      </c>
      <c r="J832" t="s">
        <v>3834</v>
      </c>
      <c r="K832" t="s">
        <v>5327</v>
      </c>
    </row>
    <row r="833" spans="1:11" x14ac:dyDescent="0.2">
      <c r="A833" t="s">
        <v>2654</v>
      </c>
      <c r="B833" t="s">
        <v>1905</v>
      </c>
      <c r="C833" t="s">
        <v>1989</v>
      </c>
      <c r="D833" t="s">
        <v>3394</v>
      </c>
      <c r="E833" t="s">
        <v>5376</v>
      </c>
      <c r="F833" t="s">
        <v>5377</v>
      </c>
      <c r="G833" t="s">
        <v>1989</v>
      </c>
      <c r="I833" t="s">
        <v>5326</v>
      </c>
      <c r="J833" t="s">
        <v>3834</v>
      </c>
      <c r="K833" t="s">
        <v>5327</v>
      </c>
    </row>
    <row r="834" spans="1:11" x14ac:dyDescent="0.2">
      <c r="A834" t="s">
        <v>2655</v>
      </c>
      <c r="B834" t="s">
        <v>1905</v>
      </c>
      <c r="C834" t="s">
        <v>1990</v>
      </c>
      <c r="D834" t="s">
        <v>3395</v>
      </c>
      <c r="E834" t="s">
        <v>5378</v>
      </c>
      <c r="F834" t="s">
        <v>5379</v>
      </c>
      <c r="G834" t="s">
        <v>1990</v>
      </c>
      <c r="I834" t="s">
        <v>5326</v>
      </c>
      <c r="J834" t="s">
        <v>3834</v>
      </c>
      <c r="K834" t="s">
        <v>5327</v>
      </c>
    </row>
    <row r="835" spans="1:11" x14ac:dyDescent="0.2">
      <c r="A835" t="s">
        <v>2656</v>
      </c>
      <c r="B835" t="s">
        <v>1905</v>
      </c>
      <c r="C835" t="s">
        <v>1991</v>
      </c>
      <c r="D835" t="s">
        <v>3396</v>
      </c>
      <c r="E835" t="s">
        <v>5380</v>
      </c>
      <c r="F835" t="s">
        <v>5381</v>
      </c>
      <c r="G835" t="s">
        <v>1991</v>
      </c>
      <c r="I835" t="s">
        <v>5326</v>
      </c>
      <c r="J835" t="s">
        <v>3834</v>
      </c>
      <c r="K835" t="s">
        <v>5327</v>
      </c>
    </row>
    <row r="836" spans="1:11" x14ac:dyDescent="0.2">
      <c r="A836" t="s">
        <v>2657</v>
      </c>
      <c r="B836" t="s">
        <v>1905</v>
      </c>
      <c r="C836" t="s">
        <v>1992</v>
      </c>
      <c r="D836" t="s">
        <v>3397</v>
      </c>
      <c r="E836" t="s">
        <v>5382</v>
      </c>
      <c r="F836" t="s">
        <v>5383</v>
      </c>
      <c r="G836" t="s">
        <v>3930</v>
      </c>
      <c r="I836" t="s">
        <v>5326</v>
      </c>
      <c r="J836" t="s">
        <v>3834</v>
      </c>
      <c r="K836" t="s">
        <v>5327</v>
      </c>
    </row>
    <row r="837" spans="1:11" x14ac:dyDescent="0.2">
      <c r="A837" t="s">
        <v>2658</v>
      </c>
      <c r="B837" t="s">
        <v>1905</v>
      </c>
      <c r="C837" t="s">
        <v>1993</v>
      </c>
      <c r="D837" t="s">
        <v>3398</v>
      </c>
      <c r="E837" t="s">
        <v>5384</v>
      </c>
      <c r="F837" t="s">
        <v>5385</v>
      </c>
      <c r="G837" t="s">
        <v>3934</v>
      </c>
      <c r="I837" t="s">
        <v>5326</v>
      </c>
      <c r="J837" t="s">
        <v>3834</v>
      </c>
      <c r="K837" t="s">
        <v>5327</v>
      </c>
    </row>
    <row r="838" spans="1:11" x14ac:dyDescent="0.2">
      <c r="A838" t="s">
        <v>2659</v>
      </c>
      <c r="B838" t="s">
        <v>1905</v>
      </c>
      <c r="C838" t="s">
        <v>1994</v>
      </c>
      <c r="D838" t="s">
        <v>3399</v>
      </c>
      <c r="E838" t="s">
        <v>5386</v>
      </c>
      <c r="F838" t="s">
        <v>5387</v>
      </c>
      <c r="G838" t="s">
        <v>3938</v>
      </c>
      <c r="I838" t="s">
        <v>5326</v>
      </c>
      <c r="J838" t="s">
        <v>3834</v>
      </c>
      <c r="K838" t="s">
        <v>5327</v>
      </c>
    </row>
    <row r="839" spans="1:11" x14ac:dyDescent="0.2">
      <c r="A839" t="s">
        <v>2660</v>
      </c>
      <c r="B839" t="s">
        <v>1905</v>
      </c>
      <c r="C839" t="s">
        <v>1995</v>
      </c>
      <c r="D839" t="s">
        <v>3400</v>
      </c>
      <c r="E839" t="s">
        <v>5388</v>
      </c>
      <c r="F839" t="s">
        <v>5389</v>
      </c>
      <c r="G839" t="s">
        <v>3942</v>
      </c>
      <c r="I839" t="s">
        <v>5326</v>
      </c>
      <c r="J839" t="s">
        <v>3834</v>
      </c>
      <c r="K839" t="s">
        <v>5327</v>
      </c>
    </row>
    <row r="840" spans="1:11" x14ac:dyDescent="0.2">
      <c r="A840" t="s">
        <v>2661</v>
      </c>
      <c r="B840" t="s">
        <v>1905</v>
      </c>
      <c r="C840" t="s">
        <v>1996</v>
      </c>
      <c r="D840" t="s">
        <v>3401</v>
      </c>
      <c r="E840" t="s">
        <v>5390</v>
      </c>
      <c r="F840" t="s">
        <v>5391</v>
      </c>
      <c r="G840" t="s">
        <v>3946</v>
      </c>
      <c r="I840" t="s">
        <v>5326</v>
      </c>
      <c r="J840" t="s">
        <v>3834</v>
      </c>
      <c r="K840" t="s">
        <v>5327</v>
      </c>
    </row>
    <row r="841" spans="1:11" x14ac:dyDescent="0.2">
      <c r="A841" t="s">
        <v>2662</v>
      </c>
      <c r="B841" t="s">
        <v>1905</v>
      </c>
      <c r="C841" t="s">
        <v>1997</v>
      </c>
      <c r="D841" t="s">
        <v>3402</v>
      </c>
      <c r="E841" t="s">
        <v>5392</v>
      </c>
      <c r="F841" t="s">
        <v>5393</v>
      </c>
      <c r="G841" t="s">
        <v>3950</v>
      </c>
      <c r="I841" t="s">
        <v>5326</v>
      </c>
      <c r="J841" t="s">
        <v>3834</v>
      </c>
      <c r="K841" t="s">
        <v>5327</v>
      </c>
    </row>
    <row r="842" spans="1:11" x14ac:dyDescent="0.2">
      <c r="A842" t="s">
        <v>2663</v>
      </c>
      <c r="B842" t="s">
        <v>1905</v>
      </c>
      <c r="C842" t="s">
        <v>1998</v>
      </c>
      <c r="D842" t="s">
        <v>3403</v>
      </c>
      <c r="E842" t="s">
        <v>5394</v>
      </c>
      <c r="F842" t="s">
        <v>5395</v>
      </c>
      <c r="G842" t="s">
        <v>3954</v>
      </c>
      <c r="I842" t="s">
        <v>5326</v>
      </c>
      <c r="J842" t="s">
        <v>3834</v>
      </c>
      <c r="K842" t="s">
        <v>5327</v>
      </c>
    </row>
    <row r="843" spans="1:11" x14ac:dyDescent="0.2">
      <c r="A843" t="s">
        <v>2664</v>
      </c>
      <c r="B843" t="s">
        <v>1905</v>
      </c>
      <c r="C843" t="s">
        <v>1999</v>
      </c>
      <c r="D843" t="s">
        <v>3404</v>
      </c>
      <c r="E843" t="s">
        <v>5396</v>
      </c>
      <c r="F843" t="s">
        <v>5397</v>
      </c>
      <c r="G843" t="s">
        <v>3958</v>
      </c>
      <c r="I843" t="s">
        <v>5326</v>
      </c>
      <c r="J843" t="s">
        <v>3834</v>
      </c>
      <c r="K843" t="s">
        <v>5327</v>
      </c>
    </row>
    <row r="844" spans="1:11" x14ac:dyDescent="0.2">
      <c r="A844" t="s">
        <v>2665</v>
      </c>
      <c r="B844" t="s">
        <v>1905</v>
      </c>
      <c r="C844" t="s">
        <v>2000</v>
      </c>
      <c r="D844" t="s">
        <v>3405</v>
      </c>
      <c r="E844" t="s">
        <v>5398</v>
      </c>
      <c r="F844" t="s">
        <v>5399</v>
      </c>
      <c r="G844" t="s">
        <v>3962</v>
      </c>
      <c r="I844" t="s">
        <v>5326</v>
      </c>
      <c r="J844" t="s">
        <v>3834</v>
      </c>
      <c r="K844" t="s">
        <v>5327</v>
      </c>
    </row>
    <row r="845" spans="1:11" x14ac:dyDescent="0.2">
      <c r="A845" t="s">
        <v>2666</v>
      </c>
      <c r="B845" t="s">
        <v>1905</v>
      </c>
      <c r="C845" t="s">
        <v>2001</v>
      </c>
      <c r="D845" t="s">
        <v>3406</v>
      </c>
      <c r="E845" t="s">
        <v>5400</v>
      </c>
      <c r="F845" t="s">
        <v>5401</v>
      </c>
      <c r="G845" t="s">
        <v>3966</v>
      </c>
      <c r="I845" t="s">
        <v>5326</v>
      </c>
      <c r="J845" t="s">
        <v>3834</v>
      </c>
      <c r="K845" t="s">
        <v>5327</v>
      </c>
    </row>
    <row r="846" spans="1:11" x14ac:dyDescent="0.2">
      <c r="A846" t="s">
        <v>2667</v>
      </c>
      <c r="B846" t="s">
        <v>1905</v>
      </c>
      <c r="C846" t="s">
        <v>2002</v>
      </c>
      <c r="D846" t="s">
        <v>3407</v>
      </c>
      <c r="E846" t="s">
        <v>5402</v>
      </c>
      <c r="F846" t="s">
        <v>5403</v>
      </c>
      <c r="G846" t="s">
        <v>3970</v>
      </c>
      <c r="I846" t="s">
        <v>5326</v>
      </c>
      <c r="J846" t="s">
        <v>3834</v>
      </c>
      <c r="K846" t="s">
        <v>5327</v>
      </c>
    </row>
    <row r="847" spans="1:11" x14ac:dyDescent="0.2">
      <c r="A847" t="s">
        <v>2668</v>
      </c>
      <c r="B847" t="s">
        <v>1905</v>
      </c>
      <c r="C847" t="s">
        <v>2003</v>
      </c>
      <c r="D847" t="s">
        <v>3408</v>
      </c>
      <c r="E847" t="s">
        <v>5404</v>
      </c>
      <c r="F847" t="s">
        <v>5405</v>
      </c>
      <c r="G847" t="s">
        <v>2003</v>
      </c>
      <c r="I847" t="s">
        <v>5326</v>
      </c>
      <c r="J847" t="s">
        <v>3834</v>
      </c>
      <c r="K847" t="s">
        <v>5327</v>
      </c>
    </row>
    <row r="848" spans="1:11" x14ac:dyDescent="0.2">
      <c r="A848" t="s">
        <v>2669</v>
      </c>
      <c r="B848" t="s">
        <v>1905</v>
      </c>
      <c r="C848" t="s">
        <v>2004</v>
      </c>
      <c r="D848" t="s">
        <v>3409</v>
      </c>
      <c r="E848" t="s">
        <v>5406</v>
      </c>
      <c r="F848" t="s">
        <v>5407</v>
      </c>
      <c r="G848" t="s">
        <v>2004</v>
      </c>
      <c r="I848" t="s">
        <v>5326</v>
      </c>
      <c r="J848" t="s">
        <v>3834</v>
      </c>
      <c r="K848" t="s">
        <v>5327</v>
      </c>
    </row>
    <row r="849" spans="1:11" x14ac:dyDescent="0.2">
      <c r="A849" t="s">
        <v>2670</v>
      </c>
      <c r="B849" t="s">
        <v>1905</v>
      </c>
      <c r="C849" t="s">
        <v>2005</v>
      </c>
      <c r="D849" t="s">
        <v>3410</v>
      </c>
      <c r="E849" t="s">
        <v>5408</v>
      </c>
      <c r="F849" t="s">
        <v>5409</v>
      </c>
      <c r="G849" t="s">
        <v>2005</v>
      </c>
      <c r="I849" t="s">
        <v>5326</v>
      </c>
      <c r="J849" t="s">
        <v>3834</v>
      </c>
      <c r="K849" t="s">
        <v>5327</v>
      </c>
    </row>
    <row r="850" spans="1:11" x14ac:dyDescent="0.2">
      <c r="A850" t="s">
        <v>2671</v>
      </c>
      <c r="B850" t="s">
        <v>1905</v>
      </c>
      <c r="C850" t="s">
        <v>1957</v>
      </c>
      <c r="D850" t="s">
        <v>3411</v>
      </c>
      <c r="E850" t="s">
        <v>5410</v>
      </c>
      <c r="F850" t="s">
        <v>5411</v>
      </c>
      <c r="G850" t="s">
        <v>3983</v>
      </c>
      <c r="I850" t="s">
        <v>5326</v>
      </c>
      <c r="J850" t="s">
        <v>3834</v>
      </c>
      <c r="K850" t="s">
        <v>5327</v>
      </c>
    </row>
    <row r="851" spans="1:11" x14ac:dyDescent="0.2">
      <c r="A851" t="s">
        <v>2672</v>
      </c>
      <c r="B851" t="s">
        <v>1905</v>
      </c>
      <c r="C851" t="s">
        <v>2006</v>
      </c>
      <c r="D851" t="s">
        <v>3412</v>
      </c>
      <c r="E851" t="s">
        <v>5412</v>
      </c>
      <c r="F851" t="s">
        <v>5413</v>
      </c>
      <c r="G851" t="s">
        <v>3987</v>
      </c>
      <c r="I851" t="s">
        <v>5326</v>
      </c>
      <c r="J851" t="s">
        <v>3834</v>
      </c>
      <c r="K851" t="s">
        <v>5327</v>
      </c>
    </row>
    <row r="852" spans="1:11" x14ac:dyDescent="0.2">
      <c r="A852" t="s">
        <v>2673</v>
      </c>
      <c r="B852" t="s">
        <v>1905</v>
      </c>
      <c r="C852" t="s">
        <v>2007</v>
      </c>
      <c r="D852" t="s">
        <v>3413</v>
      </c>
      <c r="E852" t="s">
        <v>5414</v>
      </c>
      <c r="F852" t="s">
        <v>5415</v>
      </c>
      <c r="G852" t="s">
        <v>3991</v>
      </c>
      <c r="I852" t="s">
        <v>5326</v>
      </c>
      <c r="J852" t="s">
        <v>3834</v>
      </c>
      <c r="K852" t="s">
        <v>5327</v>
      </c>
    </row>
    <row r="853" spans="1:11" x14ac:dyDescent="0.2">
      <c r="A853" t="s">
        <v>2674</v>
      </c>
      <c r="B853" t="s">
        <v>1905</v>
      </c>
      <c r="C853" t="s">
        <v>2008</v>
      </c>
      <c r="D853" t="s">
        <v>3414</v>
      </c>
      <c r="E853" t="s">
        <v>5416</v>
      </c>
      <c r="F853" t="s">
        <v>5417</v>
      </c>
      <c r="G853" t="s">
        <v>3995</v>
      </c>
      <c r="I853" t="s">
        <v>5326</v>
      </c>
      <c r="J853" t="s">
        <v>3834</v>
      </c>
      <c r="K853" t="s">
        <v>5327</v>
      </c>
    </row>
    <row r="854" spans="1:11" x14ac:dyDescent="0.2">
      <c r="A854" t="s">
        <v>2675</v>
      </c>
      <c r="B854" t="s">
        <v>1905</v>
      </c>
      <c r="C854" t="s">
        <v>2009</v>
      </c>
      <c r="D854" t="s">
        <v>3415</v>
      </c>
      <c r="E854" t="s">
        <v>5418</v>
      </c>
      <c r="F854" t="s">
        <v>5419</v>
      </c>
      <c r="G854" t="s">
        <v>3999</v>
      </c>
      <c r="I854" t="s">
        <v>5326</v>
      </c>
      <c r="J854" t="s">
        <v>3834</v>
      </c>
      <c r="K854" t="s">
        <v>5327</v>
      </c>
    </row>
    <row r="855" spans="1:11" x14ac:dyDescent="0.2">
      <c r="A855" t="s">
        <v>2676</v>
      </c>
      <c r="B855" t="s">
        <v>1905</v>
      </c>
      <c r="C855" t="s">
        <v>2010</v>
      </c>
      <c r="D855" t="s">
        <v>3416</v>
      </c>
      <c r="E855" t="s">
        <v>5420</v>
      </c>
      <c r="F855" t="s">
        <v>5421</v>
      </c>
      <c r="G855" t="s">
        <v>4003</v>
      </c>
      <c r="I855" t="s">
        <v>5326</v>
      </c>
      <c r="J855" t="s">
        <v>3834</v>
      </c>
      <c r="K855" t="s">
        <v>5327</v>
      </c>
    </row>
    <row r="856" spans="1:11" x14ac:dyDescent="0.2">
      <c r="A856" t="s">
        <v>2677</v>
      </c>
      <c r="B856" t="s">
        <v>1905</v>
      </c>
      <c r="C856" t="s">
        <v>2011</v>
      </c>
      <c r="D856" t="s">
        <v>3417</v>
      </c>
      <c r="E856" t="s">
        <v>5422</v>
      </c>
      <c r="F856" t="s">
        <v>5423</v>
      </c>
      <c r="G856" t="s">
        <v>4007</v>
      </c>
      <c r="I856" t="s">
        <v>5326</v>
      </c>
      <c r="J856" t="s">
        <v>3834</v>
      </c>
      <c r="K856" t="s">
        <v>5327</v>
      </c>
    </row>
    <row r="857" spans="1:11" x14ac:dyDescent="0.2">
      <c r="A857" t="s">
        <v>2678</v>
      </c>
      <c r="B857" t="s">
        <v>1905</v>
      </c>
      <c r="C857" t="s">
        <v>2012</v>
      </c>
      <c r="D857" t="s">
        <v>3418</v>
      </c>
      <c r="E857" t="s">
        <v>5424</v>
      </c>
      <c r="F857" t="s">
        <v>5425</v>
      </c>
      <c r="G857" t="s">
        <v>4011</v>
      </c>
      <c r="I857" t="s">
        <v>5326</v>
      </c>
      <c r="J857" t="s">
        <v>3834</v>
      </c>
      <c r="K857" t="s">
        <v>5327</v>
      </c>
    </row>
    <row r="858" spans="1:11" x14ac:dyDescent="0.2">
      <c r="A858" t="s">
        <v>2679</v>
      </c>
      <c r="B858" t="s">
        <v>1890</v>
      </c>
      <c r="C858" t="s">
        <v>2013</v>
      </c>
      <c r="D858" t="s">
        <v>3419</v>
      </c>
      <c r="E858" t="s">
        <v>5426</v>
      </c>
      <c r="F858" t="s">
        <v>5427</v>
      </c>
      <c r="G858" t="s">
        <v>4015</v>
      </c>
      <c r="I858" t="s">
        <v>5326</v>
      </c>
      <c r="J858" t="s">
        <v>3834</v>
      </c>
      <c r="K858" t="s">
        <v>5327</v>
      </c>
    </row>
    <row r="859" spans="1:11" x14ac:dyDescent="0.2">
      <c r="A859" t="s">
        <v>2680</v>
      </c>
      <c r="B859" t="s">
        <v>1905</v>
      </c>
      <c r="C859" t="s">
        <v>2014</v>
      </c>
      <c r="D859" t="s">
        <v>3420</v>
      </c>
      <c r="E859" t="s">
        <v>5428</v>
      </c>
      <c r="F859" t="s">
        <v>5429</v>
      </c>
      <c r="G859" t="s">
        <v>4019</v>
      </c>
      <c r="I859" t="s">
        <v>5326</v>
      </c>
      <c r="J859" t="s">
        <v>3834</v>
      </c>
      <c r="K859" t="s">
        <v>5327</v>
      </c>
    </row>
    <row r="860" spans="1:11" x14ac:dyDescent="0.2">
      <c r="A860" t="s">
        <v>2681</v>
      </c>
      <c r="B860" t="s">
        <v>1905</v>
      </c>
      <c r="C860" t="s">
        <v>2015</v>
      </c>
      <c r="D860" t="s">
        <v>3421</v>
      </c>
      <c r="E860" t="s">
        <v>5430</v>
      </c>
      <c r="F860" t="s">
        <v>5431</v>
      </c>
      <c r="G860" t="s">
        <v>4023</v>
      </c>
      <c r="I860" t="s">
        <v>5326</v>
      </c>
      <c r="J860" t="s">
        <v>3834</v>
      </c>
      <c r="K860" t="s">
        <v>5327</v>
      </c>
    </row>
    <row r="861" spans="1:11" x14ac:dyDescent="0.2">
      <c r="A861" t="s">
        <v>2682</v>
      </c>
      <c r="B861" t="s">
        <v>1905</v>
      </c>
      <c r="C861" t="s">
        <v>2016</v>
      </c>
      <c r="D861" t="s">
        <v>3422</v>
      </c>
      <c r="E861" t="s">
        <v>5432</v>
      </c>
      <c r="F861" t="s">
        <v>5433</v>
      </c>
      <c r="G861" t="s">
        <v>4027</v>
      </c>
      <c r="I861" t="s">
        <v>5326</v>
      </c>
      <c r="J861" t="s">
        <v>3834</v>
      </c>
      <c r="K861" t="s">
        <v>5327</v>
      </c>
    </row>
    <row r="862" spans="1:11" x14ac:dyDescent="0.2">
      <c r="A862" t="s">
        <v>2683</v>
      </c>
      <c r="B862" t="s">
        <v>1905</v>
      </c>
      <c r="C862" t="s">
        <v>2017</v>
      </c>
      <c r="D862" t="s">
        <v>3423</v>
      </c>
      <c r="E862" t="s">
        <v>5434</v>
      </c>
      <c r="F862" t="s">
        <v>5435</v>
      </c>
      <c r="G862" t="s">
        <v>4031</v>
      </c>
      <c r="I862" t="s">
        <v>5326</v>
      </c>
      <c r="J862" t="s">
        <v>3834</v>
      </c>
      <c r="K862" t="s">
        <v>5327</v>
      </c>
    </row>
    <row r="863" spans="1:11" x14ac:dyDescent="0.2">
      <c r="A863" t="s">
        <v>2684</v>
      </c>
      <c r="B863" t="s">
        <v>1905</v>
      </c>
      <c r="C863" t="s">
        <v>2018</v>
      </c>
      <c r="D863" t="s">
        <v>3424</v>
      </c>
      <c r="E863" t="s">
        <v>5436</v>
      </c>
      <c r="F863" t="s">
        <v>5437</v>
      </c>
      <c r="G863" t="s">
        <v>4035</v>
      </c>
      <c r="I863" t="s">
        <v>5326</v>
      </c>
      <c r="J863" t="s">
        <v>3834</v>
      </c>
      <c r="K863" t="s">
        <v>5327</v>
      </c>
    </row>
    <row r="864" spans="1:11" x14ac:dyDescent="0.2">
      <c r="A864" t="s">
        <v>2685</v>
      </c>
      <c r="B864" t="s">
        <v>1905</v>
      </c>
      <c r="C864" t="s">
        <v>2019</v>
      </c>
      <c r="D864" t="s">
        <v>3425</v>
      </c>
      <c r="E864" t="s">
        <v>5438</v>
      </c>
      <c r="F864" t="s">
        <v>5439</v>
      </c>
      <c r="G864" t="s">
        <v>4039</v>
      </c>
      <c r="I864" t="s">
        <v>5326</v>
      </c>
      <c r="J864" t="s">
        <v>3834</v>
      </c>
      <c r="K864" t="s">
        <v>5327</v>
      </c>
    </row>
    <row r="865" spans="1:11" x14ac:dyDescent="0.2">
      <c r="A865" t="s">
        <v>2686</v>
      </c>
      <c r="B865" t="s">
        <v>1905</v>
      </c>
      <c r="C865" t="s">
        <v>2020</v>
      </c>
      <c r="D865" t="s">
        <v>3426</v>
      </c>
      <c r="E865" t="s">
        <v>5440</v>
      </c>
      <c r="F865" t="s">
        <v>5441</v>
      </c>
      <c r="G865" t="s">
        <v>4043</v>
      </c>
      <c r="I865" t="s">
        <v>5326</v>
      </c>
      <c r="J865" t="s">
        <v>3834</v>
      </c>
      <c r="K865" t="s">
        <v>5327</v>
      </c>
    </row>
    <row r="866" spans="1:11" x14ac:dyDescent="0.2">
      <c r="A866" t="s">
        <v>2687</v>
      </c>
      <c r="B866" t="s">
        <v>1905</v>
      </c>
      <c r="C866" t="s">
        <v>1953</v>
      </c>
      <c r="D866" t="s">
        <v>3427</v>
      </c>
      <c r="E866" t="s">
        <v>5442</v>
      </c>
      <c r="F866" t="s">
        <v>5443</v>
      </c>
      <c r="G866" t="s">
        <v>4046</v>
      </c>
      <c r="I866" t="s">
        <v>5326</v>
      </c>
      <c r="J866" t="s">
        <v>3834</v>
      </c>
      <c r="K866" t="s">
        <v>5327</v>
      </c>
    </row>
    <row r="867" spans="1:11" x14ac:dyDescent="0.2">
      <c r="A867" t="s">
        <v>2688</v>
      </c>
      <c r="B867" t="s">
        <v>1905</v>
      </c>
      <c r="C867" t="s">
        <v>1954</v>
      </c>
      <c r="D867" t="s">
        <v>3428</v>
      </c>
      <c r="E867" t="s">
        <v>5444</v>
      </c>
      <c r="F867" t="s">
        <v>5445</v>
      </c>
      <c r="G867" t="s">
        <v>4049</v>
      </c>
      <c r="I867" t="s">
        <v>5326</v>
      </c>
      <c r="J867" t="s">
        <v>3834</v>
      </c>
      <c r="K867" t="s">
        <v>5327</v>
      </c>
    </row>
    <row r="868" spans="1:11" x14ac:dyDescent="0.2">
      <c r="A868" t="s">
        <v>2689</v>
      </c>
      <c r="B868" t="s">
        <v>1905</v>
      </c>
      <c r="C868" t="s">
        <v>1955</v>
      </c>
      <c r="D868" t="s">
        <v>3429</v>
      </c>
      <c r="E868" t="s">
        <v>5446</v>
      </c>
      <c r="F868" t="s">
        <v>5447</v>
      </c>
      <c r="G868" t="s">
        <v>4052</v>
      </c>
      <c r="I868" t="s">
        <v>5326</v>
      </c>
      <c r="J868" t="s">
        <v>3834</v>
      </c>
      <c r="K868" t="s">
        <v>5327</v>
      </c>
    </row>
    <row r="869" spans="1:11" x14ac:dyDescent="0.2">
      <c r="A869" t="s">
        <v>2690</v>
      </c>
      <c r="B869" t="s">
        <v>1905</v>
      </c>
      <c r="C869" t="s">
        <v>1956</v>
      </c>
      <c r="D869" t="s">
        <v>3430</v>
      </c>
      <c r="E869" t="s">
        <v>5448</v>
      </c>
      <c r="F869" t="s">
        <v>5449</v>
      </c>
      <c r="G869" t="s">
        <v>4055</v>
      </c>
      <c r="I869" t="s">
        <v>5326</v>
      </c>
      <c r="J869" t="s">
        <v>3834</v>
      </c>
      <c r="K869" t="s">
        <v>5327</v>
      </c>
    </row>
    <row r="870" spans="1:11" x14ac:dyDescent="0.2">
      <c r="A870" t="s">
        <v>2691</v>
      </c>
      <c r="B870" t="s">
        <v>1905</v>
      </c>
      <c r="C870" t="s">
        <v>1957</v>
      </c>
      <c r="D870" t="s">
        <v>3431</v>
      </c>
      <c r="E870" t="s">
        <v>5450</v>
      </c>
      <c r="F870" t="s">
        <v>5451</v>
      </c>
      <c r="G870" t="s">
        <v>4058</v>
      </c>
      <c r="I870" t="s">
        <v>5326</v>
      </c>
      <c r="J870" t="s">
        <v>3834</v>
      </c>
      <c r="K870" t="s">
        <v>5327</v>
      </c>
    </row>
    <row r="871" spans="1:11" x14ac:dyDescent="0.2">
      <c r="A871" t="s">
        <v>2692</v>
      </c>
      <c r="B871" t="s">
        <v>1905</v>
      </c>
      <c r="C871" t="s">
        <v>1958</v>
      </c>
      <c r="D871" t="s">
        <v>3432</v>
      </c>
      <c r="E871" t="s">
        <v>5452</v>
      </c>
      <c r="F871" t="s">
        <v>5453</v>
      </c>
      <c r="G871" t="s">
        <v>4061</v>
      </c>
      <c r="I871" t="s">
        <v>5326</v>
      </c>
      <c r="J871" t="s">
        <v>3834</v>
      </c>
      <c r="K871" t="s">
        <v>5327</v>
      </c>
    </row>
    <row r="872" spans="1:11" x14ac:dyDescent="0.2">
      <c r="A872" t="s">
        <v>2693</v>
      </c>
      <c r="B872" t="s">
        <v>1905</v>
      </c>
      <c r="C872" t="s">
        <v>2069</v>
      </c>
      <c r="D872" t="s">
        <v>3433</v>
      </c>
      <c r="E872" t="s">
        <v>5454</v>
      </c>
      <c r="F872" t="s">
        <v>5455</v>
      </c>
      <c r="G872" t="s">
        <v>4064</v>
      </c>
      <c r="I872" t="s">
        <v>5326</v>
      </c>
      <c r="J872" t="s">
        <v>3834</v>
      </c>
      <c r="K872" t="s">
        <v>5327</v>
      </c>
    </row>
    <row r="873" spans="1:11" x14ac:dyDescent="0.2">
      <c r="A873" t="s">
        <v>2092</v>
      </c>
      <c r="B873" t="s">
        <v>3502</v>
      </c>
      <c r="C873" t="s">
        <v>2085</v>
      </c>
      <c r="D873" t="s">
        <v>5456</v>
      </c>
      <c r="I873" t="s">
        <v>5326</v>
      </c>
      <c r="J873" t="s">
        <v>4069</v>
      </c>
      <c r="K873" t="s">
        <v>5457</v>
      </c>
    </row>
    <row r="874" spans="1:11" x14ac:dyDescent="0.2">
      <c r="A874" t="s">
        <v>2694</v>
      </c>
      <c r="B874" t="s">
        <v>1905</v>
      </c>
      <c r="C874" t="s">
        <v>2030</v>
      </c>
      <c r="D874" t="s">
        <v>3434</v>
      </c>
      <c r="E874" t="s">
        <v>5458</v>
      </c>
      <c r="F874" t="s">
        <v>5459</v>
      </c>
      <c r="G874" t="s">
        <v>3567</v>
      </c>
      <c r="I874" t="s">
        <v>5326</v>
      </c>
      <c r="J874" t="s">
        <v>4069</v>
      </c>
      <c r="K874" t="s">
        <v>5457</v>
      </c>
    </row>
    <row r="875" spans="1:11" x14ac:dyDescent="0.2">
      <c r="A875" t="s">
        <v>2695</v>
      </c>
      <c r="B875" t="s">
        <v>1905</v>
      </c>
      <c r="C875" t="s">
        <v>2031</v>
      </c>
      <c r="D875" t="s">
        <v>3435</v>
      </c>
      <c r="E875" t="s">
        <v>5460</v>
      </c>
      <c r="F875" t="s">
        <v>5461</v>
      </c>
      <c r="G875" t="s">
        <v>3571</v>
      </c>
      <c r="I875" t="s">
        <v>5326</v>
      </c>
      <c r="J875" t="s">
        <v>4069</v>
      </c>
      <c r="K875" t="s">
        <v>5457</v>
      </c>
    </row>
    <row r="876" spans="1:11" x14ac:dyDescent="0.2">
      <c r="A876" t="s">
        <v>2696</v>
      </c>
      <c r="B876" t="s">
        <v>1905</v>
      </c>
      <c r="C876" t="s">
        <v>2032</v>
      </c>
      <c r="D876" t="s">
        <v>3436</v>
      </c>
      <c r="E876" t="s">
        <v>5462</v>
      </c>
      <c r="F876" t="s">
        <v>5463</v>
      </c>
      <c r="G876" t="s">
        <v>3575</v>
      </c>
      <c r="I876" t="s">
        <v>5326</v>
      </c>
      <c r="J876" t="s">
        <v>4069</v>
      </c>
      <c r="K876" t="s">
        <v>5457</v>
      </c>
    </row>
    <row r="877" spans="1:11" x14ac:dyDescent="0.2">
      <c r="A877" t="s">
        <v>2697</v>
      </c>
      <c r="B877" t="s">
        <v>1905</v>
      </c>
      <c r="C877" t="s">
        <v>2033</v>
      </c>
      <c r="D877" t="s">
        <v>3437</v>
      </c>
      <c r="E877" t="s">
        <v>5464</v>
      </c>
      <c r="F877" t="s">
        <v>5465</v>
      </c>
      <c r="G877" t="s">
        <v>2033</v>
      </c>
      <c r="I877" t="s">
        <v>5326</v>
      </c>
      <c r="J877" t="s">
        <v>4069</v>
      </c>
      <c r="K877" t="s">
        <v>5457</v>
      </c>
    </row>
    <row r="878" spans="1:11" x14ac:dyDescent="0.2">
      <c r="A878" t="s">
        <v>2698</v>
      </c>
      <c r="B878" t="s">
        <v>1905</v>
      </c>
      <c r="C878" t="s">
        <v>2034</v>
      </c>
      <c r="D878" t="s">
        <v>3438</v>
      </c>
      <c r="E878" t="s">
        <v>5466</v>
      </c>
      <c r="F878" t="s">
        <v>5467</v>
      </c>
      <c r="G878" t="s">
        <v>2034</v>
      </c>
      <c r="I878" t="s">
        <v>5326</v>
      </c>
      <c r="J878" t="s">
        <v>4069</v>
      </c>
      <c r="K878" t="s">
        <v>5457</v>
      </c>
    </row>
    <row r="879" spans="1:11" x14ac:dyDescent="0.2">
      <c r="A879" t="s">
        <v>2699</v>
      </c>
      <c r="B879" t="s">
        <v>1905</v>
      </c>
      <c r="C879" t="s">
        <v>2035</v>
      </c>
      <c r="D879" t="s">
        <v>3439</v>
      </c>
      <c r="E879" t="s">
        <v>5468</v>
      </c>
      <c r="F879" t="s">
        <v>5469</v>
      </c>
      <c r="G879" t="s">
        <v>2035</v>
      </c>
      <c r="I879" t="s">
        <v>5326</v>
      </c>
      <c r="J879" t="s">
        <v>4069</v>
      </c>
      <c r="K879" t="s">
        <v>5457</v>
      </c>
    </row>
    <row r="880" spans="1:11" x14ac:dyDescent="0.2">
      <c r="A880" t="s">
        <v>2700</v>
      </c>
      <c r="B880" t="s">
        <v>1905</v>
      </c>
      <c r="C880" t="s">
        <v>2071</v>
      </c>
      <c r="D880" t="s">
        <v>3440</v>
      </c>
      <c r="E880" t="s">
        <v>5470</v>
      </c>
      <c r="F880" t="s">
        <v>5471</v>
      </c>
      <c r="G880" t="s">
        <v>3590</v>
      </c>
      <c r="I880" t="s">
        <v>5326</v>
      </c>
      <c r="J880" t="s">
        <v>4069</v>
      </c>
      <c r="K880" t="s">
        <v>5457</v>
      </c>
    </row>
    <row r="881" spans="1:11" x14ac:dyDescent="0.2">
      <c r="A881" t="s">
        <v>2701</v>
      </c>
      <c r="B881" t="s">
        <v>1905</v>
      </c>
      <c r="C881" t="s">
        <v>2023</v>
      </c>
      <c r="D881" t="s">
        <v>3441</v>
      </c>
      <c r="E881" t="s">
        <v>5472</v>
      </c>
      <c r="F881" t="s">
        <v>5473</v>
      </c>
      <c r="G881" t="s">
        <v>4367</v>
      </c>
      <c r="I881" t="s">
        <v>5326</v>
      </c>
      <c r="J881" t="s">
        <v>4069</v>
      </c>
      <c r="K881" t="s">
        <v>5457</v>
      </c>
    </row>
    <row r="882" spans="1:11" x14ac:dyDescent="0.2">
      <c r="A882" t="s">
        <v>2702</v>
      </c>
      <c r="B882" t="s">
        <v>1905</v>
      </c>
      <c r="C882" t="s">
        <v>2024</v>
      </c>
      <c r="D882" t="s">
        <v>3442</v>
      </c>
      <c r="E882" t="s">
        <v>5474</v>
      </c>
      <c r="F882" t="s">
        <v>5475</v>
      </c>
      <c r="G882" t="s">
        <v>3545</v>
      </c>
      <c r="I882" t="s">
        <v>5326</v>
      </c>
      <c r="J882" t="s">
        <v>4069</v>
      </c>
      <c r="K882" t="s">
        <v>5457</v>
      </c>
    </row>
    <row r="883" spans="1:11" x14ac:dyDescent="0.2">
      <c r="A883" t="s">
        <v>2703</v>
      </c>
      <c r="B883" t="s">
        <v>1905</v>
      </c>
      <c r="C883" t="s">
        <v>2025</v>
      </c>
      <c r="D883" t="s">
        <v>3443</v>
      </c>
      <c r="E883" t="s">
        <v>5476</v>
      </c>
      <c r="F883" t="s">
        <v>5477</v>
      </c>
      <c r="G883" t="s">
        <v>3549</v>
      </c>
      <c r="I883" t="s">
        <v>5326</v>
      </c>
      <c r="J883" t="s">
        <v>4069</v>
      </c>
      <c r="K883" t="s">
        <v>5457</v>
      </c>
    </row>
    <row r="884" spans="1:11" x14ac:dyDescent="0.2">
      <c r="A884" t="s">
        <v>2704</v>
      </c>
      <c r="B884" t="s">
        <v>1905</v>
      </c>
      <c r="C884" t="s">
        <v>2026</v>
      </c>
      <c r="D884" t="s">
        <v>3444</v>
      </c>
      <c r="E884" t="s">
        <v>5478</v>
      </c>
      <c r="F884" t="s">
        <v>5479</v>
      </c>
      <c r="G884" t="s">
        <v>2026</v>
      </c>
      <c r="I884" t="s">
        <v>5326</v>
      </c>
      <c r="J884" t="s">
        <v>4069</v>
      </c>
      <c r="K884" t="s">
        <v>5457</v>
      </c>
    </row>
    <row r="885" spans="1:11" x14ac:dyDescent="0.2">
      <c r="A885" t="s">
        <v>2705</v>
      </c>
      <c r="B885" t="s">
        <v>1905</v>
      </c>
      <c r="C885" t="s">
        <v>2027</v>
      </c>
      <c r="D885" t="s">
        <v>3445</v>
      </c>
      <c r="E885" t="s">
        <v>5480</v>
      </c>
      <c r="F885" t="s">
        <v>5481</v>
      </c>
      <c r="G885" t="s">
        <v>2027</v>
      </c>
      <c r="I885" t="s">
        <v>5326</v>
      </c>
      <c r="J885" t="s">
        <v>4069</v>
      </c>
      <c r="K885" t="s">
        <v>5457</v>
      </c>
    </row>
    <row r="886" spans="1:11" x14ac:dyDescent="0.2">
      <c r="A886" t="s">
        <v>2706</v>
      </c>
      <c r="B886" t="s">
        <v>1905</v>
      </c>
      <c r="C886" t="s">
        <v>2028</v>
      </c>
      <c r="D886" t="s">
        <v>3446</v>
      </c>
      <c r="E886" t="s">
        <v>5482</v>
      </c>
      <c r="F886" t="s">
        <v>5483</v>
      </c>
      <c r="G886" t="s">
        <v>2028</v>
      </c>
      <c r="I886" t="s">
        <v>5326</v>
      </c>
      <c r="J886" t="s">
        <v>4069</v>
      </c>
      <c r="K886" t="s">
        <v>5457</v>
      </c>
    </row>
    <row r="887" spans="1:11" x14ac:dyDescent="0.2">
      <c r="A887" t="s">
        <v>2707</v>
      </c>
      <c r="B887" t="s">
        <v>1905</v>
      </c>
      <c r="C887" t="s">
        <v>2072</v>
      </c>
      <c r="D887" t="s">
        <v>3447</v>
      </c>
      <c r="E887" t="s">
        <v>5484</v>
      </c>
      <c r="F887" t="s">
        <v>5485</v>
      </c>
      <c r="G887" t="s">
        <v>3563</v>
      </c>
      <c r="I887" t="s">
        <v>5326</v>
      </c>
      <c r="J887" t="s">
        <v>4069</v>
      </c>
      <c r="K887" t="s">
        <v>5457</v>
      </c>
    </row>
    <row r="888" spans="1:11" x14ac:dyDescent="0.2">
      <c r="A888" t="s">
        <v>2708</v>
      </c>
      <c r="B888" t="s">
        <v>1905</v>
      </c>
      <c r="C888" t="s">
        <v>2037</v>
      </c>
      <c r="D888" t="s">
        <v>3448</v>
      </c>
      <c r="E888" t="s">
        <v>5486</v>
      </c>
      <c r="F888" t="s">
        <v>5487</v>
      </c>
      <c r="G888" t="s">
        <v>3594</v>
      </c>
      <c r="I888" t="s">
        <v>5326</v>
      </c>
      <c r="J888" t="s">
        <v>4069</v>
      </c>
      <c r="K888" t="s">
        <v>5457</v>
      </c>
    </row>
    <row r="889" spans="1:11" x14ac:dyDescent="0.2">
      <c r="A889" t="s">
        <v>2709</v>
      </c>
      <c r="B889" t="s">
        <v>1905</v>
      </c>
      <c r="C889" t="s">
        <v>2038</v>
      </c>
      <c r="D889" t="s">
        <v>3449</v>
      </c>
      <c r="E889" t="s">
        <v>5488</v>
      </c>
      <c r="F889" t="s">
        <v>5489</v>
      </c>
      <c r="G889" t="s">
        <v>3598</v>
      </c>
      <c r="I889" t="s">
        <v>5326</v>
      </c>
      <c r="J889" t="s">
        <v>4069</v>
      </c>
      <c r="K889" t="s">
        <v>5457</v>
      </c>
    </row>
    <row r="890" spans="1:11" x14ac:dyDescent="0.2">
      <c r="A890" t="s">
        <v>2710</v>
      </c>
      <c r="B890" t="s">
        <v>1905</v>
      </c>
      <c r="C890" t="s">
        <v>2039</v>
      </c>
      <c r="D890" t="s">
        <v>3450</v>
      </c>
      <c r="E890" t="s">
        <v>5490</v>
      </c>
      <c r="F890" t="s">
        <v>5491</v>
      </c>
      <c r="G890" t="s">
        <v>3602</v>
      </c>
      <c r="I890" t="s">
        <v>5326</v>
      </c>
      <c r="J890" t="s">
        <v>4069</v>
      </c>
      <c r="K890" t="s">
        <v>5457</v>
      </c>
    </row>
    <row r="891" spans="1:11" x14ac:dyDescent="0.2">
      <c r="A891" t="s">
        <v>2711</v>
      </c>
      <c r="B891" t="s">
        <v>1905</v>
      </c>
      <c r="C891" t="s">
        <v>2040</v>
      </c>
      <c r="D891" t="s">
        <v>3451</v>
      </c>
      <c r="E891" t="s">
        <v>5492</v>
      </c>
      <c r="F891" t="s">
        <v>5493</v>
      </c>
      <c r="G891" t="s">
        <v>2040</v>
      </c>
      <c r="I891" t="s">
        <v>5326</v>
      </c>
      <c r="J891" t="s">
        <v>4069</v>
      </c>
      <c r="K891" t="s">
        <v>5457</v>
      </c>
    </row>
    <row r="892" spans="1:11" x14ac:dyDescent="0.2">
      <c r="A892" t="s">
        <v>2712</v>
      </c>
      <c r="B892" t="s">
        <v>1905</v>
      </c>
      <c r="C892" t="s">
        <v>2041</v>
      </c>
      <c r="D892" t="s">
        <v>3452</v>
      </c>
      <c r="E892" t="s">
        <v>5494</v>
      </c>
      <c r="F892" t="s">
        <v>5495</v>
      </c>
      <c r="G892" t="s">
        <v>2041</v>
      </c>
      <c r="I892" t="s">
        <v>5326</v>
      </c>
      <c r="J892" t="s">
        <v>4069</v>
      </c>
      <c r="K892" t="s">
        <v>5457</v>
      </c>
    </row>
    <row r="893" spans="1:11" x14ac:dyDescent="0.2">
      <c r="A893" t="s">
        <v>2713</v>
      </c>
      <c r="B893" t="s">
        <v>1905</v>
      </c>
      <c r="C893" t="s">
        <v>2042</v>
      </c>
      <c r="D893" t="s">
        <v>3453</v>
      </c>
      <c r="E893" t="s">
        <v>5496</v>
      </c>
      <c r="F893" t="s">
        <v>5497</v>
      </c>
      <c r="G893" t="s">
        <v>2042</v>
      </c>
      <c r="I893" t="s">
        <v>5326</v>
      </c>
      <c r="J893" t="s">
        <v>4069</v>
      </c>
      <c r="K893" t="s">
        <v>5457</v>
      </c>
    </row>
    <row r="894" spans="1:11" x14ac:dyDescent="0.2">
      <c r="A894" t="s">
        <v>2714</v>
      </c>
      <c r="B894" t="s">
        <v>1905</v>
      </c>
      <c r="C894" t="s">
        <v>2073</v>
      </c>
      <c r="D894" t="s">
        <v>3454</v>
      </c>
      <c r="E894" t="s">
        <v>5498</v>
      </c>
      <c r="F894" t="s">
        <v>5499</v>
      </c>
      <c r="G894" t="s">
        <v>3617</v>
      </c>
      <c r="I894" t="s">
        <v>5326</v>
      </c>
      <c r="J894" t="s">
        <v>4069</v>
      </c>
      <c r="K894" t="s">
        <v>5457</v>
      </c>
    </row>
    <row r="895" spans="1:11" x14ac:dyDescent="0.2">
      <c r="A895" t="s">
        <v>2715</v>
      </c>
      <c r="B895" t="s">
        <v>1905</v>
      </c>
      <c r="C895" t="s">
        <v>2044</v>
      </c>
      <c r="D895" t="s">
        <v>3455</v>
      </c>
      <c r="E895" t="s">
        <v>5500</v>
      </c>
      <c r="F895" t="s">
        <v>5501</v>
      </c>
      <c r="G895" t="s">
        <v>3649</v>
      </c>
      <c r="I895" t="s">
        <v>5326</v>
      </c>
      <c r="J895" t="s">
        <v>4069</v>
      </c>
      <c r="K895" t="s">
        <v>5457</v>
      </c>
    </row>
    <row r="896" spans="1:11" x14ac:dyDescent="0.2">
      <c r="A896" t="s">
        <v>2716</v>
      </c>
      <c r="B896" t="s">
        <v>1905</v>
      </c>
      <c r="C896" t="s">
        <v>2045</v>
      </c>
      <c r="D896" t="s">
        <v>3456</v>
      </c>
      <c r="E896" t="s">
        <v>5502</v>
      </c>
      <c r="F896" t="s">
        <v>5503</v>
      </c>
      <c r="G896" t="s">
        <v>3653</v>
      </c>
      <c r="I896" t="s">
        <v>5326</v>
      </c>
      <c r="J896" t="s">
        <v>4069</v>
      </c>
      <c r="K896" t="s">
        <v>5457</v>
      </c>
    </row>
    <row r="897" spans="1:11" x14ac:dyDescent="0.2">
      <c r="A897" t="s">
        <v>2717</v>
      </c>
      <c r="B897" t="s">
        <v>1905</v>
      </c>
      <c r="C897" t="s">
        <v>2046</v>
      </c>
      <c r="D897" t="s">
        <v>3457</v>
      </c>
      <c r="E897" t="s">
        <v>5504</v>
      </c>
      <c r="F897" t="s">
        <v>5505</v>
      </c>
      <c r="G897" t="s">
        <v>3657</v>
      </c>
      <c r="I897" t="s">
        <v>5326</v>
      </c>
      <c r="J897" t="s">
        <v>4069</v>
      </c>
      <c r="K897" t="s">
        <v>5457</v>
      </c>
    </row>
    <row r="898" spans="1:11" x14ac:dyDescent="0.2">
      <c r="A898" t="s">
        <v>2718</v>
      </c>
      <c r="B898" t="s">
        <v>1905</v>
      </c>
      <c r="C898" t="s">
        <v>2047</v>
      </c>
      <c r="D898" t="s">
        <v>3458</v>
      </c>
      <c r="E898" t="s">
        <v>5506</v>
      </c>
      <c r="F898" t="s">
        <v>5507</v>
      </c>
      <c r="G898" t="s">
        <v>2047</v>
      </c>
      <c r="I898" t="s">
        <v>5326</v>
      </c>
      <c r="J898" t="s">
        <v>4069</v>
      </c>
      <c r="K898" t="s">
        <v>5457</v>
      </c>
    </row>
    <row r="899" spans="1:11" x14ac:dyDescent="0.2">
      <c r="A899" t="s">
        <v>2719</v>
      </c>
      <c r="B899" t="s">
        <v>1905</v>
      </c>
      <c r="C899" t="s">
        <v>2048</v>
      </c>
      <c r="D899" t="s">
        <v>3459</v>
      </c>
      <c r="E899" t="s">
        <v>5508</v>
      </c>
      <c r="F899" t="s">
        <v>5509</v>
      </c>
      <c r="G899" t="s">
        <v>2048</v>
      </c>
      <c r="I899" t="s">
        <v>5326</v>
      </c>
      <c r="J899" t="s">
        <v>4069</v>
      </c>
      <c r="K899" t="s">
        <v>5457</v>
      </c>
    </row>
    <row r="900" spans="1:11" x14ac:dyDescent="0.2">
      <c r="A900" t="s">
        <v>2720</v>
      </c>
      <c r="B900" t="s">
        <v>1905</v>
      </c>
      <c r="C900" t="s">
        <v>2049</v>
      </c>
      <c r="D900" t="s">
        <v>3460</v>
      </c>
      <c r="E900" t="s">
        <v>5510</v>
      </c>
      <c r="F900" t="s">
        <v>5511</v>
      </c>
      <c r="G900" t="s">
        <v>2049</v>
      </c>
      <c r="I900" t="s">
        <v>5326</v>
      </c>
      <c r="J900" t="s">
        <v>4069</v>
      </c>
      <c r="K900" t="s">
        <v>5457</v>
      </c>
    </row>
    <row r="901" spans="1:11" x14ac:dyDescent="0.2">
      <c r="A901" t="s">
        <v>2721</v>
      </c>
      <c r="B901" t="s">
        <v>1905</v>
      </c>
      <c r="C901" t="s">
        <v>2074</v>
      </c>
      <c r="D901" t="s">
        <v>3461</v>
      </c>
      <c r="E901" t="s">
        <v>5512</v>
      </c>
      <c r="F901" t="s">
        <v>5513</v>
      </c>
      <c r="G901" t="s">
        <v>3672</v>
      </c>
      <c r="I901" t="s">
        <v>5326</v>
      </c>
      <c r="J901" t="s">
        <v>4069</v>
      </c>
      <c r="K901" t="s">
        <v>5457</v>
      </c>
    </row>
    <row r="902" spans="1:11" x14ac:dyDescent="0.2">
      <c r="A902" t="s">
        <v>2722</v>
      </c>
      <c r="B902" t="s">
        <v>1905</v>
      </c>
      <c r="C902" t="s">
        <v>2051</v>
      </c>
      <c r="D902" t="s">
        <v>3462</v>
      </c>
      <c r="E902" t="s">
        <v>5514</v>
      </c>
      <c r="F902" t="s">
        <v>5515</v>
      </c>
      <c r="G902" t="s">
        <v>3676</v>
      </c>
      <c r="I902" t="s">
        <v>5326</v>
      </c>
      <c r="J902" t="s">
        <v>4069</v>
      </c>
      <c r="K902" t="s">
        <v>5457</v>
      </c>
    </row>
    <row r="903" spans="1:11" x14ac:dyDescent="0.2">
      <c r="A903" t="s">
        <v>2723</v>
      </c>
      <c r="B903" t="s">
        <v>1905</v>
      </c>
      <c r="C903" t="s">
        <v>2052</v>
      </c>
      <c r="D903" t="s">
        <v>3463</v>
      </c>
      <c r="E903" t="s">
        <v>5516</v>
      </c>
      <c r="F903" t="s">
        <v>5517</v>
      </c>
      <c r="G903" t="s">
        <v>3680</v>
      </c>
      <c r="I903" t="s">
        <v>5326</v>
      </c>
      <c r="J903" t="s">
        <v>4069</v>
      </c>
      <c r="K903" t="s">
        <v>5457</v>
      </c>
    </row>
    <row r="904" spans="1:11" x14ac:dyDescent="0.2">
      <c r="A904" t="s">
        <v>2724</v>
      </c>
      <c r="B904" t="s">
        <v>1905</v>
      </c>
      <c r="C904" t="s">
        <v>2053</v>
      </c>
      <c r="D904" t="s">
        <v>3464</v>
      </c>
      <c r="E904" t="s">
        <v>5518</v>
      </c>
      <c r="F904" t="s">
        <v>5519</v>
      </c>
      <c r="G904" t="s">
        <v>3684</v>
      </c>
      <c r="I904" t="s">
        <v>5326</v>
      </c>
      <c r="J904" t="s">
        <v>4069</v>
      </c>
      <c r="K904" t="s">
        <v>5457</v>
      </c>
    </row>
    <row r="905" spans="1:11" x14ac:dyDescent="0.2">
      <c r="A905" t="s">
        <v>2725</v>
      </c>
      <c r="B905" t="s">
        <v>1905</v>
      </c>
      <c r="C905" t="s">
        <v>2054</v>
      </c>
      <c r="D905" t="s">
        <v>3465</v>
      </c>
      <c r="E905" t="s">
        <v>5520</v>
      </c>
      <c r="F905" t="s">
        <v>5521</v>
      </c>
      <c r="G905" t="s">
        <v>2054</v>
      </c>
      <c r="I905" t="s">
        <v>5326</v>
      </c>
      <c r="J905" t="s">
        <v>4069</v>
      </c>
      <c r="K905" t="s">
        <v>5457</v>
      </c>
    </row>
    <row r="906" spans="1:11" x14ac:dyDescent="0.2">
      <c r="A906" t="s">
        <v>2726</v>
      </c>
      <c r="B906" t="s">
        <v>1905</v>
      </c>
      <c r="C906" t="s">
        <v>2055</v>
      </c>
      <c r="D906" t="s">
        <v>3466</v>
      </c>
      <c r="E906" t="s">
        <v>5522</v>
      </c>
      <c r="F906" t="s">
        <v>5523</v>
      </c>
      <c r="G906" t="s">
        <v>2055</v>
      </c>
      <c r="I906" t="s">
        <v>5326</v>
      </c>
      <c r="J906" t="s">
        <v>4069</v>
      </c>
      <c r="K906" t="s">
        <v>5457</v>
      </c>
    </row>
    <row r="907" spans="1:11" x14ac:dyDescent="0.2">
      <c r="A907" t="s">
        <v>2727</v>
      </c>
      <c r="B907" t="s">
        <v>1905</v>
      </c>
      <c r="C907" t="s">
        <v>2056</v>
      </c>
      <c r="D907" t="s">
        <v>3467</v>
      </c>
      <c r="E907" t="s">
        <v>5524</v>
      </c>
      <c r="F907" t="s">
        <v>5525</v>
      </c>
      <c r="G907" t="s">
        <v>2056</v>
      </c>
      <c r="I907" t="s">
        <v>5326</v>
      </c>
      <c r="J907" t="s">
        <v>4069</v>
      </c>
      <c r="K907" t="s">
        <v>5457</v>
      </c>
    </row>
    <row r="908" spans="1:11" x14ac:dyDescent="0.2">
      <c r="A908" t="s">
        <v>2728</v>
      </c>
      <c r="B908" t="s">
        <v>1905</v>
      </c>
      <c r="C908" t="s">
        <v>2057</v>
      </c>
      <c r="D908" t="s">
        <v>3468</v>
      </c>
      <c r="E908" t="s">
        <v>5526</v>
      </c>
      <c r="F908" t="s">
        <v>5527</v>
      </c>
      <c r="G908" t="s">
        <v>3699</v>
      </c>
      <c r="I908" t="s">
        <v>5326</v>
      </c>
      <c r="J908" t="s">
        <v>4069</v>
      </c>
      <c r="K908" t="s">
        <v>5457</v>
      </c>
    </row>
    <row r="909" spans="1:11" x14ac:dyDescent="0.2">
      <c r="A909" t="s">
        <v>2729</v>
      </c>
      <c r="B909" t="s">
        <v>1905</v>
      </c>
      <c r="C909" t="s">
        <v>1953</v>
      </c>
      <c r="D909" t="s">
        <v>3469</v>
      </c>
      <c r="E909" t="s">
        <v>5528</v>
      </c>
      <c r="F909" t="s">
        <v>5529</v>
      </c>
      <c r="G909" t="s">
        <v>4438</v>
      </c>
      <c r="I909" t="s">
        <v>5326</v>
      </c>
      <c r="J909" t="s">
        <v>4069</v>
      </c>
      <c r="K909" t="s">
        <v>5457</v>
      </c>
    </row>
    <row r="910" spans="1:11" x14ac:dyDescent="0.2">
      <c r="A910" t="s">
        <v>2730</v>
      </c>
      <c r="B910" t="s">
        <v>1905</v>
      </c>
      <c r="C910" t="s">
        <v>1954</v>
      </c>
      <c r="D910" t="s">
        <v>3470</v>
      </c>
      <c r="E910" t="s">
        <v>5530</v>
      </c>
      <c r="F910" t="s">
        <v>5531</v>
      </c>
      <c r="G910" t="s">
        <v>4441</v>
      </c>
      <c r="I910" t="s">
        <v>5326</v>
      </c>
      <c r="J910" t="s">
        <v>4069</v>
      </c>
      <c r="K910" t="s">
        <v>5457</v>
      </c>
    </row>
    <row r="911" spans="1:11" x14ac:dyDescent="0.2">
      <c r="A911" t="s">
        <v>2731</v>
      </c>
      <c r="B911" t="s">
        <v>1905</v>
      </c>
      <c r="C911" t="s">
        <v>1955</v>
      </c>
      <c r="D911" t="s">
        <v>3471</v>
      </c>
      <c r="E911" t="s">
        <v>5532</v>
      </c>
      <c r="F911" t="s">
        <v>5533</v>
      </c>
      <c r="G911" t="s">
        <v>4444</v>
      </c>
      <c r="I911" t="s">
        <v>5326</v>
      </c>
      <c r="J911" t="s">
        <v>4069</v>
      </c>
      <c r="K911" t="s">
        <v>5457</v>
      </c>
    </row>
    <row r="912" spans="1:11" x14ac:dyDescent="0.2">
      <c r="A912" t="s">
        <v>2732</v>
      </c>
      <c r="B912" t="s">
        <v>1905</v>
      </c>
      <c r="C912" t="s">
        <v>1956</v>
      </c>
      <c r="D912" t="s">
        <v>3472</v>
      </c>
      <c r="E912" t="s">
        <v>5534</v>
      </c>
      <c r="F912" t="s">
        <v>5535</v>
      </c>
      <c r="G912" t="s">
        <v>4447</v>
      </c>
      <c r="I912" t="s">
        <v>5326</v>
      </c>
      <c r="J912" t="s">
        <v>4069</v>
      </c>
      <c r="K912" t="s">
        <v>5457</v>
      </c>
    </row>
    <row r="913" spans="1:11" x14ac:dyDescent="0.2">
      <c r="A913" t="s">
        <v>2733</v>
      </c>
      <c r="B913" t="s">
        <v>1905</v>
      </c>
      <c r="C913" t="s">
        <v>1957</v>
      </c>
      <c r="D913" t="s">
        <v>3473</v>
      </c>
      <c r="E913" t="s">
        <v>5536</v>
      </c>
      <c r="F913" t="s">
        <v>5537</v>
      </c>
      <c r="G913" t="s">
        <v>4450</v>
      </c>
      <c r="I913" t="s">
        <v>5326</v>
      </c>
      <c r="J913" t="s">
        <v>4069</v>
      </c>
      <c r="K913" t="s">
        <v>5457</v>
      </c>
    </row>
    <row r="914" spans="1:11" x14ac:dyDescent="0.2">
      <c r="A914" t="s">
        <v>2734</v>
      </c>
      <c r="B914" t="s">
        <v>1905</v>
      </c>
      <c r="C914" t="s">
        <v>1958</v>
      </c>
      <c r="D914" t="s">
        <v>3474</v>
      </c>
      <c r="E914" t="s">
        <v>5538</v>
      </c>
      <c r="F914" t="s">
        <v>5539</v>
      </c>
      <c r="G914" t="s">
        <v>4453</v>
      </c>
      <c r="I914" t="s">
        <v>5326</v>
      </c>
      <c r="J914" t="s">
        <v>4069</v>
      </c>
      <c r="K914" t="s">
        <v>5457</v>
      </c>
    </row>
    <row r="915" spans="1:11" x14ac:dyDescent="0.2">
      <c r="A915" t="s">
        <v>2735</v>
      </c>
      <c r="B915" t="s">
        <v>1905</v>
      </c>
      <c r="C915" t="s">
        <v>2075</v>
      </c>
      <c r="D915" t="s">
        <v>3475</v>
      </c>
      <c r="E915" t="s">
        <v>5540</v>
      </c>
      <c r="F915" t="s">
        <v>5541</v>
      </c>
      <c r="G915" t="s">
        <v>4456</v>
      </c>
      <c r="I915" t="s">
        <v>5326</v>
      </c>
      <c r="J915" t="s">
        <v>4069</v>
      </c>
      <c r="K915" t="s">
        <v>5457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1DA6C-40E7-475A-BE20-3E2EFBE481A8}">
  <sheetPr>
    <tabColor theme="9" tint="-0.249977111117893"/>
  </sheetPr>
  <dimension ref="A1:D42"/>
  <sheetViews>
    <sheetView workbookViewId="0">
      <selection activeCell="D51" sqref="D51"/>
    </sheetView>
  </sheetViews>
  <sheetFormatPr defaultRowHeight="12.75" x14ac:dyDescent="0.2"/>
  <cols>
    <col min="1" max="1" width="11.28515625" bestFit="1" customWidth="1"/>
    <col min="2" max="2" width="8.5703125" bestFit="1" customWidth="1"/>
    <col min="3" max="3" width="28.42578125" bestFit="1" customWidth="1"/>
    <col min="4" max="4" width="28.42578125" customWidth="1"/>
  </cols>
  <sheetData>
    <row r="1" spans="1:4" x14ac:dyDescent="0.2">
      <c r="A1" t="s">
        <v>3500</v>
      </c>
      <c r="B1" t="s">
        <v>5584</v>
      </c>
      <c r="C1" t="s">
        <v>5585</v>
      </c>
      <c r="D1" t="s">
        <v>5586</v>
      </c>
    </row>
    <row r="2" spans="1:4" x14ac:dyDescent="0.2">
      <c r="A2" t="s">
        <v>26</v>
      </c>
      <c r="B2" t="s">
        <v>403</v>
      </c>
      <c r="C2" t="s">
        <v>5587</v>
      </c>
      <c r="D2" t="s">
        <v>3502</v>
      </c>
    </row>
    <row r="3" spans="1:4" x14ac:dyDescent="0.2">
      <c r="A3" t="s">
        <v>26</v>
      </c>
      <c r="B3" t="s">
        <v>492</v>
      </c>
      <c r="C3" t="s">
        <v>5588</v>
      </c>
      <c r="D3" t="s">
        <v>3502</v>
      </c>
    </row>
    <row r="4" spans="1:4" x14ac:dyDescent="0.2">
      <c r="A4" t="s">
        <v>26</v>
      </c>
      <c r="B4" t="s">
        <v>538</v>
      </c>
      <c r="C4" t="s">
        <v>5589</v>
      </c>
      <c r="D4" t="s">
        <v>3502</v>
      </c>
    </row>
    <row r="5" spans="1:4" x14ac:dyDescent="0.2">
      <c r="A5" t="s">
        <v>26</v>
      </c>
      <c r="B5" t="s">
        <v>421</v>
      </c>
      <c r="C5" t="s">
        <v>5590</v>
      </c>
      <c r="D5" t="s">
        <v>3502</v>
      </c>
    </row>
    <row r="6" spans="1:4" x14ac:dyDescent="0.2">
      <c r="A6" t="s">
        <v>26</v>
      </c>
      <c r="B6" t="s">
        <v>990</v>
      </c>
      <c r="C6" t="s">
        <v>5591</v>
      </c>
      <c r="D6" t="s">
        <v>3502</v>
      </c>
    </row>
    <row r="7" spans="1:4" x14ac:dyDescent="0.2">
      <c r="A7" t="s">
        <v>26</v>
      </c>
      <c r="B7" t="s">
        <v>548</v>
      </c>
      <c r="C7" t="s">
        <v>5592</v>
      </c>
      <c r="D7" t="s">
        <v>3502</v>
      </c>
    </row>
    <row r="8" spans="1:4" x14ac:dyDescent="0.2">
      <c r="A8" t="s">
        <v>26</v>
      </c>
      <c r="B8" t="s">
        <v>1187</v>
      </c>
      <c r="C8" t="s">
        <v>5593</v>
      </c>
      <c r="D8" t="s">
        <v>3502</v>
      </c>
    </row>
    <row r="9" spans="1:4" x14ac:dyDescent="0.2">
      <c r="A9" t="s">
        <v>26</v>
      </c>
      <c r="B9" t="s">
        <v>5594</v>
      </c>
      <c r="C9" t="s">
        <v>5595</v>
      </c>
      <c r="D9" t="s">
        <v>3502</v>
      </c>
    </row>
    <row r="10" spans="1:4" x14ac:dyDescent="0.2">
      <c r="A10" t="s">
        <v>26</v>
      </c>
      <c r="B10" t="s">
        <v>5596</v>
      </c>
      <c r="C10" t="s">
        <v>5597</v>
      </c>
      <c r="D10" t="s">
        <v>3502</v>
      </c>
    </row>
    <row r="11" spans="1:4" x14ac:dyDescent="0.2">
      <c r="A11" t="s">
        <v>26</v>
      </c>
      <c r="B11" t="s">
        <v>5598</v>
      </c>
      <c r="C11" t="s">
        <v>5599</v>
      </c>
      <c r="D11" t="s">
        <v>3502</v>
      </c>
    </row>
    <row r="12" spans="1:4" x14ac:dyDescent="0.2">
      <c r="A12" t="s">
        <v>26</v>
      </c>
      <c r="B12" t="s">
        <v>704</v>
      </c>
      <c r="C12" t="s">
        <v>5600</v>
      </c>
      <c r="D12" t="s">
        <v>3502</v>
      </c>
    </row>
    <row r="13" spans="1:4" x14ac:dyDescent="0.2">
      <c r="A13" t="s">
        <v>26</v>
      </c>
      <c r="B13" t="s">
        <v>1369</v>
      </c>
      <c r="C13" t="s">
        <v>5601</v>
      </c>
      <c r="D13" t="s">
        <v>3502</v>
      </c>
    </row>
    <row r="14" spans="1:4" x14ac:dyDescent="0.2">
      <c r="A14" t="s">
        <v>26</v>
      </c>
      <c r="B14" t="s">
        <v>5602</v>
      </c>
      <c r="C14" t="s">
        <v>5603</v>
      </c>
      <c r="D14" t="s">
        <v>3502</v>
      </c>
    </row>
    <row r="15" spans="1:4" x14ac:dyDescent="0.2">
      <c r="A15" t="s">
        <v>26</v>
      </c>
      <c r="B15" t="s">
        <v>5604</v>
      </c>
      <c r="C15" t="s">
        <v>5605</v>
      </c>
      <c r="D15" t="s">
        <v>3502</v>
      </c>
    </row>
    <row r="16" spans="1:4" x14ac:dyDescent="0.2">
      <c r="A16" t="s">
        <v>26</v>
      </c>
      <c r="B16" t="s">
        <v>468</v>
      </c>
      <c r="C16" t="s">
        <v>5606</v>
      </c>
      <c r="D16" t="s">
        <v>3502</v>
      </c>
    </row>
    <row r="17" spans="1:4" x14ac:dyDescent="0.2">
      <c r="A17" t="s">
        <v>26</v>
      </c>
      <c r="B17" t="s">
        <v>5607</v>
      </c>
      <c r="C17" t="s">
        <v>5608</v>
      </c>
      <c r="D17" t="s">
        <v>3502</v>
      </c>
    </row>
    <row r="18" spans="1:4" x14ac:dyDescent="0.2">
      <c r="A18" t="s">
        <v>26</v>
      </c>
      <c r="B18" t="s">
        <v>5609</v>
      </c>
      <c r="C18" t="s">
        <v>5610</v>
      </c>
      <c r="D18" t="s">
        <v>3502</v>
      </c>
    </row>
    <row r="19" spans="1:4" x14ac:dyDescent="0.2">
      <c r="A19" t="s">
        <v>26</v>
      </c>
      <c r="B19" t="s">
        <v>5611</v>
      </c>
      <c r="C19" t="s">
        <v>5612</v>
      </c>
      <c r="D19" t="s">
        <v>3502</v>
      </c>
    </row>
    <row r="20" spans="1:4" x14ac:dyDescent="0.2">
      <c r="A20" t="s">
        <v>26</v>
      </c>
      <c r="B20" t="s">
        <v>5613</v>
      </c>
      <c r="C20" t="s">
        <v>5614</v>
      </c>
      <c r="D20" t="s">
        <v>3502</v>
      </c>
    </row>
    <row r="21" spans="1:4" x14ac:dyDescent="0.2">
      <c r="A21" t="s">
        <v>26</v>
      </c>
      <c r="B21" t="s">
        <v>1631</v>
      </c>
      <c r="C21" t="s">
        <v>5615</v>
      </c>
      <c r="D21" t="s">
        <v>3502</v>
      </c>
    </row>
    <row r="22" spans="1:4" x14ac:dyDescent="0.2">
      <c r="A22" t="s">
        <v>26</v>
      </c>
      <c r="B22" t="s">
        <v>5616</v>
      </c>
      <c r="C22" t="s">
        <v>5617</v>
      </c>
      <c r="D22" t="s">
        <v>3502</v>
      </c>
    </row>
    <row r="23" spans="1:4" x14ac:dyDescent="0.2">
      <c r="A23" t="s">
        <v>26</v>
      </c>
      <c r="B23" t="s">
        <v>5618</v>
      </c>
      <c r="C23" t="s">
        <v>5619</v>
      </c>
      <c r="D23" t="s">
        <v>3502</v>
      </c>
    </row>
    <row r="24" spans="1:4" x14ac:dyDescent="0.2">
      <c r="A24" t="s">
        <v>26</v>
      </c>
      <c r="B24" t="s">
        <v>5620</v>
      </c>
      <c r="C24" t="s">
        <v>5621</v>
      </c>
      <c r="D24" t="s">
        <v>3502</v>
      </c>
    </row>
    <row r="25" spans="1:4" x14ac:dyDescent="0.2">
      <c r="A25" t="s">
        <v>26</v>
      </c>
      <c r="B25" t="s">
        <v>5622</v>
      </c>
      <c r="C25" t="s">
        <v>5623</v>
      </c>
      <c r="D25" t="s">
        <v>3502</v>
      </c>
    </row>
    <row r="26" spans="1:4" x14ac:dyDescent="0.2">
      <c r="A26" t="s">
        <v>26</v>
      </c>
      <c r="B26" t="s">
        <v>5624</v>
      </c>
      <c r="C26" t="s">
        <v>2064</v>
      </c>
      <c r="D26" t="s">
        <v>3502</v>
      </c>
    </row>
    <row r="27" spans="1:4" x14ac:dyDescent="0.2">
      <c r="A27" t="s">
        <v>28</v>
      </c>
      <c r="B27" t="s">
        <v>3503</v>
      </c>
      <c r="C27" t="s">
        <v>5625</v>
      </c>
      <c r="D27" t="str">
        <f>VLOOKUP(cr_2019_answer_map[[#This Row],[Question]],'cr_2019_question_map'!A:E,5,FALSE)</f>
        <v>CapitalRaisingActivity_NonListedRealEstateVehicles</v>
      </c>
    </row>
    <row r="28" spans="1:4" x14ac:dyDescent="0.2">
      <c r="A28" t="s">
        <v>28</v>
      </c>
      <c r="B28" t="s">
        <v>3508</v>
      </c>
      <c r="C28" t="s">
        <v>5626</v>
      </c>
      <c r="D28" t="str">
        <f>VLOOKUP(cr_2019_answer_map[[#This Row],[Question]],'cr_2019_question_map'!A:E,5,FALSE)</f>
        <v>CapitalRaisingActivity_NonListedRealEstateVehicles</v>
      </c>
    </row>
    <row r="29" spans="1:4" x14ac:dyDescent="0.2">
      <c r="A29" t="s">
        <v>29</v>
      </c>
      <c r="B29" t="s">
        <v>3503</v>
      </c>
      <c r="C29" t="s">
        <v>5627</v>
      </c>
      <c r="D29" t="str">
        <f>VLOOKUP(cr_2019_answer_map[[#This Row],[Question]],'cr_2019_question_map'!A:E,5,FALSE)</f>
        <v>NoCapitalRaisingActivity_Reason</v>
      </c>
    </row>
    <row r="30" spans="1:4" x14ac:dyDescent="0.2">
      <c r="A30" t="s">
        <v>29</v>
      </c>
      <c r="B30" t="s">
        <v>3508</v>
      </c>
      <c r="C30" t="s">
        <v>5628</v>
      </c>
      <c r="D30" t="str">
        <f>VLOOKUP(cr_2019_answer_map[[#This Row],[Question]],'cr_2019_question_map'!A:E,5,FALSE)</f>
        <v>NoCapitalRaisingActivity_Reason</v>
      </c>
    </row>
    <row r="31" spans="1:4" x14ac:dyDescent="0.2">
      <c r="A31" t="s">
        <v>29</v>
      </c>
      <c r="B31" t="s">
        <v>3512</v>
      </c>
      <c r="C31" t="s">
        <v>5629</v>
      </c>
      <c r="D31" t="str">
        <f>VLOOKUP(cr_2019_answer_map[[#This Row],[Question]],'cr_2019_question_map'!A:E,5,FALSE)</f>
        <v>NoCapitalRaisingActivity_Reason</v>
      </c>
    </row>
    <row r="32" spans="1:4" x14ac:dyDescent="0.2">
      <c r="A32" t="s">
        <v>29</v>
      </c>
      <c r="B32" t="s">
        <v>3517</v>
      </c>
      <c r="C32" t="s">
        <v>5630</v>
      </c>
      <c r="D32" t="str">
        <f>VLOOKUP(cr_2019_answer_map[[#This Row],[Question]],'cr_2019_question_map'!A:E,5,FALSE)</f>
        <v>NoCapitalRaisingActivity_Reason</v>
      </c>
    </row>
    <row r="33" spans="1:4" x14ac:dyDescent="0.2">
      <c r="A33" t="s">
        <v>29</v>
      </c>
      <c r="B33" t="s">
        <v>3527</v>
      </c>
      <c r="C33" t="s">
        <v>5631</v>
      </c>
      <c r="D33" t="str">
        <f>VLOOKUP(cr_2019_answer_map[[#This Row],[Question]],'cr_2019_question_map'!A:E,5,FALSE)</f>
        <v>NoCapitalRaisingActivity_Reason</v>
      </c>
    </row>
    <row r="34" spans="1:4" x14ac:dyDescent="0.2">
      <c r="A34" t="s">
        <v>29</v>
      </c>
      <c r="B34" t="s">
        <v>3535</v>
      </c>
      <c r="C34" t="s">
        <v>2064</v>
      </c>
      <c r="D34" t="str">
        <f>VLOOKUP(cr_2019_answer_map[[#This Row],[Question]],'cr_2019_question_map'!A:E,5,FALSE)</f>
        <v>NoCapitalRaisingActivity_Reason</v>
      </c>
    </row>
    <row r="35" spans="1:4" x14ac:dyDescent="0.2">
      <c r="A35" t="s">
        <v>280</v>
      </c>
      <c r="B35" t="s">
        <v>3503</v>
      </c>
      <c r="C35" t="s">
        <v>5632</v>
      </c>
      <c r="D35" t="str">
        <f>VLOOKUP(cr_2019_answer_map[[#This Row],[Question]],'cr_2019_question_map'!A:E,5,FALSE)</f>
        <v>CapitalRaisingActivity_Development</v>
      </c>
    </row>
    <row r="36" spans="1:4" x14ac:dyDescent="0.2">
      <c r="A36" t="s">
        <v>280</v>
      </c>
      <c r="B36" t="s">
        <v>3508</v>
      </c>
      <c r="C36" t="s">
        <v>5633</v>
      </c>
      <c r="D36" t="str">
        <f>VLOOKUP(cr_2019_answer_map[[#This Row],[Question]],'cr_2019_question_map'!A:E,5,FALSE)</f>
        <v>CapitalRaisingActivity_Development</v>
      </c>
    </row>
    <row r="37" spans="1:4" x14ac:dyDescent="0.2">
      <c r="A37" t="s">
        <v>280</v>
      </c>
      <c r="B37" t="s">
        <v>3512</v>
      </c>
      <c r="C37" t="s">
        <v>5634</v>
      </c>
      <c r="D37" t="str">
        <f>VLOOKUP(cr_2019_answer_map[[#This Row],[Question]],'cr_2019_question_map'!A:E,5,FALSE)</f>
        <v>CapitalRaisingActivity_Development</v>
      </c>
    </row>
    <row r="38" spans="1:4" x14ac:dyDescent="0.2">
      <c r="A38" t="s">
        <v>281</v>
      </c>
      <c r="B38" t="s">
        <v>3503</v>
      </c>
      <c r="C38" t="s">
        <v>5635</v>
      </c>
      <c r="D38" t="str">
        <f>VLOOKUP(cr_2019_answer_map[[#This Row],[Question]],'cr_2019_question_map'!A:E,5,FALSE)</f>
        <v>CapitalRaisingActivity_Impactregulation</v>
      </c>
    </row>
    <row r="39" spans="1:4" x14ac:dyDescent="0.2">
      <c r="A39" t="s">
        <v>281</v>
      </c>
      <c r="B39" t="s">
        <v>3508</v>
      </c>
      <c r="C39" t="s">
        <v>5636</v>
      </c>
      <c r="D39" t="str">
        <f>VLOOKUP(cr_2019_answer_map[[#This Row],[Question]],'cr_2019_question_map'!A:E,5,FALSE)</f>
        <v>CapitalRaisingActivity_Impactregulation</v>
      </c>
    </row>
    <row r="40" spans="1:4" x14ac:dyDescent="0.2">
      <c r="A40" t="s">
        <v>281</v>
      </c>
      <c r="B40" t="s">
        <v>3512</v>
      </c>
      <c r="C40" t="s">
        <v>5637</v>
      </c>
      <c r="D40" t="str">
        <f>VLOOKUP(cr_2019_answer_map[[#This Row],[Question]],'cr_2019_question_map'!A:E,5,FALSE)</f>
        <v>CapitalRaisingActivity_Impactregulation</v>
      </c>
    </row>
    <row r="41" spans="1:4" x14ac:dyDescent="0.2">
      <c r="A41" t="s">
        <v>282</v>
      </c>
      <c r="B41" t="s">
        <v>3503</v>
      </c>
      <c r="C41" t="s">
        <v>5625</v>
      </c>
      <c r="D41" t="str">
        <f>VLOOKUP(cr_2019_answer_map[[#This Row],[Question]],'cr_2019_question_map'!A:E,5,FALSE)</f>
        <v>Companynameincluded</v>
      </c>
    </row>
    <row r="42" spans="1:4" x14ac:dyDescent="0.2">
      <c r="A42" t="s">
        <v>282</v>
      </c>
      <c r="B42" t="s">
        <v>3508</v>
      </c>
      <c r="C42" t="s">
        <v>5626</v>
      </c>
      <c r="D42" t="str">
        <f>VLOOKUP(cr_2019_answer_map[[#This Row],[Question]],'cr_2019_question_map'!A:E,5,FALSE)</f>
        <v>Companynameincluded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755D8-644A-4DCD-9CA3-94B7F764BABC}">
  <sheetPr>
    <tabColor theme="9" tint="-0.249977111117893"/>
  </sheetPr>
  <dimension ref="A1:F950"/>
  <sheetViews>
    <sheetView topLeftCell="A885" zoomScaleNormal="100" workbookViewId="0">
      <selection sqref="A1:A1048576"/>
    </sheetView>
  </sheetViews>
  <sheetFormatPr defaultColWidth="9" defaultRowHeight="15" x14ac:dyDescent="0.25"/>
  <cols>
    <col min="1" max="1" width="32.85546875" style="6" customWidth="1"/>
    <col min="2" max="2" width="30.5703125" style="6" customWidth="1"/>
    <col min="3" max="3" width="30" style="6" bestFit="1" customWidth="1"/>
    <col min="4" max="4" width="9" style="8"/>
    <col min="5" max="5" width="129.5703125" style="6" bestFit="1" customWidth="1"/>
    <col min="6" max="16384" width="9" style="6"/>
  </cols>
  <sheetData>
    <row r="1" spans="1:6" s="4" customFormat="1" x14ac:dyDescent="0.25">
      <c r="A1" s="4" t="s">
        <v>1875</v>
      </c>
      <c r="B1" s="4" t="s">
        <v>2086</v>
      </c>
      <c r="C1" s="4" t="s">
        <v>2736</v>
      </c>
      <c r="D1" s="5" t="s">
        <v>1876</v>
      </c>
      <c r="E1" s="4" t="s">
        <v>1877</v>
      </c>
      <c r="F1" s="18" t="s">
        <v>2738</v>
      </c>
    </row>
    <row r="2" spans="1:6" x14ac:dyDescent="0.25">
      <c r="A2" s="6" t="str">
        <f>_xlfn.CONCAT(C2,B2)</f>
        <v>Surveycode</v>
      </c>
      <c r="C2" s="6" t="s">
        <v>0</v>
      </c>
      <c r="D2" s="7" t="s">
        <v>1878</v>
      </c>
      <c r="E2" s="6" t="s">
        <v>0</v>
      </c>
    </row>
    <row r="3" spans="1:6" x14ac:dyDescent="0.25">
      <c r="A3" s="6" t="str">
        <f t="shared" ref="A3:A66" si="0">_xlfn.CONCAT(C3,B3)</f>
        <v>Association (Sample)</v>
      </c>
      <c r="C3" s="6" t="s">
        <v>1</v>
      </c>
      <c r="D3" s="7" t="s">
        <v>1878</v>
      </c>
      <c r="E3" s="6" t="s">
        <v>1879</v>
      </c>
    </row>
    <row r="4" spans="1:6" x14ac:dyDescent="0.25">
      <c r="A4" s="6" t="str">
        <f t="shared" si="0"/>
        <v>Company (Sample)</v>
      </c>
      <c r="C4" s="6" t="s">
        <v>2</v>
      </c>
      <c r="D4" s="7" t="s">
        <v>1878</v>
      </c>
      <c r="E4" s="6" t="s">
        <v>1880</v>
      </c>
    </row>
    <row r="5" spans="1:6" x14ac:dyDescent="0.25">
      <c r="A5" s="6" t="str">
        <f t="shared" si="0"/>
        <v>REGION</v>
      </c>
      <c r="C5" s="6" t="s">
        <v>3</v>
      </c>
      <c r="D5" s="7" t="s">
        <v>1881</v>
      </c>
      <c r="E5" s="6" t="s">
        <v>1882</v>
      </c>
    </row>
    <row r="6" spans="1:6" x14ac:dyDescent="0.25">
      <c r="A6" s="6" t="str">
        <f t="shared" si="0"/>
        <v>DateCompleted (Asia)</v>
      </c>
      <c r="C6" s="6" t="s">
        <v>4</v>
      </c>
      <c r="D6" s="7" t="s">
        <v>1881</v>
      </c>
      <c r="E6" s="6" t="s">
        <v>4</v>
      </c>
    </row>
    <row r="7" spans="1:6" x14ac:dyDescent="0.25">
      <c r="A7" s="6" t="str">
        <f t="shared" si="0"/>
        <v>REGION</v>
      </c>
      <c r="C7" s="6" t="s">
        <v>3</v>
      </c>
      <c r="D7" s="7" t="s">
        <v>1881</v>
      </c>
      <c r="E7" s="6" t="s">
        <v>1882</v>
      </c>
    </row>
    <row r="8" spans="1:6" x14ac:dyDescent="0.25">
      <c r="A8" s="6" t="str">
        <f t="shared" si="0"/>
        <v>DateCompleted (Europe)</v>
      </c>
      <c r="C8" s="6" t="s">
        <v>5</v>
      </c>
      <c r="D8" s="7" t="s">
        <v>1881</v>
      </c>
      <c r="E8" s="6" t="s">
        <v>5</v>
      </c>
    </row>
    <row r="9" spans="1:6" x14ac:dyDescent="0.25">
      <c r="A9" s="6" t="str">
        <f t="shared" si="0"/>
        <v>REGION</v>
      </c>
      <c r="C9" s="6" t="s">
        <v>3</v>
      </c>
      <c r="D9" s="7" t="s">
        <v>1881</v>
      </c>
      <c r="E9" s="6" t="s">
        <v>1882</v>
      </c>
    </row>
    <row r="10" spans="1:6" x14ac:dyDescent="0.25">
      <c r="A10" s="6" t="str">
        <f t="shared" si="0"/>
        <v>DateCompleted (NorthAmerica)</v>
      </c>
      <c r="C10" s="6" t="s">
        <v>6</v>
      </c>
      <c r="D10" s="7" t="s">
        <v>1881</v>
      </c>
      <c r="E10" s="6" t="s">
        <v>6</v>
      </c>
    </row>
    <row r="11" spans="1:6" x14ac:dyDescent="0.25">
      <c r="A11" s="6" t="str">
        <f t="shared" si="0"/>
        <v>REGION</v>
      </c>
      <c r="C11" s="6" t="s">
        <v>3</v>
      </c>
      <c r="D11" s="7" t="s">
        <v>1881</v>
      </c>
      <c r="E11" s="6" t="s">
        <v>1882</v>
      </c>
    </row>
    <row r="12" spans="1:6" x14ac:dyDescent="0.25">
      <c r="A12" s="6" t="str">
        <f t="shared" si="0"/>
        <v>DateCompleted (Global)</v>
      </c>
      <c r="C12" s="6" t="s">
        <v>7</v>
      </c>
      <c r="D12" s="7" t="s">
        <v>1881</v>
      </c>
      <c r="E12" s="6" t="s">
        <v>7</v>
      </c>
    </row>
    <row r="13" spans="1:6" x14ac:dyDescent="0.25">
      <c r="A13" s="6" t="str">
        <f t="shared" si="0"/>
        <v>REGION</v>
      </c>
      <c r="C13" s="6" t="s">
        <v>3</v>
      </c>
      <c r="D13" s="7" t="s">
        <v>1881</v>
      </c>
      <c r="E13" s="6" t="s">
        <v>1882</v>
      </c>
    </row>
    <row r="14" spans="1:6" x14ac:dyDescent="0.25">
      <c r="A14" s="6" t="str">
        <f t="shared" si="0"/>
        <v>DateCompleted (SouthAmerica)</v>
      </c>
      <c r="C14" s="6" t="s">
        <v>8</v>
      </c>
      <c r="D14" s="7" t="s">
        <v>1881</v>
      </c>
      <c r="E14" s="6" t="s">
        <v>8</v>
      </c>
    </row>
    <row r="15" spans="1:6" x14ac:dyDescent="0.25">
      <c r="A15" s="6" t="str">
        <f t="shared" si="0"/>
        <v>REGION</v>
      </c>
      <c r="C15" s="6" t="s">
        <v>3</v>
      </c>
      <c r="D15" s="7" t="s">
        <v>1881</v>
      </c>
      <c r="E15" s="6" t="s">
        <v>1882</v>
      </c>
    </row>
    <row r="16" spans="1:6" x14ac:dyDescent="0.25">
      <c r="A16" s="6" t="str">
        <f t="shared" si="0"/>
        <v>DateCompleted (Africa)</v>
      </c>
      <c r="C16" s="6" t="s">
        <v>9</v>
      </c>
      <c r="D16" s="7" t="s">
        <v>1881</v>
      </c>
      <c r="E16" s="6" t="s">
        <v>9</v>
      </c>
    </row>
    <row r="17" spans="1:5" x14ac:dyDescent="0.25">
      <c r="A17" s="6" t="str">
        <f t="shared" si="0"/>
        <v>ShowEurope</v>
      </c>
      <c r="C17" s="6" t="s">
        <v>10</v>
      </c>
      <c r="D17" s="7" t="s">
        <v>1881</v>
      </c>
      <c r="E17" s="6" t="s">
        <v>10</v>
      </c>
    </row>
    <row r="18" spans="1:5" x14ac:dyDescent="0.25">
      <c r="A18" s="6" t="str">
        <f t="shared" si="0"/>
        <v>ShowAsia</v>
      </c>
      <c r="C18" s="6" t="s">
        <v>11</v>
      </c>
      <c r="D18" s="7" t="s">
        <v>1881</v>
      </c>
      <c r="E18" s="6" t="s">
        <v>11</v>
      </c>
    </row>
    <row r="19" spans="1:5" x14ac:dyDescent="0.25">
      <c r="A19" s="6" t="str">
        <f t="shared" si="0"/>
        <v>ShowNA</v>
      </c>
      <c r="C19" s="6" t="s">
        <v>12</v>
      </c>
      <c r="D19" s="7" t="s">
        <v>1881</v>
      </c>
      <c r="E19" s="6" t="s">
        <v>12</v>
      </c>
    </row>
    <row r="20" spans="1:5" x14ac:dyDescent="0.25">
      <c r="A20" s="6" t="str">
        <f t="shared" si="0"/>
        <v>ShowGlobal</v>
      </c>
      <c r="C20" s="6" t="s">
        <v>13</v>
      </c>
      <c r="D20" s="7" t="s">
        <v>1881</v>
      </c>
      <c r="E20" s="6" t="s">
        <v>13</v>
      </c>
    </row>
    <row r="21" spans="1:5" x14ac:dyDescent="0.25">
      <c r="A21" s="6" t="str">
        <f t="shared" si="0"/>
        <v>ShowSA</v>
      </c>
      <c r="C21" s="6" t="s">
        <v>14</v>
      </c>
      <c r="D21" s="7" t="s">
        <v>1881</v>
      </c>
      <c r="E21" s="6" t="s">
        <v>14</v>
      </c>
    </row>
    <row r="22" spans="1:5" x14ac:dyDescent="0.25">
      <c r="A22" s="6" t="str">
        <f t="shared" si="0"/>
        <v>ShowAfrica</v>
      </c>
      <c r="C22" s="6" t="s">
        <v>15</v>
      </c>
      <c r="D22" s="7" t="s">
        <v>1881</v>
      </c>
      <c r="E22" s="6" t="s">
        <v>15</v>
      </c>
    </row>
    <row r="23" spans="1:5" x14ac:dyDescent="0.25">
      <c r="A23" s="6" t="str">
        <f t="shared" si="0"/>
        <v>RecordNo</v>
      </c>
      <c r="C23" s="6" t="s">
        <v>16</v>
      </c>
      <c r="D23" s="7" t="s">
        <v>1883</v>
      </c>
      <c r="E23" s="6" t="s">
        <v>16</v>
      </c>
    </row>
    <row r="24" spans="1:5" x14ac:dyDescent="0.25">
      <c r="A24" s="6" t="str">
        <f t="shared" si="0"/>
        <v>Surveycode</v>
      </c>
      <c r="C24" s="6" t="s">
        <v>0</v>
      </c>
      <c r="D24" s="7" t="s">
        <v>1883</v>
      </c>
      <c r="E24" s="6" t="s">
        <v>0</v>
      </c>
    </row>
    <row r="25" spans="1:5" x14ac:dyDescent="0.25">
      <c r="A25" s="6" t="str">
        <f t="shared" si="0"/>
        <v>URIstring</v>
      </c>
      <c r="C25" s="6" t="s">
        <v>1884</v>
      </c>
      <c r="D25" s="7" t="s">
        <v>1883</v>
      </c>
      <c r="E25" s="6" t="s">
        <v>1884</v>
      </c>
    </row>
    <row r="26" spans="1:5" x14ac:dyDescent="0.25">
      <c r="A26" s="6" t="str">
        <f t="shared" si="0"/>
        <v>DateUpdated</v>
      </c>
      <c r="C26" s="6" t="s">
        <v>1885</v>
      </c>
      <c r="D26" s="7" t="s">
        <v>1883</v>
      </c>
      <c r="E26" s="6" t="s">
        <v>1885</v>
      </c>
    </row>
    <row r="27" spans="1:5" x14ac:dyDescent="0.25">
      <c r="A27" s="6" t="str">
        <f t="shared" si="0"/>
        <v>DateCompleted</v>
      </c>
      <c r="C27" s="6" t="s">
        <v>17</v>
      </c>
      <c r="D27" s="7" t="s">
        <v>1883</v>
      </c>
      <c r="E27" s="6" t="s">
        <v>17</v>
      </c>
    </row>
    <row r="28" spans="1:5" x14ac:dyDescent="0.25">
      <c r="A28" s="6" t="str">
        <f t="shared" si="0"/>
        <v>PageNo</v>
      </c>
      <c r="C28" s="6" t="s">
        <v>1886</v>
      </c>
      <c r="D28" s="7" t="s">
        <v>1883</v>
      </c>
      <c r="E28" s="6" t="s">
        <v>1886</v>
      </c>
    </row>
    <row r="29" spans="1:5" x14ac:dyDescent="0.25">
      <c r="A29" s="6" t="str">
        <f t="shared" si="0"/>
        <v>PathInfo</v>
      </c>
      <c r="C29" s="6" t="s">
        <v>1887</v>
      </c>
      <c r="D29" s="7" t="s">
        <v>1883</v>
      </c>
      <c r="E29" s="6" t="s">
        <v>1887</v>
      </c>
    </row>
    <row r="30" spans="1:5" x14ac:dyDescent="0.25">
      <c r="A30" s="6" t="str">
        <f t="shared" si="0"/>
        <v>Referrer</v>
      </c>
      <c r="C30" s="6" t="s">
        <v>1888</v>
      </c>
      <c r="D30" s="7" t="s">
        <v>1883</v>
      </c>
      <c r="E30" s="6" t="s">
        <v>1888</v>
      </c>
    </row>
    <row r="31" spans="1:5" x14ac:dyDescent="0.25">
      <c r="A31" s="6" t="str">
        <f t="shared" si="0"/>
        <v>IPaddress</v>
      </c>
      <c r="C31" s="6" t="s">
        <v>18</v>
      </c>
      <c r="D31" s="7" t="s">
        <v>1883</v>
      </c>
      <c r="E31" s="6" t="s">
        <v>18</v>
      </c>
    </row>
    <row r="32" spans="1:5" x14ac:dyDescent="0.25">
      <c r="A32" s="6" t="str">
        <f t="shared" si="0"/>
        <v>Version</v>
      </c>
      <c r="C32" s="6" t="s">
        <v>19</v>
      </c>
      <c r="D32" s="7" t="s">
        <v>1883</v>
      </c>
      <c r="E32" s="6" t="s">
        <v>1889</v>
      </c>
    </row>
    <row r="33" spans="1:6" x14ac:dyDescent="0.25">
      <c r="A33" s="6" t="str">
        <f t="shared" si="0"/>
        <v>qName</v>
      </c>
      <c r="C33" s="6" t="s">
        <v>20</v>
      </c>
      <c r="D33" s="8" t="s">
        <v>1890</v>
      </c>
      <c r="E33" s="6" t="s">
        <v>1891</v>
      </c>
    </row>
    <row r="34" spans="1:6" x14ac:dyDescent="0.25">
      <c r="A34" s="6" t="str">
        <f t="shared" si="0"/>
        <v>qCompany</v>
      </c>
      <c r="C34" s="6" t="s">
        <v>21</v>
      </c>
      <c r="D34" s="8" t="s">
        <v>1890</v>
      </c>
      <c r="E34" s="6" t="s">
        <v>1892</v>
      </c>
    </row>
    <row r="35" spans="1:6" x14ac:dyDescent="0.25">
      <c r="A35" s="6" t="str">
        <f t="shared" si="0"/>
        <v>qJobtitle</v>
      </c>
      <c r="C35" s="6" t="s">
        <v>22</v>
      </c>
      <c r="D35" s="8" t="s">
        <v>1890</v>
      </c>
      <c r="E35" s="6" t="s">
        <v>1893</v>
      </c>
    </row>
    <row r="36" spans="1:6" x14ac:dyDescent="0.25">
      <c r="A36" s="6" t="str">
        <f t="shared" si="0"/>
        <v>qEmail</v>
      </c>
      <c r="C36" s="6" t="s">
        <v>23</v>
      </c>
      <c r="D36" s="8" t="s">
        <v>1890</v>
      </c>
      <c r="E36" s="6" t="s">
        <v>1894</v>
      </c>
    </row>
    <row r="37" spans="1:6" x14ac:dyDescent="0.25">
      <c r="A37" s="6" t="str">
        <f t="shared" si="0"/>
        <v>qTelephone</v>
      </c>
      <c r="C37" s="6" t="s">
        <v>24</v>
      </c>
      <c r="D37" s="8" t="s">
        <v>1890</v>
      </c>
      <c r="E37" s="6" t="s">
        <v>1895</v>
      </c>
    </row>
    <row r="38" spans="1:6" x14ac:dyDescent="0.25">
      <c r="A38" s="6" t="str">
        <f t="shared" si="0"/>
        <v>qCountry</v>
      </c>
      <c r="C38" s="6" t="s">
        <v>25</v>
      </c>
      <c r="D38" s="8" t="s">
        <v>1890</v>
      </c>
      <c r="E38" s="6" t="s">
        <v>1896</v>
      </c>
    </row>
    <row r="39" spans="1:6" x14ac:dyDescent="0.25">
      <c r="A39" s="6" t="str">
        <f t="shared" si="0"/>
        <v>qCurrency</v>
      </c>
      <c r="C39" s="6" t="s">
        <v>26</v>
      </c>
      <c r="D39" s="8" t="s">
        <v>1897</v>
      </c>
      <c r="E39" s="6" t="s">
        <v>1898</v>
      </c>
    </row>
    <row r="40" spans="1:6" x14ac:dyDescent="0.25">
      <c r="A40" s="6" t="str">
        <f t="shared" si="0"/>
        <v>qCurrencyOther</v>
      </c>
      <c r="C40" s="6" t="s">
        <v>27</v>
      </c>
      <c r="D40" s="8" t="s">
        <v>1890</v>
      </c>
      <c r="E40" s="6" t="s">
        <v>1899</v>
      </c>
    </row>
    <row r="41" spans="1:6" s="9" customFormat="1" x14ac:dyDescent="0.25">
      <c r="A41" s="6" t="str">
        <f t="shared" si="0"/>
        <v>q1</v>
      </c>
      <c r="C41" s="9" t="s">
        <v>28</v>
      </c>
      <c r="D41" s="10" t="s">
        <v>1900</v>
      </c>
      <c r="E41" s="9" t="s">
        <v>1901</v>
      </c>
      <c r="F41" s="6">
        <f>VLOOKUP(E41,'[3]Full Data-Map'!$C:$D,2,FALSE)</f>
        <v>1</v>
      </c>
    </row>
    <row r="42" spans="1:6" s="9" customFormat="1" x14ac:dyDescent="0.25">
      <c r="A42" s="6" t="str">
        <f t="shared" si="0"/>
        <v>q2</v>
      </c>
      <c r="C42" s="9" t="s">
        <v>29</v>
      </c>
      <c r="D42" s="10" t="s">
        <v>1900</v>
      </c>
      <c r="E42" s="9" t="s">
        <v>1902</v>
      </c>
      <c r="F42" s="6">
        <f>VLOOKUP(E42,'[3]Full Data-Map'!$C:$D,2,FALSE)</f>
        <v>2</v>
      </c>
    </row>
    <row r="43" spans="1:6" x14ac:dyDescent="0.25">
      <c r="A43" s="6" t="str">
        <f t="shared" si="0"/>
        <v>q2other</v>
      </c>
      <c r="C43" s="6" t="s">
        <v>30</v>
      </c>
      <c r="D43" s="8" t="s">
        <v>1890</v>
      </c>
      <c r="E43" s="6" t="s">
        <v>1903</v>
      </c>
      <c r="F43" s="6">
        <f>VLOOKUP(E43,'[3]Full Data-Map'!$C:$D,2,FALSE)</f>
        <v>3</v>
      </c>
    </row>
    <row r="44" spans="1:6" s="9" customFormat="1" x14ac:dyDescent="0.25">
      <c r="A44" s="6" t="str">
        <f t="shared" si="0"/>
        <v/>
      </c>
      <c r="D44" s="10"/>
      <c r="E44" s="9" t="s">
        <v>1904</v>
      </c>
      <c r="F44" s="6">
        <f>VLOOKUP(E44,'[3]Full Data-Map'!$C:$D,2,FALSE)</f>
        <v>4</v>
      </c>
    </row>
    <row r="45" spans="1:6" x14ac:dyDescent="0.25">
      <c r="A45" s="6" t="str">
        <f t="shared" si="0"/>
        <v>q3A_TotalRealEstate</v>
      </c>
      <c r="C45" s="6" t="s">
        <v>31</v>
      </c>
      <c r="D45" s="8" t="s">
        <v>1905</v>
      </c>
      <c r="E45" s="6" t="s">
        <v>1906</v>
      </c>
      <c r="F45" s="6" t="str">
        <f>VLOOKUP(E45,'[3]Full Data-Map'!$C:$D,2,FALSE)</f>
        <v>4_1</v>
      </c>
    </row>
    <row r="46" spans="1:6" x14ac:dyDescent="0.25">
      <c r="A46" s="6" t="str">
        <f t="shared" si="0"/>
        <v>q3A_NonListedRealEstate</v>
      </c>
      <c r="C46" s="6" t="s">
        <v>32</v>
      </c>
      <c r="D46" s="8" t="s">
        <v>1905</v>
      </c>
      <c r="E46" s="6" t="s">
        <v>1907</v>
      </c>
      <c r="F46" s="6" t="str">
        <f>VLOOKUP(E46,'[3]Full Data-Map'!$C:$D,2,FALSE)</f>
        <v>4_2</v>
      </c>
    </row>
    <row r="47" spans="1:6" s="9" customFormat="1" x14ac:dyDescent="0.25">
      <c r="A47" s="6" t="str">
        <f t="shared" si="0"/>
        <v/>
      </c>
      <c r="D47" s="10"/>
      <c r="E47" s="9" t="s">
        <v>1908</v>
      </c>
      <c r="F47" s="6">
        <f>VLOOKUP(E47,'[3]Full Data-Map'!$C:$D,2,FALSE)</f>
        <v>5</v>
      </c>
    </row>
    <row r="48" spans="1:6" x14ac:dyDescent="0.25">
      <c r="A48" s="6" t="str">
        <f t="shared" si="0"/>
        <v>q3B_TotalRealEstate</v>
      </c>
      <c r="C48" s="6" t="s">
        <v>33</v>
      </c>
      <c r="D48" s="8" t="s">
        <v>1905</v>
      </c>
      <c r="E48" s="6" t="s">
        <v>1906</v>
      </c>
      <c r="F48" s="19" t="s">
        <v>2739</v>
      </c>
    </row>
    <row r="49" spans="1:6" x14ac:dyDescent="0.25">
      <c r="A49" s="6" t="str">
        <f t="shared" si="0"/>
        <v>q3B_NonListedRealEstate</v>
      </c>
      <c r="C49" s="6" t="s">
        <v>34</v>
      </c>
      <c r="D49" s="8" t="s">
        <v>1905</v>
      </c>
      <c r="E49" s="6" t="s">
        <v>1909</v>
      </c>
      <c r="F49" s="6" t="str">
        <f>VLOOKUP(E49,'[3]Full Data-Map'!$C:$D,2,FALSE)</f>
        <v>5_2</v>
      </c>
    </row>
    <row r="50" spans="1:6" s="9" customFormat="1" x14ac:dyDescent="0.25">
      <c r="A50" s="6" t="str">
        <f t="shared" si="0"/>
        <v/>
      </c>
      <c r="D50" s="10"/>
      <c r="E50" s="9" t="s">
        <v>1910</v>
      </c>
      <c r="F50" s="6">
        <f>VLOOKUP(E50,'[3]Full Data-Map'!$C:$D,2,FALSE)</f>
        <v>6</v>
      </c>
    </row>
    <row r="51" spans="1:6" x14ac:dyDescent="0.25">
      <c r="A51" s="6" t="str">
        <f t="shared" si="0"/>
        <v>q31_1</v>
      </c>
      <c r="C51" s="6" t="s">
        <v>35</v>
      </c>
      <c r="D51" s="8" t="s">
        <v>1905</v>
      </c>
      <c r="E51" s="6" t="s">
        <v>1911</v>
      </c>
      <c r="F51" s="6" t="str">
        <f>VLOOKUP(E51,'[3]Full Data-Map'!$C:$D,2,FALSE)</f>
        <v>6_1</v>
      </c>
    </row>
    <row r="52" spans="1:6" x14ac:dyDescent="0.25">
      <c r="A52" s="6" t="str">
        <f t="shared" si="0"/>
        <v>q31_2</v>
      </c>
      <c r="C52" s="6" t="s">
        <v>36</v>
      </c>
      <c r="D52" s="8" t="s">
        <v>1905</v>
      </c>
      <c r="E52" s="6" t="s">
        <v>1912</v>
      </c>
      <c r="F52" s="6" t="str">
        <f>VLOOKUP(E52,'[3]Full Data-Map'!$C:$D,2,FALSE)</f>
        <v>6_2</v>
      </c>
    </row>
    <row r="53" spans="1:6" x14ac:dyDescent="0.25">
      <c r="A53" s="6" t="str">
        <f t="shared" si="0"/>
        <v>q31_3</v>
      </c>
      <c r="C53" s="6" t="s">
        <v>37</v>
      </c>
      <c r="D53" s="8" t="s">
        <v>1905</v>
      </c>
      <c r="E53" s="6" t="s">
        <v>1913</v>
      </c>
      <c r="F53" s="6" t="str">
        <f>VLOOKUP(E53,'[3]Full Data-Map'!$C:$D,2,FALSE)</f>
        <v>6_3</v>
      </c>
    </row>
    <row r="54" spans="1:6" x14ac:dyDescent="0.25">
      <c r="A54" s="6" t="str">
        <f t="shared" si="0"/>
        <v>q31_4</v>
      </c>
      <c r="C54" s="6" t="s">
        <v>38</v>
      </c>
      <c r="D54" s="8" t="s">
        <v>1905</v>
      </c>
      <c r="E54" s="6" t="s">
        <v>1914</v>
      </c>
      <c r="F54" s="6" t="str">
        <f>VLOOKUP(E54,'[3]Full Data-Map'!$C:$D,2,FALSE)</f>
        <v>6_4</v>
      </c>
    </row>
    <row r="55" spans="1:6" x14ac:dyDescent="0.25">
      <c r="A55" s="6" t="str">
        <f t="shared" si="0"/>
        <v>q31_5</v>
      </c>
      <c r="C55" s="6" t="s">
        <v>39</v>
      </c>
      <c r="D55" s="8" t="s">
        <v>1905</v>
      </c>
      <c r="E55" s="6" t="s">
        <v>1915</v>
      </c>
      <c r="F55" s="6" t="str">
        <f>VLOOKUP(E55,'[3]Full Data-Map'!$C:$D,2,FALSE)</f>
        <v>6_5</v>
      </c>
    </row>
    <row r="56" spans="1:6" x14ac:dyDescent="0.25">
      <c r="A56" s="6" t="str">
        <f t="shared" si="0"/>
        <v>q31_6</v>
      </c>
      <c r="C56" s="6" t="s">
        <v>40</v>
      </c>
      <c r="D56" s="8" t="s">
        <v>1905</v>
      </c>
      <c r="E56" s="6" t="s">
        <v>1916</v>
      </c>
      <c r="F56" s="6" t="str">
        <f>VLOOKUP(E56,'[3]Full Data-Map'!$C:$D,2,FALSE)</f>
        <v>6_6</v>
      </c>
    </row>
    <row r="57" spans="1:6" x14ac:dyDescent="0.25">
      <c r="A57" s="6" t="str">
        <f t="shared" si="0"/>
        <v>q3ROW1_hidden</v>
      </c>
      <c r="C57" s="6" t="s">
        <v>41</v>
      </c>
      <c r="D57" s="8" t="s">
        <v>1905</v>
      </c>
      <c r="E57" s="11" t="s">
        <v>1917</v>
      </c>
      <c r="F57" s="6" t="str">
        <f>VLOOKUP(E57,'[3]Full Data-Map'!$C:$D,2,FALSE)</f>
        <v>6_7</v>
      </c>
    </row>
    <row r="58" spans="1:6" x14ac:dyDescent="0.25">
      <c r="A58" s="6" t="str">
        <f t="shared" si="0"/>
        <v>q32_1</v>
      </c>
      <c r="C58" s="6" t="s">
        <v>42</v>
      </c>
      <c r="D58" s="8" t="s">
        <v>1905</v>
      </c>
      <c r="E58" s="6" t="s">
        <v>1918</v>
      </c>
      <c r="F58" s="6" t="str">
        <f>VLOOKUP(E58,'[3]Full Data-Map'!$C:$D,2,FALSE)</f>
        <v>6_8</v>
      </c>
    </row>
    <row r="59" spans="1:6" x14ac:dyDescent="0.25">
      <c r="A59" s="6" t="str">
        <f t="shared" si="0"/>
        <v>q32_2</v>
      </c>
      <c r="C59" s="6" t="s">
        <v>43</v>
      </c>
      <c r="D59" s="8" t="s">
        <v>1905</v>
      </c>
      <c r="E59" s="6" t="s">
        <v>1919</v>
      </c>
      <c r="F59" s="6" t="str">
        <f>VLOOKUP(E59,'[3]Full Data-Map'!$C:$D,2,FALSE)</f>
        <v>6_9</v>
      </c>
    </row>
    <row r="60" spans="1:6" x14ac:dyDescent="0.25">
      <c r="A60" s="6" t="str">
        <f t="shared" si="0"/>
        <v>q32_3</v>
      </c>
      <c r="C60" s="6" t="s">
        <v>44</v>
      </c>
      <c r="D60" s="8" t="s">
        <v>1905</v>
      </c>
      <c r="E60" s="6" t="s">
        <v>1920</v>
      </c>
      <c r="F60" s="6" t="str">
        <f>VLOOKUP(E60,'[3]Full Data-Map'!$C:$D,2,FALSE)</f>
        <v>6_10</v>
      </c>
    </row>
    <row r="61" spans="1:6" x14ac:dyDescent="0.25">
      <c r="A61" s="6" t="str">
        <f t="shared" si="0"/>
        <v>q32_4</v>
      </c>
      <c r="C61" s="6" t="s">
        <v>45</v>
      </c>
      <c r="D61" s="8" t="s">
        <v>1905</v>
      </c>
      <c r="E61" s="6" t="s">
        <v>1921</v>
      </c>
      <c r="F61" s="6" t="str">
        <f>VLOOKUP(E61,'[3]Full Data-Map'!$C:$D,2,FALSE)</f>
        <v>6_11</v>
      </c>
    </row>
    <row r="62" spans="1:6" x14ac:dyDescent="0.25">
      <c r="A62" s="6" t="str">
        <f t="shared" si="0"/>
        <v>q32_5</v>
      </c>
      <c r="C62" s="6" t="s">
        <v>46</v>
      </c>
      <c r="D62" s="8" t="s">
        <v>1905</v>
      </c>
      <c r="E62" s="6" t="s">
        <v>1922</v>
      </c>
      <c r="F62" s="6" t="str">
        <f>VLOOKUP(E62,'[3]Full Data-Map'!$C:$D,2,FALSE)</f>
        <v>6_12</v>
      </c>
    </row>
    <row r="63" spans="1:6" x14ac:dyDescent="0.25">
      <c r="A63" s="6" t="str">
        <f t="shared" si="0"/>
        <v>q32_6</v>
      </c>
      <c r="C63" s="6" t="s">
        <v>47</v>
      </c>
      <c r="D63" s="8" t="s">
        <v>1905</v>
      </c>
      <c r="E63" s="6" t="s">
        <v>1923</v>
      </c>
      <c r="F63" s="6" t="str">
        <f>VLOOKUP(E63,'[3]Full Data-Map'!$C:$D,2,FALSE)</f>
        <v>6_13</v>
      </c>
    </row>
    <row r="64" spans="1:6" x14ac:dyDescent="0.25">
      <c r="A64" s="6" t="str">
        <f t="shared" si="0"/>
        <v>q3ROW2_hidden</v>
      </c>
      <c r="C64" s="6" t="s">
        <v>48</v>
      </c>
      <c r="D64" s="8" t="s">
        <v>1905</v>
      </c>
      <c r="E64" s="11" t="s">
        <v>1924</v>
      </c>
      <c r="F64" s="6" t="str">
        <f>VLOOKUP(E64,'[3]Full Data-Map'!$C:$D,2,FALSE)</f>
        <v>6_14</v>
      </c>
    </row>
    <row r="65" spans="1:6" x14ac:dyDescent="0.25">
      <c r="A65" s="6" t="str">
        <f t="shared" si="0"/>
        <v>q33_1</v>
      </c>
      <c r="C65" s="6" t="s">
        <v>49</v>
      </c>
      <c r="D65" s="8" t="s">
        <v>1905</v>
      </c>
      <c r="E65" s="6" t="s">
        <v>1925</v>
      </c>
      <c r="F65" s="6" t="str">
        <f>VLOOKUP(E65,'[3]Full Data-Map'!$C:$D,2,FALSE)</f>
        <v>6_15</v>
      </c>
    </row>
    <row r="66" spans="1:6" x14ac:dyDescent="0.25">
      <c r="A66" s="6" t="str">
        <f t="shared" si="0"/>
        <v>q33_2</v>
      </c>
      <c r="C66" s="6" t="s">
        <v>50</v>
      </c>
      <c r="D66" s="8" t="s">
        <v>1905</v>
      </c>
      <c r="E66" s="6" t="s">
        <v>1926</v>
      </c>
      <c r="F66" s="6" t="str">
        <f>VLOOKUP(E66,'[3]Full Data-Map'!$C:$D,2,FALSE)</f>
        <v>6_16</v>
      </c>
    </row>
    <row r="67" spans="1:6" x14ac:dyDescent="0.25">
      <c r="A67" s="6" t="str">
        <f t="shared" ref="A67:A130" si="1">_xlfn.CONCAT(C67,B67)</f>
        <v>q33_3</v>
      </c>
      <c r="C67" s="6" t="s">
        <v>51</v>
      </c>
      <c r="D67" s="8" t="s">
        <v>1905</v>
      </c>
      <c r="E67" s="6" t="s">
        <v>1927</v>
      </c>
      <c r="F67" s="6" t="str">
        <f>VLOOKUP(E67,'[3]Full Data-Map'!$C:$D,2,FALSE)</f>
        <v>6_17</v>
      </c>
    </row>
    <row r="68" spans="1:6" x14ac:dyDescent="0.25">
      <c r="A68" s="6" t="str">
        <f t="shared" si="1"/>
        <v>q33_4</v>
      </c>
      <c r="C68" s="6" t="s">
        <v>52</v>
      </c>
      <c r="D68" s="8" t="s">
        <v>1905</v>
      </c>
      <c r="E68" s="6" t="s">
        <v>1928</v>
      </c>
      <c r="F68" s="6" t="str">
        <f>VLOOKUP(E68,'[3]Full Data-Map'!$C:$D,2,FALSE)</f>
        <v>6_18</v>
      </c>
    </row>
    <row r="69" spans="1:6" x14ac:dyDescent="0.25">
      <c r="A69" s="6" t="str">
        <f t="shared" si="1"/>
        <v>q33_5</v>
      </c>
      <c r="C69" s="6" t="s">
        <v>53</v>
      </c>
      <c r="D69" s="8" t="s">
        <v>1905</v>
      </c>
      <c r="E69" s="6" t="s">
        <v>1929</v>
      </c>
      <c r="F69" s="6" t="str">
        <f>VLOOKUP(E69,'[3]Full Data-Map'!$C:$D,2,FALSE)</f>
        <v>6_19</v>
      </c>
    </row>
    <row r="70" spans="1:6" x14ac:dyDescent="0.25">
      <c r="A70" s="6" t="str">
        <f t="shared" si="1"/>
        <v>q33_6</v>
      </c>
      <c r="C70" s="6" t="s">
        <v>54</v>
      </c>
      <c r="D70" s="8" t="s">
        <v>1905</v>
      </c>
      <c r="E70" s="6" t="s">
        <v>1930</v>
      </c>
      <c r="F70" s="6" t="str">
        <f>VLOOKUP(E70,'[3]Full Data-Map'!$C:$D,2,FALSE)</f>
        <v>6_20</v>
      </c>
    </row>
    <row r="71" spans="1:6" x14ac:dyDescent="0.25">
      <c r="A71" s="6" t="str">
        <f t="shared" si="1"/>
        <v>q3ROW3_hidden</v>
      </c>
      <c r="C71" s="6" t="s">
        <v>55</v>
      </c>
      <c r="D71" s="8" t="s">
        <v>1905</v>
      </c>
      <c r="E71" s="11" t="s">
        <v>1931</v>
      </c>
      <c r="F71" s="6" t="str">
        <f>VLOOKUP(E71,'[3]Full Data-Map'!$C:$D,2,FALSE)</f>
        <v>6_21</v>
      </c>
    </row>
    <row r="72" spans="1:6" x14ac:dyDescent="0.25">
      <c r="A72" s="6" t="str">
        <f t="shared" si="1"/>
        <v>q34_1</v>
      </c>
      <c r="C72" s="6" t="s">
        <v>56</v>
      </c>
      <c r="D72" s="8" t="s">
        <v>1905</v>
      </c>
      <c r="E72" s="6" t="s">
        <v>1932</v>
      </c>
      <c r="F72" s="6" t="str">
        <f>VLOOKUP(E72,'[3]Full Data-Map'!$C:$D,2,FALSE)</f>
        <v>6_22</v>
      </c>
    </row>
    <row r="73" spans="1:6" x14ac:dyDescent="0.25">
      <c r="A73" s="6" t="str">
        <f t="shared" si="1"/>
        <v>q34_2</v>
      </c>
      <c r="C73" s="6" t="s">
        <v>57</v>
      </c>
      <c r="D73" s="8" t="s">
        <v>1905</v>
      </c>
      <c r="E73" s="6" t="s">
        <v>1933</v>
      </c>
      <c r="F73" s="6" t="str">
        <f>VLOOKUP(E73,'[3]Full Data-Map'!$C:$D,2,FALSE)</f>
        <v>6_23</v>
      </c>
    </row>
    <row r="74" spans="1:6" x14ac:dyDescent="0.25">
      <c r="A74" s="6" t="str">
        <f t="shared" si="1"/>
        <v>q34_3</v>
      </c>
      <c r="C74" s="6" t="s">
        <v>58</v>
      </c>
      <c r="D74" s="8" t="s">
        <v>1905</v>
      </c>
      <c r="E74" s="6" t="s">
        <v>1934</v>
      </c>
      <c r="F74" s="6" t="str">
        <f>VLOOKUP(E74,'[3]Full Data-Map'!$C:$D,2,FALSE)</f>
        <v>6_24</v>
      </c>
    </row>
    <row r="75" spans="1:6" x14ac:dyDescent="0.25">
      <c r="A75" s="6" t="str">
        <f t="shared" si="1"/>
        <v>q34_4</v>
      </c>
      <c r="C75" s="6" t="s">
        <v>59</v>
      </c>
      <c r="D75" s="8" t="s">
        <v>1905</v>
      </c>
      <c r="E75" s="6" t="s">
        <v>1935</v>
      </c>
      <c r="F75" s="6" t="str">
        <f>VLOOKUP(E75,'[3]Full Data-Map'!$C:$D,2,FALSE)</f>
        <v>6_25</v>
      </c>
    </row>
    <row r="76" spans="1:6" x14ac:dyDescent="0.25">
      <c r="A76" s="6" t="str">
        <f t="shared" si="1"/>
        <v>q34_5</v>
      </c>
      <c r="C76" s="6" t="s">
        <v>60</v>
      </c>
      <c r="D76" s="8" t="s">
        <v>1905</v>
      </c>
      <c r="E76" s="6" t="s">
        <v>1936</v>
      </c>
      <c r="F76" s="6" t="str">
        <f>VLOOKUP(E76,'[3]Full Data-Map'!$C:$D,2,FALSE)</f>
        <v>6_26</v>
      </c>
    </row>
    <row r="77" spans="1:6" x14ac:dyDescent="0.25">
      <c r="A77" s="6" t="str">
        <f t="shared" si="1"/>
        <v>q34_6</v>
      </c>
      <c r="C77" s="6" t="s">
        <v>61</v>
      </c>
      <c r="D77" s="8" t="s">
        <v>1905</v>
      </c>
      <c r="E77" s="6" t="s">
        <v>1937</v>
      </c>
      <c r="F77" s="6" t="str">
        <f>VLOOKUP(E77,'[3]Full Data-Map'!$C:$D,2,FALSE)</f>
        <v>6_27</v>
      </c>
    </row>
    <row r="78" spans="1:6" x14ac:dyDescent="0.25">
      <c r="A78" s="6" t="str">
        <f t="shared" si="1"/>
        <v>q3ROW4_hidden</v>
      </c>
      <c r="C78" s="6" t="s">
        <v>62</v>
      </c>
      <c r="D78" s="8" t="s">
        <v>1905</v>
      </c>
      <c r="E78" s="11" t="s">
        <v>1938</v>
      </c>
      <c r="F78" s="6" t="str">
        <f>VLOOKUP(E78,'[3]Full Data-Map'!$C:$D,2,FALSE)</f>
        <v>6_28</v>
      </c>
    </row>
    <row r="79" spans="1:6" x14ac:dyDescent="0.25">
      <c r="A79" s="6" t="str">
        <f t="shared" si="1"/>
        <v>q35_1</v>
      </c>
      <c r="C79" s="6" t="s">
        <v>63</v>
      </c>
      <c r="D79" s="8" t="s">
        <v>1905</v>
      </c>
      <c r="E79" s="6" t="s">
        <v>1939</v>
      </c>
      <c r="F79" s="6" t="str">
        <f>VLOOKUP(E79,'[3]Full Data-Map'!$C:$D,2,FALSE)</f>
        <v>6_29</v>
      </c>
    </row>
    <row r="80" spans="1:6" x14ac:dyDescent="0.25">
      <c r="A80" s="6" t="str">
        <f t="shared" si="1"/>
        <v>q35_2</v>
      </c>
      <c r="C80" s="6" t="s">
        <v>64</v>
      </c>
      <c r="D80" s="8" t="s">
        <v>1905</v>
      </c>
      <c r="E80" s="6" t="s">
        <v>1940</v>
      </c>
      <c r="F80" s="6" t="str">
        <f>VLOOKUP(E80,'[3]Full Data-Map'!$C:$D,2,FALSE)</f>
        <v>6_30</v>
      </c>
    </row>
    <row r="81" spans="1:6" x14ac:dyDescent="0.25">
      <c r="A81" s="6" t="str">
        <f t="shared" si="1"/>
        <v>q35_3</v>
      </c>
      <c r="C81" s="6" t="s">
        <v>65</v>
      </c>
      <c r="D81" s="8" t="s">
        <v>1905</v>
      </c>
      <c r="E81" s="6" t="s">
        <v>1941</v>
      </c>
      <c r="F81" s="6" t="str">
        <f>VLOOKUP(E81,'[3]Full Data-Map'!$C:$D,2,FALSE)</f>
        <v>6_31</v>
      </c>
    </row>
    <row r="82" spans="1:6" x14ac:dyDescent="0.25">
      <c r="A82" s="6" t="str">
        <f t="shared" si="1"/>
        <v>q35_4</v>
      </c>
      <c r="C82" s="6" t="s">
        <v>66</v>
      </c>
      <c r="D82" s="8" t="s">
        <v>1905</v>
      </c>
      <c r="E82" s="6" t="s">
        <v>1942</v>
      </c>
      <c r="F82" s="6" t="str">
        <f>VLOOKUP(E82,'[3]Full Data-Map'!$C:$D,2,FALSE)</f>
        <v>6_32</v>
      </c>
    </row>
    <row r="83" spans="1:6" x14ac:dyDescent="0.25">
      <c r="A83" s="6" t="str">
        <f t="shared" si="1"/>
        <v>q35_5</v>
      </c>
      <c r="C83" s="6" t="s">
        <v>67</v>
      </c>
      <c r="D83" s="8" t="s">
        <v>1905</v>
      </c>
      <c r="E83" s="6" t="s">
        <v>1943</v>
      </c>
      <c r="F83" s="6" t="str">
        <f>VLOOKUP(E83,'[3]Full Data-Map'!$C:$D,2,FALSE)</f>
        <v>6_33</v>
      </c>
    </row>
    <row r="84" spans="1:6" x14ac:dyDescent="0.25">
      <c r="A84" s="6" t="str">
        <f t="shared" si="1"/>
        <v>q35_6</v>
      </c>
      <c r="C84" s="6" t="s">
        <v>68</v>
      </c>
      <c r="D84" s="8" t="s">
        <v>1905</v>
      </c>
      <c r="E84" s="6" t="s">
        <v>1944</v>
      </c>
      <c r="F84" s="6" t="str">
        <f>VLOOKUP(E84,'[3]Full Data-Map'!$C:$D,2,FALSE)</f>
        <v>6_34</v>
      </c>
    </row>
    <row r="85" spans="1:6" x14ac:dyDescent="0.25">
      <c r="A85" s="6" t="str">
        <f t="shared" si="1"/>
        <v>q3ROW5_hidden</v>
      </c>
      <c r="C85" s="6" t="s">
        <v>69</v>
      </c>
      <c r="D85" s="8" t="s">
        <v>1905</v>
      </c>
      <c r="E85" s="11" t="s">
        <v>1945</v>
      </c>
      <c r="F85" s="6" t="str">
        <f>VLOOKUP(E85,'[3]Full Data-Map'!$C:$D,2,FALSE)</f>
        <v>6_35</v>
      </c>
    </row>
    <row r="86" spans="1:6" x14ac:dyDescent="0.25">
      <c r="A86" s="6" t="str">
        <f t="shared" si="1"/>
        <v>q36_1</v>
      </c>
      <c r="C86" s="6" t="s">
        <v>70</v>
      </c>
      <c r="D86" s="8" t="s">
        <v>1905</v>
      </c>
      <c r="E86" s="6" t="s">
        <v>1946</v>
      </c>
      <c r="F86" s="6" t="str">
        <f>VLOOKUP(E86,'[3]Full Data-Map'!$C:$D,2,FALSE)</f>
        <v>6_36</v>
      </c>
    </row>
    <row r="87" spans="1:6" x14ac:dyDescent="0.25">
      <c r="A87" s="6" t="str">
        <f t="shared" si="1"/>
        <v>q36_2</v>
      </c>
      <c r="C87" s="6" t="s">
        <v>71</v>
      </c>
      <c r="D87" s="8" t="s">
        <v>1905</v>
      </c>
      <c r="E87" s="6" t="s">
        <v>1947</v>
      </c>
      <c r="F87" s="6" t="str">
        <f>VLOOKUP(E87,'[3]Full Data-Map'!$C:$D,2,FALSE)</f>
        <v>6_37</v>
      </c>
    </row>
    <row r="88" spans="1:6" x14ac:dyDescent="0.25">
      <c r="A88" s="6" t="str">
        <f t="shared" si="1"/>
        <v>q36_3</v>
      </c>
      <c r="C88" s="6" t="s">
        <v>72</v>
      </c>
      <c r="D88" s="8" t="s">
        <v>1905</v>
      </c>
      <c r="E88" s="6" t="s">
        <v>1948</v>
      </c>
      <c r="F88" s="6" t="str">
        <f>VLOOKUP(E88,'[3]Full Data-Map'!$C:$D,2,FALSE)</f>
        <v>6_38</v>
      </c>
    </row>
    <row r="89" spans="1:6" x14ac:dyDescent="0.25">
      <c r="A89" s="6" t="str">
        <f t="shared" si="1"/>
        <v>q36_4</v>
      </c>
      <c r="C89" s="6" t="s">
        <v>73</v>
      </c>
      <c r="D89" s="8" t="s">
        <v>1905</v>
      </c>
      <c r="E89" s="6" t="s">
        <v>1949</v>
      </c>
      <c r="F89" s="6" t="str">
        <f>VLOOKUP(E89,'[3]Full Data-Map'!$C:$D,2,FALSE)</f>
        <v>6_39</v>
      </c>
    </row>
    <row r="90" spans="1:6" x14ac:dyDescent="0.25">
      <c r="A90" s="6" t="str">
        <f t="shared" si="1"/>
        <v>q36_5</v>
      </c>
      <c r="C90" s="6" t="s">
        <v>74</v>
      </c>
      <c r="D90" s="8" t="s">
        <v>1905</v>
      </c>
      <c r="E90" s="6" t="s">
        <v>1950</v>
      </c>
      <c r="F90" s="6" t="str">
        <f>VLOOKUP(E90,'[3]Full Data-Map'!$C:$D,2,FALSE)</f>
        <v>6_40</v>
      </c>
    </row>
    <row r="91" spans="1:6" x14ac:dyDescent="0.25">
      <c r="A91" s="6" t="str">
        <f t="shared" si="1"/>
        <v>q36_6</v>
      </c>
      <c r="C91" s="6" t="s">
        <v>75</v>
      </c>
      <c r="D91" s="8" t="s">
        <v>1905</v>
      </c>
      <c r="E91" s="6" t="s">
        <v>1951</v>
      </c>
      <c r="F91" s="6" t="str">
        <f>VLOOKUP(E91,'[3]Full Data-Map'!$C:$D,2,FALSE)</f>
        <v>6_41</v>
      </c>
    </row>
    <row r="92" spans="1:6" x14ac:dyDescent="0.25">
      <c r="A92" s="6" t="str">
        <f t="shared" si="1"/>
        <v>q3ROW6_hidden</v>
      </c>
      <c r="C92" s="6" t="s">
        <v>76</v>
      </c>
      <c r="D92" s="8" t="s">
        <v>1905</v>
      </c>
      <c r="E92" s="11" t="s">
        <v>1952</v>
      </c>
      <c r="F92" s="6" t="str">
        <f>VLOOKUP(E92,'[3]Full Data-Map'!$C:$D,2,FALSE)</f>
        <v>6_42</v>
      </c>
    </row>
    <row r="93" spans="1:6" x14ac:dyDescent="0.25">
      <c r="A93" s="6" t="str">
        <f t="shared" si="1"/>
        <v>q3COL1_hidden</v>
      </c>
      <c r="C93" s="6" t="s">
        <v>77</v>
      </c>
      <c r="D93" s="8" t="s">
        <v>1905</v>
      </c>
      <c r="E93" s="11" t="s">
        <v>1953</v>
      </c>
      <c r="F93" s="6" t="str">
        <f>VLOOKUP(E93,'[3]Full Data-Map'!$C:$D,2,FALSE)</f>
        <v>6_43</v>
      </c>
    </row>
    <row r="94" spans="1:6" x14ac:dyDescent="0.25">
      <c r="A94" s="6" t="str">
        <f t="shared" si="1"/>
        <v>q3COL2_hidden</v>
      </c>
      <c r="C94" s="6" t="s">
        <v>78</v>
      </c>
      <c r="D94" s="8" t="s">
        <v>1905</v>
      </c>
      <c r="E94" s="11" t="s">
        <v>1954</v>
      </c>
      <c r="F94" s="6" t="str">
        <f>VLOOKUP(E94,'[3]Full Data-Map'!$C:$D,2,FALSE)</f>
        <v>6_44</v>
      </c>
    </row>
    <row r="95" spans="1:6" x14ac:dyDescent="0.25">
      <c r="A95" s="6" t="str">
        <f t="shared" si="1"/>
        <v>q3COL3_hidden</v>
      </c>
      <c r="C95" s="6" t="s">
        <v>79</v>
      </c>
      <c r="D95" s="8" t="s">
        <v>1905</v>
      </c>
      <c r="E95" s="11" t="s">
        <v>1955</v>
      </c>
      <c r="F95" s="6" t="str">
        <f>VLOOKUP(E95,'[3]Full Data-Map'!$C:$D,2,FALSE)</f>
        <v>6_45</v>
      </c>
    </row>
    <row r="96" spans="1:6" x14ac:dyDescent="0.25">
      <c r="A96" s="6" t="str">
        <f t="shared" si="1"/>
        <v>q3COL4_hidden</v>
      </c>
      <c r="C96" s="6" t="s">
        <v>80</v>
      </c>
      <c r="D96" s="8" t="s">
        <v>1905</v>
      </c>
      <c r="E96" s="11" t="s">
        <v>1956</v>
      </c>
      <c r="F96" s="6" t="str">
        <f>VLOOKUP(E96,'[3]Full Data-Map'!$C:$D,2,FALSE)</f>
        <v>6_46</v>
      </c>
    </row>
    <row r="97" spans="1:6" x14ac:dyDescent="0.25">
      <c r="A97" s="6" t="str">
        <f t="shared" si="1"/>
        <v>q3COL5_hidden</v>
      </c>
      <c r="C97" s="6" t="s">
        <v>81</v>
      </c>
      <c r="D97" s="8" t="s">
        <v>1905</v>
      </c>
      <c r="E97" s="11" t="s">
        <v>1957</v>
      </c>
      <c r="F97" s="6" t="str">
        <f>VLOOKUP(E97,'[3]Full Data-Map'!$C:$D,2,FALSE)</f>
        <v>6_47</v>
      </c>
    </row>
    <row r="98" spans="1:6" x14ac:dyDescent="0.25">
      <c r="A98" s="6" t="str">
        <f t="shared" si="1"/>
        <v>q3COL6_hidden</v>
      </c>
      <c r="C98" s="6" t="s">
        <v>82</v>
      </c>
      <c r="D98" s="8" t="s">
        <v>1905</v>
      </c>
      <c r="E98" s="11" t="s">
        <v>1958</v>
      </c>
      <c r="F98" s="6" t="str">
        <f>VLOOKUP(E98,'[3]Full Data-Map'!$C:$D,2,FALSE)</f>
        <v>6_48</v>
      </c>
    </row>
    <row r="99" spans="1:6" x14ac:dyDescent="0.25">
      <c r="A99" s="6" t="str">
        <f t="shared" si="1"/>
        <v>q3GRANDTotal_hidden</v>
      </c>
      <c r="C99" s="6" t="s">
        <v>83</v>
      </c>
      <c r="D99" s="8" t="s">
        <v>1905</v>
      </c>
      <c r="E99" s="11" t="s">
        <v>1959</v>
      </c>
      <c r="F99" s="6" t="str">
        <f>VLOOKUP(E99,'[3]Full Data-Map'!$C:$D,2,FALSE)</f>
        <v>6_49</v>
      </c>
    </row>
    <row r="100" spans="1:6" s="9" customFormat="1" x14ac:dyDescent="0.25">
      <c r="A100" s="6" t="str">
        <f t="shared" si="1"/>
        <v/>
      </c>
      <c r="D100" s="10"/>
      <c r="E100" s="9" t="s">
        <v>1960</v>
      </c>
      <c r="F100" s="6">
        <f>VLOOKUP(E100,'[3]Full Data-Map'!$C:$D,2,FALSE)</f>
        <v>7</v>
      </c>
    </row>
    <row r="101" spans="1:6" x14ac:dyDescent="0.25">
      <c r="A101" s="6" t="str">
        <f t="shared" si="1"/>
        <v>q41_1</v>
      </c>
      <c r="C101" s="6" t="s">
        <v>84</v>
      </c>
      <c r="D101" s="8" t="s">
        <v>1961</v>
      </c>
      <c r="E101" s="6" t="s">
        <v>1911</v>
      </c>
      <c r="F101" s="19" t="s">
        <v>2740</v>
      </c>
    </row>
    <row r="102" spans="1:6" x14ac:dyDescent="0.25">
      <c r="A102" s="6" t="str">
        <f t="shared" si="1"/>
        <v>q41_2</v>
      </c>
      <c r="C102" s="6" t="s">
        <v>85</v>
      </c>
      <c r="D102" s="8" t="s">
        <v>1961</v>
      </c>
      <c r="E102" s="6" t="s">
        <v>1912</v>
      </c>
      <c r="F102" s="19" t="s">
        <v>2741</v>
      </c>
    </row>
    <row r="103" spans="1:6" x14ac:dyDescent="0.25">
      <c r="A103" s="6" t="str">
        <f t="shared" si="1"/>
        <v>q41_3</v>
      </c>
      <c r="C103" s="6" t="s">
        <v>86</v>
      </c>
      <c r="D103" s="8" t="s">
        <v>1961</v>
      </c>
      <c r="E103" s="6" t="s">
        <v>1913</v>
      </c>
      <c r="F103" s="19" t="s">
        <v>2742</v>
      </c>
    </row>
    <row r="104" spans="1:6" x14ac:dyDescent="0.25">
      <c r="A104" s="6" t="str">
        <f t="shared" si="1"/>
        <v>q41_4</v>
      </c>
      <c r="C104" s="6" t="s">
        <v>87</v>
      </c>
      <c r="D104" s="8" t="s">
        <v>1961</v>
      </c>
      <c r="E104" s="6" t="s">
        <v>1914</v>
      </c>
      <c r="F104" s="19" t="s">
        <v>2743</v>
      </c>
    </row>
    <row r="105" spans="1:6" x14ac:dyDescent="0.25">
      <c r="A105" s="6" t="str">
        <f t="shared" si="1"/>
        <v>q41_5</v>
      </c>
      <c r="C105" s="6" t="s">
        <v>88</v>
      </c>
      <c r="D105" s="8" t="s">
        <v>1961</v>
      </c>
      <c r="E105" s="6" t="s">
        <v>1915</v>
      </c>
      <c r="F105" s="19" t="s">
        <v>2744</v>
      </c>
    </row>
    <row r="106" spans="1:6" x14ac:dyDescent="0.25">
      <c r="A106" s="6" t="str">
        <f t="shared" si="1"/>
        <v>q41_6</v>
      </c>
      <c r="C106" s="6" t="s">
        <v>89</v>
      </c>
      <c r="D106" s="8" t="s">
        <v>1961</v>
      </c>
      <c r="E106" s="6" t="s">
        <v>1916</v>
      </c>
      <c r="F106" s="19" t="s">
        <v>2745</v>
      </c>
    </row>
    <row r="107" spans="1:6" x14ac:dyDescent="0.25">
      <c r="A107" s="6" t="str">
        <f t="shared" si="1"/>
        <v>q4ROW1_hidden</v>
      </c>
      <c r="C107" s="6" t="s">
        <v>90</v>
      </c>
      <c r="D107" s="8" t="s">
        <v>1961</v>
      </c>
      <c r="E107" s="11" t="s">
        <v>1917</v>
      </c>
      <c r="F107" s="19" t="s">
        <v>2746</v>
      </c>
    </row>
    <row r="108" spans="1:6" x14ac:dyDescent="0.25">
      <c r="A108" s="6" t="str">
        <f t="shared" si="1"/>
        <v>q42_1</v>
      </c>
      <c r="C108" s="6" t="s">
        <v>91</v>
      </c>
      <c r="D108" s="8" t="s">
        <v>1961</v>
      </c>
      <c r="E108" s="6" t="s">
        <v>1918</v>
      </c>
      <c r="F108" s="19" t="s">
        <v>2747</v>
      </c>
    </row>
    <row r="109" spans="1:6" x14ac:dyDescent="0.25">
      <c r="A109" s="6" t="str">
        <f t="shared" si="1"/>
        <v>q42_2</v>
      </c>
      <c r="C109" s="6" t="s">
        <v>92</v>
      </c>
      <c r="D109" s="8" t="s">
        <v>1961</v>
      </c>
      <c r="E109" s="6" t="s">
        <v>1919</v>
      </c>
      <c r="F109" s="19" t="s">
        <v>2748</v>
      </c>
    </row>
    <row r="110" spans="1:6" x14ac:dyDescent="0.25">
      <c r="A110" s="6" t="str">
        <f t="shared" si="1"/>
        <v>q42_3</v>
      </c>
      <c r="C110" s="6" t="s">
        <v>93</v>
      </c>
      <c r="D110" s="8" t="s">
        <v>1961</v>
      </c>
      <c r="E110" s="6" t="s">
        <v>1920</v>
      </c>
      <c r="F110" s="19" t="s">
        <v>2749</v>
      </c>
    </row>
    <row r="111" spans="1:6" x14ac:dyDescent="0.25">
      <c r="A111" s="6" t="str">
        <f t="shared" si="1"/>
        <v>q42_4</v>
      </c>
      <c r="C111" s="6" t="s">
        <v>94</v>
      </c>
      <c r="D111" s="8" t="s">
        <v>1961</v>
      </c>
      <c r="E111" s="6" t="s">
        <v>1921</v>
      </c>
      <c r="F111" s="19" t="s">
        <v>2750</v>
      </c>
    </row>
    <row r="112" spans="1:6" x14ac:dyDescent="0.25">
      <c r="A112" s="6" t="str">
        <f t="shared" si="1"/>
        <v>q42_5</v>
      </c>
      <c r="C112" s="6" t="s">
        <v>95</v>
      </c>
      <c r="D112" s="8" t="s">
        <v>1961</v>
      </c>
      <c r="E112" s="6" t="s">
        <v>1922</v>
      </c>
      <c r="F112" s="19" t="s">
        <v>2751</v>
      </c>
    </row>
    <row r="113" spans="1:6" x14ac:dyDescent="0.25">
      <c r="A113" s="6" t="str">
        <f t="shared" si="1"/>
        <v>q42_6</v>
      </c>
      <c r="C113" s="6" t="s">
        <v>96</v>
      </c>
      <c r="D113" s="8" t="s">
        <v>1961</v>
      </c>
      <c r="E113" s="6" t="s">
        <v>1923</v>
      </c>
      <c r="F113" s="19" t="s">
        <v>2752</v>
      </c>
    </row>
    <row r="114" spans="1:6" x14ac:dyDescent="0.25">
      <c r="A114" s="6" t="str">
        <f t="shared" si="1"/>
        <v>q4ROW2_hidden</v>
      </c>
      <c r="C114" s="6" t="s">
        <v>97</v>
      </c>
      <c r="D114" s="8" t="s">
        <v>1961</v>
      </c>
      <c r="E114" s="11" t="s">
        <v>1924</v>
      </c>
      <c r="F114" s="19" t="s">
        <v>2753</v>
      </c>
    </row>
    <row r="115" spans="1:6" x14ac:dyDescent="0.25">
      <c r="A115" s="6" t="str">
        <f t="shared" si="1"/>
        <v>q43_1</v>
      </c>
      <c r="C115" s="6" t="s">
        <v>98</v>
      </c>
      <c r="D115" s="8" t="s">
        <v>1961</v>
      </c>
      <c r="E115" s="6" t="s">
        <v>1925</v>
      </c>
      <c r="F115" s="19" t="s">
        <v>2754</v>
      </c>
    </row>
    <row r="116" spans="1:6" x14ac:dyDescent="0.25">
      <c r="A116" s="6" t="str">
        <f t="shared" si="1"/>
        <v>q43_2</v>
      </c>
      <c r="C116" s="6" t="s">
        <v>99</v>
      </c>
      <c r="D116" s="8" t="s">
        <v>1961</v>
      </c>
      <c r="E116" s="6" t="s">
        <v>1926</v>
      </c>
      <c r="F116" s="19" t="s">
        <v>2755</v>
      </c>
    </row>
    <row r="117" spans="1:6" x14ac:dyDescent="0.25">
      <c r="A117" s="6" t="str">
        <f t="shared" si="1"/>
        <v>q43_3</v>
      </c>
      <c r="C117" s="6" t="s">
        <v>100</v>
      </c>
      <c r="D117" s="8" t="s">
        <v>1961</v>
      </c>
      <c r="E117" s="6" t="s">
        <v>1927</v>
      </c>
      <c r="F117" s="19" t="s">
        <v>2756</v>
      </c>
    </row>
    <row r="118" spans="1:6" x14ac:dyDescent="0.25">
      <c r="A118" s="6" t="str">
        <f t="shared" si="1"/>
        <v>q43_4</v>
      </c>
      <c r="C118" s="6" t="s">
        <v>101</v>
      </c>
      <c r="D118" s="8" t="s">
        <v>1961</v>
      </c>
      <c r="E118" s="6" t="s">
        <v>1928</v>
      </c>
      <c r="F118" s="19" t="s">
        <v>2757</v>
      </c>
    </row>
    <row r="119" spans="1:6" x14ac:dyDescent="0.25">
      <c r="A119" s="6" t="str">
        <f t="shared" si="1"/>
        <v>q43_5</v>
      </c>
      <c r="C119" s="6" t="s">
        <v>102</v>
      </c>
      <c r="D119" s="8" t="s">
        <v>1961</v>
      </c>
      <c r="E119" s="6" t="s">
        <v>1929</v>
      </c>
      <c r="F119" s="19" t="s">
        <v>2758</v>
      </c>
    </row>
    <row r="120" spans="1:6" x14ac:dyDescent="0.25">
      <c r="A120" s="6" t="str">
        <f t="shared" si="1"/>
        <v>q43_6</v>
      </c>
      <c r="C120" s="6" t="s">
        <v>103</v>
      </c>
      <c r="D120" s="8" t="s">
        <v>1961</v>
      </c>
      <c r="E120" s="6" t="s">
        <v>1930</v>
      </c>
      <c r="F120" s="19" t="s">
        <v>2759</v>
      </c>
    </row>
    <row r="121" spans="1:6" x14ac:dyDescent="0.25">
      <c r="A121" s="6" t="str">
        <f t="shared" si="1"/>
        <v>q4ROW3_hidden</v>
      </c>
      <c r="C121" s="6" t="s">
        <v>104</v>
      </c>
      <c r="D121" s="8" t="s">
        <v>1961</v>
      </c>
      <c r="E121" s="11" t="s">
        <v>1931</v>
      </c>
      <c r="F121" s="19" t="s">
        <v>2760</v>
      </c>
    </row>
    <row r="122" spans="1:6" x14ac:dyDescent="0.25">
      <c r="A122" s="6" t="str">
        <f t="shared" si="1"/>
        <v>q44_1</v>
      </c>
      <c r="C122" s="6" t="s">
        <v>105</v>
      </c>
      <c r="D122" s="8" t="s">
        <v>1961</v>
      </c>
      <c r="E122" s="6" t="s">
        <v>1932</v>
      </c>
      <c r="F122" s="19" t="s">
        <v>2761</v>
      </c>
    </row>
    <row r="123" spans="1:6" x14ac:dyDescent="0.25">
      <c r="A123" s="6" t="str">
        <f t="shared" si="1"/>
        <v>q44_2</v>
      </c>
      <c r="C123" s="6" t="s">
        <v>106</v>
      </c>
      <c r="D123" s="8" t="s">
        <v>1961</v>
      </c>
      <c r="E123" s="6" t="s">
        <v>1933</v>
      </c>
      <c r="F123" s="19" t="s">
        <v>2762</v>
      </c>
    </row>
    <row r="124" spans="1:6" x14ac:dyDescent="0.25">
      <c r="A124" s="6" t="str">
        <f t="shared" si="1"/>
        <v>q44_3</v>
      </c>
      <c r="C124" s="6" t="s">
        <v>107</v>
      </c>
      <c r="D124" s="8" t="s">
        <v>1961</v>
      </c>
      <c r="E124" s="6" t="s">
        <v>1934</v>
      </c>
      <c r="F124" s="19" t="s">
        <v>2763</v>
      </c>
    </row>
    <row r="125" spans="1:6" x14ac:dyDescent="0.25">
      <c r="A125" s="6" t="str">
        <f t="shared" si="1"/>
        <v>q44_4</v>
      </c>
      <c r="C125" s="6" t="s">
        <v>108</v>
      </c>
      <c r="D125" s="8" t="s">
        <v>1961</v>
      </c>
      <c r="E125" s="6" t="s">
        <v>1935</v>
      </c>
      <c r="F125" s="19" t="s">
        <v>2764</v>
      </c>
    </row>
    <row r="126" spans="1:6" x14ac:dyDescent="0.25">
      <c r="A126" s="6" t="str">
        <f t="shared" si="1"/>
        <v>q44_5</v>
      </c>
      <c r="C126" s="6" t="s">
        <v>109</v>
      </c>
      <c r="D126" s="8" t="s">
        <v>1961</v>
      </c>
      <c r="E126" s="6" t="s">
        <v>1936</v>
      </c>
      <c r="F126" s="19" t="s">
        <v>2765</v>
      </c>
    </row>
    <row r="127" spans="1:6" x14ac:dyDescent="0.25">
      <c r="A127" s="6" t="str">
        <f t="shared" si="1"/>
        <v>q44_6</v>
      </c>
      <c r="C127" s="6" t="s">
        <v>110</v>
      </c>
      <c r="D127" s="8" t="s">
        <v>1961</v>
      </c>
      <c r="E127" s="6" t="s">
        <v>1937</v>
      </c>
      <c r="F127" s="19" t="s">
        <v>2766</v>
      </c>
    </row>
    <row r="128" spans="1:6" x14ac:dyDescent="0.25">
      <c r="A128" s="6" t="str">
        <f t="shared" si="1"/>
        <v>q4ROW4_hidden</v>
      </c>
      <c r="C128" s="6" t="s">
        <v>111</v>
      </c>
      <c r="D128" s="8" t="s">
        <v>1961</v>
      </c>
      <c r="E128" s="11" t="s">
        <v>1938</v>
      </c>
      <c r="F128" s="19" t="s">
        <v>2767</v>
      </c>
    </row>
    <row r="129" spans="1:6" x14ac:dyDescent="0.25">
      <c r="A129" s="6" t="str">
        <f t="shared" si="1"/>
        <v>q45_1</v>
      </c>
      <c r="C129" s="6" t="s">
        <v>112</v>
      </c>
      <c r="D129" s="8" t="s">
        <v>1961</v>
      </c>
      <c r="E129" s="6" t="s">
        <v>1939</v>
      </c>
      <c r="F129" s="19" t="s">
        <v>2768</v>
      </c>
    </row>
    <row r="130" spans="1:6" x14ac:dyDescent="0.25">
      <c r="A130" s="6" t="str">
        <f t="shared" si="1"/>
        <v>q45_2</v>
      </c>
      <c r="C130" s="6" t="s">
        <v>113</v>
      </c>
      <c r="D130" s="8" t="s">
        <v>1961</v>
      </c>
      <c r="E130" s="6" t="s">
        <v>1940</v>
      </c>
      <c r="F130" s="19" t="s">
        <v>2769</v>
      </c>
    </row>
    <row r="131" spans="1:6" x14ac:dyDescent="0.25">
      <c r="A131" s="6" t="str">
        <f t="shared" ref="A131:A194" si="2">_xlfn.CONCAT(C131,B131)</f>
        <v>q45_3</v>
      </c>
      <c r="C131" s="6" t="s">
        <v>114</v>
      </c>
      <c r="D131" s="8" t="s">
        <v>1961</v>
      </c>
      <c r="E131" s="6" t="s">
        <v>1941</v>
      </c>
      <c r="F131" s="19" t="s">
        <v>2770</v>
      </c>
    </row>
    <row r="132" spans="1:6" x14ac:dyDescent="0.25">
      <c r="A132" s="6" t="str">
        <f t="shared" si="2"/>
        <v>q45_4</v>
      </c>
      <c r="C132" s="6" t="s">
        <v>115</v>
      </c>
      <c r="D132" s="8" t="s">
        <v>1961</v>
      </c>
      <c r="E132" s="6" t="s">
        <v>1942</v>
      </c>
      <c r="F132" s="19" t="s">
        <v>2771</v>
      </c>
    </row>
    <row r="133" spans="1:6" x14ac:dyDescent="0.25">
      <c r="A133" s="6" t="str">
        <f t="shared" si="2"/>
        <v>q45_5</v>
      </c>
      <c r="C133" s="6" t="s">
        <v>116</v>
      </c>
      <c r="D133" s="8" t="s">
        <v>1961</v>
      </c>
      <c r="E133" s="6" t="s">
        <v>1943</v>
      </c>
      <c r="F133" s="19" t="s">
        <v>2772</v>
      </c>
    </row>
    <row r="134" spans="1:6" x14ac:dyDescent="0.25">
      <c r="A134" s="6" t="str">
        <f t="shared" si="2"/>
        <v>q45_6</v>
      </c>
      <c r="C134" s="6" t="s">
        <v>117</v>
      </c>
      <c r="D134" s="8" t="s">
        <v>1961</v>
      </c>
      <c r="E134" s="6" t="s">
        <v>1944</v>
      </c>
      <c r="F134" s="19" t="s">
        <v>2773</v>
      </c>
    </row>
    <row r="135" spans="1:6" x14ac:dyDescent="0.25">
      <c r="A135" s="6" t="str">
        <f t="shared" si="2"/>
        <v>q4ROW5_hidden</v>
      </c>
      <c r="C135" s="6" t="s">
        <v>118</v>
      </c>
      <c r="D135" s="8" t="s">
        <v>1961</v>
      </c>
      <c r="E135" s="11" t="s">
        <v>1945</v>
      </c>
      <c r="F135" s="19" t="s">
        <v>2774</v>
      </c>
    </row>
    <row r="136" spans="1:6" x14ac:dyDescent="0.25">
      <c r="A136" s="6" t="str">
        <f t="shared" si="2"/>
        <v>q46_1</v>
      </c>
      <c r="C136" s="6" t="s">
        <v>119</v>
      </c>
      <c r="D136" s="8" t="s">
        <v>1961</v>
      </c>
      <c r="E136" s="6" t="s">
        <v>1946</v>
      </c>
      <c r="F136" s="19" t="s">
        <v>2775</v>
      </c>
    </row>
    <row r="137" spans="1:6" x14ac:dyDescent="0.25">
      <c r="A137" s="6" t="str">
        <f t="shared" si="2"/>
        <v>q46_2</v>
      </c>
      <c r="C137" s="6" t="s">
        <v>120</v>
      </c>
      <c r="D137" s="8" t="s">
        <v>1961</v>
      </c>
      <c r="E137" s="6" t="s">
        <v>1947</v>
      </c>
      <c r="F137" s="19" t="s">
        <v>2776</v>
      </c>
    </row>
    <row r="138" spans="1:6" x14ac:dyDescent="0.25">
      <c r="A138" s="6" t="str">
        <f t="shared" si="2"/>
        <v>q46_3</v>
      </c>
      <c r="C138" s="6" t="s">
        <v>121</v>
      </c>
      <c r="D138" s="8" t="s">
        <v>1961</v>
      </c>
      <c r="E138" s="6" t="s">
        <v>1948</v>
      </c>
      <c r="F138" s="19" t="s">
        <v>2777</v>
      </c>
    </row>
    <row r="139" spans="1:6" x14ac:dyDescent="0.25">
      <c r="A139" s="6" t="str">
        <f t="shared" si="2"/>
        <v>q46_4</v>
      </c>
      <c r="C139" s="6" t="s">
        <v>122</v>
      </c>
      <c r="D139" s="8" t="s">
        <v>1961</v>
      </c>
      <c r="E139" s="6" t="s">
        <v>1949</v>
      </c>
      <c r="F139" s="19" t="s">
        <v>2778</v>
      </c>
    </row>
    <row r="140" spans="1:6" x14ac:dyDescent="0.25">
      <c r="A140" s="6" t="str">
        <f t="shared" si="2"/>
        <v>q46_5</v>
      </c>
      <c r="C140" s="6" t="s">
        <v>123</v>
      </c>
      <c r="D140" s="8" t="s">
        <v>1961</v>
      </c>
      <c r="E140" s="6" t="s">
        <v>1950</v>
      </c>
      <c r="F140" s="19" t="s">
        <v>2779</v>
      </c>
    </row>
    <row r="141" spans="1:6" x14ac:dyDescent="0.25">
      <c r="A141" s="6" t="str">
        <f t="shared" si="2"/>
        <v>q46_6</v>
      </c>
      <c r="C141" s="6" t="s">
        <v>124</v>
      </c>
      <c r="D141" s="8" t="s">
        <v>1961</v>
      </c>
      <c r="E141" s="6" t="s">
        <v>1951</v>
      </c>
      <c r="F141" s="19" t="s">
        <v>2780</v>
      </c>
    </row>
    <row r="142" spans="1:6" x14ac:dyDescent="0.25">
      <c r="A142" s="6" t="str">
        <f t="shared" si="2"/>
        <v>q4ROW6_hidden</v>
      </c>
      <c r="C142" s="6" t="s">
        <v>125</v>
      </c>
      <c r="D142" s="8" t="s">
        <v>1961</v>
      </c>
      <c r="E142" s="11" t="s">
        <v>1952</v>
      </c>
      <c r="F142" s="19" t="s">
        <v>2781</v>
      </c>
    </row>
    <row r="143" spans="1:6" x14ac:dyDescent="0.25">
      <c r="A143" s="6" t="str">
        <f t="shared" si="2"/>
        <v>q4COL1_hidden</v>
      </c>
      <c r="C143" s="6" t="s">
        <v>126</v>
      </c>
      <c r="D143" s="8" t="s">
        <v>1961</v>
      </c>
      <c r="E143" s="11" t="s">
        <v>1953</v>
      </c>
      <c r="F143" s="19" t="s">
        <v>2782</v>
      </c>
    </row>
    <row r="144" spans="1:6" x14ac:dyDescent="0.25">
      <c r="A144" s="6" t="str">
        <f t="shared" si="2"/>
        <v>q4COL2_hidden</v>
      </c>
      <c r="C144" s="6" t="s">
        <v>127</v>
      </c>
      <c r="D144" s="8" t="s">
        <v>1961</v>
      </c>
      <c r="E144" s="11" t="s">
        <v>1954</v>
      </c>
      <c r="F144" s="19" t="s">
        <v>2783</v>
      </c>
    </row>
    <row r="145" spans="1:6" x14ac:dyDescent="0.25">
      <c r="A145" s="6" t="str">
        <f t="shared" si="2"/>
        <v>q4COL3_hidden</v>
      </c>
      <c r="C145" s="6" t="s">
        <v>128</v>
      </c>
      <c r="D145" s="8" t="s">
        <v>1961</v>
      </c>
      <c r="E145" s="11" t="s">
        <v>1955</v>
      </c>
      <c r="F145" s="19" t="s">
        <v>2784</v>
      </c>
    </row>
    <row r="146" spans="1:6" x14ac:dyDescent="0.25">
      <c r="A146" s="6" t="str">
        <f t="shared" si="2"/>
        <v>q4COL4_hidden</v>
      </c>
      <c r="C146" s="6" t="s">
        <v>129</v>
      </c>
      <c r="D146" s="8" t="s">
        <v>1961</v>
      </c>
      <c r="E146" s="11" t="s">
        <v>1956</v>
      </c>
      <c r="F146" s="19" t="s">
        <v>2785</v>
      </c>
    </row>
    <row r="147" spans="1:6" x14ac:dyDescent="0.25">
      <c r="A147" s="6" t="str">
        <f t="shared" si="2"/>
        <v>q4COL5_hidden</v>
      </c>
      <c r="C147" s="6" t="s">
        <v>130</v>
      </c>
      <c r="D147" s="8" t="s">
        <v>1961</v>
      </c>
      <c r="E147" s="11" t="s">
        <v>1957</v>
      </c>
      <c r="F147" s="19" t="s">
        <v>2786</v>
      </c>
    </row>
    <row r="148" spans="1:6" x14ac:dyDescent="0.25">
      <c r="A148" s="6" t="str">
        <f t="shared" si="2"/>
        <v>q4COL6_hidden</v>
      </c>
      <c r="C148" s="6" t="s">
        <v>131</v>
      </c>
      <c r="D148" s="8" t="s">
        <v>1961</v>
      </c>
      <c r="E148" s="11" t="s">
        <v>1958</v>
      </c>
      <c r="F148" s="19" t="s">
        <v>2787</v>
      </c>
    </row>
    <row r="149" spans="1:6" x14ac:dyDescent="0.25">
      <c r="A149" s="6" t="str">
        <f t="shared" si="2"/>
        <v>q4GRANDTotal_hidden</v>
      </c>
      <c r="C149" s="6" t="s">
        <v>132</v>
      </c>
      <c r="D149" s="8" t="s">
        <v>1961</v>
      </c>
      <c r="E149" s="11" t="s">
        <v>1962</v>
      </c>
      <c r="F149" s="19" t="s">
        <v>2788</v>
      </c>
    </row>
    <row r="150" spans="1:6" x14ac:dyDescent="0.25">
      <c r="A150" s="6" t="str">
        <f t="shared" si="2"/>
        <v>Alert41_1</v>
      </c>
      <c r="C150" s="6" t="s">
        <v>133</v>
      </c>
      <c r="D150" s="7" t="s">
        <v>1883</v>
      </c>
      <c r="E150" s="6" t="s">
        <v>1963</v>
      </c>
      <c r="F150" s="19" t="s">
        <v>2789</v>
      </c>
    </row>
    <row r="151" spans="1:6" x14ac:dyDescent="0.25">
      <c r="A151" s="6" t="str">
        <f t="shared" si="2"/>
        <v>Alert41_2</v>
      </c>
      <c r="C151" s="6" t="s">
        <v>134</v>
      </c>
      <c r="D151" s="7" t="s">
        <v>1883</v>
      </c>
      <c r="E151" s="6" t="s">
        <v>1963</v>
      </c>
      <c r="F151" s="19" t="s">
        <v>2790</v>
      </c>
    </row>
    <row r="152" spans="1:6" x14ac:dyDescent="0.25">
      <c r="A152" s="6" t="str">
        <f t="shared" si="2"/>
        <v>Alert41_3</v>
      </c>
      <c r="C152" s="6" t="s">
        <v>135</v>
      </c>
      <c r="D152" s="7" t="s">
        <v>1883</v>
      </c>
      <c r="E152" s="6" t="s">
        <v>1963</v>
      </c>
      <c r="F152" s="19" t="s">
        <v>2791</v>
      </c>
    </row>
    <row r="153" spans="1:6" x14ac:dyDescent="0.25">
      <c r="A153" s="6" t="str">
        <f t="shared" si="2"/>
        <v>Alert41_4</v>
      </c>
      <c r="C153" s="6" t="s">
        <v>136</v>
      </c>
      <c r="D153" s="7" t="s">
        <v>1883</v>
      </c>
      <c r="E153" s="6" t="s">
        <v>1963</v>
      </c>
      <c r="F153" s="19" t="s">
        <v>2792</v>
      </c>
    </row>
    <row r="154" spans="1:6" x14ac:dyDescent="0.25">
      <c r="A154" s="6" t="str">
        <f t="shared" si="2"/>
        <v>Alert41_5</v>
      </c>
      <c r="C154" s="6" t="s">
        <v>137</v>
      </c>
      <c r="D154" s="7" t="s">
        <v>1883</v>
      </c>
      <c r="E154" s="6" t="s">
        <v>1963</v>
      </c>
      <c r="F154" s="19" t="s">
        <v>2793</v>
      </c>
    </row>
    <row r="155" spans="1:6" x14ac:dyDescent="0.25">
      <c r="A155" s="6" t="str">
        <f t="shared" si="2"/>
        <v>Alert41_6</v>
      </c>
      <c r="C155" s="6" t="s">
        <v>138</v>
      </c>
      <c r="D155" s="7" t="s">
        <v>1883</v>
      </c>
      <c r="E155" s="6" t="s">
        <v>1963</v>
      </c>
      <c r="F155" s="19" t="s">
        <v>2794</v>
      </c>
    </row>
    <row r="156" spans="1:6" x14ac:dyDescent="0.25">
      <c r="A156" s="6" t="str">
        <f t="shared" si="2"/>
        <v>Alert42_1</v>
      </c>
      <c r="C156" s="6" t="s">
        <v>139</v>
      </c>
      <c r="D156" s="7" t="s">
        <v>1883</v>
      </c>
      <c r="E156" s="6" t="s">
        <v>1963</v>
      </c>
      <c r="F156" s="19" t="s">
        <v>2795</v>
      </c>
    </row>
    <row r="157" spans="1:6" x14ac:dyDescent="0.25">
      <c r="A157" s="6" t="str">
        <f t="shared" si="2"/>
        <v>Alert42_2</v>
      </c>
      <c r="C157" s="6" t="s">
        <v>140</v>
      </c>
      <c r="D157" s="7" t="s">
        <v>1883</v>
      </c>
      <c r="E157" s="6" t="s">
        <v>1963</v>
      </c>
      <c r="F157" s="19" t="s">
        <v>2796</v>
      </c>
    </row>
    <row r="158" spans="1:6" x14ac:dyDescent="0.25">
      <c r="A158" s="6" t="str">
        <f t="shared" si="2"/>
        <v>Alert42_3</v>
      </c>
      <c r="C158" s="6" t="s">
        <v>141</v>
      </c>
      <c r="D158" s="7" t="s">
        <v>1883</v>
      </c>
      <c r="E158" s="6" t="s">
        <v>1963</v>
      </c>
      <c r="F158" s="19" t="s">
        <v>2797</v>
      </c>
    </row>
    <row r="159" spans="1:6" x14ac:dyDescent="0.25">
      <c r="A159" s="6" t="str">
        <f t="shared" si="2"/>
        <v>Alert42_4</v>
      </c>
      <c r="C159" s="6" t="s">
        <v>142</v>
      </c>
      <c r="D159" s="7" t="s">
        <v>1883</v>
      </c>
      <c r="E159" s="6" t="s">
        <v>1963</v>
      </c>
      <c r="F159" s="19" t="s">
        <v>2798</v>
      </c>
    </row>
    <row r="160" spans="1:6" x14ac:dyDescent="0.25">
      <c r="A160" s="6" t="str">
        <f t="shared" si="2"/>
        <v>Alert42_5</v>
      </c>
      <c r="C160" s="6" t="s">
        <v>143</v>
      </c>
      <c r="D160" s="7" t="s">
        <v>1883</v>
      </c>
      <c r="E160" s="6" t="s">
        <v>1963</v>
      </c>
      <c r="F160" s="19" t="s">
        <v>2799</v>
      </c>
    </row>
    <row r="161" spans="1:6" x14ac:dyDescent="0.25">
      <c r="A161" s="6" t="str">
        <f t="shared" si="2"/>
        <v>Alert42_6</v>
      </c>
      <c r="C161" s="6" t="s">
        <v>144</v>
      </c>
      <c r="D161" s="7" t="s">
        <v>1883</v>
      </c>
      <c r="E161" s="6" t="s">
        <v>1963</v>
      </c>
      <c r="F161" s="19" t="s">
        <v>2800</v>
      </c>
    </row>
    <row r="162" spans="1:6" x14ac:dyDescent="0.25">
      <c r="A162" s="6" t="str">
        <f t="shared" si="2"/>
        <v>Alert43_1</v>
      </c>
      <c r="C162" s="6" t="s">
        <v>145</v>
      </c>
      <c r="D162" s="7" t="s">
        <v>1883</v>
      </c>
      <c r="E162" s="6" t="s">
        <v>1963</v>
      </c>
      <c r="F162" s="19" t="s">
        <v>2801</v>
      </c>
    </row>
    <row r="163" spans="1:6" x14ac:dyDescent="0.25">
      <c r="A163" s="6" t="str">
        <f t="shared" si="2"/>
        <v>Alert43_2</v>
      </c>
      <c r="C163" s="6" t="s">
        <v>146</v>
      </c>
      <c r="D163" s="7" t="s">
        <v>1883</v>
      </c>
      <c r="E163" s="6" t="s">
        <v>1963</v>
      </c>
      <c r="F163" s="19" t="s">
        <v>2802</v>
      </c>
    </row>
    <row r="164" spans="1:6" x14ac:dyDescent="0.25">
      <c r="A164" s="6" t="str">
        <f t="shared" si="2"/>
        <v>Alert43_3</v>
      </c>
      <c r="C164" s="6" t="s">
        <v>147</v>
      </c>
      <c r="D164" s="7" t="s">
        <v>1883</v>
      </c>
      <c r="E164" s="6" t="s">
        <v>1963</v>
      </c>
      <c r="F164" s="19" t="s">
        <v>2803</v>
      </c>
    </row>
    <row r="165" spans="1:6" x14ac:dyDescent="0.25">
      <c r="A165" s="6" t="str">
        <f t="shared" si="2"/>
        <v>Alert43_4</v>
      </c>
      <c r="C165" s="6" t="s">
        <v>148</v>
      </c>
      <c r="D165" s="7" t="s">
        <v>1883</v>
      </c>
      <c r="E165" s="6" t="s">
        <v>1963</v>
      </c>
      <c r="F165" s="19" t="s">
        <v>2804</v>
      </c>
    </row>
    <row r="166" spans="1:6" x14ac:dyDescent="0.25">
      <c r="A166" s="6" t="str">
        <f t="shared" si="2"/>
        <v>Alert43_5</v>
      </c>
      <c r="C166" s="6" t="s">
        <v>149</v>
      </c>
      <c r="D166" s="7" t="s">
        <v>1883</v>
      </c>
      <c r="E166" s="6" t="s">
        <v>1963</v>
      </c>
      <c r="F166" s="19" t="s">
        <v>2805</v>
      </c>
    </row>
    <row r="167" spans="1:6" x14ac:dyDescent="0.25">
      <c r="A167" s="6" t="str">
        <f t="shared" si="2"/>
        <v>Alert43_6</v>
      </c>
      <c r="C167" s="6" t="s">
        <v>150</v>
      </c>
      <c r="D167" s="7" t="s">
        <v>1883</v>
      </c>
      <c r="E167" s="6" t="s">
        <v>1963</v>
      </c>
      <c r="F167" s="19" t="s">
        <v>2806</v>
      </c>
    </row>
    <row r="168" spans="1:6" x14ac:dyDescent="0.25">
      <c r="A168" s="6" t="str">
        <f t="shared" si="2"/>
        <v>Alert44_1</v>
      </c>
      <c r="C168" s="6" t="s">
        <v>151</v>
      </c>
      <c r="D168" s="7" t="s">
        <v>1883</v>
      </c>
      <c r="E168" s="6" t="s">
        <v>1963</v>
      </c>
      <c r="F168" s="19" t="s">
        <v>2807</v>
      </c>
    </row>
    <row r="169" spans="1:6" x14ac:dyDescent="0.25">
      <c r="A169" s="6" t="str">
        <f t="shared" si="2"/>
        <v>Alert44_2</v>
      </c>
      <c r="C169" s="6" t="s">
        <v>152</v>
      </c>
      <c r="D169" s="7" t="s">
        <v>1883</v>
      </c>
      <c r="E169" s="6" t="s">
        <v>1963</v>
      </c>
      <c r="F169" s="19" t="s">
        <v>2808</v>
      </c>
    </row>
    <row r="170" spans="1:6" x14ac:dyDescent="0.25">
      <c r="A170" s="6" t="str">
        <f t="shared" si="2"/>
        <v>Alert44_3</v>
      </c>
      <c r="C170" s="6" t="s">
        <v>153</v>
      </c>
      <c r="D170" s="7" t="s">
        <v>1883</v>
      </c>
      <c r="E170" s="6" t="s">
        <v>1963</v>
      </c>
      <c r="F170" s="19" t="s">
        <v>2809</v>
      </c>
    </row>
    <row r="171" spans="1:6" x14ac:dyDescent="0.25">
      <c r="A171" s="6" t="str">
        <f t="shared" si="2"/>
        <v>Alert44_4</v>
      </c>
      <c r="C171" s="6" t="s">
        <v>154</v>
      </c>
      <c r="D171" s="7" t="s">
        <v>1883</v>
      </c>
      <c r="E171" s="6" t="s">
        <v>1963</v>
      </c>
      <c r="F171" s="19" t="s">
        <v>2810</v>
      </c>
    </row>
    <row r="172" spans="1:6" x14ac:dyDescent="0.25">
      <c r="A172" s="6" t="str">
        <f t="shared" si="2"/>
        <v>Alert44_5</v>
      </c>
      <c r="C172" s="6" t="s">
        <v>155</v>
      </c>
      <c r="D172" s="7" t="s">
        <v>1883</v>
      </c>
      <c r="E172" s="6" t="s">
        <v>1963</v>
      </c>
      <c r="F172" s="19" t="s">
        <v>2811</v>
      </c>
    </row>
    <row r="173" spans="1:6" x14ac:dyDescent="0.25">
      <c r="A173" s="6" t="str">
        <f t="shared" si="2"/>
        <v>Alert44_6</v>
      </c>
      <c r="C173" s="6" t="s">
        <v>156</v>
      </c>
      <c r="D173" s="7" t="s">
        <v>1883</v>
      </c>
      <c r="E173" s="6" t="s">
        <v>1963</v>
      </c>
      <c r="F173" s="19" t="s">
        <v>2812</v>
      </c>
    </row>
    <row r="174" spans="1:6" x14ac:dyDescent="0.25">
      <c r="A174" s="6" t="str">
        <f t="shared" si="2"/>
        <v>Alert45_1</v>
      </c>
      <c r="C174" s="6" t="s">
        <v>157</v>
      </c>
      <c r="D174" s="7" t="s">
        <v>1883</v>
      </c>
      <c r="E174" s="6" t="s">
        <v>1963</v>
      </c>
      <c r="F174" s="19" t="s">
        <v>2813</v>
      </c>
    </row>
    <row r="175" spans="1:6" x14ac:dyDescent="0.25">
      <c r="A175" s="6" t="str">
        <f t="shared" si="2"/>
        <v>Alert45_2</v>
      </c>
      <c r="C175" s="6" t="s">
        <v>158</v>
      </c>
      <c r="D175" s="7" t="s">
        <v>1883</v>
      </c>
      <c r="E175" s="6" t="s">
        <v>1963</v>
      </c>
      <c r="F175" s="19" t="s">
        <v>2814</v>
      </c>
    </row>
    <row r="176" spans="1:6" x14ac:dyDescent="0.25">
      <c r="A176" s="6" t="str">
        <f t="shared" si="2"/>
        <v>Alert45_3</v>
      </c>
      <c r="C176" s="6" t="s">
        <v>159</v>
      </c>
      <c r="D176" s="7" t="s">
        <v>1883</v>
      </c>
      <c r="E176" s="6" t="s">
        <v>1963</v>
      </c>
      <c r="F176" s="19" t="s">
        <v>2815</v>
      </c>
    </row>
    <row r="177" spans="1:6" x14ac:dyDescent="0.25">
      <c r="A177" s="6" t="str">
        <f t="shared" si="2"/>
        <v>Alert45_4</v>
      </c>
      <c r="C177" s="6" t="s">
        <v>160</v>
      </c>
      <c r="D177" s="7" t="s">
        <v>1883</v>
      </c>
      <c r="E177" s="6" t="s">
        <v>1963</v>
      </c>
      <c r="F177" s="19" t="s">
        <v>2816</v>
      </c>
    </row>
    <row r="178" spans="1:6" x14ac:dyDescent="0.25">
      <c r="A178" s="6" t="str">
        <f t="shared" si="2"/>
        <v>Alert45_5</v>
      </c>
      <c r="C178" s="6" t="s">
        <v>161</v>
      </c>
      <c r="D178" s="7" t="s">
        <v>1883</v>
      </c>
      <c r="E178" s="6" t="s">
        <v>1963</v>
      </c>
      <c r="F178" s="19" t="s">
        <v>2817</v>
      </c>
    </row>
    <row r="179" spans="1:6" x14ac:dyDescent="0.25">
      <c r="A179" s="6" t="str">
        <f t="shared" si="2"/>
        <v>Alert45_6</v>
      </c>
      <c r="C179" s="6" t="s">
        <v>162</v>
      </c>
      <c r="D179" s="7" t="s">
        <v>1883</v>
      </c>
      <c r="E179" s="6" t="s">
        <v>1963</v>
      </c>
      <c r="F179" s="19" t="s">
        <v>2818</v>
      </c>
    </row>
    <row r="180" spans="1:6" x14ac:dyDescent="0.25">
      <c r="A180" s="6" t="str">
        <f t="shared" si="2"/>
        <v>Alert46_1</v>
      </c>
      <c r="C180" s="6" t="s">
        <v>163</v>
      </c>
      <c r="D180" s="7" t="s">
        <v>1883</v>
      </c>
      <c r="E180" s="6" t="s">
        <v>1963</v>
      </c>
      <c r="F180" s="19" t="s">
        <v>2819</v>
      </c>
    </row>
    <row r="181" spans="1:6" x14ac:dyDescent="0.25">
      <c r="A181" s="6" t="str">
        <f t="shared" si="2"/>
        <v>Alert46_2</v>
      </c>
      <c r="C181" s="6" t="s">
        <v>164</v>
      </c>
      <c r="D181" s="7" t="s">
        <v>1883</v>
      </c>
      <c r="E181" s="6" t="s">
        <v>1963</v>
      </c>
      <c r="F181" s="19" t="s">
        <v>2820</v>
      </c>
    </row>
    <row r="182" spans="1:6" x14ac:dyDescent="0.25">
      <c r="A182" s="6" t="str">
        <f t="shared" si="2"/>
        <v>Alert46_3</v>
      </c>
      <c r="C182" s="6" t="s">
        <v>165</v>
      </c>
      <c r="D182" s="7" t="s">
        <v>1883</v>
      </c>
      <c r="E182" s="6" t="s">
        <v>1963</v>
      </c>
      <c r="F182" s="19" t="s">
        <v>2821</v>
      </c>
    </row>
    <row r="183" spans="1:6" x14ac:dyDescent="0.25">
      <c r="A183" s="6" t="str">
        <f t="shared" si="2"/>
        <v>Alert46_4</v>
      </c>
      <c r="C183" s="6" t="s">
        <v>166</v>
      </c>
      <c r="D183" s="7" t="s">
        <v>1883</v>
      </c>
      <c r="E183" s="6" t="s">
        <v>1963</v>
      </c>
      <c r="F183" s="19" t="s">
        <v>2822</v>
      </c>
    </row>
    <row r="184" spans="1:6" x14ac:dyDescent="0.25">
      <c r="A184" s="6" t="str">
        <f t="shared" si="2"/>
        <v>Alert46_5</v>
      </c>
      <c r="C184" s="6" t="s">
        <v>167</v>
      </c>
      <c r="D184" s="7" t="s">
        <v>1883</v>
      </c>
      <c r="E184" s="6" t="s">
        <v>1963</v>
      </c>
      <c r="F184" s="19" t="s">
        <v>2823</v>
      </c>
    </row>
    <row r="185" spans="1:6" x14ac:dyDescent="0.25">
      <c r="A185" s="6" t="str">
        <f t="shared" si="2"/>
        <v>Alert46_6</v>
      </c>
      <c r="C185" s="6" t="s">
        <v>168</v>
      </c>
      <c r="D185" s="7" t="s">
        <v>1883</v>
      </c>
      <c r="E185" s="6" t="s">
        <v>1963</v>
      </c>
      <c r="F185" s="19" t="s">
        <v>2824</v>
      </c>
    </row>
    <row r="186" spans="1:6" s="9" customFormat="1" x14ac:dyDescent="0.25">
      <c r="A186" s="6" t="str">
        <f t="shared" si="2"/>
        <v/>
      </c>
      <c r="D186" s="10"/>
      <c r="E186" s="9" t="s">
        <v>1964</v>
      </c>
      <c r="F186" s="6">
        <f>VLOOKUP(E186,'[3]Full Data-Map'!$C:$D,2,FALSE)</f>
        <v>8</v>
      </c>
    </row>
    <row r="187" spans="1:6" x14ac:dyDescent="0.25">
      <c r="A187" s="6" t="str">
        <f t="shared" si="2"/>
        <v>q51_1</v>
      </c>
      <c r="C187" s="6" t="s">
        <v>169</v>
      </c>
      <c r="D187" s="8" t="s">
        <v>1905</v>
      </c>
      <c r="E187" s="6" t="s">
        <v>1965</v>
      </c>
      <c r="F187" s="6" t="str">
        <f>VLOOKUP(E187,'[3]Full Data-Map'!$C:$D,2,FALSE)</f>
        <v>8_1</v>
      </c>
    </row>
    <row r="188" spans="1:6" x14ac:dyDescent="0.25">
      <c r="A188" s="6" t="str">
        <f t="shared" si="2"/>
        <v>q51_2</v>
      </c>
      <c r="C188" s="6" t="s">
        <v>170</v>
      </c>
      <c r="D188" s="8" t="s">
        <v>1905</v>
      </c>
      <c r="E188" s="6" t="s">
        <v>1966</v>
      </c>
      <c r="F188" s="6" t="str">
        <f>VLOOKUP(E188,'[3]Full Data-Map'!$C:$D,2,FALSE)</f>
        <v>8_2</v>
      </c>
    </row>
    <row r="189" spans="1:6" x14ac:dyDescent="0.25">
      <c r="A189" s="6" t="str">
        <f t="shared" si="2"/>
        <v>q51_3</v>
      </c>
      <c r="C189" s="6" t="s">
        <v>171</v>
      </c>
      <c r="D189" s="8" t="s">
        <v>1905</v>
      </c>
      <c r="E189" s="6" t="s">
        <v>1967</v>
      </c>
      <c r="F189" s="6" t="str">
        <f>VLOOKUP(E189,'[3]Full Data-Map'!$C:$D,2,FALSE)</f>
        <v>8_3</v>
      </c>
    </row>
    <row r="190" spans="1:6" x14ac:dyDescent="0.25">
      <c r="A190" s="6" t="str">
        <f t="shared" si="2"/>
        <v>q51_4</v>
      </c>
      <c r="C190" s="6" t="s">
        <v>172</v>
      </c>
      <c r="D190" s="8" t="s">
        <v>1905</v>
      </c>
      <c r="E190" s="6" t="s">
        <v>1968</v>
      </c>
      <c r="F190" s="6" t="str">
        <f>VLOOKUP(E190,'[3]Full Data-Map'!$C:$D,2,FALSE)</f>
        <v>8_4</v>
      </c>
    </row>
    <row r="191" spans="1:6" x14ac:dyDescent="0.25">
      <c r="A191" s="6" t="str">
        <f t="shared" si="2"/>
        <v>q51_5</v>
      </c>
      <c r="C191" s="6" t="s">
        <v>173</v>
      </c>
      <c r="D191" s="8" t="s">
        <v>1905</v>
      </c>
      <c r="E191" s="6" t="s">
        <v>1969</v>
      </c>
      <c r="F191" s="6" t="str">
        <f>VLOOKUP(E191,'[3]Full Data-Map'!$C:$D,2,FALSE)</f>
        <v>8_5</v>
      </c>
    </row>
    <row r="192" spans="1:6" x14ac:dyDescent="0.25">
      <c r="A192" s="6" t="str">
        <f t="shared" si="2"/>
        <v>q51_6</v>
      </c>
      <c r="C192" s="6" t="s">
        <v>174</v>
      </c>
      <c r="D192" s="8" t="s">
        <v>1905</v>
      </c>
      <c r="E192" s="6" t="s">
        <v>1970</v>
      </c>
      <c r="F192" s="6" t="str">
        <f>VLOOKUP(E192,'[3]Full Data-Map'!$C:$D,2,FALSE)</f>
        <v>8_6</v>
      </c>
    </row>
    <row r="193" spans="1:6" x14ac:dyDescent="0.25">
      <c r="A193" s="6" t="str">
        <f t="shared" si="2"/>
        <v>q5ROW1_hidden</v>
      </c>
      <c r="C193" s="6" t="s">
        <v>175</v>
      </c>
      <c r="D193" s="8" t="s">
        <v>1905</v>
      </c>
      <c r="E193" s="11" t="s">
        <v>1971</v>
      </c>
      <c r="F193" s="6" t="str">
        <f>VLOOKUP(E193,'[3]Full Data-Map'!$C:$D,2,FALSE)</f>
        <v>8_7</v>
      </c>
    </row>
    <row r="194" spans="1:6" x14ac:dyDescent="0.25">
      <c r="A194" s="6" t="str">
        <f t="shared" si="2"/>
        <v>q52_1</v>
      </c>
      <c r="C194" s="6" t="s">
        <v>176</v>
      </c>
      <c r="D194" s="8" t="s">
        <v>1905</v>
      </c>
      <c r="E194" s="6" t="s">
        <v>1972</v>
      </c>
      <c r="F194" s="6" t="str">
        <f>VLOOKUP(E194,'[3]Full Data-Map'!$C:$D,2,FALSE)</f>
        <v>8_8</v>
      </c>
    </row>
    <row r="195" spans="1:6" x14ac:dyDescent="0.25">
      <c r="A195" s="6" t="str">
        <f t="shared" ref="A195:A258" si="3">_xlfn.CONCAT(C195,B195)</f>
        <v>q52_2</v>
      </c>
      <c r="C195" s="6" t="s">
        <v>177</v>
      </c>
      <c r="D195" s="8" t="s">
        <v>1905</v>
      </c>
      <c r="E195" s="6" t="s">
        <v>1973</v>
      </c>
      <c r="F195" s="6" t="str">
        <f>VLOOKUP(E195,'[3]Full Data-Map'!$C:$D,2,FALSE)</f>
        <v>8_9</v>
      </c>
    </row>
    <row r="196" spans="1:6" x14ac:dyDescent="0.25">
      <c r="A196" s="6" t="str">
        <f t="shared" si="3"/>
        <v>q52_3</v>
      </c>
      <c r="C196" s="6" t="s">
        <v>178</v>
      </c>
      <c r="D196" s="8" t="s">
        <v>1905</v>
      </c>
      <c r="E196" s="6" t="s">
        <v>1974</v>
      </c>
      <c r="F196" s="6" t="str">
        <f>VLOOKUP(E196,'[3]Full Data-Map'!$C:$D,2,FALSE)</f>
        <v>8_10</v>
      </c>
    </row>
    <row r="197" spans="1:6" x14ac:dyDescent="0.25">
      <c r="A197" s="6" t="str">
        <f t="shared" si="3"/>
        <v>q52_4</v>
      </c>
      <c r="C197" s="6" t="s">
        <v>179</v>
      </c>
      <c r="D197" s="8" t="s">
        <v>1905</v>
      </c>
      <c r="E197" s="6" t="s">
        <v>1975</v>
      </c>
      <c r="F197" s="6" t="str">
        <f>VLOOKUP(E197,'[3]Full Data-Map'!$C:$D,2,FALSE)</f>
        <v>8_11</v>
      </c>
    </row>
    <row r="198" spans="1:6" x14ac:dyDescent="0.25">
      <c r="A198" s="6" t="str">
        <f t="shared" si="3"/>
        <v>q52_5</v>
      </c>
      <c r="C198" s="6" t="s">
        <v>180</v>
      </c>
      <c r="D198" s="8" t="s">
        <v>1905</v>
      </c>
      <c r="E198" s="6" t="s">
        <v>1976</v>
      </c>
      <c r="F198" s="6" t="str">
        <f>VLOOKUP(E198,'[3]Full Data-Map'!$C:$D,2,FALSE)</f>
        <v>8_12</v>
      </c>
    </row>
    <row r="199" spans="1:6" x14ac:dyDescent="0.25">
      <c r="A199" s="6" t="str">
        <f t="shared" si="3"/>
        <v>q52_6</v>
      </c>
      <c r="C199" s="6" t="s">
        <v>181</v>
      </c>
      <c r="D199" s="8" t="s">
        <v>1905</v>
      </c>
      <c r="E199" s="6" t="s">
        <v>1977</v>
      </c>
      <c r="F199" s="6" t="str">
        <f>VLOOKUP(E199,'[3]Full Data-Map'!$C:$D,2,FALSE)</f>
        <v>8_13</v>
      </c>
    </row>
    <row r="200" spans="1:6" x14ac:dyDescent="0.25">
      <c r="A200" s="6" t="str">
        <f t="shared" si="3"/>
        <v>q5ROW2_hidden</v>
      </c>
      <c r="C200" s="6" t="s">
        <v>182</v>
      </c>
      <c r="D200" s="8" t="s">
        <v>1905</v>
      </c>
      <c r="E200" s="11" t="s">
        <v>1978</v>
      </c>
      <c r="F200" s="6" t="str">
        <f>VLOOKUP(E200,'[3]Full Data-Map'!$C:$D,2,FALSE)</f>
        <v>8_14</v>
      </c>
    </row>
    <row r="201" spans="1:6" x14ac:dyDescent="0.25">
      <c r="A201" s="6" t="str">
        <f t="shared" si="3"/>
        <v>q53_1</v>
      </c>
      <c r="C201" s="6" t="s">
        <v>183</v>
      </c>
      <c r="D201" s="8" t="s">
        <v>1905</v>
      </c>
      <c r="E201" s="6" t="s">
        <v>1979</v>
      </c>
      <c r="F201" s="6" t="str">
        <f>VLOOKUP(E201,'[3]Full Data-Map'!$C:$D,2,FALSE)</f>
        <v>8_15</v>
      </c>
    </row>
    <row r="202" spans="1:6" x14ac:dyDescent="0.25">
      <c r="A202" s="6" t="str">
        <f t="shared" si="3"/>
        <v>q53_2</v>
      </c>
      <c r="C202" s="6" t="s">
        <v>184</v>
      </c>
      <c r="D202" s="8" t="s">
        <v>1905</v>
      </c>
      <c r="E202" s="6" t="s">
        <v>1980</v>
      </c>
      <c r="F202" s="6" t="str">
        <f>VLOOKUP(E202,'[3]Full Data-Map'!$C:$D,2,FALSE)</f>
        <v>8_16</v>
      </c>
    </row>
    <row r="203" spans="1:6" x14ac:dyDescent="0.25">
      <c r="A203" s="6" t="str">
        <f t="shared" si="3"/>
        <v>q53_3</v>
      </c>
      <c r="C203" s="6" t="s">
        <v>185</v>
      </c>
      <c r="D203" s="8" t="s">
        <v>1905</v>
      </c>
      <c r="E203" s="6" t="s">
        <v>1981</v>
      </c>
      <c r="F203" s="6" t="str">
        <f>VLOOKUP(E203,'[3]Full Data-Map'!$C:$D,2,FALSE)</f>
        <v>8_17</v>
      </c>
    </row>
    <row r="204" spans="1:6" x14ac:dyDescent="0.25">
      <c r="A204" s="6" t="str">
        <f t="shared" si="3"/>
        <v>q53_4</v>
      </c>
      <c r="C204" s="6" t="s">
        <v>186</v>
      </c>
      <c r="D204" s="8" t="s">
        <v>1905</v>
      </c>
      <c r="E204" s="6" t="s">
        <v>1982</v>
      </c>
      <c r="F204" s="6" t="str">
        <f>VLOOKUP(E204,'[3]Full Data-Map'!$C:$D,2,FALSE)</f>
        <v>8_18</v>
      </c>
    </row>
    <row r="205" spans="1:6" x14ac:dyDescent="0.25">
      <c r="A205" s="6" t="str">
        <f t="shared" si="3"/>
        <v>q53_5</v>
      </c>
      <c r="C205" s="6" t="s">
        <v>187</v>
      </c>
      <c r="D205" s="8" t="s">
        <v>1905</v>
      </c>
      <c r="E205" s="6" t="s">
        <v>1983</v>
      </c>
      <c r="F205" s="6" t="str">
        <f>VLOOKUP(E205,'[3]Full Data-Map'!$C:$D,2,FALSE)</f>
        <v>8_19</v>
      </c>
    </row>
    <row r="206" spans="1:6" x14ac:dyDescent="0.25">
      <c r="A206" s="6" t="str">
        <f t="shared" si="3"/>
        <v>q53_6</v>
      </c>
      <c r="C206" s="6" t="s">
        <v>188</v>
      </c>
      <c r="D206" s="8" t="s">
        <v>1905</v>
      </c>
      <c r="E206" s="6" t="s">
        <v>1984</v>
      </c>
      <c r="F206" s="6" t="str">
        <f>VLOOKUP(E206,'[3]Full Data-Map'!$C:$D,2,FALSE)</f>
        <v>8_20</v>
      </c>
    </row>
    <row r="207" spans="1:6" x14ac:dyDescent="0.25">
      <c r="A207" s="6" t="str">
        <f t="shared" si="3"/>
        <v>q5ROW3_hidden</v>
      </c>
      <c r="C207" s="6" t="s">
        <v>189</v>
      </c>
      <c r="D207" s="8" t="s">
        <v>1905</v>
      </c>
      <c r="E207" s="11" t="s">
        <v>1985</v>
      </c>
      <c r="F207" s="6" t="str">
        <f>VLOOKUP(E207,'[3]Full Data-Map'!$C:$D,2,FALSE)</f>
        <v>8_21</v>
      </c>
    </row>
    <row r="208" spans="1:6" x14ac:dyDescent="0.25">
      <c r="A208" s="6" t="str">
        <f t="shared" si="3"/>
        <v>q54_1</v>
      </c>
      <c r="C208" s="6" t="s">
        <v>190</v>
      </c>
      <c r="D208" s="8" t="s">
        <v>1905</v>
      </c>
      <c r="E208" s="6" t="s">
        <v>1986</v>
      </c>
      <c r="F208" s="6" t="str">
        <f>VLOOKUP(E208,'[3]Full Data-Map'!$C:$D,2,FALSE)</f>
        <v>8_22</v>
      </c>
    </row>
    <row r="209" spans="1:6" x14ac:dyDescent="0.25">
      <c r="A209" s="6" t="str">
        <f t="shared" si="3"/>
        <v>q54_2</v>
      </c>
      <c r="C209" s="6" t="s">
        <v>191</v>
      </c>
      <c r="D209" s="8" t="s">
        <v>1905</v>
      </c>
      <c r="E209" s="6" t="s">
        <v>1987</v>
      </c>
      <c r="F209" s="6" t="str">
        <f>VLOOKUP(E209,'[3]Full Data-Map'!$C:$D,2,FALSE)</f>
        <v>8_23</v>
      </c>
    </row>
    <row r="210" spans="1:6" x14ac:dyDescent="0.25">
      <c r="A210" s="6" t="str">
        <f t="shared" si="3"/>
        <v>q54_3</v>
      </c>
      <c r="C210" s="6" t="s">
        <v>192</v>
      </c>
      <c r="D210" s="8" t="s">
        <v>1905</v>
      </c>
      <c r="E210" s="6" t="s">
        <v>1988</v>
      </c>
      <c r="F210" s="6" t="str">
        <f>VLOOKUP(E210,'[3]Full Data-Map'!$C:$D,2,FALSE)</f>
        <v>8_24</v>
      </c>
    </row>
    <row r="211" spans="1:6" x14ac:dyDescent="0.25">
      <c r="A211" s="6" t="str">
        <f t="shared" si="3"/>
        <v>q54_4</v>
      </c>
      <c r="C211" s="6" t="s">
        <v>193</v>
      </c>
      <c r="D211" s="8" t="s">
        <v>1905</v>
      </c>
      <c r="E211" s="6" t="s">
        <v>1989</v>
      </c>
      <c r="F211" s="6" t="str">
        <f>VLOOKUP(E211,'[3]Full Data-Map'!$C:$D,2,FALSE)</f>
        <v>8_25</v>
      </c>
    </row>
    <row r="212" spans="1:6" x14ac:dyDescent="0.25">
      <c r="A212" s="6" t="str">
        <f t="shared" si="3"/>
        <v>q54_5</v>
      </c>
      <c r="C212" s="6" t="s">
        <v>194</v>
      </c>
      <c r="D212" s="8" t="s">
        <v>1905</v>
      </c>
      <c r="E212" s="6" t="s">
        <v>1990</v>
      </c>
      <c r="F212" s="6" t="str">
        <f>VLOOKUP(E212,'[3]Full Data-Map'!$C:$D,2,FALSE)</f>
        <v>8_26</v>
      </c>
    </row>
    <row r="213" spans="1:6" x14ac:dyDescent="0.25">
      <c r="A213" s="6" t="str">
        <f t="shared" si="3"/>
        <v>q54_6</v>
      </c>
      <c r="C213" s="6" t="s">
        <v>195</v>
      </c>
      <c r="D213" s="8" t="s">
        <v>1905</v>
      </c>
      <c r="E213" s="6" t="s">
        <v>1991</v>
      </c>
      <c r="F213" s="6" t="str">
        <f>VLOOKUP(E213,'[3]Full Data-Map'!$C:$D,2,FALSE)</f>
        <v>8_27</v>
      </c>
    </row>
    <row r="214" spans="1:6" x14ac:dyDescent="0.25">
      <c r="A214" s="6" t="str">
        <f t="shared" si="3"/>
        <v>q5ROW4_hidden</v>
      </c>
      <c r="C214" s="6" t="s">
        <v>196</v>
      </c>
      <c r="D214" s="8" t="s">
        <v>1905</v>
      </c>
      <c r="E214" s="11" t="s">
        <v>1992</v>
      </c>
      <c r="F214" s="6" t="str">
        <f>VLOOKUP(E214,'[3]Full Data-Map'!$C:$D,2,FALSE)</f>
        <v>8_28</v>
      </c>
    </row>
    <row r="215" spans="1:6" x14ac:dyDescent="0.25">
      <c r="A215" s="6" t="str">
        <f t="shared" si="3"/>
        <v>q55_1</v>
      </c>
      <c r="C215" s="6" t="s">
        <v>197</v>
      </c>
      <c r="D215" s="8" t="s">
        <v>1905</v>
      </c>
      <c r="E215" s="6" t="s">
        <v>1993</v>
      </c>
      <c r="F215" s="6" t="str">
        <f>VLOOKUP(E215,'[3]Full Data-Map'!$C:$D,2,FALSE)</f>
        <v>8_29</v>
      </c>
    </row>
    <row r="216" spans="1:6" x14ac:dyDescent="0.25">
      <c r="A216" s="6" t="str">
        <f t="shared" si="3"/>
        <v>q55_2</v>
      </c>
      <c r="C216" s="6" t="s">
        <v>198</v>
      </c>
      <c r="D216" s="8" t="s">
        <v>1905</v>
      </c>
      <c r="E216" s="6" t="s">
        <v>1994</v>
      </c>
      <c r="F216" s="6" t="str">
        <f>VLOOKUP(E216,'[3]Full Data-Map'!$C:$D,2,FALSE)</f>
        <v>8_30</v>
      </c>
    </row>
    <row r="217" spans="1:6" x14ac:dyDescent="0.25">
      <c r="A217" s="6" t="str">
        <f t="shared" si="3"/>
        <v>q55_3</v>
      </c>
      <c r="C217" s="6" t="s">
        <v>199</v>
      </c>
      <c r="D217" s="8" t="s">
        <v>1905</v>
      </c>
      <c r="E217" s="6" t="s">
        <v>1995</v>
      </c>
      <c r="F217" s="6" t="str">
        <f>VLOOKUP(E217,'[3]Full Data-Map'!$C:$D,2,FALSE)</f>
        <v>8_31</v>
      </c>
    </row>
    <row r="218" spans="1:6" x14ac:dyDescent="0.25">
      <c r="A218" s="6" t="str">
        <f t="shared" si="3"/>
        <v>q55_4</v>
      </c>
      <c r="C218" s="6" t="s">
        <v>200</v>
      </c>
      <c r="D218" s="8" t="s">
        <v>1905</v>
      </c>
      <c r="E218" s="6" t="s">
        <v>1996</v>
      </c>
      <c r="F218" s="6" t="str">
        <f>VLOOKUP(E218,'[3]Full Data-Map'!$C:$D,2,FALSE)</f>
        <v>8_32</v>
      </c>
    </row>
    <row r="219" spans="1:6" x14ac:dyDescent="0.25">
      <c r="A219" s="6" t="str">
        <f t="shared" si="3"/>
        <v>q55_5</v>
      </c>
      <c r="C219" s="6" t="s">
        <v>201</v>
      </c>
      <c r="D219" s="8" t="s">
        <v>1905</v>
      </c>
      <c r="E219" s="6" t="s">
        <v>1997</v>
      </c>
      <c r="F219" s="6" t="str">
        <f>VLOOKUP(E219,'[3]Full Data-Map'!$C:$D,2,FALSE)</f>
        <v>8_33</v>
      </c>
    </row>
    <row r="220" spans="1:6" x14ac:dyDescent="0.25">
      <c r="A220" s="6" t="str">
        <f t="shared" si="3"/>
        <v>q55_6</v>
      </c>
      <c r="C220" s="6" t="s">
        <v>202</v>
      </c>
      <c r="D220" s="8" t="s">
        <v>1905</v>
      </c>
      <c r="E220" s="6" t="s">
        <v>1998</v>
      </c>
      <c r="F220" s="6" t="str">
        <f>VLOOKUP(E220,'[3]Full Data-Map'!$C:$D,2,FALSE)</f>
        <v>8_34</v>
      </c>
    </row>
    <row r="221" spans="1:6" x14ac:dyDescent="0.25">
      <c r="A221" s="6" t="str">
        <f t="shared" si="3"/>
        <v>q5ROW5_hidden</v>
      </c>
      <c r="C221" s="6" t="s">
        <v>203</v>
      </c>
      <c r="D221" s="8" t="s">
        <v>1905</v>
      </c>
      <c r="E221" s="11" t="s">
        <v>1999</v>
      </c>
      <c r="F221" s="6" t="str">
        <f>VLOOKUP(E221,'[3]Full Data-Map'!$C:$D,2,FALSE)</f>
        <v>8_35</v>
      </c>
    </row>
    <row r="222" spans="1:6" x14ac:dyDescent="0.25">
      <c r="A222" s="6" t="str">
        <f t="shared" si="3"/>
        <v>q56_1</v>
      </c>
      <c r="C222" s="6" t="s">
        <v>204</v>
      </c>
      <c r="D222" s="8" t="s">
        <v>1905</v>
      </c>
      <c r="E222" s="6" t="s">
        <v>2000</v>
      </c>
      <c r="F222" s="6" t="str">
        <f>VLOOKUP(E222,'[3]Full Data-Map'!$C:$D,2,FALSE)</f>
        <v>8_36</v>
      </c>
    </row>
    <row r="223" spans="1:6" x14ac:dyDescent="0.25">
      <c r="A223" s="6" t="str">
        <f t="shared" si="3"/>
        <v>q56_2</v>
      </c>
      <c r="C223" s="6" t="s">
        <v>205</v>
      </c>
      <c r="D223" s="8" t="s">
        <v>1905</v>
      </c>
      <c r="E223" s="6" t="s">
        <v>2001</v>
      </c>
      <c r="F223" s="6" t="str">
        <f>VLOOKUP(E223,'[3]Full Data-Map'!$C:$D,2,FALSE)</f>
        <v>8_37</v>
      </c>
    </row>
    <row r="224" spans="1:6" x14ac:dyDescent="0.25">
      <c r="A224" s="6" t="str">
        <f t="shared" si="3"/>
        <v>q56_3</v>
      </c>
      <c r="C224" s="6" t="s">
        <v>206</v>
      </c>
      <c r="D224" s="8" t="s">
        <v>1905</v>
      </c>
      <c r="E224" s="6" t="s">
        <v>2002</v>
      </c>
      <c r="F224" s="6" t="str">
        <f>VLOOKUP(E224,'[3]Full Data-Map'!$C:$D,2,FALSE)</f>
        <v>8_38</v>
      </c>
    </row>
    <row r="225" spans="1:6" x14ac:dyDescent="0.25">
      <c r="A225" s="6" t="str">
        <f t="shared" si="3"/>
        <v>q56_4</v>
      </c>
      <c r="C225" s="6" t="s">
        <v>207</v>
      </c>
      <c r="D225" s="8" t="s">
        <v>1905</v>
      </c>
      <c r="E225" s="6" t="s">
        <v>2003</v>
      </c>
      <c r="F225" s="6" t="str">
        <f>VLOOKUP(E225,'[3]Full Data-Map'!$C:$D,2,FALSE)</f>
        <v>8_39</v>
      </c>
    </row>
    <row r="226" spans="1:6" x14ac:dyDescent="0.25">
      <c r="A226" s="6" t="str">
        <f t="shared" si="3"/>
        <v>q56_5</v>
      </c>
      <c r="C226" s="6" t="s">
        <v>208</v>
      </c>
      <c r="D226" s="8" t="s">
        <v>1905</v>
      </c>
      <c r="E226" s="6" t="s">
        <v>2004</v>
      </c>
      <c r="F226" s="6" t="str">
        <f>VLOOKUP(E226,'[3]Full Data-Map'!$C:$D,2,FALSE)</f>
        <v>8_40</v>
      </c>
    </row>
    <row r="227" spans="1:6" x14ac:dyDescent="0.25">
      <c r="A227" s="6" t="str">
        <f t="shared" si="3"/>
        <v>q56_6</v>
      </c>
      <c r="C227" s="6" t="s">
        <v>209</v>
      </c>
      <c r="D227" s="8" t="s">
        <v>1905</v>
      </c>
      <c r="E227" s="6" t="s">
        <v>2005</v>
      </c>
      <c r="F227" s="6" t="str">
        <f>VLOOKUP(E227,'[3]Full Data-Map'!$C:$D,2,FALSE)</f>
        <v>8_41</v>
      </c>
    </row>
    <row r="228" spans="1:6" x14ac:dyDescent="0.25">
      <c r="A228" s="6" t="str">
        <f t="shared" si="3"/>
        <v>q5ROW6_hidden</v>
      </c>
      <c r="C228" s="6" t="s">
        <v>210</v>
      </c>
      <c r="D228" s="8" t="s">
        <v>1905</v>
      </c>
      <c r="E228" s="11" t="s">
        <v>1957</v>
      </c>
      <c r="F228" s="6" t="str">
        <f>VLOOKUP(E228,'[3]Full Data-Map'!$C:$D,2,FALSE)</f>
        <v>6_47</v>
      </c>
    </row>
    <row r="229" spans="1:6" x14ac:dyDescent="0.25">
      <c r="A229" s="6" t="str">
        <f t="shared" si="3"/>
        <v>q57_1</v>
      </c>
      <c r="C229" s="6" t="s">
        <v>211</v>
      </c>
      <c r="D229" s="8" t="s">
        <v>1905</v>
      </c>
      <c r="E229" s="6" t="s">
        <v>2006</v>
      </c>
      <c r="F229" s="6" t="str">
        <f>VLOOKUP(E229,'[3]Full Data-Map'!$C:$D,2,FALSE)</f>
        <v>8_43</v>
      </c>
    </row>
    <row r="230" spans="1:6" x14ac:dyDescent="0.25">
      <c r="A230" s="6" t="str">
        <f t="shared" si="3"/>
        <v>q57_2</v>
      </c>
      <c r="C230" s="6" t="s">
        <v>212</v>
      </c>
      <c r="D230" s="8" t="s">
        <v>1905</v>
      </c>
      <c r="E230" s="6" t="s">
        <v>2007</v>
      </c>
      <c r="F230" s="6" t="str">
        <f>VLOOKUP(E230,'[3]Full Data-Map'!$C:$D,2,FALSE)</f>
        <v>8_44</v>
      </c>
    </row>
    <row r="231" spans="1:6" x14ac:dyDescent="0.25">
      <c r="A231" s="6" t="str">
        <f t="shared" si="3"/>
        <v>q57_3</v>
      </c>
      <c r="C231" s="6" t="s">
        <v>213</v>
      </c>
      <c r="D231" s="8" t="s">
        <v>1905</v>
      </c>
      <c r="E231" s="6" t="s">
        <v>2008</v>
      </c>
      <c r="F231" s="6" t="str">
        <f>VLOOKUP(E231,'[3]Full Data-Map'!$C:$D,2,FALSE)</f>
        <v>8_45</v>
      </c>
    </row>
    <row r="232" spans="1:6" x14ac:dyDescent="0.25">
      <c r="A232" s="6" t="str">
        <f t="shared" si="3"/>
        <v>q57_4</v>
      </c>
      <c r="C232" s="6" t="s">
        <v>214</v>
      </c>
      <c r="D232" s="8" t="s">
        <v>1905</v>
      </c>
      <c r="E232" s="6" t="s">
        <v>2009</v>
      </c>
      <c r="F232" s="6" t="str">
        <f>VLOOKUP(E232,'[3]Full Data-Map'!$C:$D,2,FALSE)</f>
        <v>8_46</v>
      </c>
    </row>
    <row r="233" spans="1:6" x14ac:dyDescent="0.25">
      <c r="A233" s="6" t="str">
        <f t="shared" si="3"/>
        <v>q57_5</v>
      </c>
      <c r="C233" s="6" t="s">
        <v>215</v>
      </c>
      <c r="D233" s="8" t="s">
        <v>1905</v>
      </c>
      <c r="E233" s="6" t="s">
        <v>2010</v>
      </c>
      <c r="F233" s="6" t="str">
        <f>VLOOKUP(E233,'[3]Full Data-Map'!$C:$D,2,FALSE)</f>
        <v>8_47</v>
      </c>
    </row>
    <row r="234" spans="1:6" x14ac:dyDescent="0.25">
      <c r="A234" s="6" t="str">
        <f t="shared" si="3"/>
        <v>q57_6</v>
      </c>
      <c r="C234" s="6" t="s">
        <v>216</v>
      </c>
      <c r="D234" s="8" t="s">
        <v>1905</v>
      </c>
      <c r="E234" s="6" t="s">
        <v>2011</v>
      </c>
      <c r="F234" s="6" t="str">
        <f>VLOOKUP(E234,'[3]Full Data-Map'!$C:$D,2,FALSE)</f>
        <v>8_48</v>
      </c>
    </row>
    <row r="235" spans="1:6" x14ac:dyDescent="0.25">
      <c r="A235" s="6" t="str">
        <f t="shared" si="3"/>
        <v>q5ROW7_hidden</v>
      </c>
      <c r="C235" s="6" t="s">
        <v>217</v>
      </c>
      <c r="D235" s="8" t="s">
        <v>1905</v>
      </c>
      <c r="E235" s="11" t="s">
        <v>2012</v>
      </c>
      <c r="F235" s="6" t="str">
        <f>VLOOKUP(E235,'[3]Full Data-Map'!$C:$D,2,FALSE)</f>
        <v>8_49</v>
      </c>
    </row>
    <row r="236" spans="1:6" x14ac:dyDescent="0.25">
      <c r="A236" s="6" t="str">
        <f t="shared" si="3"/>
        <v>q5other</v>
      </c>
      <c r="C236" s="6" t="s">
        <v>218</v>
      </c>
      <c r="D236" s="8" t="s">
        <v>1890</v>
      </c>
      <c r="E236" s="6" t="s">
        <v>2013</v>
      </c>
      <c r="F236" s="6" t="str">
        <f>VLOOKUP(E236,'[3]Full Data-Map'!$C:$D,2,FALSE)</f>
        <v>8_50</v>
      </c>
    </row>
    <row r="237" spans="1:6" x14ac:dyDescent="0.25">
      <c r="A237" s="6" t="str">
        <f t="shared" si="3"/>
        <v>q58_1</v>
      </c>
      <c r="C237" s="6" t="s">
        <v>219</v>
      </c>
      <c r="D237" s="8" t="s">
        <v>1905</v>
      </c>
      <c r="E237" s="6" t="s">
        <v>2014</v>
      </c>
      <c r="F237" s="6" t="str">
        <f>VLOOKUP(E237,'[3]Full Data-Map'!$C:$D,2,FALSE)</f>
        <v>8_51</v>
      </c>
    </row>
    <row r="238" spans="1:6" x14ac:dyDescent="0.25">
      <c r="A238" s="6" t="str">
        <f t="shared" si="3"/>
        <v>q58_2</v>
      </c>
      <c r="C238" s="6" t="s">
        <v>220</v>
      </c>
      <c r="D238" s="8" t="s">
        <v>1905</v>
      </c>
      <c r="E238" s="6" t="s">
        <v>2015</v>
      </c>
      <c r="F238" s="6" t="str">
        <f>VLOOKUP(E238,'[3]Full Data-Map'!$C:$D,2,FALSE)</f>
        <v>8_52</v>
      </c>
    </row>
    <row r="239" spans="1:6" x14ac:dyDescent="0.25">
      <c r="A239" s="6" t="str">
        <f t="shared" si="3"/>
        <v>q58_3</v>
      </c>
      <c r="C239" s="6" t="s">
        <v>221</v>
      </c>
      <c r="D239" s="8" t="s">
        <v>1905</v>
      </c>
      <c r="E239" s="6" t="s">
        <v>2016</v>
      </c>
      <c r="F239" s="6" t="str">
        <f>VLOOKUP(E239,'[3]Full Data-Map'!$C:$D,2,FALSE)</f>
        <v>8_53</v>
      </c>
    </row>
    <row r="240" spans="1:6" x14ac:dyDescent="0.25">
      <c r="A240" s="6" t="str">
        <f t="shared" si="3"/>
        <v>q58_4</v>
      </c>
      <c r="C240" s="6" t="s">
        <v>222</v>
      </c>
      <c r="D240" s="8" t="s">
        <v>1905</v>
      </c>
      <c r="E240" s="6" t="s">
        <v>2017</v>
      </c>
      <c r="F240" s="6" t="str">
        <f>VLOOKUP(E240,'[3]Full Data-Map'!$C:$D,2,FALSE)</f>
        <v>8_54</v>
      </c>
    </row>
    <row r="241" spans="1:6" x14ac:dyDescent="0.25">
      <c r="A241" s="6" t="str">
        <f t="shared" si="3"/>
        <v>q58_5</v>
      </c>
      <c r="C241" s="6" t="s">
        <v>223</v>
      </c>
      <c r="D241" s="8" t="s">
        <v>1905</v>
      </c>
      <c r="E241" s="6" t="s">
        <v>2018</v>
      </c>
      <c r="F241" s="6" t="str">
        <f>VLOOKUP(E241,'[3]Full Data-Map'!$C:$D,2,FALSE)</f>
        <v>8_55</v>
      </c>
    </row>
    <row r="242" spans="1:6" x14ac:dyDescent="0.25">
      <c r="A242" s="6" t="str">
        <f t="shared" si="3"/>
        <v>q58_6</v>
      </c>
      <c r="C242" s="6" t="s">
        <v>224</v>
      </c>
      <c r="D242" s="8" t="s">
        <v>1905</v>
      </c>
      <c r="E242" s="6" t="s">
        <v>2019</v>
      </c>
      <c r="F242" s="6" t="str">
        <f>VLOOKUP(E242,'[3]Full Data-Map'!$C:$D,2,FALSE)</f>
        <v>8_56</v>
      </c>
    </row>
    <row r="243" spans="1:6" x14ac:dyDescent="0.25">
      <c r="A243" s="6" t="str">
        <f t="shared" si="3"/>
        <v>q5ROW8_hidden</v>
      </c>
      <c r="C243" s="6" t="s">
        <v>225</v>
      </c>
      <c r="D243" s="8" t="s">
        <v>1905</v>
      </c>
      <c r="E243" s="11" t="s">
        <v>2020</v>
      </c>
      <c r="F243" s="6" t="str">
        <f>VLOOKUP(E243,'[3]Full Data-Map'!$C:$D,2,FALSE)</f>
        <v>8_57</v>
      </c>
    </row>
    <row r="244" spans="1:6" x14ac:dyDescent="0.25">
      <c r="A244" s="6" t="str">
        <f t="shared" si="3"/>
        <v>q5COL1_hidden</v>
      </c>
      <c r="C244" s="6" t="s">
        <v>226</v>
      </c>
      <c r="D244" s="8" t="s">
        <v>1905</v>
      </c>
      <c r="E244" s="11" t="s">
        <v>1953</v>
      </c>
      <c r="F244" s="19" t="s">
        <v>2827</v>
      </c>
    </row>
    <row r="245" spans="1:6" x14ac:dyDescent="0.25">
      <c r="A245" s="6" t="str">
        <f t="shared" si="3"/>
        <v>q5COL2_hidden</v>
      </c>
      <c r="C245" s="6" t="s">
        <v>227</v>
      </c>
      <c r="D245" s="8" t="s">
        <v>1905</v>
      </c>
      <c r="E245" s="11" t="s">
        <v>1954</v>
      </c>
      <c r="F245" s="19" t="s">
        <v>2828</v>
      </c>
    </row>
    <row r="246" spans="1:6" x14ac:dyDescent="0.25">
      <c r="A246" s="6" t="str">
        <f t="shared" si="3"/>
        <v>q5COL3_hidden</v>
      </c>
      <c r="C246" s="6" t="s">
        <v>228</v>
      </c>
      <c r="D246" s="8" t="s">
        <v>1905</v>
      </c>
      <c r="E246" s="11" t="s">
        <v>1955</v>
      </c>
      <c r="F246" s="19" t="s">
        <v>2829</v>
      </c>
    </row>
    <row r="247" spans="1:6" x14ac:dyDescent="0.25">
      <c r="A247" s="6" t="str">
        <f t="shared" si="3"/>
        <v>q5COL4_hidden</v>
      </c>
      <c r="C247" s="6" t="s">
        <v>229</v>
      </c>
      <c r="D247" s="8" t="s">
        <v>1905</v>
      </c>
      <c r="E247" s="11" t="s">
        <v>1956</v>
      </c>
      <c r="F247" s="19" t="s">
        <v>2830</v>
      </c>
    </row>
    <row r="248" spans="1:6" x14ac:dyDescent="0.25">
      <c r="A248" s="6" t="str">
        <f t="shared" si="3"/>
        <v>q5COL5_hidden</v>
      </c>
      <c r="C248" s="6" t="s">
        <v>230</v>
      </c>
      <c r="D248" s="8" t="s">
        <v>1905</v>
      </c>
      <c r="E248" s="11" t="s">
        <v>1957</v>
      </c>
      <c r="F248" s="19" t="s">
        <v>2831</v>
      </c>
    </row>
    <row r="249" spans="1:6" x14ac:dyDescent="0.25">
      <c r="A249" s="6" t="str">
        <f t="shared" si="3"/>
        <v>q5COL6_hidden</v>
      </c>
      <c r="C249" s="6" t="s">
        <v>231</v>
      </c>
      <c r="D249" s="8" t="s">
        <v>1905</v>
      </c>
      <c r="E249" s="11" t="s">
        <v>1958</v>
      </c>
      <c r="F249" s="19" t="s">
        <v>2832</v>
      </c>
    </row>
    <row r="250" spans="1:6" x14ac:dyDescent="0.25">
      <c r="A250" s="6" t="str">
        <f t="shared" si="3"/>
        <v>q5GRANDTotal_hidden</v>
      </c>
      <c r="C250" s="6" t="s">
        <v>232</v>
      </c>
      <c r="D250" s="8" t="s">
        <v>1905</v>
      </c>
      <c r="E250" s="11" t="s">
        <v>2021</v>
      </c>
      <c r="F250" s="19" t="s">
        <v>2833</v>
      </c>
    </row>
    <row r="251" spans="1:6" s="9" customFormat="1" x14ac:dyDescent="0.25">
      <c r="A251" s="6" t="str">
        <f t="shared" si="3"/>
        <v/>
      </c>
      <c r="D251" s="10"/>
      <c r="E251" s="9" t="s">
        <v>2022</v>
      </c>
      <c r="F251" s="6">
        <f>VLOOKUP(E251,'[3]Full Data-Map'!$C:$D,2,FALSE)</f>
        <v>9</v>
      </c>
    </row>
    <row r="252" spans="1:6" x14ac:dyDescent="0.25">
      <c r="A252" s="6" t="str">
        <f t="shared" si="3"/>
        <v>q61_1</v>
      </c>
      <c r="C252" s="6" t="s">
        <v>233</v>
      </c>
      <c r="D252" s="8" t="s">
        <v>1905</v>
      </c>
      <c r="E252" s="6" t="s">
        <v>2023</v>
      </c>
      <c r="F252" s="6" t="str">
        <f>VLOOKUP(E252,'[3]Full Data-Map'!$C:$D,2,FALSE)</f>
        <v>9_1</v>
      </c>
    </row>
    <row r="253" spans="1:6" x14ac:dyDescent="0.25">
      <c r="A253" s="6" t="str">
        <f t="shared" si="3"/>
        <v>q61_2</v>
      </c>
      <c r="C253" s="6" t="s">
        <v>234</v>
      </c>
      <c r="D253" s="8" t="s">
        <v>1905</v>
      </c>
      <c r="E253" s="6" t="s">
        <v>2024</v>
      </c>
      <c r="F253" s="6" t="str">
        <f>VLOOKUP(E253,'[3]Full Data-Map'!$C:$D,2,FALSE)</f>
        <v>9_2</v>
      </c>
    </row>
    <row r="254" spans="1:6" x14ac:dyDescent="0.25">
      <c r="A254" s="6" t="str">
        <f t="shared" si="3"/>
        <v>q61_3</v>
      </c>
      <c r="C254" s="6" t="s">
        <v>235</v>
      </c>
      <c r="D254" s="8" t="s">
        <v>1905</v>
      </c>
      <c r="E254" s="6" t="s">
        <v>2025</v>
      </c>
      <c r="F254" s="6" t="str">
        <f>VLOOKUP(E254,'[3]Full Data-Map'!$C:$D,2,FALSE)</f>
        <v>9_3</v>
      </c>
    </row>
    <row r="255" spans="1:6" x14ac:dyDescent="0.25">
      <c r="A255" s="6" t="str">
        <f t="shared" si="3"/>
        <v>q61_4</v>
      </c>
      <c r="C255" s="6" t="s">
        <v>236</v>
      </c>
      <c r="D255" s="8" t="s">
        <v>1905</v>
      </c>
      <c r="E255" s="6" t="s">
        <v>2026</v>
      </c>
      <c r="F255" s="6" t="str">
        <f>VLOOKUP(E255,'[3]Full Data-Map'!$C:$D,2,FALSE)</f>
        <v>9_4</v>
      </c>
    </row>
    <row r="256" spans="1:6" x14ac:dyDescent="0.25">
      <c r="A256" s="6" t="str">
        <f t="shared" si="3"/>
        <v>q61_5</v>
      </c>
      <c r="C256" s="6" t="s">
        <v>237</v>
      </c>
      <c r="D256" s="8" t="s">
        <v>1905</v>
      </c>
      <c r="E256" s="6" t="s">
        <v>2027</v>
      </c>
      <c r="F256" s="6" t="str">
        <f>VLOOKUP(E256,'[3]Full Data-Map'!$C:$D,2,FALSE)</f>
        <v>9_5</v>
      </c>
    </row>
    <row r="257" spans="1:6" x14ac:dyDescent="0.25">
      <c r="A257" s="6" t="str">
        <f t="shared" si="3"/>
        <v>q61_6</v>
      </c>
      <c r="C257" s="6" t="s">
        <v>238</v>
      </c>
      <c r="D257" s="8" t="s">
        <v>1905</v>
      </c>
      <c r="E257" s="6" t="s">
        <v>2028</v>
      </c>
      <c r="F257" s="6" t="str">
        <f>VLOOKUP(E257,'[3]Full Data-Map'!$C:$D,2,FALSE)</f>
        <v>9_6</v>
      </c>
    </row>
    <row r="258" spans="1:6" x14ac:dyDescent="0.25">
      <c r="A258" s="6" t="str">
        <f t="shared" si="3"/>
        <v>q6ROW1_hidden</v>
      </c>
      <c r="C258" s="6" t="s">
        <v>239</v>
      </c>
      <c r="D258" s="8" t="s">
        <v>1905</v>
      </c>
      <c r="E258" s="11" t="s">
        <v>2029</v>
      </c>
      <c r="F258" s="6" t="str">
        <f>VLOOKUP(E258,'[3]Full Data-Map'!$C:$D,2,FALSE)</f>
        <v>9_7</v>
      </c>
    </row>
    <row r="259" spans="1:6" x14ac:dyDescent="0.25">
      <c r="A259" s="6" t="str">
        <f t="shared" ref="A259:A322" si="4">_xlfn.CONCAT(C259,B259)</f>
        <v>q62_1</v>
      </c>
      <c r="C259" s="6" t="s">
        <v>240</v>
      </c>
      <c r="D259" s="8" t="s">
        <v>1905</v>
      </c>
      <c r="E259" s="6" t="s">
        <v>2030</v>
      </c>
      <c r="F259" s="6" t="str">
        <f>VLOOKUP(E259,'[3]Full Data-Map'!$C:$D,2,FALSE)</f>
        <v>9_8</v>
      </c>
    </row>
    <row r="260" spans="1:6" x14ac:dyDescent="0.25">
      <c r="A260" s="6" t="str">
        <f t="shared" si="4"/>
        <v>q62_2</v>
      </c>
      <c r="C260" s="6" t="s">
        <v>241</v>
      </c>
      <c r="D260" s="8" t="s">
        <v>1905</v>
      </c>
      <c r="E260" s="6" t="s">
        <v>2031</v>
      </c>
      <c r="F260" s="6" t="str">
        <f>VLOOKUP(E260,'[3]Full Data-Map'!$C:$D,2,FALSE)</f>
        <v>9_9</v>
      </c>
    </row>
    <row r="261" spans="1:6" x14ac:dyDescent="0.25">
      <c r="A261" s="6" t="str">
        <f t="shared" si="4"/>
        <v>q62_3</v>
      </c>
      <c r="C261" s="6" t="s">
        <v>242</v>
      </c>
      <c r="D261" s="8" t="s">
        <v>1905</v>
      </c>
      <c r="E261" s="6" t="s">
        <v>2032</v>
      </c>
      <c r="F261" s="6" t="str">
        <f>VLOOKUP(E261,'[3]Full Data-Map'!$C:$D,2,FALSE)</f>
        <v>9_10</v>
      </c>
    </row>
    <row r="262" spans="1:6" x14ac:dyDescent="0.25">
      <c r="A262" s="6" t="str">
        <f t="shared" si="4"/>
        <v>q62_4</v>
      </c>
      <c r="C262" s="6" t="s">
        <v>243</v>
      </c>
      <c r="D262" s="8" t="s">
        <v>1905</v>
      </c>
      <c r="E262" s="6" t="s">
        <v>2033</v>
      </c>
      <c r="F262" s="6" t="str">
        <f>VLOOKUP(E262,'[3]Full Data-Map'!$C:$D,2,FALSE)</f>
        <v>9_11</v>
      </c>
    </row>
    <row r="263" spans="1:6" x14ac:dyDescent="0.25">
      <c r="A263" s="6" t="str">
        <f t="shared" si="4"/>
        <v>q62_5</v>
      </c>
      <c r="C263" s="6" t="s">
        <v>244</v>
      </c>
      <c r="D263" s="8" t="s">
        <v>1905</v>
      </c>
      <c r="E263" s="6" t="s">
        <v>2034</v>
      </c>
      <c r="F263" s="6" t="str">
        <f>VLOOKUP(E263,'[3]Full Data-Map'!$C:$D,2,FALSE)</f>
        <v>9_12</v>
      </c>
    </row>
    <row r="264" spans="1:6" x14ac:dyDescent="0.25">
      <c r="A264" s="6" t="str">
        <f t="shared" si="4"/>
        <v>q62_6</v>
      </c>
      <c r="C264" s="6" t="s">
        <v>245</v>
      </c>
      <c r="D264" s="8" t="s">
        <v>1905</v>
      </c>
      <c r="E264" s="6" t="s">
        <v>2035</v>
      </c>
      <c r="F264" s="6" t="str">
        <f>VLOOKUP(E264,'[3]Full Data-Map'!$C:$D,2,FALSE)</f>
        <v>9_13</v>
      </c>
    </row>
    <row r="265" spans="1:6" x14ac:dyDescent="0.25">
      <c r="A265" s="6" t="str">
        <f t="shared" si="4"/>
        <v>q6ROW2_hidden</v>
      </c>
      <c r="C265" s="6" t="s">
        <v>246</v>
      </c>
      <c r="D265" s="8" t="s">
        <v>1905</v>
      </c>
      <c r="E265" s="11" t="s">
        <v>2036</v>
      </c>
      <c r="F265" s="6" t="str">
        <f>VLOOKUP(E265,'[3]Full Data-Map'!$C:$D,2,FALSE)</f>
        <v>9_14</v>
      </c>
    </row>
    <row r="266" spans="1:6" x14ac:dyDescent="0.25">
      <c r="A266" s="6" t="str">
        <f t="shared" si="4"/>
        <v>q63_1</v>
      </c>
      <c r="C266" s="6" t="s">
        <v>247</v>
      </c>
      <c r="D266" s="8" t="s">
        <v>1905</v>
      </c>
      <c r="E266" s="6" t="s">
        <v>2037</v>
      </c>
      <c r="F266" s="6" t="str">
        <f>VLOOKUP(E266,'[3]Full Data-Map'!$C:$D,2,FALSE)</f>
        <v>9_15</v>
      </c>
    </row>
    <row r="267" spans="1:6" x14ac:dyDescent="0.25">
      <c r="A267" s="6" t="str">
        <f t="shared" si="4"/>
        <v>q63_2</v>
      </c>
      <c r="C267" s="6" t="s">
        <v>248</v>
      </c>
      <c r="D267" s="8" t="s">
        <v>1905</v>
      </c>
      <c r="E267" s="6" t="s">
        <v>2038</v>
      </c>
      <c r="F267" s="6" t="str">
        <f>VLOOKUP(E267,'[3]Full Data-Map'!$C:$D,2,FALSE)</f>
        <v>9_16</v>
      </c>
    </row>
    <row r="268" spans="1:6" x14ac:dyDescent="0.25">
      <c r="A268" s="6" t="str">
        <f t="shared" si="4"/>
        <v>q63_3</v>
      </c>
      <c r="C268" s="6" t="s">
        <v>249</v>
      </c>
      <c r="D268" s="8" t="s">
        <v>1905</v>
      </c>
      <c r="E268" s="6" t="s">
        <v>2039</v>
      </c>
      <c r="F268" s="6" t="str">
        <f>VLOOKUP(E268,'[3]Full Data-Map'!$C:$D,2,FALSE)</f>
        <v>9_17</v>
      </c>
    </row>
    <row r="269" spans="1:6" x14ac:dyDescent="0.25">
      <c r="A269" s="6" t="str">
        <f t="shared" si="4"/>
        <v>q63_4</v>
      </c>
      <c r="C269" s="6" t="s">
        <v>250</v>
      </c>
      <c r="D269" s="8" t="s">
        <v>1905</v>
      </c>
      <c r="E269" s="6" t="s">
        <v>2040</v>
      </c>
      <c r="F269" s="6" t="str">
        <f>VLOOKUP(E269,'[3]Full Data-Map'!$C:$D,2,FALSE)</f>
        <v>9_18</v>
      </c>
    </row>
    <row r="270" spans="1:6" x14ac:dyDescent="0.25">
      <c r="A270" s="6" t="str">
        <f t="shared" si="4"/>
        <v>q63_5</v>
      </c>
      <c r="C270" s="6" t="s">
        <v>251</v>
      </c>
      <c r="D270" s="8" t="s">
        <v>1905</v>
      </c>
      <c r="E270" s="6" t="s">
        <v>2041</v>
      </c>
      <c r="F270" s="6" t="str">
        <f>VLOOKUP(E270,'[3]Full Data-Map'!$C:$D,2,FALSE)</f>
        <v>9_19</v>
      </c>
    </row>
    <row r="271" spans="1:6" x14ac:dyDescent="0.25">
      <c r="A271" s="6" t="str">
        <f t="shared" si="4"/>
        <v>q63_6</v>
      </c>
      <c r="C271" s="6" t="s">
        <v>252</v>
      </c>
      <c r="D271" s="8" t="s">
        <v>1905</v>
      </c>
      <c r="E271" s="6" t="s">
        <v>2042</v>
      </c>
      <c r="F271" s="6" t="str">
        <f>VLOOKUP(E271,'[3]Full Data-Map'!$C:$D,2,FALSE)</f>
        <v>9_20</v>
      </c>
    </row>
    <row r="272" spans="1:6" x14ac:dyDescent="0.25">
      <c r="A272" s="6" t="str">
        <f t="shared" si="4"/>
        <v>q6ROW3_hidden</v>
      </c>
      <c r="C272" s="6" t="s">
        <v>253</v>
      </c>
      <c r="D272" s="8" t="s">
        <v>1905</v>
      </c>
      <c r="E272" s="11" t="s">
        <v>2043</v>
      </c>
      <c r="F272" s="6" t="str">
        <f>VLOOKUP(E272,'[3]Full Data-Map'!$C:$D,2,FALSE)</f>
        <v>9_21</v>
      </c>
    </row>
    <row r="273" spans="1:6" x14ac:dyDescent="0.25">
      <c r="A273" s="6" t="str">
        <f t="shared" si="4"/>
        <v>q64_1</v>
      </c>
      <c r="C273" s="6" t="s">
        <v>254</v>
      </c>
      <c r="D273" s="8" t="s">
        <v>1905</v>
      </c>
      <c r="E273" s="6" t="s">
        <v>2044</v>
      </c>
      <c r="F273" s="6" t="str">
        <f>VLOOKUP(E273,'[3]Full Data-Map'!$C:$D,2,FALSE)</f>
        <v>9_22</v>
      </c>
    </row>
    <row r="274" spans="1:6" x14ac:dyDescent="0.25">
      <c r="A274" s="6" t="str">
        <f t="shared" si="4"/>
        <v>q64_2</v>
      </c>
      <c r="C274" s="6" t="s">
        <v>255</v>
      </c>
      <c r="D274" s="8" t="s">
        <v>1905</v>
      </c>
      <c r="E274" s="6" t="s">
        <v>2045</v>
      </c>
      <c r="F274" s="6" t="str">
        <f>VLOOKUP(E274,'[3]Full Data-Map'!$C:$D,2,FALSE)</f>
        <v>9_23</v>
      </c>
    </row>
    <row r="275" spans="1:6" x14ac:dyDescent="0.25">
      <c r="A275" s="6" t="str">
        <f t="shared" si="4"/>
        <v>q64_3</v>
      </c>
      <c r="C275" s="6" t="s">
        <v>256</v>
      </c>
      <c r="D275" s="8" t="s">
        <v>1905</v>
      </c>
      <c r="E275" s="6" t="s">
        <v>2046</v>
      </c>
      <c r="F275" s="6" t="str">
        <f>VLOOKUP(E275,'[3]Full Data-Map'!$C:$D,2,FALSE)</f>
        <v>9_24</v>
      </c>
    </row>
    <row r="276" spans="1:6" x14ac:dyDescent="0.25">
      <c r="A276" s="6" t="str">
        <f t="shared" si="4"/>
        <v>q64_4</v>
      </c>
      <c r="C276" s="6" t="s">
        <v>257</v>
      </c>
      <c r="D276" s="8" t="s">
        <v>1905</v>
      </c>
      <c r="E276" s="6" t="s">
        <v>2047</v>
      </c>
      <c r="F276" s="6" t="str">
        <f>VLOOKUP(E276,'[3]Full Data-Map'!$C:$D,2,FALSE)</f>
        <v>9_25</v>
      </c>
    </row>
    <row r="277" spans="1:6" x14ac:dyDescent="0.25">
      <c r="A277" s="6" t="str">
        <f t="shared" si="4"/>
        <v>q64_5</v>
      </c>
      <c r="C277" s="6" t="s">
        <v>258</v>
      </c>
      <c r="D277" s="8" t="s">
        <v>1905</v>
      </c>
      <c r="E277" s="6" t="s">
        <v>2048</v>
      </c>
      <c r="F277" s="6" t="str">
        <f>VLOOKUP(E277,'[3]Full Data-Map'!$C:$D,2,FALSE)</f>
        <v>9_26</v>
      </c>
    </row>
    <row r="278" spans="1:6" x14ac:dyDescent="0.25">
      <c r="A278" s="6" t="str">
        <f t="shared" si="4"/>
        <v>q64_6</v>
      </c>
      <c r="C278" s="6" t="s">
        <v>259</v>
      </c>
      <c r="D278" s="8" t="s">
        <v>1905</v>
      </c>
      <c r="E278" s="6" t="s">
        <v>2049</v>
      </c>
      <c r="F278" s="6" t="str">
        <f>VLOOKUP(E278,'[3]Full Data-Map'!$C:$D,2,FALSE)</f>
        <v>9_27</v>
      </c>
    </row>
    <row r="279" spans="1:6" x14ac:dyDescent="0.25">
      <c r="A279" s="6" t="str">
        <f t="shared" si="4"/>
        <v>q6ROW4_hidden</v>
      </c>
      <c r="C279" s="6" t="s">
        <v>260</v>
      </c>
      <c r="D279" s="8" t="s">
        <v>1905</v>
      </c>
      <c r="E279" s="11" t="s">
        <v>2050</v>
      </c>
      <c r="F279" s="6" t="str">
        <f>VLOOKUP(E279,'[3]Full Data-Map'!$C:$D,2,FALSE)</f>
        <v>9_28</v>
      </c>
    </row>
    <row r="280" spans="1:6" x14ac:dyDescent="0.25">
      <c r="A280" s="6" t="str">
        <f t="shared" si="4"/>
        <v>q65_1</v>
      </c>
      <c r="C280" s="6" t="s">
        <v>261</v>
      </c>
      <c r="D280" s="8" t="s">
        <v>1905</v>
      </c>
      <c r="E280" s="6" t="s">
        <v>2051</v>
      </c>
      <c r="F280" s="6" t="str">
        <f>VLOOKUP(E280,'[3]Full Data-Map'!$C:$D,2,FALSE)</f>
        <v>9_29</v>
      </c>
    </row>
    <row r="281" spans="1:6" x14ac:dyDescent="0.25">
      <c r="A281" s="6" t="str">
        <f t="shared" si="4"/>
        <v>q65_2</v>
      </c>
      <c r="C281" s="6" t="s">
        <v>262</v>
      </c>
      <c r="D281" s="8" t="s">
        <v>1905</v>
      </c>
      <c r="E281" s="6" t="s">
        <v>2052</v>
      </c>
      <c r="F281" s="6" t="str">
        <f>VLOOKUP(E281,'[3]Full Data-Map'!$C:$D,2,FALSE)</f>
        <v>9_30</v>
      </c>
    </row>
    <row r="282" spans="1:6" x14ac:dyDescent="0.25">
      <c r="A282" s="6" t="str">
        <f t="shared" si="4"/>
        <v>q65_3</v>
      </c>
      <c r="C282" s="6" t="s">
        <v>263</v>
      </c>
      <c r="D282" s="8" t="s">
        <v>1905</v>
      </c>
      <c r="E282" s="6" t="s">
        <v>2053</v>
      </c>
      <c r="F282" s="6" t="str">
        <f>VLOOKUP(E282,'[3]Full Data-Map'!$C:$D,2,FALSE)</f>
        <v>9_31</v>
      </c>
    </row>
    <row r="283" spans="1:6" x14ac:dyDescent="0.25">
      <c r="A283" s="6" t="str">
        <f t="shared" si="4"/>
        <v>q65_4</v>
      </c>
      <c r="C283" s="6" t="s">
        <v>264</v>
      </c>
      <c r="D283" s="8" t="s">
        <v>1905</v>
      </c>
      <c r="E283" s="6" t="s">
        <v>2054</v>
      </c>
      <c r="F283" s="6" t="str">
        <f>VLOOKUP(E283,'[3]Full Data-Map'!$C:$D,2,FALSE)</f>
        <v>9_32</v>
      </c>
    </row>
    <row r="284" spans="1:6" x14ac:dyDescent="0.25">
      <c r="A284" s="6" t="str">
        <f t="shared" si="4"/>
        <v>q65_5</v>
      </c>
      <c r="C284" s="6" t="s">
        <v>265</v>
      </c>
      <c r="D284" s="8" t="s">
        <v>1905</v>
      </c>
      <c r="E284" s="6" t="s">
        <v>2055</v>
      </c>
      <c r="F284" s="6" t="str">
        <f>VLOOKUP(E284,'[3]Full Data-Map'!$C:$D,2,FALSE)</f>
        <v>9_33</v>
      </c>
    </row>
    <row r="285" spans="1:6" x14ac:dyDescent="0.25">
      <c r="A285" s="6" t="str">
        <f t="shared" si="4"/>
        <v>q65_6</v>
      </c>
      <c r="C285" s="6" t="s">
        <v>266</v>
      </c>
      <c r="D285" s="8" t="s">
        <v>1905</v>
      </c>
      <c r="E285" s="6" t="s">
        <v>2056</v>
      </c>
      <c r="F285" s="6" t="str">
        <f>VLOOKUP(E285,'[3]Full Data-Map'!$C:$D,2,FALSE)</f>
        <v>9_34</v>
      </c>
    </row>
    <row r="286" spans="1:6" x14ac:dyDescent="0.25">
      <c r="A286" s="6" t="str">
        <f t="shared" si="4"/>
        <v>q6ROW5_hidden</v>
      </c>
      <c r="C286" s="6" t="s">
        <v>267</v>
      </c>
      <c r="D286" s="8" t="s">
        <v>1905</v>
      </c>
      <c r="E286" s="11" t="s">
        <v>2057</v>
      </c>
      <c r="F286" s="6" t="str">
        <f>VLOOKUP(E286,'[3]Full Data-Map'!$C:$D,2,FALSE)</f>
        <v>9_35</v>
      </c>
    </row>
    <row r="287" spans="1:6" x14ac:dyDescent="0.25">
      <c r="A287" s="6" t="str">
        <f t="shared" si="4"/>
        <v>q6COL1_hidden</v>
      </c>
      <c r="C287" s="6" t="s">
        <v>268</v>
      </c>
      <c r="D287" s="8" t="s">
        <v>1905</v>
      </c>
      <c r="E287" s="11" t="s">
        <v>1953</v>
      </c>
      <c r="F287" s="19" t="s">
        <v>2834</v>
      </c>
    </row>
    <row r="288" spans="1:6" x14ac:dyDescent="0.25">
      <c r="A288" s="6" t="str">
        <f t="shared" si="4"/>
        <v>q6COL2_hidden</v>
      </c>
      <c r="C288" s="6" t="s">
        <v>269</v>
      </c>
      <c r="D288" s="8" t="s">
        <v>1905</v>
      </c>
      <c r="E288" s="11" t="s">
        <v>1954</v>
      </c>
      <c r="F288" s="19" t="s">
        <v>2835</v>
      </c>
    </row>
    <row r="289" spans="1:6" x14ac:dyDescent="0.25">
      <c r="A289" s="6" t="str">
        <f t="shared" si="4"/>
        <v>q6COL3_hidden</v>
      </c>
      <c r="C289" s="6" t="s">
        <v>270</v>
      </c>
      <c r="D289" s="8" t="s">
        <v>1905</v>
      </c>
      <c r="E289" s="11" t="s">
        <v>1955</v>
      </c>
      <c r="F289" s="19" t="s">
        <v>2836</v>
      </c>
    </row>
    <row r="290" spans="1:6" x14ac:dyDescent="0.25">
      <c r="A290" s="6" t="str">
        <f t="shared" si="4"/>
        <v>q6COL4_hidden</v>
      </c>
      <c r="C290" s="6" t="s">
        <v>271</v>
      </c>
      <c r="D290" s="8" t="s">
        <v>1905</v>
      </c>
      <c r="E290" s="11" t="s">
        <v>1956</v>
      </c>
      <c r="F290" s="19" t="s">
        <v>2837</v>
      </c>
    </row>
    <row r="291" spans="1:6" x14ac:dyDescent="0.25">
      <c r="A291" s="6" t="str">
        <f t="shared" si="4"/>
        <v>q6COL5_hidden</v>
      </c>
      <c r="C291" s="6" t="s">
        <v>272</v>
      </c>
      <c r="D291" s="8" t="s">
        <v>1905</v>
      </c>
      <c r="E291" s="11" t="s">
        <v>1957</v>
      </c>
      <c r="F291" s="19" t="s">
        <v>2838</v>
      </c>
    </row>
    <row r="292" spans="1:6" x14ac:dyDescent="0.25">
      <c r="A292" s="6" t="str">
        <f t="shared" si="4"/>
        <v>q6COL6_hidden</v>
      </c>
      <c r="C292" s="6" t="s">
        <v>273</v>
      </c>
      <c r="D292" s="8" t="s">
        <v>1905</v>
      </c>
      <c r="E292" s="11" t="s">
        <v>1958</v>
      </c>
      <c r="F292" s="19" t="s">
        <v>2839</v>
      </c>
    </row>
    <row r="293" spans="1:6" x14ac:dyDescent="0.25">
      <c r="A293" s="6" t="str">
        <f t="shared" si="4"/>
        <v>q6GRANDTotal_hidden</v>
      </c>
      <c r="C293" s="6" t="s">
        <v>274</v>
      </c>
      <c r="D293" s="8" t="s">
        <v>1905</v>
      </c>
      <c r="E293" s="11" t="s">
        <v>2058</v>
      </c>
      <c r="F293" s="19" t="s">
        <v>2840</v>
      </c>
    </row>
    <row r="294" spans="1:6" s="9" customFormat="1" x14ac:dyDescent="0.25">
      <c r="A294" s="6" t="str">
        <f t="shared" si="4"/>
        <v/>
      </c>
      <c r="D294" s="10"/>
      <c r="E294" s="9" t="s">
        <v>2059</v>
      </c>
      <c r="F294" s="6">
        <f>VLOOKUP(E294,'[3]Full Data-Map'!$C:$D,2,FALSE)</f>
        <v>10</v>
      </c>
    </row>
    <row r="295" spans="1:6" x14ac:dyDescent="0.25">
      <c r="A295" s="6" t="str">
        <f t="shared" si="4"/>
        <v>q7_1</v>
      </c>
      <c r="C295" s="6" t="s">
        <v>275</v>
      </c>
      <c r="D295" s="8" t="s">
        <v>2060</v>
      </c>
      <c r="E295" s="6" t="s">
        <v>2061</v>
      </c>
      <c r="F295" s="6" t="str">
        <f>VLOOKUP(E295,'[3]Full Data-Map'!$C:$D,2,FALSE)</f>
        <v>10_1</v>
      </c>
    </row>
    <row r="296" spans="1:6" x14ac:dyDescent="0.25">
      <c r="A296" s="6" t="str">
        <f t="shared" si="4"/>
        <v>q7_2</v>
      </c>
      <c r="C296" s="6" t="s">
        <v>276</v>
      </c>
      <c r="D296" s="8" t="s">
        <v>2060</v>
      </c>
      <c r="E296" s="6" t="s">
        <v>2062</v>
      </c>
      <c r="F296" s="6" t="str">
        <f>VLOOKUP(E296,'[3]Full Data-Map'!$C:$D,2,FALSE)</f>
        <v>10_2</v>
      </c>
    </row>
    <row r="297" spans="1:6" x14ac:dyDescent="0.25">
      <c r="A297" s="6" t="str">
        <f t="shared" si="4"/>
        <v>q7_3</v>
      </c>
      <c r="C297" s="6" t="s">
        <v>277</v>
      </c>
      <c r="D297" s="8" t="s">
        <v>2060</v>
      </c>
      <c r="E297" s="6" t="s">
        <v>2063</v>
      </c>
      <c r="F297" s="6" t="str">
        <f>VLOOKUP(E297,'[3]Full Data-Map'!$C:$D,2,FALSE)</f>
        <v>10_3</v>
      </c>
    </row>
    <row r="298" spans="1:6" x14ac:dyDescent="0.25">
      <c r="A298" s="6" t="str">
        <f t="shared" si="4"/>
        <v>q7other</v>
      </c>
      <c r="C298" s="6" t="s">
        <v>278</v>
      </c>
      <c r="D298" s="8" t="s">
        <v>1890</v>
      </c>
      <c r="E298" s="6" t="s">
        <v>2013</v>
      </c>
      <c r="F298" s="19" t="s">
        <v>2825</v>
      </c>
    </row>
    <row r="299" spans="1:6" x14ac:dyDescent="0.25">
      <c r="A299" s="6" t="str">
        <f t="shared" si="4"/>
        <v>q7_4</v>
      </c>
      <c r="C299" s="6" t="s">
        <v>279</v>
      </c>
      <c r="D299" s="8" t="s">
        <v>2060</v>
      </c>
      <c r="E299" s="6" t="s">
        <v>2064</v>
      </c>
      <c r="F299" s="6" t="str">
        <f>VLOOKUP(E299,'[3]Full Data-Map'!$C:$D,2,FALSE)</f>
        <v>10_5</v>
      </c>
    </row>
    <row r="300" spans="1:6" s="9" customFormat="1" x14ac:dyDescent="0.25">
      <c r="A300" s="6" t="str">
        <f t="shared" si="4"/>
        <v>q8</v>
      </c>
      <c r="C300" s="9" t="s">
        <v>280</v>
      </c>
      <c r="D300" s="10" t="s">
        <v>1900</v>
      </c>
      <c r="E300" s="12" t="s">
        <v>2065</v>
      </c>
      <c r="F300" s="6">
        <f>VLOOKUP(E300,'[3]Full Data-Map'!$C:$D,2,FALSE)</f>
        <v>11</v>
      </c>
    </row>
    <row r="301" spans="1:6" s="9" customFormat="1" x14ac:dyDescent="0.25">
      <c r="A301" s="6" t="str">
        <f t="shared" si="4"/>
        <v>q9</v>
      </c>
      <c r="C301" s="9" t="s">
        <v>281</v>
      </c>
      <c r="D301" s="10" t="s">
        <v>1900</v>
      </c>
      <c r="E301" s="12" t="s">
        <v>2066</v>
      </c>
      <c r="F301" s="6">
        <f>VLOOKUP(E301,'[3]Full Data-Map'!$C:$D,2,FALSE)</f>
        <v>12</v>
      </c>
    </row>
    <row r="302" spans="1:6" s="9" customFormat="1" x14ac:dyDescent="0.25">
      <c r="A302" s="6" t="str">
        <f t="shared" si="4"/>
        <v>q91</v>
      </c>
      <c r="C302" s="9" t="s">
        <v>282</v>
      </c>
      <c r="D302" s="10" t="s">
        <v>1900</v>
      </c>
      <c r="E302" s="12" t="s">
        <v>2067</v>
      </c>
      <c r="F302" s="6">
        <f>VLOOKUP(E302,'[3]Full Data-Map'!$C:$D,2,FALSE)</f>
        <v>13</v>
      </c>
    </row>
    <row r="303" spans="1:6" x14ac:dyDescent="0.25">
      <c r="A303" s="6" t="str">
        <f t="shared" si="4"/>
        <v>ASIA PACIFIC_apac</v>
      </c>
      <c r="B303" s="6" t="s">
        <v>2087</v>
      </c>
      <c r="C303" s="13" t="s">
        <v>283</v>
      </c>
      <c r="D303" s="14"/>
      <c r="E303" s="12" t="s">
        <v>2068</v>
      </c>
      <c r="F303" s="6">
        <f>VLOOKUP(E303,'[3]Full Data-Map'!$C:$D,2,FALSE)</f>
        <v>14</v>
      </c>
    </row>
    <row r="304" spans="1:6" x14ac:dyDescent="0.25">
      <c r="A304" s="6" t="str">
        <f t="shared" si="4"/>
        <v>q101_1_apac</v>
      </c>
      <c r="B304" s="6" t="str">
        <f t="shared" ref="B304:B367" si="5">B303</f>
        <v>_apac</v>
      </c>
      <c r="C304" s="6" t="s">
        <v>284</v>
      </c>
      <c r="D304" s="15" t="s">
        <v>1905</v>
      </c>
      <c r="E304" s="6" t="s">
        <v>1965</v>
      </c>
      <c r="F304" s="19" t="s">
        <v>2826</v>
      </c>
    </row>
    <row r="305" spans="1:6" x14ac:dyDescent="0.25">
      <c r="A305" s="6" t="str">
        <f t="shared" si="4"/>
        <v>q101_2_apac</v>
      </c>
      <c r="B305" s="6" t="str">
        <f t="shared" si="5"/>
        <v>_apac</v>
      </c>
      <c r="C305" s="6" t="s">
        <v>285</v>
      </c>
      <c r="D305" s="15" t="s">
        <v>1905</v>
      </c>
      <c r="E305" s="6" t="s">
        <v>1966</v>
      </c>
      <c r="F305" s="19" t="s">
        <v>2841</v>
      </c>
    </row>
    <row r="306" spans="1:6" x14ac:dyDescent="0.25">
      <c r="A306" s="6" t="str">
        <f t="shared" si="4"/>
        <v>q101_3_apac</v>
      </c>
      <c r="B306" s="6" t="str">
        <f t="shared" si="5"/>
        <v>_apac</v>
      </c>
      <c r="C306" s="6" t="s">
        <v>286</v>
      </c>
      <c r="D306" s="15" t="s">
        <v>1905</v>
      </c>
      <c r="E306" s="6" t="s">
        <v>1967</v>
      </c>
      <c r="F306" s="19" t="s">
        <v>2842</v>
      </c>
    </row>
    <row r="307" spans="1:6" x14ac:dyDescent="0.25">
      <c r="A307" s="6" t="str">
        <f t="shared" si="4"/>
        <v>q101_4_apac</v>
      </c>
      <c r="B307" s="6" t="str">
        <f t="shared" si="5"/>
        <v>_apac</v>
      </c>
      <c r="C307" s="6" t="s">
        <v>287</v>
      </c>
      <c r="D307" s="15" t="s">
        <v>1905</v>
      </c>
      <c r="E307" s="6" t="s">
        <v>1968</v>
      </c>
      <c r="F307" s="19" t="s">
        <v>2843</v>
      </c>
    </row>
    <row r="308" spans="1:6" x14ac:dyDescent="0.25">
      <c r="A308" s="6" t="str">
        <f t="shared" si="4"/>
        <v>q101_5_apac</v>
      </c>
      <c r="B308" s="6" t="str">
        <f t="shared" si="5"/>
        <v>_apac</v>
      </c>
      <c r="C308" s="6" t="s">
        <v>288</v>
      </c>
      <c r="D308" s="15" t="s">
        <v>1905</v>
      </c>
      <c r="E308" s="6" t="s">
        <v>1969</v>
      </c>
      <c r="F308" s="19" t="s">
        <v>2844</v>
      </c>
    </row>
    <row r="309" spans="1:6" x14ac:dyDescent="0.25">
      <c r="A309" s="6" t="str">
        <f t="shared" si="4"/>
        <v>q101_6_apac</v>
      </c>
      <c r="B309" s="6" t="str">
        <f t="shared" si="5"/>
        <v>_apac</v>
      </c>
      <c r="C309" s="6" t="s">
        <v>289</v>
      </c>
      <c r="D309" s="15" t="s">
        <v>1905</v>
      </c>
      <c r="E309" s="6" t="s">
        <v>1970</v>
      </c>
      <c r="F309" s="19" t="s">
        <v>2845</v>
      </c>
    </row>
    <row r="310" spans="1:6" x14ac:dyDescent="0.25">
      <c r="A310" s="6" t="str">
        <f t="shared" si="4"/>
        <v>q10ROW1_hidden_apac</v>
      </c>
      <c r="B310" s="6" t="str">
        <f t="shared" si="5"/>
        <v>_apac</v>
      </c>
      <c r="C310" s="6" t="s">
        <v>290</v>
      </c>
      <c r="D310" s="15" t="s">
        <v>1905</v>
      </c>
      <c r="E310" s="11" t="s">
        <v>1971</v>
      </c>
      <c r="F310" s="19" t="s">
        <v>2846</v>
      </c>
    </row>
    <row r="311" spans="1:6" x14ac:dyDescent="0.25">
      <c r="A311" s="6" t="str">
        <f t="shared" si="4"/>
        <v>q102_1_apac</v>
      </c>
      <c r="B311" s="6" t="str">
        <f t="shared" si="5"/>
        <v>_apac</v>
      </c>
      <c r="C311" s="6" t="s">
        <v>291</v>
      </c>
      <c r="D311" s="15" t="s">
        <v>1905</v>
      </c>
      <c r="E311" s="6" t="s">
        <v>1972</v>
      </c>
      <c r="F311" s="19" t="s">
        <v>2847</v>
      </c>
    </row>
    <row r="312" spans="1:6" x14ac:dyDescent="0.25">
      <c r="A312" s="6" t="str">
        <f t="shared" si="4"/>
        <v>q102_2_apac</v>
      </c>
      <c r="B312" s="6" t="str">
        <f t="shared" si="5"/>
        <v>_apac</v>
      </c>
      <c r="C312" s="6" t="s">
        <v>292</v>
      </c>
      <c r="D312" s="15" t="s">
        <v>1905</v>
      </c>
      <c r="E312" s="6" t="s">
        <v>1973</v>
      </c>
      <c r="F312" s="19" t="s">
        <v>2848</v>
      </c>
    </row>
    <row r="313" spans="1:6" x14ac:dyDescent="0.25">
      <c r="A313" s="6" t="str">
        <f t="shared" si="4"/>
        <v>q102_3_apac</v>
      </c>
      <c r="B313" s="6" t="str">
        <f t="shared" si="5"/>
        <v>_apac</v>
      </c>
      <c r="C313" s="6" t="s">
        <v>293</v>
      </c>
      <c r="D313" s="15" t="s">
        <v>1905</v>
      </c>
      <c r="E313" s="6" t="s">
        <v>1974</v>
      </c>
      <c r="F313" s="19" t="s">
        <v>2849</v>
      </c>
    </row>
    <row r="314" spans="1:6" x14ac:dyDescent="0.25">
      <c r="A314" s="6" t="str">
        <f t="shared" si="4"/>
        <v>q102_4_apac</v>
      </c>
      <c r="B314" s="6" t="str">
        <f t="shared" si="5"/>
        <v>_apac</v>
      </c>
      <c r="C314" s="6" t="s">
        <v>294</v>
      </c>
      <c r="D314" s="15" t="s">
        <v>1905</v>
      </c>
      <c r="E314" s="6" t="s">
        <v>1975</v>
      </c>
      <c r="F314" s="19" t="s">
        <v>2850</v>
      </c>
    </row>
    <row r="315" spans="1:6" x14ac:dyDescent="0.25">
      <c r="A315" s="6" t="str">
        <f t="shared" si="4"/>
        <v>q102_5_apac</v>
      </c>
      <c r="B315" s="6" t="str">
        <f t="shared" si="5"/>
        <v>_apac</v>
      </c>
      <c r="C315" s="6" t="s">
        <v>295</v>
      </c>
      <c r="D315" s="15" t="s">
        <v>1905</v>
      </c>
      <c r="E315" s="6" t="s">
        <v>1976</v>
      </c>
      <c r="F315" s="19" t="s">
        <v>2851</v>
      </c>
    </row>
    <row r="316" spans="1:6" x14ac:dyDescent="0.25">
      <c r="A316" s="6" t="str">
        <f t="shared" si="4"/>
        <v>q102_6_apac</v>
      </c>
      <c r="B316" s="6" t="str">
        <f t="shared" si="5"/>
        <v>_apac</v>
      </c>
      <c r="C316" s="6" t="s">
        <v>296</v>
      </c>
      <c r="D316" s="15" t="s">
        <v>1905</v>
      </c>
      <c r="E316" s="6" t="s">
        <v>1977</v>
      </c>
      <c r="F316" s="19" t="s">
        <v>2852</v>
      </c>
    </row>
    <row r="317" spans="1:6" x14ac:dyDescent="0.25">
      <c r="A317" s="6" t="str">
        <f t="shared" si="4"/>
        <v>q10ROW2_hidden_apac</v>
      </c>
      <c r="B317" s="6" t="str">
        <f t="shared" si="5"/>
        <v>_apac</v>
      </c>
      <c r="C317" s="6" t="s">
        <v>297</v>
      </c>
      <c r="D317" s="15" t="s">
        <v>1905</v>
      </c>
      <c r="E317" s="11" t="s">
        <v>1978</v>
      </c>
      <c r="F317" s="19" t="s">
        <v>2853</v>
      </c>
    </row>
    <row r="318" spans="1:6" x14ac:dyDescent="0.25">
      <c r="A318" s="6" t="str">
        <f t="shared" si="4"/>
        <v>q103_1_apac</v>
      </c>
      <c r="B318" s="6" t="str">
        <f t="shared" si="5"/>
        <v>_apac</v>
      </c>
      <c r="C318" s="6" t="s">
        <v>298</v>
      </c>
      <c r="D318" s="15" t="s">
        <v>1905</v>
      </c>
      <c r="E318" s="6" t="s">
        <v>1979</v>
      </c>
      <c r="F318" s="19" t="s">
        <v>2854</v>
      </c>
    </row>
    <row r="319" spans="1:6" x14ac:dyDescent="0.25">
      <c r="A319" s="6" t="str">
        <f t="shared" si="4"/>
        <v>q103_2_apac</v>
      </c>
      <c r="B319" s="6" t="str">
        <f t="shared" si="5"/>
        <v>_apac</v>
      </c>
      <c r="C319" s="6" t="s">
        <v>299</v>
      </c>
      <c r="D319" s="15" t="s">
        <v>1905</v>
      </c>
      <c r="E319" s="6" t="s">
        <v>1980</v>
      </c>
      <c r="F319" s="19" t="s">
        <v>2855</v>
      </c>
    </row>
    <row r="320" spans="1:6" x14ac:dyDescent="0.25">
      <c r="A320" s="6" t="str">
        <f t="shared" si="4"/>
        <v>q103_3_apac</v>
      </c>
      <c r="B320" s="6" t="str">
        <f t="shared" si="5"/>
        <v>_apac</v>
      </c>
      <c r="C320" s="6" t="s">
        <v>300</v>
      </c>
      <c r="D320" s="15" t="s">
        <v>1905</v>
      </c>
      <c r="E320" s="6" t="s">
        <v>1981</v>
      </c>
      <c r="F320" s="19" t="s">
        <v>2856</v>
      </c>
    </row>
    <row r="321" spans="1:6" x14ac:dyDescent="0.25">
      <c r="A321" s="6" t="str">
        <f t="shared" si="4"/>
        <v>q103_4_apac</v>
      </c>
      <c r="B321" s="6" t="str">
        <f t="shared" si="5"/>
        <v>_apac</v>
      </c>
      <c r="C321" s="6" t="s">
        <v>301</v>
      </c>
      <c r="D321" s="15" t="s">
        <v>1905</v>
      </c>
      <c r="E321" s="6" t="s">
        <v>1982</v>
      </c>
      <c r="F321" s="19" t="s">
        <v>2857</v>
      </c>
    </row>
    <row r="322" spans="1:6" x14ac:dyDescent="0.25">
      <c r="A322" s="6" t="str">
        <f t="shared" si="4"/>
        <v>q103_5_apac</v>
      </c>
      <c r="B322" s="6" t="str">
        <f t="shared" si="5"/>
        <v>_apac</v>
      </c>
      <c r="C322" s="6" t="s">
        <v>302</v>
      </c>
      <c r="D322" s="15" t="s">
        <v>1905</v>
      </c>
      <c r="E322" s="6" t="s">
        <v>1983</v>
      </c>
      <c r="F322" s="19" t="s">
        <v>2858</v>
      </c>
    </row>
    <row r="323" spans="1:6" x14ac:dyDescent="0.25">
      <c r="A323" s="6" t="str">
        <f t="shared" ref="A323:A386" si="6">_xlfn.CONCAT(C323,B323)</f>
        <v>q103_6_apac</v>
      </c>
      <c r="B323" s="6" t="str">
        <f t="shared" si="5"/>
        <v>_apac</v>
      </c>
      <c r="C323" s="6" t="s">
        <v>303</v>
      </c>
      <c r="D323" s="15" t="s">
        <v>1905</v>
      </c>
      <c r="E323" s="6" t="s">
        <v>1984</v>
      </c>
      <c r="F323" s="19" t="s">
        <v>2859</v>
      </c>
    </row>
    <row r="324" spans="1:6" x14ac:dyDescent="0.25">
      <c r="A324" s="6" t="str">
        <f t="shared" si="6"/>
        <v>q10ROW3_hidden_apac</v>
      </c>
      <c r="B324" s="6" t="str">
        <f t="shared" si="5"/>
        <v>_apac</v>
      </c>
      <c r="C324" s="6" t="s">
        <v>304</v>
      </c>
      <c r="D324" s="15" t="s">
        <v>1905</v>
      </c>
      <c r="E324" s="11" t="s">
        <v>1985</v>
      </c>
      <c r="F324" s="19" t="s">
        <v>2860</v>
      </c>
    </row>
    <row r="325" spans="1:6" x14ac:dyDescent="0.25">
      <c r="A325" s="6" t="str">
        <f t="shared" si="6"/>
        <v>q104_1_apac</v>
      </c>
      <c r="B325" s="6" t="str">
        <f t="shared" si="5"/>
        <v>_apac</v>
      </c>
      <c r="C325" s="6" t="s">
        <v>305</v>
      </c>
      <c r="D325" s="15" t="s">
        <v>1905</v>
      </c>
      <c r="E325" s="6" t="s">
        <v>1986</v>
      </c>
      <c r="F325" s="19" t="s">
        <v>2861</v>
      </c>
    </row>
    <row r="326" spans="1:6" x14ac:dyDescent="0.25">
      <c r="A326" s="6" t="str">
        <f t="shared" si="6"/>
        <v>q104_2_apac</v>
      </c>
      <c r="B326" s="6" t="str">
        <f t="shared" si="5"/>
        <v>_apac</v>
      </c>
      <c r="C326" s="6" t="s">
        <v>306</v>
      </c>
      <c r="D326" s="15" t="s">
        <v>1905</v>
      </c>
      <c r="E326" s="6" t="s">
        <v>1987</v>
      </c>
      <c r="F326" s="19" t="s">
        <v>2862</v>
      </c>
    </row>
    <row r="327" spans="1:6" x14ac:dyDescent="0.25">
      <c r="A327" s="6" t="str">
        <f t="shared" si="6"/>
        <v>q104_3_apac</v>
      </c>
      <c r="B327" s="6" t="str">
        <f t="shared" si="5"/>
        <v>_apac</v>
      </c>
      <c r="C327" s="6" t="s">
        <v>307</v>
      </c>
      <c r="D327" s="15" t="s">
        <v>1905</v>
      </c>
      <c r="E327" s="6" t="s">
        <v>1988</v>
      </c>
      <c r="F327" s="19" t="s">
        <v>2863</v>
      </c>
    </row>
    <row r="328" spans="1:6" x14ac:dyDescent="0.25">
      <c r="A328" s="6" t="str">
        <f t="shared" si="6"/>
        <v>q104_4_apac</v>
      </c>
      <c r="B328" s="6" t="str">
        <f t="shared" si="5"/>
        <v>_apac</v>
      </c>
      <c r="C328" s="6" t="s">
        <v>308</v>
      </c>
      <c r="D328" s="15" t="s">
        <v>1905</v>
      </c>
      <c r="E328" s="6" t="s">
        <v>1989</v>
      </c>
      <c r="F328" s="19" t="s">
        <v>2864</v>
      </c>
    </row>
    <row r="329" spans="1:6" x14ac:dyDescent="0.25">
      <c r="A329" s="6" t="str">
        <f t="shared" si="6"/>
        <v>q104_5_apac</v>
      </c>
      <c r="B329" s="6" t="str">
        <f t="shared" si="5"/>
        <v>_apac</v>
      </c>
      <c r="C329" s="6" t="s">
        <v>309</v>
      </c>
      <c r="D329" s="15" t="s">
        <v>1905</v>
      </c>
      <c r="E329" s="6" t="s">
        <v>1990</v>
      </c>
      <c r="F329" s="19" t="s">
        <v>2865</v>
      </c>
    </row>
    <row r="330" spans="1:6" x14ac:dyDescent="0.25">
      <c r="A330" s="6" t="str">
        <f t="shared" si="6"/>
        <v>q104_6_apac</v>
      </c>
      <c r="B330" s="6" t="str">
        <f t="shared" si="5"/>
        <v>_apac</v>
      </c>
      <c r="C330" s="6" t="s">
        <v>310</v>
      </c>
      <c r="D330" s="15" t="s">
        <v>1905</v>
      </c>
      <c r="E330" s="6" t="s">
        <v>1991</v>
      </c>
      <c r="F330" s="19" t="s">
        <v>2866</v>
      </c>
    </row>
    <row r="331" spans="1:6" x14ac:dyDescent="0.25">
      <c r="A331" s="6" t="str">
        <f t="shared" si="6"/>
        <v>q10ROW4_hidden_apac</v>
      </c>
      <c r="B331" s="6" t="str">
        <f t="shared" si="5"/>
        <v>_apac</v>
      </c>
      <c r="C331" s="6" t="s">
        <v>311</v>
      </c>
      <c r="D331" s="15" t="s">
        <v>1905</v>
      </c>
      <c r="E331" s="11" t="s">
        <v>1992</v>
      </c>
      <c r="F331" s="19" t="s">
        <v>2867</v>
      </c>
    </row>
    <row r="332" spans="1:6" x14ac:dyDescent="0.25">
      <c r="A332" s="6" t="str">
        <f t="shared" si="6"/>
        <v>q105_1_apac</v>
      </c>
      <c r="B332" s="6" t="str">
        <f t="shared" si="5"/>
        <v>_apac</v>
      </c>
      <c r="C332" s="6" t="s">
        <v>312</v>
      </c>
      <c r="D332" s="15" t="s">
        <v>1905</v>
      </c>
      <c r="E332" s="6" t="s">
        <v>1993</v>
      </c>
      <c r="F332" s="19" t="s">
        <v>2868</v>
      </c>
    </row>
    <row r="333" spans="1:6" x14ac:dyDescent="0.25">
      <c r="A333" s="6" t="str">
        <f t="shared" si="6"/>
        <v>q105_2_apac</v>
      </c>
      <c r="B333" s="6" t="str">
        <f t="shared" si="5"/>
        <v>_apac</v>
      </c>
      <c r="C333" s="6" t="s">
        <v>313</v>
      </c>
      <c r="D333" s="15" t="s">
        <v>1905</v>
      </c>
      <c r="E333" s="6" t="s">
        <v>1994</v>
      </c>
      <c r="F333" s="19" t="s">
        <v>2869</v>
      </c>
    </row>
    <row r="334" spans="1:6" x14ac:dyDescent="0.25">
      <c r="A334" s="6" t="str">
        <f t="shared" si="6"/>
        <v>q105_3_apac</v>
      </c>
      <c r="B334" s="6" t="str">
        <f t="shared" si="5"/>
        <v>_apac</v>
      </c>
      <c r="C334" s="6" t="s">
        <v>314</v>
      </c>
      <c r="D334" s="15" t="s">
        <v>1905</v>
      </c>
      <c r="E334" s="6" t="s">
        <v>1995</v>
      </c>
      <c r="F334" s="19" t="s">
        <v>2870</v>
      </c>
    </row>
    <row r="335" spans="1:6" x14ac:dyDescent="0.25">
      <c r="A335" s="6" t="str">
        <f t="shared" si="6"/>
        <v>q105_4_apac</v>
      </c>
      <c r="B335" s="6" t="str">
        <f t="shared" si="5"/>
        <v>_apac</v>
      </c>
      <c r="C335" s="6" t="s">
        <v>315</v>
      </c>
      <c r="D335" s="15" t="s">
        <v>1905</v>
      </c>
      <c r="E335" s="6" t="s">
        <v>1996</v>
      </c>
      <c r="F335" s="19" t="s">
        <v>2871</v>
      </c>
    </row>
    <row r="336" spans="1:6" x14ac:dyDescent="0.25">
      <c r="A336" s="6" t="str">
        <f t="shared" si="6"/>
        <v>q105_5_apac</v>
      </c>
      <c r="B336" s="6" t="str">
        <f t="shared" si="5"/>
        <v>_apac</v>
      </c>
      <c r="C336" s="6" t="s">
        <v>316</v>
      </c>
      <c r="D336" s="15" t="s">
        <v>1905</v>
      </c>
      <c r="E336" s="6" t="s">
        <v>1997</v>
      </c>
      <c r="F336" s="19" t="s">
        <v>2872</v>
      </c>
    </row>
    <row r="337" spans="1:6" x14ac:dyDescent="0.25">
      <c r="A337" s="6" t="str">
        <f t="shared" si="6"/>
        <v>q105_6_apac</v>
      </c>
      <c r="B337" s="6" t="str">
        <f t="shared" si="5"/>
        <v>_apac</v>
      </c>
      <c r="C337" s="6" t="s">
        <v>317</v>
      </c>
      <c r="D337" s="15" t="s">
        <v>1905</v>
      </c>
      <c r="E337" s="6" t="s">
        <v>1998</v>
      </c>
      <c r="F337" s="19" t="s">
        <v>2873</v>
      </c>
    </row>
    <row r="338" spans="1:6" x14ac:dyDescent="0.25">
      <c r="A338" s="6" t="str">
        <f t="shared" si="6"/>
        <v>q10ROW5_hidden_apac</v>
      </c>
      <c r="B338" s="6" t="str">
        <f t="shared" si="5"/>
        <v>_apac</v>
      </c>
      <c r="C338" s="6" t="s">
        <v>318</v>
      </c>
      <c r="D338" s="15" t="s">
        <v>1905</v>
      </c>
      <c r="E338" s="11" t="s">
        <v>1999</v>
      </c>
      <c r="F338" s="19" t="s">
        <v>2874</v>
      </c>
    </row>
    <row r="339" spans="1:6" x14ac:dyDescent="0.25">
      <c r="A339" s="6" t="str">
        <f t="shared" si="6"/>
        <v>q106_1_apac</v>
      </c>
      <c r="B339" s="6" t="str">
        <f t="shared" si="5"/>
        <v>_apac</v>
      </c>
      <c r="C339" s="6" t="s">
        <v>319</v>
      </c>
      <c r="D339" s="15" t="s">
        <v>1905</v>
      </c>
      <c r="E339" s="6" t="s">
        <v>2000</v>
      </c>
      <c r="F339" s="19" t="s">
        <v>2875</v>
      </c>
    </row>
    <row r="340" spans="1:6" x14ac:dyDescent="0.25">
      <c r="A340" s="6" t="str">
        <f t="shared" si="6"/>
        <v>q106_2_apac</v>
      </c>
      <c r="B340" s="6" t="str">
        <f t="shared" si="5"/>
        <v>_apac</v>
      </c>
      <c r="C340" s="6" t="s">
        <v>320</v>
      </c>
      <c r="D340" s="15" t="s">
        <v>1905</v>
      </c>
      <c r="E340" s="6" t="s">
        <v>2001</v>
      </c>
      <c r="F340" s="19" t="s">
        <v>2876</v>
      </c>
    </row>
    <row r="341" spans="1:6" x14ac:dyDescent="0.25">
      <c r="A341" s="6" t="str">
        <f t="shared" si="6"/>
        <v>q106_3_apac</v>
      </c>
      <c r="B341" s="6" t="str">
        <f t="shared" si="5"/>
        <v>_apac</v>
      </c>
      <c r="C341" s="6" t="s">
        <v>321</v>
      </c>
      <c r="D341" s="15" t="s">
        <v>1905</v>
      </c>
      <c r="E341" s="6" t="s">
        <v>2002</v>
      </c>
      <c r="F341" s="19" t="s">
        <v>2877</v>
      </c>
    </row>
    <row r="342" spans="1:6" x14ac:dyDescent="0.25">
      <c r="A342" s="6" t="str">
        <f t="shared" si="6"/>
        <v>q106_4_apac</v>
      </c>
      <c r="B342" s="6" t="str">
        <f t="shared" si="5"/>
        <v>_apac</v>
      </c>
      <c r="C342" s="6" t="s">
        <v>322</v>
      </c>
      <c r="D342" s="15" t="s">
        <v>1905</v>
      </c>
      <c r="E342" s="6" t="s">
        <v>2003</v>
      </c>
      <c r="F342" s="19" t="s">
        <v>2878</v>
      </c>
    </row>
    <row r="343" spans="1:6" x14ac:dyDescent="0.25">
      <c r="A343" s="6" t="str">
        <f t="shared" si="6"/>
        <v>q106_5_apac</v>
      </c>
      <c r="B343" s="6" t="str">
        <f t="shared" si="5"/>
        <v>_apac</v>
      </c>
      <c r="C343" s="6" t="s">
        <v>323</v>
      </c>
      <c r="D343" s="15" t="s">
        <v>1905</v>
      </c>
      <c r="E343" s="6" t="s">
        <v>2004</v>
      </c>
      <c r="F343" s="19" t="s">
        <v>2879</v>
      </c>
    </row>
    <row r="344" spans="1:6" x14ac:dyDescent="0.25">
      <c r="A344" s="6" t="str">
        <f t="shared" si="6"/>
        <v>q106_6_apac</v>
      </c>
      <c r="B344" s="6" t="str">
        <f t="shared" si="5"/>
        <v>_apac</v>
      </c>
      <c r="C344" s="6" t="s">
        <v>324</v>
      </c>
      <c r="D344" s="15" t="s">
        <v>1905</v>
      </c>
      <c r="E344" s="6" t="s">
        <v>2005</v>
      </c>
      <c r="F344" s="19" t="s">
        <v>2880</v>
      </c>
    </row>
    <row r="345" spans="1:6" x14ac:dyDescent="0.25">
      <c r="A345" s="6" t="str">
        <f t="shared" si="6"/>
        <v>q10ROW6_hidden_apac</v>
      </c>
      <c r="B345" s="6" t="str">
        <f t="shared" si="5"/>
        <v>_apac</v>
      </c>
      <c r="C345" s="6" t="s">
        <v>325</v>
      </c>
      <c r="D345" s="15" t="s">
        <v>1905</v>
      </c>
      <c r="E345" s="11" t="s">
        <v>1957</v>
      </c>
      <c r="F345" s="19" t="s">
        <v>2881</v>
      </c>
    </row>
    <row r="346" spans="1:6" x14ac:dyDescent="0.25">
      <c r="A346" s="6" t="str">
        <f t="shared" si="6"/>
        <v>q107_1_apac</v>
      </c>
      <c r="B346" s="6" t="str">
        <f t="shared" si="5"/>
        <v>_apac</v>
      </c>
      <c r="C346" s="6" t="s">
        <v>326</v>
      </c>
      <c r="D346" s="15" t="s">
        <v>1905</v>
      </c>
      <c r="E346" s="6" t="s">
        <v>2006</v>
      </c>
      <c r="F346" s="19" t="s">
        <v>2882</v>
      </c>
    </row>
    <row r="347" spans="1:6" x14ac:dyDescent="0.25">
      <c r="A347" s="6" t="str">
        <f t="shared" si="6"/>
        <v>q107_2_apac</v>
      </c>
      <c r="B347" s="6" t="str">
        <f t="shared" si="5"/>
        <v>_apac</v>
      </c>
      <c r="C347" s="6" t="s">
        <v>327</v>
      </c>
      <c r="D347" s="15" t="s">
        <v>1905</v>
      </c>
      <c r="E347" s="6" t="s">
        <v>2007</v>
      </c>
      <c r="F347" s="19" t="s">
        <v>2883</v>
      </c>
    </row>
    <row r="348" spans="1:6" x14ac:dyDescent="0.25">
      <c r="A348" s="6" t="str">
        <f t="shared" si="6"/>
        <v>q107_3_apac</v>
      </c>
      <c r="B348" s="6" t="str">
        <f t="shared" si="5"/>
        <v>_apac</v>
      </c>
      <c r="C348" s="6" t="s">
        <v>328</v>
      </c>
      <c r="D348" s="15" t="s">
        <v>1905</v>
      </c>
      <c r="E348" s="6" t="s">
        <v>2008</v>
      </c>
      <c r="F348" s="19" t="s">
        <v>2884</v>
      </c>
    </row>
    <row r="349" spans="1:6" x14ac:dyDescent="0.25">
      <c r="A349" s="6" t="str">
        <f t="shared" si="6"/>
        <v>q107_4_apac</v>
      </c>
      <c r="B349" s="6" t="str">
        <f t="shared" si="5"/>
        <v>_apac</v>
      </c>
      <c r="C349" s="6" t="s">
        <v>329</v>
      </c>
      <c r="D349" s="15" t="s">
        <v>1905</v>
      </c>
      <c r="E349" s="6" t="s">
        <v>2009</v>
      </c>
      <c r="F349" s="19" t="s">
        <v>2885</v>
      </c>
    </row>
    <row r="350" spans="1:6" x14ac:dyDescent="0.25">
      <c r="A350" s="6" t="str">
        <f t="shared" si="6"/>
        <v>q107_5_apac</v>
      </c>
      <c r="B350" s="6" t="str">
        <f t="shared" si="5"/>
        <v>_apac</v>
      </c>
      <c r="C350" s="6" t="s">
        <v>330</v>
      </c>
      <c r="D350" s="15" t="s">
        <v>1905</v>
      </c>
      <c r="E350" s="6" t="s">
        <v>2010</v>
      </c>
      <c r="F350" s="19" t="s">
        <v>2886</v>
      </c>
    </row>
    <row r="351" spans="1:6" x14ac:dyDescent="0.25">
      <c r="A351" s="6" t="str">
        <f t="shared" si="6"/>
        <v>q107_6_apac</v>
      </c>
      <c r="B351" s="6" t="str">
        <f t="shared" si="5"/>
        <v>_apac</v>
      </c>
      <c r="C351" s="6" t="s">
        <v>331</v>
      </c>
      <c r="D351" s="15" t="s">
        <v>1905</v>
      </c>
      <c r="E351" s="6" t="s">
        <v>2011</v>
      </c>
      <c r="F351" s="19" t="s">
        <v>2887</v>
      </c>
    </row>
    <row r="352" spans="1:6" x14ac:dyDescent="0.25">
      <c r="A352" s="6" t="str">
        <f t="shared" si="6"/>
        <v>q10ROW7_hidden_apac</v>
      </c>
      <c r="B352" s="6" t="str">
        <f t="shared" si="5"/>
        <v>_apac</v>
      </c>
      <c r="C352" s="6" t="s">
        <v>332</v>
      </c>
      <c r="D352" s="15" t="s">
        <v>1905</v>
      </c>
      <c r="E352" s="11" t="s">
        <v>2012</v>
      </c>
      <c r="F352" s="19" t="s">
        <v>2888</v>
      </c>
    </row>
    <row r="353" spans="1:6" x14ac:dyDescent="0.25">
      <c r="A353" s="6" t="str">
        <f t="shared" si="6"/>
        <v>q10other_apac</v>
      </c>
      <c r="B353" s="6" t="str">
        <f t="shared" si="5"/>
        <v>_apac</v>
      </c>
      <c r="C353" s="6" t="s">
        <v>333</v>
      </c>
      <c r="D353" s="15" t="s">
        <v>1890</v>
      </c>
      <c r="E353" s="6" t="s">
        <v>2013</v>
      </c>
      <c r="F353" s="19" t="s">
        <v>2889</v>
      </c>
    </row>
    <row r="354" spans="1:6" x14ac:dyDescent="0.25">
      <c r="A354" s="6" t="str">
        <f t="shared" si="6"/>
        <v>q108_1_apac</v>
      </c>
      <c r="B354" s="6" t="str">
        <f t="shared" si="5"/>
        <v>_apac</v>
      </c>
      <c r="C354" s="6" t="s">
        <v>334</v>
      </c>
      <c r="D354" s="15" t="s">
        <v>1905</v>
      </c>
      <c r="E354" s="6" t="s">
        <v>2014</v>
      </c>
      <c r="F354" s="19" t="s">
        <v>2890</v>
      </c>
    </row>
    <row r="355" spans="1:6" x14ac:dyDescent="0.25">
      <c r="A355" s="6" t="str">
        <f t="shared" si="6"/>
        <v>q108_2_apac</v>
      </c>
      <c r="B355" s="6" t="str">
        <f t="shared" si="5"/>
        <v>_apac</v>
      </c>
      <c r="C355" s="6" t="s">
        <v>335</v>
      </c>
      <c r="D355" s="15" t="s">
        <v>1905</v>
      </c>
      <c r="E355" s="6" t="s">
        <v>2015</v>
      </c>
      <c r="F355" s="19" t="s">
        <v>2891</v>
      </c>
    </row>
    <row r="356" spans="1:6" x14ac:dyDescent="0.25">
      <c r="A356" s="6" t="str">
        <f t="shared" si="6"/>
        <v>q108_3_apac</v>
      </c>
      <c r="B356" s="6" t="str">
        <f t="shared" si="5"/>
        <v>_apac</v>
      </c>
      <c r="C356" s="6" t="s">
        <v>336</v>
      </c>
      <c r="D356" s="15" t="s">
        <v>1905</v>
      </c>
      <c r="E356" s="6" t="s">
        <v>2016</v>
      </c>
      <c r="F356" s="19" t="s">
        <v>2892</v>
      </c>
    </row>
    <row r="357" spans="1:6" x14ac:dyDescent="0.25">
      <c r="A357" s="6" t="str">
        <f t="shared" si="6"/>
        <v>q108_4_apac</v>
      </c>
      <c r="B357" s="6" t="str">
        <f t="shared" si="5"/>
        <v>_apac</v>
      </c>
      <c r="C357" s="6" t="s">
        <v>337</v>
      </c>
      <c r="D357" s="15" t="s">
        <v>1905</v>
      </c>
      <c r="E357" s="6" t="s">
        <v>2017</v>
      </c>
      <c r="F357" s="19" t="s">
        <v>2893</v>
      </c>
    </row>
    <row r="358" spans="1:6" x14ac:dyDescent="0.25">
      <c r="A358" s="6" t="str">
        <f t="shared" si="6"/>
        <v>q108_5_apac</v>
      </c>
      <c r="B358" s="6" t="str">
        <f t="shared" si="5"/>
        <v>_apac</v>
      </c>
      <c r="C358" s="6" t="s">
        <v>338</v>
      </c>
      <c r="D358" s="15" t="s">
        <v>1905</v>
      </c>
      <c r="E358" s="6" t="s">
        <v>2018</v>
      </c>
      <c r="F358" s="19" t="s">
        <v>2894</v>
      </c>
    </row>
    <row r="359" spans="1:6" x14ac:dyDescent="0.25">
      <c r="A359" s="6" t="str">
        <f t="shared" si="6"/>
        <v>q108_6_apac</v>
      </c>
      <c r="B359" s="6" t="str">
        <f t="shared" si="5"/>
        <v>_apac</v>
      </c>
      <c r="C359" s="6" t="s">
        <v>339</v>
      </c>
      <c r="D359" s="15" t="s">
        <v>1905</v>
      </c>
      <c r="E359" s="6" t="s">
        <v>2019</v>
      </c>
      <c r="F359" s="19" t="s">
        <v>2895</v>
      </c>
    </row>
    <row r="360" spans="1:6" x14ac:dyDescent="0.25">
      <c r="A360" s="6" t="str">
        <f t="shared" si="6"/>
        <v>q10ROW8_hidden_apac</v>
      </c>
      <c r="B360" s="6" t="str">
        <f t="shared" si="5"/>
        <v>_apac</v>
      </c>
      <c r="C360" s="6" t="s">
        <v>340</v>
      </c>
      <c r="D360" s="15" t="s">
        <v>1905</v>
      </c>
      <c r="E360" s="11" t="s">
        <v>2020</v>
      </c>
      <c r="F360" s="19" t="s">
        <v>2896</v>
      </c>
    </row>
    <row r="361" spans="1:6" x14ac:dyDescent="0.25">
      <c r="A361" s="6" t="str">
        <f t="shared" si="6"/>
        <v>q10COL1_hidden_apac</v>
      </c>
      <c r="B361" s="6" t="str">
        <f t="shared" si="5"/>
        <v>_apac</v>
      </c>
      <c r="C361" s="6" t="s">
        <v>341</v>
      </c>
      <c r="D361" s="15" t="s">
        <v>1905</v>
      </c>
      <c r="E361" s="11" t="s">
        <v>1953</v>
      </c>
      <c r="F361" s="19" t="s">
        <v>2897</v>
      </c>
    </row>
    <row r="362" spans="1:6" x14ac:dyDescent="0.25">
      <c r="A362" s="6" t="str">
        <f t="shared" si="6"/>
        <v>q10COL2_hidden_apac</v>
      </c>
      <c r="B362" s="6" t="str">
        <f t="shared" si="5"/>
        <v>_apac</v>
      </c>
      <c r="C362" s="6" t="s">
        <v>342</v>
      </c>
      <c r="D362" s="15" t="s">
        <v>1905</v>
      </c>
      <c r="E362" s="11" t="s">
        <v>1954</v>
      </c>
      <c r="F362" s="19" t="s">
        <v>2898</v>
      </c>
    </row>
    <row r="363" spans="1:6" x14ac:dyDescent="0.25">
      <c r="A363" s="6" t="str">
        <f t="shared" si="6"/>
        <v>q10COL3_hidden_apac</v>
      </c>
      <c r="B363" s="6" t="str">
        <f t="shared" si="5"/>
        <v>_apac</v>
      </c>
      <c r="C363" s="6" t="s">
        <v>343</v>
      </c>
      <c r="D363" s="15" t="s">
        <v>1905</v>
      </c>
      <c r="E363" s="11" t="s">
        <v>1955</v>
      </c>
      <c r="F363" s="19" t="s">
        <v>2899</v>
      </c>
    </row>
    <row r="364" spans="1:6" x14ac:dyDescent="0.25">
      <c r="A364" s="6" t="str">
        <f t="shared" si="6"/>
        <v>q10COL4_hidden_apac</v>
      </c>
      <c r="B364" s="6" t="str">
        <f t="shared" si="5"/>
        <v>_apac</v>
      </c>
      <c r="C364" s="6" t="s">
        <v>344</v>
      </c>
      <c r="D364" s="15" t="s">
        <v>1905</v>
      </c>
      <c r="E364" s="11" t="s">
        <v>1956</v>
      </c>
      <c r="F364" s="19" t="s">
        <v>2900</v>
      </c>
    </row>
    <row r="365" spans="1:6" x14ac:dyDescent="0.25">
      <c r="A365" s="6" t="str">
        <f t="shared" si="6"/>
        <v>q10COL5_hidden_apac</v>
      </c>
      <c r="B365" s="6" t="str">
        <f t="shared" si="5"/>
        <v>_apac</v>
      </c>
      <c r="C365" s="6" t="s">
        <v>345</v>
      </c>
      <c r="D365" s="15" t="s">
        <v>1905</v>
      </c>
      <c r="E365" s="11" t="s">
        <v>1957</v>
      </c>
      <c r="F365" s="19" t="s">
        <v>2901</v>
      </c>
    </row>
    <row r="366" spans="1:6" x14ac:dyDescent="0.25">
      <c r="A366" s="6" t="str">
        <f t="shared" si="6"/>
        <v>q10COL6_hidden_apac</v>
      </c>
      <c r="B366" s="6" t="str">
        <f t="shared" si="5"/>
        <v>_apac</v>
      </c>
      <c r="C366" s="6" t="s">
        <v>346</v>
      </c>
      <c r="D366" s="15" t="s">
        <v>1905</v>
      </c>
      <c r="E366" s="11" t="s">
        <v>1958</v>
      </c>
      <c r="F366" s="19" t="s">
        <v>2902</v>
      </c>
    </row>
    <row r="367" spans="1:6" x14ac:dyDescent="0.25">
      <c r="A367" s="6" t="str">
        <f t="shared" si="6"/>
        <v>q10GRANDTotal_hidden_apac</v>
      </c>
      <c r="B367" s="6" t="str">
        <f t="shared" si="5"/>
        <v>_apac</v>
      </c>
      <c r="C367" s="6" t="s">
        <v>347</v>
      </c>
      <c r="D367" s="15" t="s">
        <v>1905</v>
      </c>
      <c r="E367" s="11" t="s">
        <v>2069</v>
      </c>
      <c r="F367" s="19" t="s">
        <v>2903</v>
      </c>
    </row>
    <row r="368" spans="1:6" x14ac:dyDescent="0.25">
      <c r="A368" s="6" t="str">
        <f t="shared" si="6"/>
        <v>_apac</v>
      </c>
      <c r="B368" s="6" t="str">
        <f t="shared" ref="B368:B410" si="7">B367</f>
        <v>_apac</v>
      </c>
      <c r="C368" s="9"/>
      <c r="D368" s="9"/>
      <c r="E368" s="12" t="s">
        <v>2070</v>
      </c>
      <c r="F368" s="6">
        <f>VLOOKUP(E368,'[3]Full Data-Map'!$C:$D,2,FALSE)</f>
        <v>15</v>
      </c>
    </row>
    <row r="369" spans="1:6" x14ac:dyDescent="0.25">
      <c r="A369" s="6" t="str">
        <f t="shared" si="6"/>
        <v>q111_1_apac</v>
      </c>
      <c r="B369" s="6" t="str">
        <f t="shared" si="7"/>
        <v>_apac</v>
      </c>
      <c r="C369" s="6" t="s">
        <v>348</v>
      </c>
      <c r="D369" s="15" t="s">
        <v>1905</v>
      </c>
      <c r="E369" s="6" t="s">
        <v>2030</v>
      </c>
      <c r="F369" s="19" t="s">
        <v>2904</v>
      </c>
    </row>
    <row r="370" spans="1:6" x14ac:dyDescent="0.25">
      <c r="A370" s="6" t="str">
        <f t="shared" si="6"/>
        <v>q111_2_apac</v>
      </c>
      <c r="B370" s="6" t="str">
        <f t="shared" si="7"/>
        <v>_apac</v>
      </c>
      <c r="C370" s="6" t="s">
        <v>349</v>
      </c>
      <c r="D370" s="15" t="s">
        <v>1905</v>
      </c>
      <c r="E370" s="6" t="s">
        <v>2031</v>
      </c>
      <c r="F370" s="19" t="s">
        <v>2905</v>
      </c>
    </row>
    <row r="371" spans="1:6" x14ac:dyDescent="0.25">
      <c r="A371" s="6" t="str">
        <f t="shared" si="6"/>
        <v>q111_3_apac</v>
      </c>
      <c r="B371" s="6" t="str">
        <f t="shared" si="7"/>
        <v>_apac</v>
      </c>
      <c r="C371" s="6" t="s">
        <v>350</v>
      </c>
      <c r="D371" s="15" t="s">
        <v>1905</v>
      </c>
      <c r="E371" s="6" t="s">
        <v>2032</v>
      </c>
      <c r="F371" s="19" t="s">
        <v>2906</v>
      </c>
    </row>
    <row r="372" spans="1:6" x14ac:dyDescent="0.25">
      <c r="A372" s="6" t="str">
        <f t="shared" si="6"/>
        <v>q111_4_apac</v>
      </c>
      <c r="B372" s="6" t="str">
        <f t="shared" si="7"/>
        <v>_apac</v>
      </c>
      <c r="C372" s="6" t="s">
        <v>351</v>
      </c>
      <c r="D372" s="15" t="s">
        <v>1905</v>
      </c>
      <c r="E372" s="6" t="s">
        <v>2033</v>
      </c>
      <c r="F372" s="19" t="s">
        <v>2907</v>
      </c>
    </row>
    <row r="373" spans="1:6" x14ac:dyDescent="0.25">
      <c r="A373" s="6" t="str">
        <f t="shared" si="6"/>
        <v>q111_5_apac</v>
      </c>
      <c r="B373" s="6" t="str">
        <f t="shared" si="7"/>
        <v>_apac</v>
      </c>
      <c r="C373" s="6" t="s">
        <v>352</v>
      </c>
      <c r="D373" s="15" t="s">
        <v>1905</v>
      </c>
      <c r="E373" s="6" t="s">
        <v>2034</v>
      </c>
      <c r="F373" s="19" t="s">
        <v>2908</v>
      </c>
    </row>
    <row r="374" spans="1:6" x14ac:dyDescent="0.25">
      <c r="A374" s="6" t="str">
        <f t="shared" si="6"/>
        <v>q111_6_apac</v>
      </c>
      <c r="B374" s="6" t="str">
        <f t="shared" si="7"/>
        <v>_apac</v>
      </c>
      <c r="C374" s="6" t="s">
        <v>353</v>
      </c>
      <c r="D374" s="15" t="s">
        <v>1905</v>
      </c>
      <c r="E374" s="6" t="s">
        <v>2035</v>
      </c>
      <c r="F374" s="19" t="s">
        <v>2909</v>
      </c>
    </row>
    <row r="375" spans="1:6" x14ac:dyDescent="0.25">
      <c r="A375" s="6" t="str">
        <f t="shared" si="6"/>
        <v>q11ROW1_hidden_apac</v>
      </c>
      <c r="B375" s="6" t="str">
        <f t="shared" si="7"/>
        <v>_apac</v>
      </c>
      <c r="C375" s="6" t="s">
        <v>354</v>
      </c>
      <c r="D375" s="15" t="s">
        <v>1905</v>
      </c>
      <c r="E375" s="11" t="s">
        <v>2071</v>
      </c>
      <c r="F375" s="19" t="s">
        <v>2910</v>
      </c>
    </row>
    <row r="376" spans="1:6" x14ac:dyDescent="0.25">
      <c r="A376" s="6" t="str">
        <f t="shared" si="6"/>
        <v>q112_1_apac</v>
      </c>
      <c r="B376" s="6" t="str">
        <f t="shared" si="7"/>
        <v>_apac</v>
      </c>
      <c r="C376" s="6" t="s">
        <v>355</v>
      </c>
      <c r="D376" s="15" t="s">
        <v>1905</v>
      </c>
      <c r="E376" s="6" t="s">
        <v>2023</v>
      </c>
      <c r="F376" s="19" t="s">
        <v>2911</v>
      </c>
    </row>
    <row r="377" spans="1:6" x14ac:dyDescent="0.25">
      <c r="A377" s="6" t="str">
        <f t="shared" si="6"/>
        <v>q112_2_apac</v>
      </c>
      <c r="B377" s="6" t="str">
        <f t="shared" si="7"/>
        <v>_apac</v>
      </c>
      <c r="C377" s="6" t="s">
        <v>356</v>
      </c>
      <c r="D377" s="15" t="s">
        <v>1905</v>
      </c>
      <c r="E377" s="6" t="s">
        <v>2024</v>
      </c>
      <c r="F377" s="19" t="s">
        <v>2912</v>
      </c>
    </row>
    <row r="378" spans="1:6" x14ac:dyDescent="0.25">
      <c r="A378" s="6" t="str">
        <f t="shared" si="6"/>
        <v>q112_3_apac</v>
      </c>
      <c r="B378" s="6" t="str">
        <f t="shared" si="7"/>
        <v>_apac</v>
      </c>
      <c r="C378" s="6" t="s">
        <v>357</v>
      </c>
      <c r="D378" s="15" t="s">
        <v>1905</v>
      </c>
      <c r="E378" s="6" t="s">
        <v>2025</v>
      </c>
      <c r="F378" s="19" t="s">
        <v>2913</v>
      </c>
    </row>
    <row r="379" spans="1:6" x14ac:dyDescent="0.25">
      <c r="A379" s="6" t="str">
        <f t="shared" si="6"/>
        <v>q112_4_apac</v>
      </c>
      <c r="B379" s="6" t="str">
        <f t="shared" si="7"/>
        <v>_apac</v>
      </c>
      <c r="C379" s="6" t="s">
        <v>358</v>
      </c>
      <c r="D379" s="15" t="s">
        <v>1905</v>
      </c>
      <c r="E379" s="6" t="s">
        <v>2026</v>
      </c>
      <c r="F379" s="19" t="s">
        <v>2914</v>
      </c>
    </row>
    <row r="380" spans="1:6" x14ac:dyDescent="0.25">
      <c r="A380" s="6" t="str">
        <f t="shared" si="6"/>
        <v>q112_5_apac</v>
      </c>
      <c r="B380" s="6" t="str">
        <f t="shared" si="7"/>
        <v>_apac</v>
      </c>
      <c r="C380" s="6" t="s">
        <v>359</v>
      </c>
      <c r="D380" s="15" t="s">
        <v>1905</v>
      </c>
      <c r="E380" s="6" t="s">
        <v>2027</v>
      </c>
      <c r="F380" s="19" t="s">
        <v>2915</v>
      </c>
    </row>
    <row r="381" spans="1:6" x14ac:dyDescent="0.25">
      <c r="A381" s="6" t="str">
        <f t="shared" si="6"/>
        <v>q112_6_apac</v>
      </c>
      <c r="B381" s="6" t="str">
        <f t="shared" si="7"/>
        <v>_apac</v>
      </c>
      <c r="C381" s="6" t="s">
        <v>360</v>
      </c>
      <c r="D381" s="15" t="s">
        <v>1905</v>
      </c>
      <c r="E381" s="6" t="s">
        <v>2028</v>
      </c>
      <c r="F381" s="19" t="s">
        <v>2916</v>
      </c>
    </row>
    <row r="382" spans="1:6" x14ac:dyDescent="0.25">
      <c r="A382" s="6" t="str">
        <f t="shared" si="6"/>
        <v>q11ROW2_hidden_apac</v>
      </c>
      <c r="B382" s="6" t="str">
        <f t="shared" si="7"/>
        <v>_apac</v>
      </c>
      <c r="C382" s="6" t="s">
        <v>361</v>
      </c>
      <c r="D382" s="15" t="s">
        <v>1905</v>
      </c>
      <c r="E382" s="11" t="s">
        <v>2072</v>
      </c>
      <c r="F382" s="19" t="s">
        <v>2917</v>
      </c>
    </row>
    <row r="383" spans="1:6" x14ac:dyDescent="0.25">
      <c r="A383" s="6" t="str">
        <f t="shared" si="6"/>
        <v>q113_1_apac</v>
      </c>
      <c r="B383" s="6" t="str">
        <f t="shared" si="7"/>
        <v>_apac</v>
      </c>
      <c r="C383" s="6" t="s">
        <v>362</v>
      </c>
      <c r="D383" s="15" t="s">
        <v>1905</v>
      </c>
      <c r="E383" s="6" t="s">
        <v>2037</v>
      </c>
      <c r="F383" s="19" t="s">
        <v>2918</v>
      </c>
    </row>
    <row r="384" spans="1:6" x14ac:dyDescent="0.25">
      <c r="A384" s="6" t="str">
        <f t="shared" si="6"/>
        <v>q113_2_apac</v>
      </c>
      <c r="B384" s="6" t="str">
        <f t="shared" si="7"/>
        <v>_apac</v>
      </c>
      <c r="C384" s="6" t="s">
        <v>363</v>
      </c>
      <c r="D384" s="15" t="s">
        <v>1905</v>
      </c>
      <c r="E384" s="6" t="s">
        <v>2038</v>
      </c>
      <c r="F384" s="19" t="s">
        <v>2919</v>
      </c>
    </row>
    <row r="385" spans="1:6" x14ac:dyDescent="0.25">
      <c r="A385" s="6" t="str">
        <f t="shared" si="6"/>
        <v>q113_3_apac</v>
      </c>
      <c r="B385" s="6" t="str">
        <f t="shared" si="7"/>
        <v>_apac</v>
      </c>
      <c r="C385" s="6" t="s">
        <v>364</v>
      </c>
      <c r="D385" s="15" t="s">
        <v>1905</v>
      </c>
      <c r="E385" s="6" t="s">
        <v>2039</v>
      </c>
      <c r="F385" s="19" t="s">
        <v>2920</v>
      </c>
    </row>
    <row r="386" spans="1:6" x14ac:dyDescent="0.25">
      <c r="A386" s="6" t="str">
        <f t="shared" si="6"/>
        <v>q113_4_apac</v>
      </c>
      <c r="B386" s="6" t="str">
        <f t="shared" si="7"/>
        <v>_apac</v>
      </c>
      <c r="C386" s="6" t="s">
        <v>365</v>
      </c>
      <c r="D386" s="15" t="s">
        <v>1905</v>
      </c>
      <c r="E386" s="6" t="s">
        <v>2040</v>
      </c>
      <c r="F386" s="19" t="s">
        <v>2921</v>
      </c>
    </row>
    <row r="387" spans="1:6" x14ac:dyDescent="0.25">
      <c r="A387" s="6" t="str">
        <f t="shared" ref="A387:A450" si="8">_xlfn.CONCAT(C387,B387)</f>
        <v>q113_5_apac</v>
      </c>
      <c r="B387" s="6" t="str">
        <f t="shared" si="7"/>
        <v>_apac</v>
      </c>
      <c r="C387" s="6" t="s">
        <v>366</v>
      </c>
      <c r="D387" s="15" t="s">
        <v>1905</v>
      </c>
      <c r="E387" s="6" t="s">
        <v>2041</v>
      </c>
      <c r="F387" s="19" t="s">
        <v>2922</v>
      </c>
    </row>
    <row r="388" spans="1:6" x14ac:dyDescent="0.25">
      <c r="A388" s="6" t="str">
        <f t="shared" si="8"/>
        <v>q113_6_apac</v>
      </c>
      <c r="B388" s="6" t="str">
        <f t="shared" si="7"/>
        <v>_apac</v>
      </c>
      <c r="C388" s="6" t="s">
        <v>367</v>
      </c>
      <c r="D388" s="15" t="s">
        <v>1905</v>
      </c>
      <c r="E388" s="6" t="s">
        <v>2042</v>
      </c>
      <c r="F388" s="19" t="s">
        <v>2923</v>
      </c>
    </row>
    <row r="389" spans="1:6" x14ac:dyDescent="0.25">
      <c r="A389" s="6" t="str">
        <f t="shared" si="8"/>
        <v>q11ROW3_hidden_apac</v>
      </c>
      <c r="B389" s="6" t="str">
        <f t="shared" si="7"/>
        <v>_apac</v>
      </c>
      <c r="C389" s="6" t="s">
        <v>368</v>
      </c>
      <c r="D389" s="15" t="s">
        <v>1905</v>
      </c>
      <c r="E389" s="11" t="s">
        <v>2073</v>
      </c>
      <c r="F389" s="19" t="s">
        <v>2924</v>
      </c>
    </row>
    <row r="390" spans="1:6" x14ac:dyDescent="0.25">
      <c r="A390" s="6" t="str">
        <f t="shared" si="8"/>
        <v>q114_1_apac</v>
      </c>
      <c r="B390" s="6" t="str">
        <f t="shared" si="7"/>
        <v>_apac</v>
      </c>
      <c r="C390" s="6" t="s">
        <v>369</v>
      </c>
      <c r="D390" s="15" t="s">
        <v>1905</v>
      </c>
      <c r="E390" s="6" t="s">
        <v>2044</v>
      </c>
      <c r="F390" s="19" t="s">
        <v>2925</v>
      </c>
    </row>
    <row r="391" spans="1:6" x14ac:dyDescent="0.25">
      <c r="A391" s="6" t="str">
        <f t="shared" si="8"/>
        <v>q114_2_apac</v>
      </c>
      <c r="B391" s="6" t="str">
        <f t="shared" si="7"/>
        <v>_apac</v>
      </c>
      <c r="C391" s="6" t="s">
        <v>370</v>
      </c>
      <c r="D391" s="15" t="s">
        <v>1905</v>
      </c>
      <c r="E391" s="6" t="s">
        <v>2045</v>
      </c>
      <c r="F391" s="19" t="s">
        <v>2926</v>
      </c>
    </row>
    <row r="392" spans="1:6" x14ac:dyDescent="0.25">
      <c r="A392" s="6" t="str">
        <f t="shared" si="8"/>
        <v>q114_3_apac</v>
      </c>
      <c r="B392" s="6" t="str">
        <f t="shared" si="7"/>
        <v>_apac</v>
      </c>
      <c r="C392" s="6" t="s">
        <v>371</v>
      </c>
      <c r="D392" s="15" t="s">
        <v>1905</v>
      </c>
      <c r="E392" s="6" t="s">
        <v>2046</v>
      </c>
      <c r="F392" s="19" t="s">
        <v>2927</v>
      </c>
    </row>
    <row r="393" spans="1:6" x14ac:dyDescent="0.25">
      <c r="A393" s="6" t="str">
        <f t="shared" si="8"/>
        <v>q114_4_apac</v>
      </c>
      <c r="B393" s="6" t="str">
        <f t="shared" si="7"/>
        <v>_apac</v>
      </c>
      <c r="C393" s="6" t="s">
        <v>372</v>
      </c>
      <c r="D393" s="15" t="s">
        <v>1905</v>
      </c>
      <c r="E393" s="6" t="s">
        <v>2047</v>
      </c>
      <c r="F393" s="19" t="s">
        <v>2928</v>
      </c>
    </row>
    <row r="394" spans="1:6" x14ac:dyDescent="0.25">
      <c r="A394" s="6" t="str">
        <f t="shared" si="8"/>
        <v>q114_5_apac</v>
      </c>
      <c r="B394" s="6" t="str">
        <f t="shared" si="7"/>
        <v>_apac</v>
      </c>
      <c r="C394" s="6" t="s">
        <v>373</v>
      </c>
      <c r="D394" s="15" t="s">
        <v>1905</v>
      </c>
      <c r="E394" s="6" t="s">
        <v>2048</v>
      </c>
      <c r="F394" s="19" t="s">
        <v>2929</v>
      </c>
    </row>
    <row r="395" spans="1:6" x14ac:dyDescent="0.25">
      <c r="A395" s="6" t="str">
        <f t="shared" si="8"/>
        <v>q114_6_apac</v>
      </c>
      <c r="B395" s="6" t="str">
        <f t="shared" si="7"/>
        <v>_apac</v>
      </c>
      <c r="C395" s="6" t="s">
        <v>374</v>
      </c>
      <c r="D395" s="15" t="s">
        <v>1905</v>
      </c>
      <c r="E395" s="6" t="s">
        <v>2049</v>
      </c>
      <c r="F395" s="19" t="s">
        <v>2930</v>
      </c>
    </row>
    <row r="396" spans="1:6" x14ac:dyDescent="0.25">
      <c r="A396" s="6" t="str">
        <f t="shared" si="8"/>
        <v>q11ROW4_hidden_apac</v>
      </c>
      <c r="B396" s="6" t="str">
        <f t="shared" si="7"/>
        <v>_apac</v>
      </c>
      <c r="C396" s="6" t="s">
        <v>375</v>
      </c>
      <c r="D396" s="15" t="s">
        <v>1905</v>
      </c>
      <c r="E396" s="11" t="s">
        <v>2074</v>
      </c>
      <c r="F396" s="19" t="s">
        <v>2931</v>
      </c>
    </row>
    <row r="397" spans="1:6" x14ac:dyDescent="0.25">
      <c r="A397" s="6" t="str">
        <f t="shared" si="8"/>
        <v>q115_1_apac</v>
      </c>
      <c r="B397" s="6" t="str">
        <f t="shared" si="7"/>
        <v>_apac</v>
      </c>
      <c r="C397" s="6" t="s">
        <v>376</v>
      </c>
      <c r="D397" s="15" t="s">
        <v>1905</v>
      </c>
      <c r="E397" s="6" t="s">
        <v>2051</v>
      </c>
      <c r="F397" s="19" t="s">
        <v>2932</v>
      </c>
    </row>
    <row r="398" spans="1:6" x14ac:dyDescent="0.25">
      <c r="A398" s="6" t="str">
        <f t="shared" si="8"/>
        <v>q115_2_apac</v>
      </c>
      <c r="B398" s="6" t="str">
        <f t="shared" si="7"/>
        <v>_apac</v>
      </c>
      <c r="C398" s="6" t="s">
        <v>377</v>
      </c>
      <c r="D398" s="15" t="s">
        <v>1905</v>
      </c>
      <c r="E398" s="6" t="s">
        <v>2052</v>
      </c>
      <c r="F398" s="19" t="s">
        <v>2933</v>
      </c>
    </row>
    <row r="399" spans="1:6" x14ac:dyDescent="0.25">
      <c r="A399" s="6" t="str">
        <f t="shared" si="8"/>
        <v>q115_3_apac</v>
      </c>
      <c r="B399" s="6" t="str">
        <f t="shared" si="7"/>
        <v>_apac</v>
      </c>
      <c r="C399" s="6" t="s">
        <v>378</v>
      </c>
      <c r="D399" s="15" t="s">
        <v>1905</v>
      </c>
      <c r="E399" s="6" t="s">
        <v>2053</v>
      </c>
      <c r="F399" s="19" t="s">
        <v>2934</v>
      </c>
    </row>
    <row r="400" spans="1:6" x14ac:dyDescent="0.25">
      <c r="A400" s="6" t="str">
        <f t="shared" si="8"/>
        <v>q115_4_apac</v>
      </c>
      <c r="B400" s="6" t="str">
        <f t="shared" si="7"/>
        <v>_apac</v>
      </c>
      <c r="C400" s="6" t="s">
        <v>379</v>
      </c>
      <c r="D400" s="15" t="s">
        <v>1905</v>
      </c>
      <c r="E400" s="6" t="s">
        <v>2054</v>
      </c>
      <c r="F400" s="19" t="s">
        <v>2935</v>
      </c>
    </row>
    <row r="401" spans="1:6" x14ac:dyDescent="0.25">
      <c r="A401" s="6" t="str">
        <f t="shared" si="8"/>
        <v>q115_5_apac</v>
      </c>
      <c r="B401" s="6" t="str">
        <f t="shared" si="7"/>
        <v>_apac</v>
      </c>
      <c r="C401" s="6" t="s">
        <v>380</v>
      </c>
      <c r="D401" s="15" t="s">
        <v>1905</v>
      </c>
      <c r="E401" s="6" t="s">
        <v>2055</v>
      </c>
      <c r="F401" s="19" t="s">
        <v>2936</v>
      </c>
    </row>
    <row r="402" spans="1:6" x14ac:dyDescent="0.25">
      <c r="A402" s="6" t="str">
        <f t="shared" si="8"/>
        <v>q115_6_apac</v>
      </c>
      <c r="B402" s="6" t="str">
        <f t="shared" si="7"/>
        <v>_apac</v>
      </c>
      <c r="C402" s="6" t="s">
        <v>381</v>
      </c>
      <c r="D402" s="15" t="s">
        <v>1905</v>
      </c>
      <c r="E402" s="6" t="s">
        <v>2056</v>
      </c>
      <c r="F402" s="19" t="s">
        <v>2937</v>
      </c>
    </row>
    <row r="403" spans="1:6" x14ac:dyDescent="0.25">
      <c r="A403" s="6" t="str">
        <f t="shared" si="8"/>
        <v>q11ROW5_hidden_apac</v>
      </c>
      <c r="B403" s="6" t="str">
        <f t="shared" si="7"/>
        <v>_apac</v>
      </c>
      <c r="C403" s="6" t="s">
        <v>382</v>
      </c>
      <c r="D403" s="15" t="s">
        <v>1905</v>
      </c>
      <c r="E403" s="11" t="s">
        <v>2057</v>
      </c>
      <c r="F403" s="19" t="s">
        <v>2938</v>
      </c>
    </row>
    <row r="404" spans="1:6" x14ac:dyDescent="0.25">
      <c r="A404" s="6" t="str">
        <f t="shared" si="8"/>
        <v>q11COL1_hidden_apac</v>
      </c>
      <c r="B404" s="6" t="str">
        <f t="shared" si="7"/>
        <v>_apac</v>
      </c>
      <c r="C404" s="6" t="s">
        <v>383</v>
      </c>
      <c r="D404" s="15" t="s">
        <v>1905</v>
      </c>
      <c r="E404" s="11" t="s">
        <v>1953</v>
      </c>
      <c r="F404" s="19" t="s">
        <v>2939</v>
      </c>
    </row>
    <row r="405" spans="1:6" x14ac:dyDescent="0.25">
      <c r="A405" s="6" t="str">
        <f t="shared" si="8"/>
        <v>q11COL2_hidden_apac</v>
      </c>
      <c r="B405" s="6" t="str">
        <f t="shared" si="7"/>
        <v>_apac</v>
      </c>
      <c r="C405" s="6" t="s">
        <v>384</v>
      </c>
      <c r="D405" s="15" t="s">
        <v>1905</v>
      </c>
      <c r="E405" s="11" t="s">
        <v>1954</v>
      </c>
      <c r="F405" s="19" t="s">
        <v>2940</v>
      </c>
    </row>
    <row r="406" spans="1:6" x14ac:dyDescent="0.25">
      <c r="A406" s="6" t="str">
        <f t="shared" si="8"/>
        <v>q11COL3_hidden_apac</v>
      </c>
      <c r="B406" s="6" t="str">
        <f t="shared" si="7"/>
        <v>_apac</v>
      </c>
      <c r="C406" s="6" t="s">
        <v>385</v>
      </c>
      <c r="D406" s="15" t="s">
        <v>1905</v>
      </c>
      <c r="E406" s="11" t="s">
        <v>1955</v>
      </c>
      <c r="F406" s="19" t="s">
        <v>2941</v>
      </c>
    </row>
    <row r="407" spans="1:6" x14ac:dyDescent="0.25">
      <c r="A407" s="6" t="str">
        <f t="shared" si="8"/>
        <v>q11COL4_hidden_apac</v>
      </c>
      <c r="B407" s="6" t="str">
        <f t="shared" si="7"/>
        <v>_apac</v>
      </c>
      <c r="C407" s="6" t="s">
        <v>386</v>
      </c>
      <c r="D407" s="15" t="s">
        <v>1905</v>
      </c>
      <c r="E407" s="11" t="s">
        <v>1956</v>
      </c>
      <c r="F407" s="19" t="s">
        <v>2942</v>
      </c>
    </row>
    <row r="408" spans="1:6" x14ac:dyDescent="0.25">
      <c r="A408" s="6" t="str">
        <f t="shared" si="8"/>
        <v>q11COL5_hidden_apac</v>
      </c>
      <c r="B408" s="6" t="str">
        <f t="shared" si="7"/>
        <v>_apac</v>
      </c>
      <c r="C408" s="6" t="s">
        <v>387</v>
      </c>
      <c r="D408" s="15" t="s">
        <v>1905</v>
      </c>
      <c r="E408" s="11" t="s">
        <v>1957</v>
      </c>
      <c r="F408" s="19" t="s">
        <v>2943</v>
      </c>
    </row>
    <row r="409" spans="1:6" x14ac:dyDescent="0.25">
      <c r="A409" s="6" t="str">
        <f t="shared" si="8"/>
        <v>q11COL6_hidden_apac</v>
      </c>
      <c r="B409" s="6" t="str">
        <f t="shared" si="7"/>
        <v>_apac</v>
      </c>
      <c r="C409" s="6" t="s">
        <v>388</v>
      </c>
      <c r="D409" s="15" t="s">
        <v>1905</v>
      </c>
      <c r="E409" s="11" t="s">
        <v>1958</v>
      </c>
      <c r="F409" s="19" t="s">
        <v>2944</v>
      </c>
    </row>
    <row r="410" spans="1:6" x14ac:dyDescent="0.25">
      <c r="A410" s="6" t="str">
        <f t="shared" si="8"/>
        <v>q11GRANDTotal_hidden_apac</v>
      </c>
      <c r="B410" s="6" t="str">
        <f t="shared" si="7"/>
        <v>_apac</v>
      </c>
      <c r="C410" s="6" t="s">
        <v>389</v>
      </c>
      <c r="D410" s="15" t="s">
        <v>1905</v>
      </c>
      <c r="E410" s="11" t="s">
        <v>2075</v>
      </c>
      <c r="F410" s="19" t="s">
        <v>2945</v>
      </c>
    </row>
    <row r="411" spans="1:6" x14ac:dyDescent="0.25">
      <c r="A411" s="6" t="str">
        <f t="shared" si="8"/>
        <v>EUROPE_europe</v>
      </c>
      <c r="B411" s="6" t="s">
        <v>2088</v>
      </c>
      <c r="C411" s="13" t="s">
        <v>390</v>
      </c>
      <c r="D411" s="14"/>
      <c r="E411" s="12" t="s">
        <v>2076</v>
      </c>
      <c r="F411" s="6">
        <f>VLOOKUP(E411,'[3]Full Data-Map'!$C:$D,2,FALSE)</f>
        <v>16</v>
      </c>
    </row>
    <row r="412" spans="1:6" x14ac:dyDescent="0.25">
      <c r="A412" s="6" t="str">
        <f t="shared" si="8"/>
        <v>q101_1_europe</v>
      </c>
      <c r="B412" s="6" t="str">
        <f t="shared" ref="B412:B475" si="9">B411</f>
        <v>_europe</v>
      </c>
      <c r="C412" s="6" t="s">
        <v>284</v>
      </c>
      <c r="D412" s="15" t="s">
        <v>1905</v>
      </c>
      <c r="E412" s="6" t="s">
        <v>1965</v>
      </c>
      <c r="F412" s="19" t="s">
        <v>2946</v>
      </c>
    </row>
    <row r="413" spans="1:6" x14ac:dyDescent="0.25">
      <c r="A413" s="6" t="str">
        <f t="shared" si="8"/>
        <v>q101_2_europe</v>
      </c>
      <c r="B413" s="6" t="str">
        <f t="shared" si="9"/>
        <v>_europe</v>
      </c>
      <c r="C413" s="6" t="s">
        <v>285</v>
      </c>
      <c r="D413" s="15" t="s">
        <v>1905</v>
      </c>
      <c r="E413" s="6" t="s">
        <v>1966</v>
      </c>
      <c r="F413" s="19" t="s">
        <v>2947</v>
      </c>
    </row>
    <row r="414" spans="1:6" x14ac:dyDescent="0.25">
      <c r="A414" s="6" t="str">
        <f t="shared" si="8"/>
        <v>q101_3_europe</v>
      </c>
      <c r="B414" s="6" t="str">
        <f t="shared" si="9"/>
        <v>_europe</v>
      </c>
      <c r="C414" s="6" t="s">
        <v>286</v>
      </c>
      <c r="D414" s="15" t="s">
        <v>1905</v>
      </c>
      <c r="E414" s="6" t="s">
        <v>1967</v>
      </c>
      <c r="F414" s="19" t="s">
        <v>2948</v>
      </c>
    </row>
    <row r="415" spans="1:6" x14ac:dyDescent="0.25">
      <c r="A415" s="6" t="str">
        <f t="shared" si="8"/>
        <v>q101_4_europe</v>
      </c>
      <c r="B415" s="6" t="str">
        <f t="shared" si="9"/>
        <v>_europe</v>
      </c>
      <c r="C415" s="6" t="s">
        <v>287</v>
      </c>
      <c r="D415" s="15" t="s">
        <v>1905</v>
      </c>
      <c r="E415" s="6" t="s">
        <v>1968</v>
      </c>
      <c r="F415" s="19" t="s">
        <v>2949</v>
      </c>
    </row>
    <row r="416" spans="1:6" x14ac:dyDescent="0.25">
      <c r="A416" s="6" t="str">
        <f t="shared" si="8"/>
        <v>q101_5_europe</v>
      </c>
      <c r="B416" s="6" t="str">
        <f t="shared" si="9"/>
        <v>_europe</v>
      </c>
      <c r="C416" s="6" t="s">
        <v>288</v>
      </c>
      <c r="D416" s="15" t="s">
        <v>1905</v>
      </c>
      <c r="E416" s="6" t="s">
        <v>1969</v>
      </c>
      <c r="F416" s="19" t="s">
        <v>2950</v>
      </c>
    </row>
    <row r="417" spans="1:6" x14ac:dyDescent="0.25">
      <c r="A417" s="6" t="str">
        <f t="shared" si="8"/>
        <v>q101_6_europe</v>
      </c>
      <c r="B417" s="6" t="str">
        <f t="shared" si="9"/>
        <v>_europe</v>
      </c>
      <c r="C417" s="6" t="s">
        <v>289</v>
      </c>
      <c r="D417" s="15" t="s">
        <v>1905</v>
      </c>
      <c r="E417" s="6" t="s">
        <v>1970</v>
      </c>
      <c r="F417" s="19" t="s">
        <v>2951</v>
      </c>
    </row>
    <row r="418" spans="1:6" x14ac:dyDescent="0.25">
      <c r="A418" s="6" t="str">
        <f t="shared" si="8"/>
        <v>q10ROW1_hidden_europe</v>
      </c>
      <c r="B418" s="6" t="str">
        <f t="shared" si="9"/>
        <v>_europe</v>
      </c>
      <c r="C418" s="6" t="s">
        <v>290</v>
      </c>
      <c r="D418" s="15" t="s">
        <v>1905</v>
      </c>
      <c r="E418" s="11" t="s">
        <v>1971</v>
      </c>
      <c r="F418" s="19" t="s">
        <v>2952</v>
      </c>
    </row>
    <row r="419" spans="1:6" x14ac:dyDescent="0.25">
      <c r="A419" s="6" t="str">
        <f t="shared" si="8"/>
        <v>q102_1_europe</v>
      </c>
      <c r="B419" s="6" t="str">
        <f t="shared" si="9"/>
        <v>_europe</v>
      </c>
      <c r="C419" s="6" t="s">
        <v>291</v>
      </c>
      <c r="D419" s="15" t="s">
        <v>1905</v>
      </c>
      <c r="E419" s="6" t="s">
        <v>1972</v>
      </c>
      <c r="F419" s="19" t="s">
        <v>2953</v>
      </c>
    </row>
    <row r="420" spans="1:6" x14ac:dyDescent="0.25">
      <c r="A420" s="6" t="str">
        <f t="shared" si="8"/>
        <v>q102_2_europe</v>
      </c>
      <c r="B420" s="6" t="str">
        <f t="shared" si="9"/>
        <v>_europe</v>
      </c>
      <c r="C420" s="6" t="s">
        <v>292</v>
      </c>
      <c r="D420" s="15" t="s">
        <v>1905</v>
      </c>
      <c r="E420" s="6" t="s">
        <v>1973</v>
      </c>
      <c r="F420" s="19" t="s">
        <v>2954</v>
      </c>
    </row>
    <row r="421" spans="1:6" x14ac:dyDescent="0.25">
      <c r="A421" s="6" t="str">
        <f t="shared" si="8"/>
        <v>q102_3_europe</v>
      </c>
      <c r="B421" s="6" t="str">
        <f t="shared" si="9"/>
        <v>_europe</v>
      </c>
      <c r="C421" s="6" t="s">
        <v>293</v>
      </c>
      <c r="D421" s="15" t="s">
        <v>1905</v>
      </c>
      <c r="E421" s="6" t="s">
        <v>1974</v>
      </c>
      <c r="F421" s="19" t="s">
        <v>2955</v>
      </c>
    </row>
    <row r="422" spans="1:6" x14ac:dyDescent="0.25">
      <c r="A422" s="6" t="str">
        <f t="shared" si="8"/>
        <v>q102_4_europe</v>
      </c>
      <c r="B422" s="6" t="str">
        <f t="shared" si="9"/>
        <v>_europe</v>
      </c>
      <c r="C422" s="6" t="s">
        <v>294</v>
      </c>
      <c r="D422" s="15" t="s">
        <v>1905</v>
      </c>
      <c r="E422" s="6" t="s">
        <v>1975</v>
      </c>
      <c r="F422" s="19" t="s">
        <v>2956</v>
      </c>
    </row>
    <row r="423" spans="1:6" x14ac:dyDescent="0.25">
      <c r="A423" s="6" t="str">
        <f t="shared" si="8"/>
        <v>q102_5_europe</v>
      </c>
      <c r="B423" s="6" t="str">
        <f t="shared" si="9"/>
        <v>_europe</v>
      </c>
      <c r="C423" s="6" t="s">
        <v>295</v>
      </c>
      <c r="D423" s="15" t="s">
        <v>1905</v>
      </c>
      <c r="E423" s="6" t="s">
        <v>1976</v>
      </c>
      <c r="F423" s="19" t="s">
        <v>2957</v>
      </c>
    </row>
    <row r="424" spans="1:6" x14ac:dyDescent="0.25">
      <c r="A424" s="6" t="str">
        <f t="shared" si="8"/>
        <v>q102_6_europe</v>
      </c>
      <c r="B424" s="6" t="str">
        <f t="shared" si="9"/>
        <v>_europe</v>
      </c>
      <c r="C424" s="6" t="s">
        <v>296</v>
      </c>
      <c r="D424" s="15" t="s">
        <v>1905</v>
      </c>
      <c r="E424" s="6" t="s">
        <v>1977</v>
      </c>
      <c r="F424" s="19" t="s">
        <v>2958</v>
      </c>
    </row>
    <row r="425" spans="1:6" x14ac:dyDescent="0.25">
      <c r="A425" s="6" t="str">
        <f t="shared" si="8"/>
        <v>q10ROW2_hidden_europe</v>
      </c>
      <c r="B425" s="6" t="str">
        <f t="shared" si="9"/>
        <v>_europe</v>
      </c>
      <c r="C425" s="6" t="s">
        <v>297</v>
      </c>
      <c r="D425" s="15" t="s">
        <v>1905</v>
      </c>
      <c r="E425" s="11" t="s">
        <v>1978</v>
      </c>
      <c r="F425" s="19" t="s">
        <v>2959</v>
      </c>
    </row>
    <row r="426" spans="1:6" x14ac:dyDescent="0.25">
      <c r="A426" s="6" t="str">
        <f t="shared" si="8"/>
        <v>q103_1_europe</v>
      </c>
      <c r="B426" s="6" t="str">
        <f t="shared" si="9"/>
        <v>_europe</v>
      </c>
      <c r="C426" s="6" t="s">
        <v>298</v>
      </c>
      <c r="D426" s="15" t="s">
        <v>1905</v>
      </c>
      <c r="E426" s="6" t="s">
        <v>1979</v>
      </c>
      <c r="F426" s="19" t="s">
        <v>2960</v>
      </c>
    </row>
    <row r="427" spans="1:6" x14ac:dyDescent="0.25">
      <c r="A427" s="6" t="str">
        <f t="shared" si="8"/>
        <v>q103_2_europe</v>
      </c>
      <c r="B427" s="6" t="str">
        <f t="shared" si="9"/>
        <v>_europe</v>
      </c>
      <c r="C427" s="6" t="s">
        <v>299</v>
      </c>
      <c r="D427" s="15" t="s">
        <v>1905</v>
      </c>
      <c r="E427" s="6" t="s">
        <v>1980</v>
      </c>
      <c r="F427" s="19" t="s">
        <v>2961</v>
      </c>
    </row>
    <row r="428" spans="1:6" x14ac:dyDescent="0.25">
      <c r="A428" s="6" t="str">
        <f t="shared" si="8"/>
        <v>q103_3_europe</v>
      </c>
      <c r="B428" s="6" t="str">
        <f t="shared" si="9"/>
        <v>_europe</v>
      </c>
      <c r="C428" s="6" t="s">
        <v>300</v>
      </c>
      <c r="D428" s="15" t="s">
        <v>1905</v>
      </c>
      <c r="E428" s="6" t="s">
        <v>1981</v>
      </c>
      <c r="F428" s="19" t="s">
        <v>2962</v>
      </c>
    </row>
    <row r="429" spans="1:6" x14ac:dyDescent="0.25">
      <c r="A429" s="6" t="str">
        <f t="shared" si="8"/>
        <v>q103_4_europe</v>
      </c>
      <c r="B429" s="6" t="str">
        <f t="shared" si="9"/>
        <v>_europe</v>
      </c>
      <c r="C429" s="6" t="s">
        <v>301</v>
      </c>
      <c r="D429" s="15" t="s">
        <v>1905</v>
      </c>
      <c r="E429" s="6" t="s">
        <v>1982</v>
      </c>
      <c r="F429" s="19" t="s">
        <v>2963</v>
      </c>
    </row>
    <row r="430" spans="1:6" x14ac:dyDescent="0.25">
      <c r="A430" s="6" t="str">
        <f t="shared" si="8"/>
        <v>q103_5_europe</v>
      </c>
      <c r="B430" s="6" t="str">
        <f t="shared" si="9"/>
        <v>_europe</v>
      </c>
      <c r="C430" s="6" t="s">
        <v>302</v>
      </c>
      <c r="D430" s="15" t="s">
        <v>1905</v>
      </c>
      <c r="E430" s="6" t="s">
        <v>1983</v>
      </c>
      <c r="F430" s="19" t="s">
        <v>2964</v>
      </c>
    </row>
    <row r="431" spans="1:6" x14ac:dyDescent="0.25">
      <c r="A431" s="6" t="str">
        <f t="shared" si="8"/>
        <v>q103_6_europe</v>
      </c>
      <c r="B431" s="6" t="str">
        <f t="shared" si="9"/>
        <v>_europe</v>
      </c>
      <c r="C431" s="6" t="s">
        <v>303</v>
      </c>
      <c r="D431" s="15" t="s">
        <v>1905</v>
      </c>
      <c r="E431" s="6" t="s">
        <v>1984</v>
      </c>
      <c r="F431" s="19" t="s">
        <v>2965</v>
      </c>
    </row>
    <row r="432" spans="1:6" x14ac:dyDescent="0.25">
      <c r="A432" s="6" t="str">
        <f t="shared" si="8"/>
        <v>q10ROW3_hidden_europe</v>
      </c>
      <c r="B432" s="6" t="str">
        <f t="shared" si="9"/>
        <v>_europe</v>
      </c>
      <c r="C432" s="6" t="s">
        <v>304</v>
      </c>
      <c r="D432" s="15" t="s">
        <v>1905</v>
      </c>
      <c r="E432" s="11" t="s">
        <v>1985</v>
      </c>
      <c r="F432" s="19" t="s">
        <v>2966</v>
      </c>
    </row>
    <row r="433" spans="1:6" x14ac:dyDescent="0.25">
      <c r="A433" s="6" t="str">
        <f t="shared" si="8"/>
        <v>q104_1_europe</v>
      </c>
      <c r="B433" s="6" t="str">
        <f t="shared" si="9"/>
        <v>_europe</v>
      </c>
      <c r="C433" s="6" t="s">
        <v>305</v>
      </c>
      <c r="D433" s="15" t="s">
        <v>1905</v>
      </c>
      <c r="E433" s="6" t="s">
        <v>1986</v>
      </c>
      <c r="F433" s="19" t="s">
        <v>2967</v>
      </c>
    </row>
    <row r="434" spans="1:6" x14ac:dyDescent="0.25">
      <c r="A434" s="6" t="str">
        <f t="shared" si="8"/>
        <v>q104_2_europe</v>
      </c>
      <c r="B434" s="6" t="str">
        <f t="shared" si="9"/>
        <v>_europe</v>
      </c>
      <c r="C434" s="6" t="s">
        <v>306</v>
      </c>
      <c r="D434" s="15" t="s">
        <v>1905</v>
      </c>
      <c r="E434" s="6" t="s">
        <v>1987</v>
      </c>
      <c r="F434" s="19" t="s">
        <v>2968</v>
      </c>
    </row>
    <row r="435" spans="1:6" x14ac:dyDescent="0.25">
      <c r="A435" s="6" t="str">
        <f t="shared" si="8"/>
        <v>q104_3_europe</v>
      </c>
      <c r="B435" s="6" t="str">
        <f t="shared" si="9"/>
        <v>_europe</v>
      </c>
      <c r="C435" s="6" t="s">
        <v>307</v>
      </c>
      <c r="D435" s="15" t="s">
        <v>1905</v>
      </c>
      <c r="E435" s="6" t="s">
        <v>1988</v>
      </c>
      <c r="F435" s="19" t="s">
        <v>2969</v>
      </c>
    </row>
    <row r="436" spans="1:6" x14ac:dyDescent="0.25">
      <c r="A436" s="6" t="str">
        <f t="shared" si="8"/>
        <v>q104_4_europe</v>
      </c>
      <c r="B436" s="6" t="str">
        <f t="shared" si="9"/>
        <v>_europe</v>
      </c>
      <c r="C436" s="6" t="s">
        <v>308</v>
      </c>
      <c r="D436" s="15" t="s">
        <v>1905</v>
      </c>
      <c r="E436" s="6" t="s">
        <v>1989</v>
      </c>
      <c r="F436" s="19" t="s">
        <v>2970</v>
      </c>
    </row>
    <row r="437" spans="1:6" x14ac:dyDescent="0.25">
      <c r="A437" s="6" t="str">
        <f t="shared" si="8"/>
        <v>q104_5_europe</v>
      </c>
      <c r="B437" s="6" t="str">
        <f t="shared" si="9"/>
        <v>_europe</v>
      </c>
      <c r="C437" s="6" t="s">
        <v>309</v>
      </c>
      <c r="D437" s="15" t="s">
        <v>1905</v>
      </c>
      <c r="E437" s="6" t="s">
        <v>1990</v>
      </c>
      <c r="F437" s="19" t="s">
        <v>2971</v>
      </c>
    </row>
    <row r="438" spans="1:6" x14ac:dyDescent="0.25">
      <c r="A438" s="6" t="str">
        <f t="shared" si="8"/>
        <v>q104_6_europe</v>
      </c>
      <c r="B438" s="6" t="str">
        <f t="shared" si="9"/>
        <v>_europe</v>
      </c>
      <c r="C438" s="6" t="s">
        <v>310</v>
      </c>
      <c r="D438" s="15" t="s">
        <v>1905</v>
      </c>
      <c r="E438" s="6" t="s">
        <v>1991</v>
      </c>
      <c r="F438" s="19" t="s">
        <v>2972</v>
      </c>
    </row>
    <row r="439" spans="1:6" x14ac:dyDescent="0.25">
      <c r="A439" s="6" t="str">
        <f t="shared" si="8"/>
        <v>q10ROW4_hidden_europe</v>
      </c>
      <c r="B439" s="6" t="str">
        <f t="shared" si="9"/>
        <v>_europe</v>
      </c>
      <c r="C439" s="6" t="s">
        <v>311</v>
      </c>
      <c r="D439" s="15" t="s">
        <v>1905</v>
      </c>
      <c r="E439" s="11" t="s">
        <v>1992</v>
      </c>
      <c r="F439" s="19" t="s">
        <v>2973</v>
      </c>
    </row>
    <row r="440" spans="1:6" x14ac:dyDescent="0.25">
      <c r="A440" s="6" t="str">
        <f t="shared" si="8"/>
        <v>q105_1_europe</v>
      </c>
      <c r="B440" s="6" t="str">
        <f t="shared" si="9"/>
        <v>_europe</v>
      </c>
      <c r="C440" s="6" t="s">
        <v>312</v>
      </c>
      <c r="D440" s="15" t="s">
        <v>1905</v>
      </c>
      <c r="E440" s="6" t="s">
        <v>1993</v>
      </c>
      <c r="F440" s="19" t="s">
        <v>2974</v>
      </c>
    </row>
    <row r="441" spans="1:6" x14ac:dyDescent="0.25">
      <c r="A441" s="6" t="str">
        <f t="shared" si="8"/>
        <v>q105_2_europe</v>
      </c>
      <c r="B441" s="6" t="str">
        <f t="shared" si="9"/>
        <v>_europe</v>
      </c>
      <c r="C441" s="6" t="s">
        <v>313</v>
      </c>
      <c r="D441" s="15" t="s">
        <v>1905</v>
      </c>
      <c r="E441" s="6" t="s">
        <v>1994</v>
      </c>
      <c r="F441" s="19" t="s">
        <v>2975</v>
      </c>
    </row>
    <row r="442" spans="1:6" x14ac:dyDescent="0.25">
      <c r="A442" s="6" t="str">
        <f t="shared" si="8"/>
        <v>q105_3_europe</v>
      </c>
      <c r="B442" s="6" t="str">
        <f t="shared" si="9"/>
        <v>_europe</v>
      </c>
      <c r="C442" s="6" t="s">
        <v>314</v>
      </c>
      <c r="D442" s="15" t="s">
        <v>1905</v>
      </c>
      <c r="E442" s="6" t="s">
        <v>1995</v>
      </c>
      <c r="F442" s="19" t="s">
        <v>2976</v>
      </c>
    </row>
    <row r="443" spans="1:6" x14ac:dyDescent="0.25">
      <c r="A443" s="6" t="str">
        <f t="shared" si="8"/>
        <v>q105_4_europe</v>
      </c>
      <c r="B443" s="6" t="str">
        <f t="shared" si="9"/>
        <v>_europe</v>
      </c>
      <c r="C443" s="6" t="s">
        <v>315</v>
      </c>
      <c r="D443" s="15" t="s">
        <v>1905</v>
      </c>
      <c r="E443" s="6" t="s">
        <v>1996</v>
      </c>
      <c r="F443" s="19" t="s">
        <v>2977</v>
      </c>
    </row>
    <row r="444" spans="1:6" x14ac:dyDescent="0.25">
      <c r="A444" s="6" t="str">
        <f t="shared" si="8"/>
        <v>q105_5_europe</v>
      </c>
      <c r="B444" s="6" t="str">
        <f t="shared" si="9"/>
        <v>_europe</v>
      </c>
      <c r="C444" s="6" t="s">
        <v>316</v>
      </c>
      <c r="D444" s="15" t="s">
        <v>1905</v>
      </c>
      <c r="E444" s="6" t="s">
        <v>1997</v>
      </c>
      <c r="F444" s="19" t="s">
        <v>2978</v>
      </c>
    </row>
    <row r="445" spans="1:6" x14ac:dyDescent="0.25">
      <c r="A445" s="6" t="str">
        <f t="shared" si="8"/>
        <v>q105_6_europe</v>
      </c>
      <c r="B445" s="6" t="str">
        <f t="shared" si="9"/>
        <v>_europe</v>
      </c>
      <c r="C445" s="6" t="s">
        <v>317</v>
      </c>
      <c r="D445" s="15" t="s">
        <v>1905</v>
      </c>
      <c r="E445" s="6" t="s">
        <v>1998</v>
      </c>
      <c r="F445" s="19" t="s">
        <v>2979</v>
      </c>
    </row>
    <row r="446" spans="1:6" x14ac:dyDescent="0.25">
      <c r="A446" s="6" t="str">
        <f t="shared" si="8"/>
        <v>q10ROW5_hidden_europe</v>
      </c>
      <c r="B446" s="6" t="str">
        <f t="shared" si="9"/>
        <v>_europe</v>
      </c>
      <c r="C446" s="6" t="s">
        <v>318</v>
      </c>
      <c r="D446" s="15" t="s">
        <v>1905</v>
      </c>
      <c r="E446" s="11" t="s">
        <v>1999</v>
      </c>
      <c r="F446" s="19" t="s">
        <v>2980</v>
      </c>
    </row>
    <row r="447" spans="1:6" x14ac:dyDescent="0.25">
      <c r="A447" s="6" t="str">
        <f t="shared" si="8"/>
        <v>q106_1_europe</v>
      </c>
      <c r="B447" s="6" t="str">
        <f t="shared" si="9"/>
        <v>_europe</v>
      </c>
      <c r="C447" s="6" t="s">
        <v>319</v>
      </c>
      <c r="D447" s="15" t="s">
        <v>1905</v>
      </c>
      <c r="E447" s="6" t="s">
        <v>2000</v>
      </c>
      <c r="F447" s="19" t="s">
        <v>2981</v>
      </c>
    </row>
    <row r="448" spans="1:6" x14ac:dyDescent="0.25">
      <c r="A448" s="6" t="str">
        <f t="shared" si="8"/>
        <v>q106_2_europe</v>
      </c>
      <c r="B448" s="6" t="str">
        <f t="shared" si="9"/>
        <v>_europe</v>
      </c>
      <c r="C448" s="6" t="s">
        <v>320</v>
      </c>
      <c r="D448" s="15" t="s">
        <v>1905</v>
      </c>
      <c r="E448" s="6" t="s">
        <v>2001</v>
      </c>
      <c r="F448" s="19" t="s">
        <v>2982</v>
      </c>
    </row>
    <row r="449" spans="1:6" x14ac:dyDescent="0.25">
      <c r="A449" s="6" t="str">
        <f t="shared" si="8"/>
        <v>q106_3_europe</v>
      </c>
      <c r="B449" s="6" t="str">
        <f t="shared" si="9"/>
        <v>_europe</v>
      </c>
      <c r="C449" s="6" t="s">
        <v>321</v>
      </c>
      <c r="D449" s="15" t="s">
        <v>1905</v>
      </c>
      <c r="E449" s="6" t="s">
        <v>2002</v>
      </c>
      <c r="F449" s="19" t="s">
        <v>2983</v>
      </c>
    </row>
    <row r="450" spans="1:6" x14ac:dyDescent="0.25">
      <c r="A450" s="6" t="str">
        <f t="shared" si="8"/>
        <v>q106_4_europe</v>
      </c>
      <c r="B450" s="6" t="str">
        <f t="shared" si="9"/>
        <v>_europe</v>
      </c>
      <c r="C450" s="6" t="s">
        <v>322</v>
      </c>
      <c r="D450" s="15" t="s">
        <v>1905</v>
      </c>
      <c r="E450" s="6" t="s">
        <v>2003</v>
      </c>
      <c r="F450" s="19" t="s">
        <v>2984</v>
      </c>
    </row>
    <row r="451" spans="1:6" x14ac:dyDescent="0.25">
      <c r="A451" s="6" t="str">
        <f t="shared" ref="A451:A514" si="10">_xlfn.CONCAT(C451,B451)</f>
        <v>q106_5_europe</v>
      </c>
      <c r="B451" s="6" t="str">
        <f t="shared" si="9"/>
        <v>_europe</v>
      </c>
      <c r="C451" s="6" t="s">
        <v>323</v>
      </c>
      <c r="D451" s="15" t="s">
        <v>1905</v>
      </c>
      <c r="E451" s="6" t="s">
        <v>2004</v>
      </c>
      <c r="F451" s="19" t="s">
        <v>2985</v>
      </c>
    </row>
    <row r="452" spans="1:6" x14ac:dyDescent="0.25">
      <c r="A452" s="6" t="str">
        <f t="shared" si="10"/>
        <v>q106_6_europe</v>
      </c>
      <c r="B452" s="6" t="str">
        <f t="shared" si="9"/>
        <v>_europe</v>
      </c>
      <c r="C452" s="6" t="s">
        <v>324</v>
      </c>
      <c r="D452" s="15" t="s">
        <v>1905</v>
      </c>
      <c r="E452" s="6" t="s">
        <v>2005</v>
      </c>
      <c r="F452" s="19" t="s">
        <v>2986</v>
      </c>
    </row>
    <row r="453" spans="1:6" x14ac:dyDescent="0.25">
      <c r="A453" s="6" t="str">
        <f t="shared" si="10"/>
        <v>q10ROW6_hidden_europe</v>
      </c>
      <c r="B453" s="6" t="str">
        <f t="shared" si="9"/>
        <v>_europe</v>
      </c>
      <c r="C453" s="6" t="s">
        <v>325</v>
      </c>
      <c r="D453" s="15" t="s">
        <v>1905</v>
      </c>
      <c r="E453" s="11" t="s">
        <v>1957</v>
      </c>
      <c r="F453" s="19" t="s">
        <v>2987</v>
      </c>
    </row>
    <row r="454" spans="1:6" x14ac:dyDescent="0.25">
      <c r="A454" s="6" t="str">
        <f t="shared" si="10"/>
        <v>q107_1_europe</v>
      </c>
      <c r="B454" s="6" t="str">
        <f t="shared" si="9"/>
        <v>_europe</v>
      </c>
      <c r="C454" s="6" t="s">
        <v>326</v>
      </c>
      <c r="D454" s="15" t="s">
        <v>1905</v>
      </c>
      <c r="E454" s="6" t="s">
        <v>2006</v>
      </c>
      <c r="F454" s="19" t="s">
        <v>2988</v>
      </c>
    </row>
    <row r="455" spans="1:6" x14ac:dyDescent="0.25">
      <c r="A455" s="6" t="str">
        <f t="shared" si="10"/>
        <v>q107_2_europe</v>
      </c>
      <c r="B455" s="6" t="str">
        <f t="shared" si="9"/>
        <v>_europe</v>
      </c>
      <c r="C455" s="6" t="s">
        <v>327</v>
      </c>
      <c r="D455" s="15" t="s">
        <v>1905</v>
      </c>
      <c r="E455" s="6" t="s">
        <v>2007</v>
      </c>
      <c r="F455" s="19" t="s">
        <v>2989</v>
      </c>
    </row>
    <row r="456" spans="1:6" x14ac:dyDescent="0.25">
      <c r="A456" s="6" t="str">
        <f t="shared" si="10"/>
        <v>q107_3_europe</v>
      </c>
      <c r="B456" s="6" t="str">
        <f t="shared" si="9"/>
        <v>_europe</v>
      </c>
      <c r="C456" s="6" t="s">
        <v>328</v>
      </c>
      <c r="D456" s="15" t="s">
        <v>1905</v>
      </c>
      <c r="E456" s="6" t="s">
        <v>2008</v>
      </c>
      <c r="F456" s="19" t="s">
        <v>2990</v>
      </c>
    </row>
    <row r="457" spans="1:6" x14ac:dyDescent="0.25">
      <c r="A457" s="6" t="str">
        <f t="shared" si="10"/>
        <v>q107_4_europe</v>
      </c>
      <c r="B457" s="6" t="str">
        <f t="shared" si="9"/>
        <v>_europe</v>
      </c>
      <c r="C457" s="6" t="s">
        <v>329</v>
      </c>
      <c r="D457" s="15" t="s">
        <v>1905</v>
      </c>
      <c r="E457" s="6" t="s">
        <v>2009</v>
      </c>
      <c r="F457" s="19" t="s">
        <v>2991</v>
      </c>
    </row>
    <row r="458" spans="1:6" x14ac:dyDescent="0.25">
      <c r="A458" s="6" t="str">
        <f t="shared" si="10"/>
        <v>q107_5_europe</v>
      </c>
      <c r="B458" s="6" t="str">
        <f t="shared" si="9"/>
        <v>_europe</v>
      </c>
      <c r="C458" s="6" t="s">
        <v>330</v>
      </c>
      <c r="D458" s="15" t="s">
        <v>1905</v>
      </c>
      <c r="E458" s="6" t="s">
        <v>2010</v>
      </c>
      <c r="F458" s="19" t="s">
        <v>2992</v>
      </c>
    </row>
    <row r="459" spans="1:6" x14ac:dyDescent="0.25">
      <c r="A459" s="6" t="str">
        <f t="shared" si="10"/>
        <v>q107_6_europe</v>
      </c>
      <c r="B459" s="6" t="str">
        <f t="shared" si="9"/>
        <v>_europe</v>
      </c>
      <c r="C459" s="6" t="s">
        <v>331</v>
      </c>
      <c r="D459" s="15" t="s">
        <v>1905</v>
      </c>
      <c r="E459" s="6" t="s">
        <v>2011</v>
      </c>
      <c r="F459" s="19" t="s">
        <v>2993</v>
      </c>
    </row>
    <row r="460" spans="1:6" x14ac:dyDescent="0.25">
      <c r="A460" s="6" t="str">
        <f t="shared" si="10"/>
        <v>q10ROW7_hidden_europe</v>
      </c>
      <c r="B460" s="6" t="str">
        <f t="shared" si="9"/>
        <v>_europe</v>
      </c>
      <c r="C460" s="6" t="s">
        <v>332</v>
      </c>
      <c r="D460" s="15" t="s">
        <v>1905</v>
      </c>
      <c r="E460" s="11" t="s">
        <v>2012</v>
      </c>
      <c r="F460" s="19" t="s">
        <v>2994</v>
      </c>
    </row>
    <row r="461" spans="1:6" x14ac:dyDescent="0.25">
      <c r="A461" s="6" t="str">
        <f t="shared" si="10"/>
        <v>q10other_europe</v>
      </c>
      <c r="B461" s="6" t="str">
        <f t="shared" si="9"/>
        <v>_europe</v>
      </c>
      <c r="C461" s="6" t="s">
        <v>333</v>
      </c>
      <c r="D461" s="15" t="s">
        <v>1890</v>
      </c>
      <c r="E461" s="6" t="s">
        <v>2013</v>
      </c>
      <c r="F461" s="19" t="s">
        <v>2995</v>
      </c>
    </row>
    <row r="462" spans="1:6" x14ac:dyDescent="0.25">
      <c r="A462" s="6" t="str">
        <f t="shared" si="10"/>
        <v>q108_1_europe</v>
      </c>
      <c r="B462" s="6" t="str">
        <f t="shared" si="9"/>
        <v>_europe</v>
      </c>
      <c r="C462" s="6" t="s">
        <v>334</v>
      </c>
      <c r="D462" s="15" t="s">
        <v>1905</v>
      </c>
      <c r="E462" s="6" t="s">
        <v>2014</v>
      </c>
      <c r="F462" s="19" t="s">
        <v>2996</v>
      </c>
    </row>
    <row r="463" spans="1:6" x14ac:dyDescent="0.25">
      <c r="A463" s="6" t="str">
        <f t="shared" si="10"/>
        <v>q108_2_europe</v>
      </c>
      <c r="B463" s="6" t="str">
        <f t="shared" si="9"/>
        <v>_europe</v>
      </c>
      <c r="C463" s="6" t="s">
        <v>335</v>
      </c>
      <c r="D463" s="15" t="s">
        <v>1905</v>
      </c>
      <c r="E463" s="6" t="s">
        <v>2015</v>
      </c>
      <c r="F463" s="19" t="s">
        <v>2997</v>
      </c>
    </row>
    <row r="464" spans="1:6" x14ac:dyDescent="0.25">
      <c r="A464" s="6" t="str">
        <f t="shared" si="10"/>
        <v>q108_3_europe</v>
      </c>
      <c r="B464" s="6" t="str">
        <f t="shared" si="9"/>
        <v>_europe</v>
      </c>
      <c r="C464" s="6" t="s">
        <v>336</v>
      </c>
      <c r="D464" s="15" t="s">
        <v>1905</v>
      </c>
      <c r="E464" s="6" t="s">
        <v>2016</v>
      </c>
      <c r="F464" s="19" t="s">
        <v>2998</v>
      </c>
    </row>
    <row r="465" spans="1:6" x14ac:dyDescent="0.25">
      <c r="A465" s="6" t="str">
        <f t="shared" si="10"/>
        <v>q108_4_europe</v>
      </c>
      <c r="B465" s="6" t="str">
        <f t="shared" si="9"/>
        <v>_europe</v>
      </c>
      <c r="C465" s="6" t="s">
        <v>337</v>
      </c>
      <c r="D465" s="15" t="s">
        <v>1905</v>
      </c>
      <c r="E465" s="6" t="s">
        <v>2017</v>
      </c>
      <c r="F465" s="19" t="s">
        <v>2999</v>
      </c>
    </row>
    <row r="466" spans="1:6" x14ac:dyDescent="0.25">
      <c r="A466" s="6" t="str">
        <f t="shared" si="10"/>
        <v>q108_5_europe</v>
      </c>
      <c r="B466" s="6" t="str">
        <f t="shared" si="9"/>
        <v>_europe</v>
      </c>
      <c r="C466" s="6" t="s">
        <v>338</v>
      </c>
      <c r="D466" s="15" t="s">
        <v>1905</v>
      </c>
      <c r="E466" s="6" t="s">
        <v>2018</v>
      </c>
      <c r="F466" s="19" t="s">
        <v>3000</v>
      </c>
    </row>
    <row r="467" spans="1:6" x14ac:dyDescent="0.25">
      <c r="A467" s="6" t="str">
        <f t="shared" si="10"/>
        <v>q108_6_europe</v>
      </c>
      <c r="B467" s="6" t="str">
        <f t="shared" si="9"/>
        <v>_europe</v>
      </c>
      <c r="C467" s="6" t="s">
        <v>339</v>
      </c>
      <c r="D467" s="15" t="s">
        <v>1905</v>
      </c>
      <c r="E467" s="6" t="s">
        <v>2019</v>
      </c>
      <c r="F467" s="19" t="s">
        <v>3001</v>
      </c>
    </row>
    <row r="468" spans="1:6" x14ac:dyDescent="0.25">
      <c r="A468" s="6" t="str">
        <f t="shared" si="10"/>
        <v>q10ROW8_hidden_europe</v>
      </c>
      <c r="B468" s="6" t="str">
        <f t="shared" si="9"/>
        <v>_europe</v>
      </c>
      <c r="C468" s="6" t="s">
        <v>340</v>
      </c>
      <c r="D468" s="15" t="s">
        <v>1905</v>
      </c>
      <c r="E468" s="11" t="s">
        <v>2020</v>
      </c>
      <c r="F468" s="19" t="s">
        <v>3002</v>
      </c>
    </row>
    <row r="469" spans="1:6" x14ac:dyDescent="0.25">
      <c r="A469" s="6" t="str">
        <f t="shared" si="10"/>
        <v>q10COL1_hidden_europe</v>
      </c>
      <c r="B469" s="6" t="str">
        <f t="shared" si="9"/>
        <v>_europe</v>
      </c>
      <c r="C469" s="6" t="s">
        <v>341</v>
      </c>
      <c r="D469" s="15" t="s">
        <v>1905</v>
      </c>
      <c r="E469" s="11" t="s">
        <v>1953</v>
      </c>
      <c r="F469" s="19" t="s">
        <v>3003</v>
      </c>
    </row>
    <row r="470" spans="1:6" x14ac:dyDescent="0.25">
      <c r="A470" s="6" t="str">
        <f t="shared" si="10"/>
        <v>q10COL2_hidden_europe</v>
      </c>
      <c r="B470" s="6" t="str">
        <f t="shared" si="9"/>
        <v>_europe</v>
      </c>
      <c r="C470" s="6" t="s">
        <v>342</v>
      </c>
      <c r="D470" s="15" t="s">
        <v>1905</v>
      </c>
      <c r="E470" s="11" t="s">
        <v>1954</v>
      </c>
      <c r="F470" s="19" t="s">
        <v>3004</v>
      </c>
    </row>
    <row r="471" spans="1:6" x14ac:dyDescent="0.25">
      <c r="A471" s="6" t="str">
        <f t="shared" si="10"/>
        <v>q10COL3_hidden_europe</v>
      </c>
      <c r="B471" s="6" t="str">
        <f t="shared" si="9"/>
        <v>_europe</v>
      </c>
      <c r="C471" s="6" t="s">
        <v>343</v>
      </c>
      <c r="D471" s="15" t="s">
        <v>1905</v>
      </c>
      <c r="E471" s="11" t="s">
        <v>1955</v>
      </c>
      <c r="F471" s="19" t="s">
        <v>3005</v>
      </c>
    </row>
    <row r="472" spans="1:6" x14ac:dyDescent="0.25">
      <c r="A472" s="6" t="str">
        <f t="shared" si="10"/>
        <v>q10COL4_hidden_europe</v>
      </c>
      <c r="B472" s="6" t="str">
        <f t="shared" si="9"/>
        <v>_europe</v>
      </c>
      <c r="C472" s="6" t="s">
        <v>344</v>
      </c>
      <c r="D472" s="15" t="s">
        <v>1905</v>
      </c>
      <c r="E472" s="11" t="s">
        <v>1956</v>
      </c>
      <c r="F472" s="19" t="s">
        <v>3006</v>
      </c>
    </row>
    <row r="473" spans="1:6" x14ac:dyDescent="0.25">
      <c r="A473" s="6" t="str">
        <f t="shared" si="10"/>
        <v>q10COL5_hidden_europe</v>
      </c>
      <c r="B473" s="6" t="str">
        <f t="shared" si="9"/>
        <v>_europe</v>
      </c>
      <c r="C473" s="6" t="s">
        <v>345</v>
      </c>
      <c r="D473" s="15" t="s">
        <v>1905</v>
      </c>
      <c r="E473" s="11" t="s">
        <v>1957</v>
      </c>
      <c r="F473" s="19" t="s">
        <v>3007</v>
      </c>
    </row>
    <row r="474" spans="1:6" x14ac:dyDescent="0.25">
      <c r="A474" s="6" t="str">
        <f t="shared" si="10"/>
        <v>q10COL6_hidden_europe</v>
      </c>
      <c r="B474" s="6" t="str">
        <f t="shared" si="9"/>
        <v>_europe</v>
      </c>
      <c r="C474" s="6" t="s">
        <v>346</v>
      </c>
      <c r="D474" s="15" t="s">
        <v>1905</v>
      </c>
      <c r="E474" s="11" t="s">
        <v>1958</v>
      </c>
      <c r="F474" s="19" t="s">
        <v>3008</v>
      </c>
    </row>
    <row r="475" spans="1:6" x14ac:dyDescent="0.25">
      <c r="A475" s="6" t="str">
        <f t="shared" si="10"/>
        <v>q10GRANDTotal_hidden_europe</v>
      </c>
      <c r="B475" s="6" t="str">
        <f t="shared" si="9"/>
        <v>_europe</v>
      </c>
      <c r="C475" s="6" t="s">
        <v>347</v>
      </c>
      <c r="D475" s="15" t="s">
        <v>1905</v>
      </c>
      <c r="E475" s="11" t="s">
        <v>2069</v>
      </c>
      <c r="F475" s="19" t="s">
        <v>3009</v>
      </c>
    </row>
    <row r="476" spans="1:6" x14ac:dyDescent="0.25">
      <c r="A476" s="6" t="str">
        <f t="shared" si="10"/>
        <v>_europe</v>
      </c>
      <c r="B476" s="6" t="str">
        <f t="shared" ref="B476:B518" si="11">B475</f>
        <v>_europe</v>
      </c>
      <c r="C476" s="9"/>
      <c r="D476" s="9"/>
      <c r="E476" s="12" t="s">
        <v>2077</v>
      </c>
      <c r="F476" s="6">
        <f>VLOOKUP(E476,'[3]Full Data-Map'!$C:$D,2,FALSE)</f>
        <v>17</v>
      </c>
    </row>
    <row r="477" spans="1:6" x14ac:dyDescent="0.25">
      <c r="A477" s="6" t="str">
        <f t="shared" si="10"/>
        <v>q111_1_europe</v>
      </c>
      <c r="B477" s="6" t="str">
        <f t="shared" si="11"/>
        <v>_europe</v>
      </c>
      <c r="C477" s="6" t="s">
        <v>348</v>
      </c>
      <c r="D477" s="15" t="s">
        <v>1905</v>
      </c>
      <c r="E477" s="6" t="s">
        <v>2030</v>
      </c>
      <c r="F477" s="19" t="s">
        <v>3010</v>
      </c>
    </row>
    <row r="478" spans="1:6" x14ac:dyDescent="0.25">
      <c r="A478" s="6" t="str">
        <f t="shared" si="10"/>
        <v>q111_2_europe</v>
      </c>
      <c r="B478" s="6" t="str">
        <f t="shared" si="11"/>
        <v>_europe</v>
      </c>
      <c r="C478" s="6" t="s">
        <v>349</v>
      </c>
      <c r="D478" s="15" t="s">
        <v>1905</v>
      </c>
      <c r="E478" s="6" t="s">
        <v>2031</v>
      </c>
      <c r="F478" s="19" t="s">
        <v>3011</v>
      </c>
    </row>
    <row r="479" spans="1:6" x14ac:dyDescent="0.25">
      <c r="A479" s="6" t="str">
        <f t="shared" si="10"/>
        <v>q111_3_europe</v>
      </c>
      <c r="B479" s="6" t="str">
        <f t="shared" si="11"/>
        <v>_europe</v>
      </c>
      <c r="C479" s="6" t="s">
        <v>350</v>
      </c>
      <c r="D479" s="15" t="s">
        <v>1905</v>
      </c>
      <c r="E479" s="6" t="s">
        <v>2032</v>
      </c>
      <c r="F479" s="19" t="s">
        <v>3012</v>
      </c>
    </row>
    <row r="480" spans="1:6" x14ac:dyDescent="0.25">
      <c r="A480" s="6" t="str">
        <f t="shared" si="10"/>
        <v>q111_4_europe</v>
      </c>
      <c r="B480" s="6" t="str">
        <f t="shared" si="11"/>
        <v>_europe</v>
      </c>
      <c r="C480" s="6" t="s">
        <v>351</v>
      </c>
      <c r="D480" s="15" t="s">
        <v>1905</v>
      </c>
      <c r="E480" s="6" t="s">
        <v>2033</v>
      </c>
      <c r="F480" s="19" t="s">
        <v>3013</v>
      </c>
    </row>
    <row r="481" spans="1:6" x14ac:dyDescent="0.25">
      <c r="A481" s="6" t="str">
        <f t="shared" si="10"/>
        <v>q111_5_europe</v>
      </c>
      <c r="B481" s="6" t="str">
        <f t="shared" si="11"/>
        <v>_europe</v>
      </c>
      <c r="C481" s="6" t="s">
        <v>352</v>
      </c>
      <c r="D481" s="15" t="s">
        <v>1905</v>
      </c>
      <c r="E481" s="6" t="s">
        <v>2034</v>
      </c>
      <c r="F481" s="19" t="s">
        <v>3014</v>
      </c>
    </row>
    <row r="482" spans="1:6" x14ac:dyDescent="0.25">
      <c r="A482" s="6" t="str">
        <f t="shared" si="10"/>
        <v>q111_6_europe</v>
      </c>
      <c r="B482" s="6" t="str">
        <f t="shared" si="11"/>
        <v>_europe</v>
      </c>
      <c r="C482" s="6" t="s">
        <v>353</v>
      </c>
      <c r="D482" s="15" t="s">
        <v>1905</v>
      </c>
      <c r="E482" s="6" t="s">
        <v>2035</v>
      </c>
      <c r="F482" s="19" t="s">
        <v>3015</v>
      </c>
    </row>
    <row r="483" spans="1:6" x14ac:dyDescent="0.25">
      <c r="A483" s="6" t="str">
        <f t="shared" si="10"/>
        <v>q11ROW1_hidden_europe</v>
      </c>
      <c r="B483" s="6" t="str">
        <f t="shared" si="11"/>
        <v>_europe</v>
      </c>
      <c r="C483" s="6" t="s">
        <v>354</v>
      </c>
      <c r="D483" s="15" t="s">
        <v>1905</v>
      </c>
      <c r="E483" s="11" t="s">
        <v>2071</v>
      </c>
      <c r="F483" s="19" t="s">
        <v>3016</v>
      </c>
    </row>
    <row r="484" spans="1:6" x14ac:dyDescent="0.25">
      <c r="A484" s="6" t="str">
        <f t="shared" si="10"/>
        <v>q112_1_europe</v>
      </c>
      <c r="B484" s="6" t="str">
        <f t="shared" si="11"/>
        <v>_europe</v>
      </c>
      <c r="C484" s="6" t="s">
        <v>355</v>
      </c>
      <c r="D484" s="15" t="s">
        <v>1905</v>
      </c>
      <c r="E484" s="6" t="s">
        <v>2023</v>
      </c>
      <c r="F484" s="19" t="s">
        <v>3017</v>
      </c>
    </row>
    <row r="485" spans="1:6" x14ac:dyDescent="0.25">
      <c r="A485" s="6" t="str">
        <f t="shared" si="10"/>
        <v>q112_2_europe</v>
      </c>
      <c r="B485" s="6" t="str">
        <f t="shared" si="11"/>
        <v>_europe</v>
      </c>
      <c r="C485" s="6" t="s">
        <v>356</v>
      </c>
      <c r="D485" s="15" t="s">
        <v>1905</v>
      </c>
      <c r="E485" s="6" t="s">
        <v>2024</v>
      </c>
      <c r="F485" s="19" t="s">
        <v>3018</v>
      </c>
    </row>
    <row r="486" spans="1:6" x14ac:dyDescent="0.25">
      <c r="A486" s="6" t="str">
        <f t="shared" si="10"/>
        <v>q112_3_europe</v>
      </c>
      <c r="B486" s="6" t="str">
        <f t="shared" si="11"/>
        <v>_europe</v>
      </c>
      <c r="C486" s="6" t="s">
        <v>357</v>
      </c>
      <c r="D486" s="15" t="s">
        <v>1905</v>
      </c>
      <c r="E486" s="6" t="s">
        <v>2025</v>
      </c>
      <c r="F486" s="19" t="s">
        <v>3019</v>
      </c>
    </row>
    <row r="487" spans="1:6" x14ac:dyDescent="0.25">
      <c r="A487" s="6" t="str">
        <f t="shared" si="10"/>
        <v>q112_4_europe</v>
      </c>
      <c r="B487" s="6" t="str">
        <f t="shared" si="11"/>
        <v>_europe</v>
      </c>
      <c r="C487" s="6" t="s">
        <v>358</v>
      </c>
      <c r="D487" s="15" t="s">
        <v>1905</v>
      </c>
      <c r="E487" s="6" t="s">
        <v>2026</v>
      </c>
      <c r="F487" s="19" t="s">
        <v>3020</v>
      </c>
    </row>
    <row r="488" spans="1:6" x14ac:dyDescent="0.25">
      <c r="A488" s="6" t="str">
        <f t="shared" si="10"/>
        <v>q112_5_europe</v>
      </c>
      <c r="B488" s="6" t="str">
        <f t="shared" si="11"/>
        <v>_europe</v>
      </c>
      <c r="C488" s="6" t="s">
        <v>359</v>
      </c>
      <c r="D488" s="15" t="s">
        <v>1905</v>
      </c>
      <c r="E488" s="6" t="s">
        <v>2027</v>
      </c>
      <c r="F488" s="19" t="s">
        <v>3021</v>
      </c>
    </row>
    <row r="489" spans="1:6" x14ac:dyDescent="0.25">
      <c r="A489" s="6" t="str">
        <f t="shared" si="10"/>
        <v>q112_6_europe</v>
      </c>
      <c r="B489" s="6" t="str">
        <f t="shared" si="11"/>
        <v>_europe</v>
      </c>
      <c r="C489" s="6" t="s">
        <v>360</v>
      </c>
      <c r="D489" s="15" t="s">
        <v>1905</v>
      </c>
      <c r="E489" s="6" t="s">
        <v>2028</v>
      </c>
      <c r="F489" s="19" t="s">
        <v>3022</v>
      </c>
    </row>
    <row r="490" spans="1:6" x14ac:dyDescent="0.25">
      <c r="A490" s="6" t="str">
        <f t="shared" si="10"/>
        <v>q11ROW2_hidden_europe</v>
      </c>
      <c r="B490" s="6" t="str">
        <f t="shared" si="11"/>
        <v>_europe</v>
      </c>
      <c r="C490" s="6" t="s">
        <v>361</v>
      </c>
      <c r="D490" s="15" t="s">
        <v>1905</v>
      </c>
      <c r="E490" s="11" t="s">
        <v>2072</v>
      </c>
      <c r="F490" s="19" t="s">
        <v>3023</v>
      </c>
    </row>
    <row r="491" spans="1:6" x14ac:dyDescent="0.25">
      <c r="A491" s="6" t="str">
        <f t="shared" si="10"/>
        <v>q113_1_europe</v>
      </c>
      <c r="B491" s="6" t="str">
        <f t="shared" si="11"/>
        <v>_europe</v>
      </c>
      <c r="C491" s="6" t="s">
        <v>362</v>
      </c>
      <c r="D491" s="15" t="s">
        <v>1905</v>
      </c>
      <c r="E491" s="6" t="s">
        <v>2037</v>
      </c>
      <c r="F491" s="19" t="s">
        <v>3024</v>
      </c>
    </row>
    <row r="492" spans="1:6" x14ac:dyDescent="0.25">
      <c r="A492" s="6" t="str">
        <f t="shared" si="10"/>
        <v>q113_2_europe</v>
      </c>
      <c r="B492" s="6" t="str">
        <f t="shared" si="11"/>
        <v>_europe</v>
      </c>
      <c r="C492" s="6" t="s">
        <v>363</v>
      </c>
      <c r="D492" s="15" t="s">
        <v>1905</v>
      </c>
      <c r="E492" s="6" t="s">
        <v>2038</v>
      </c>
      <c r="F492" s="19" t="s">
        <v>3025</v>
      </c>
    </row>
    <row r="493" spans="1:6" x14ac:dyDescent="0.25">
      <c r="A493" s="6" t="str">
        <f t="shared" si="10"/>
        <v>q113_3_europe</v>
      </c>
      <c r="B493" s="6" t="str">
        <f t="shared" si="11"/>
        <v>_europe</v>
      </c>
      <c r="C493" s="6" t="s">
        <v>364</v>
      </c>
      <c r="D493" s="15" t="s">
        <v>1905</v>
      </c>
      <c r="E493" s="6" t="s">
        <v>2039</v>
      </c>
      <c r="F493" s="19" t="s">
        <v>3026</v>
      </c>
    </row>
    <row r="494" spans="1:6" x14ac:dyDescent="0.25">
      <c r="A494" s="6" t="str">
        <f t="shared" si="10"/>
        <v>q113_4_europe</v>
      </c>
      <c r="B494" s="6" t="str">
        <f t="shared" si="11"/>
        <v>_europe</v>
      </c>
      <c r="C494" s="6" t="s">
        <v>365</v>
      </c>
      <c r="D494" s="15" t="s">
        <v>1905</v>
      </c>
      <c r="E494" s="6" t="s">
        <v>2040</v>
      </c>
      <c r="F494" s="19" t="s">
        <v>3027</v>
      </c>
    </row>
    <row r="495" spans="1:6" x14ac:dyDescent="0.25">
      <c r="A495" s="6" t="str">
        <f t="shared" si="10"/>
        <v>q113_5_europe</v>
      </c>
      <c r="B495" s="6" t="str">
        <f t="shared" si="11"/>
        <v>_europe</v>
      </c>
      <c r="C495" s="6" t="s">
        <v>366</v>
      </c>
      <c r="D495" s="15" t="s">
        <v>1905</v>
      </c>
      <c r="E495" s="6" t="s">
        <v>2041</v>
      </c>
      <c r="F495" s="19" t="s">
        <v>3028</v>
      </c>
    </row>
    <row r="496" spans="1:6" x14ac:dyDescent="0.25">
      <c r="A496" s="6" t="str">
        <f t="shared" si="10"/>
        <v>q113_6_europe</v>
      </c>
      <c r="B496" s="6" t="str">
        <f t="shared" si="11"/>
        <v>_europe</v>
      </c>
      <c r="C496" s="6" t="s">
        <v>367</v>
      </c>
      <c r="D496" s="15" t="s">
        <v>1905</v>
      </c>
      <c r="E496" s="6" t="s">
        <v>2042</v>
      </c>
      <c r="F496" s="19" t="s">
        <v>3029</v>
      </c>
    </row>
    <row r="497" spans="1:6" x14ac:dyDescent="0.25">
      <c r="A497" s="6" t="str">
        <f t="shared" si="10"/>
        <v>q11ROW3_hidden_europe</v>
      </c>
      <c r="B497" s="6" t="str">
        <f t="shared" si="11"/>
        <v>_europe</v>
      </c>
      <c r="C497" s="6" t="s">
        <v>368</v>
      </c>
      <c r="D497" s="15" t="s">
        <v>1905</v>
      </c>
      <c r="E497" s="11" t="s">
        <v>2073</v>
      </c>
      <c r="F497" s="19" t="s">
        <v>3030</v>
      </c>
    </row>
    <row r="498" spans="1:6" x14ac:dyDescent="0.25">
      <c r="A498" s="6" t="str">
        <f t="shared" si="10"/>
        <v>q114_1_europe</v>
      </c>
      <c r="B498" s="6" t="str">
        <f t="shared" si="11"/>
        <v>_europe</v>
      </c>
      <c r="C498" s="6" t="s">
        <v>369</v>
      </c>
      <c r="D498" s="15" t="s">
        <v>1905</v>
      </c>
      <c r="E498" s="6" t="s">
        <v>2044</v>
      </c>
      <c r="F498" s="19" t="s">
        <v>3031</v>
      </c>
    </row>
    <row r="499" spans="1:6" x14ac:dyDescent="0.25">
      <c r="A499" s="6" t="str">
        <f t="shared" si="10"/>
        <v>q114_2_europe</v>
      </c>
      <c r="B499" s="6" t="str">
        <f t="shared" si="11"/>
        <v>_europe</v>
      </c>
      <c r="C499" s="6" t="s">
        <v>370</v>
      </c>
      <c r="D499" s="15" t="s">
        <v>1905</v>
      </c>
      <c r="E499" s="6" t="s">
        <v>2045</v>
      </c>
      <c r="F499" s="19" t="s">
        <v>3032</v>
      </c>
    </row>
    <row r="500" spans="1:6" x14ac:dyDescent="0.25">
      <c r="A500" s="6" t="str">
        <f t="shared" si="10"/>
        <v>q114_3_europe</v>
      </c>
      <c r="B500" s="6" t="str">
        <f t="shared" si="11"/>
        <v>_europe</v>
      </c>
      <c r="C500" s="6" t="s">
        <v>371</v>
      </c>
      <c r="D500" s="15" t="s">
        <v>1905</v>
      </c>
      <c r="E500" s="6" t="s">
        <v>2046</v>
      </c>
      <c r="F500" s="19" t="s">
        <v>3033</v>
      </c>
    </row>
    <row r="501" spans="1:6" x14ac:dyDescent="0.25">
      <c r="A501" s="6" t="str">
        <f t="shared" si="10"/>
        <v>q114_4_europe</v>
      </c>
      <c r="B501" s="6" t="str">
        <f t="shared" si="11"/>
        <v>_europe</v>
      </c>
      <c r="C501" s="6" t="s">
        <v>372</v>
      </c>
      <c r="D501" s="15" t="s">
        <v>1905</v>
      </c>
      <c r="E501" s="6" t="s">
        <v>2047</v>
      </c>
      <c r="F501" s="19" t="s">
        <v>3034</v>
      </c>
    </row>
    <row r="502" spans="1:6" x14ac:dyDescent="0.25">
      <c r="A502" s="6" t="str">
        <f t="shared" si="10"/>
        <v>q114_5_europe</v>
      </c>
      <c r="B502" s="6" t="str">
        <f t="shared" si="11"/>
        <v>_europe</v>
      </c>
      <c r="C502" s="6" t="s">
        <v>373</v>
      </c>
      <c r="D502" s="15" t="s">
        <v>1905</v>
      </c>
      <c r="E502" s="6" t="s">
        <v>2048</v>
      </c>
      <c r="F502" s="19" t="s">
        <v>3035</v>
      </c>
    </row>
    <row r="503" spans="1:6" x14ac:dyDescent="0.25">
      <c r="A503" s="6" t="str">
        <f t="shared" si="10"/>
        <v>q114_6_europe</v>
      </c>
      <c r="B503" s="6" t="str">
        <f t="shared" si="11"/>
        <v>_europe</v>
      </c>
      <c r="C503" s="6" t="s">
        <v>374</v>
      </c>
      <c r="D503" s="15" t="s">
        <v>1905</v>
      </c>
      <c r="E503" s="6" t="s">
        <v>2049</v>
      </c>
      <c r="F503" s="19" t="s">
        <v>3036</v>
      </c>
    </row>
    <row r="504" spans="1:6" x14ac:dyDescent="0.25">
      <c r="A504" s="6" t="str">
        <f t="shared" si="10"/>
        <v>q11ROW4_hidden_europe</v>
      </c>
      <c r="B504" s="6" t="str">
        <f t="shared" si="11"/>
        <v>_europe</v>
      </c>
      <c r="C504" s="6" t="s">
        <v>375</v>
      </c>
      <c r="D504" s="15" t="s">
        <v>1905</v>
      </c>
      <c r="E504" s="11" t="s">
        <v>2074</v>
      </c>
      <c r="F504" s="19" t="s">
        <v>3037</v>
      </c>
    </row>
    <row r="505" spans="1:6" x14ac:dyDescent="0.25">
      <c r="A505" s="6" t="str">
        <f t="shared" si="10"/>
        <v>q115_1_europe</v>
      </c>
      <c r="B505" s="6" t="str">
        <f t="shared" si="11"/>
        <v>_europe</v>
      </c>
      <c r="C505" s="6" t="s">
        <v>376</v>
      </c>
      <c r="D505" s="15" t="s">
        <v>1905</v>
      </c>
      <c r="E505" s="6" t="s">
        <v>2051</v>
      </c>
      <c r="F505" s="19" t="s">
        <v>3038</v>
      </c>
    </row>
    <row r="506" spans="1:6" x14ac:dyDescent="0.25">
      <c r="A506" s="6" t="str">
        <f t="shared" si="10"/>
        <v>q115_2_europe</v>
      </c>
      <c r="B506" s="6" t="str">
        <f t="shared" si="11"/>
        <v>_europe</v>
      </c>
      <c r="C506" s="6" t="s">
        <v>377</v>
      </c>
      <c r="D506" s="15" t="s">
        <v>1905</v>
      </c>
      <c r="E506" s="6" t="s">
        <v>2052</v>
      </c>
      <c r="F506" s="19" t="s">
        <v>3039</v>
      </c>
    </row>
    <row r="507" spans="1:6" x14ac:dyDescent="0.25">
      <c r="A507" s="6" t="str">
        <f t="shared" si="10"/>
        <v>q115_3_europe</v>
      </c>
      <c r="B507" s="6" t="str">
        <f t="shared" si="11"/>
        <v>_europe</v>
      </c>
      <c r="C507" s="6" t="s">
        <v>378</v>
      </c>
      <c r="D507" s="15" t="s">
        <v>1905</v>
      </c>
      <c r="E507" s="6" t="s">
        <v>2053</v>
      </c>
      <c r="F507" s="19" t="s">
        <v>3040</v>
      </c>
    </row>
    <row r="508" spans="1:6" x14ac:dyDescent="0.25">
      <c r="A508" s="6" t="str">
        <f t="shared" si="10"/>
        <v>q115_4_europe</v>
      </c>
      <c r="B508" s="6" t="str">
        <f t="shared" si="11"/>
        <v>_europe</v>
      </c>
      <c r="C508" s="6" t="s">
        <v>379</v>
      </c>
      <c r="D508" s="15" t="s">
        <v>1905</v>
      </c>
      <c r="E508" s="6" t="s">
        <v>2054</v>
      </c>
      <c r="F508" s="19" t="s">
        <v>3041</v>
      </c>
    </row>
    <row r="509" spans="1:6" x14ac:dyDescent="0.25">
      <c r="A509" s="6" t="str">
        <f t="shared" si="10"/>
        <v>q115_5_europe</v>
      </c>
      <c r="B509" s="6" t="str">
        <f t="shared" si="11"/>
        <v>_europe</v>
      </c>
      <c r="C509" s="6" t="s">
        <v>380</v>
      </c>
      <c r="D509" s="15" t="s">
        <v>1905</v>
      </c>
      <c r="E509" s="6" t="s">
        <v>2055</v>
      </c>
      <c r="F509" s="19" t="s">
        <v>3042</v>
      </c>
    </row>
    <row r="510" spans="1:6" x14ac:dyDescent="0.25">
      <c r="A510" s="6" t="str">
        <f t="shared" si="10"/>
        <v>q115_6_europe</v>
      </c>
      <c r="B510" s="6" t="str">
        <f t="shared" si="11"/>
        <v>_europe</v>
      </c>
      <c r="C510" s="6" t="s">
        <v>381</v>
      </c>
      <c r="D510" s="15" t="s">
        <v>1905</v>
      </c>
      <c r="E510" s="6" t="s">
        <v>2056</v>
      </c>
      <c r="F510" s="19" t="s">
        <v>3043</v>
      </c>
    </row>
    <row r="511" spans="1:6" x14ac:dyDescent="0.25">
      <c r="A511" s="6" t="str">
        <f t="shared" si="10"/>
        <v>q11ROW5_hidden_europe</v>
      </c>
      <c r="B511" s="6" t="str">
        <f t="shared" si="11"/>
        <v>_europe</v>
      </c>
      <c r="C511" s="6" t="s">
        <v>382</v>
      </c>
      <c r="D511" s="15" t="s">
        <v>1905</v>
      </c>
      <c r="E511" s="11" t="s">
        <v>2057</v>
      </c>
      <c r="F511" s="19" t="s">
        <v>3044</v>
      </c>
    </row>
    <row r="512" spans="1:6" x14ac:dyDescent="0.25">
      <c r="A512" s="6" t="str">
        <f t="shared" si="10"/>
        <v>q11COL1_hidden_europe</v>
      </c>
      <c r="B512" s="6" t="str">
        <f t="shared" si="11"/>
        <v>_europe</v>
      </c>
      <c r="C512" s="6" t="s">
        <v>383</v>
      </c>
      <c r="D512" s="15" t="s">
        <v>1905</v>
      </c>
      <c r="E512" s="11" t="s">
        <v>1953</v>
      </c>
      <c r="F512" s="19" t="s">
        <v>3045</v>
      </c>
    </row>
    <row r="513" spans="1:6" x14ac:dyDescent="0.25">
      <c r="A513" s="6" t="str">
        <f t="shared" si="10"/>
        <v>q11COL2_hidden_europe</v>
      </c>
      <c r="B513" s="6" t="str">
        <f t="shared" si="11"/>
        <v>_europe</v>
      </c>
      <c r="C513" s="6" t="s">
        <v>384</v>
      </c>
      <c r="D513" s="15" t="s">
        <v>1905</v>
      </c>
      <c r="E513" s="11" t="s">
        <v>1954</v>
      </c>
      <c r="F513" s="19" t="s">
        <v>3046</v>
      </c>
    </row>
    <row r="514" spans="1:6" x14ac:dyDescent="0.25">
      <c r="A514" s="6" t="str">
        <f t="shared" si="10"/>
        <v>q11COL3_hidden_europe</v>
      </c>
      <c r="B514" s="6" t="str">
        <f t="shared" si="11"/>
        <v>_europe</v>
      </c>
      <c r="C514" s="6" t="s">
        <v>385</v>
      </c>
      <c r="D514" s="15" t="s">
        <v>1905</v>
      </c>
      <c r="E514" s="11" t="s">
        <v>1955</v>
      </c>
      <c r="F514" s="19" t="s">
        <v>3047</v>
      </c>
    </row>
    <row r="515" spans="1:6" x14ac:dyDescent="0.25">
      <c r="A515" s="6" t="str">
        <f t="shared" ref="A515:A578" si="12">_xlfn.CONCAT(C515,B515)</f>
        <v>q11COL4_hidden_europe</v>
      </c>
      <c r="B515" s="6" t="str">
        <f t="shared" si="11"/>
        <v>_europe</v>
      </c>
      <c r="C515" s="6" t="s">
        <v>386</v>
      </c>
      <c r="D515" s="15" t="s">
        <v>1905</v>
      </c>
      <c r="E515" s="11" t="s">
        <v>1956</v>
      </c>
      <c r="F515" s="19" t="s">
        <v>3048</v>
      </c>
    </row>
    <row r="516" spans="1:6" x14ac:dyDescent="0.25">
      <c r="A516" s="6" t="str">
        <f t="shared" si="12"/>
        <v>q11COL5_hidden_europe</v>
      </c>
      <c r="B516" s="6" t="str">
        <f t="shared" si="11"/>
        <v>_europe</v>
      </c>
      <c r="C516" s="6" t="s">
        <v>387</v>
      </c>
      <c r="D516" s="15" t="s">
        <v>1905</v>
      </c>
      <c r="E516" s="11" t="s">
        <v>1957</v>
      </c>
      <c r="F516" s="19" t="s">
        <v>3049</v>
      </c>
    </row>
    <row r="517" spans="1:6" x14ac:dyDescent="0.25">
      <c r="A517" s="6" t="str">
        <f t="shared" si="12"/>
        <v>q11COL6_hidden_europe</v>
      </c>
      <c r="B517" s="6" t="str">
        <f t="shared" si="11"/>
        <v>_europe</v>
      </c>
      <c r="C517" s="6" t="s">
        <v>388</v>
      </c>
      <c r="D517" s="15" t="s">
        <v>1905</v>
      </c>
      <c r="E517" s="11" t="s">
        <v>1958</v>
      </c>
      <c r="F517" s="19" t="s">
        <v>3050</v>
      </c>
    </row>
    <row r="518" spans="1:6" x14ac:dyDescent="0.25">
      <c r="A518" s="6" t="str">
        <f t="shared" si="12"/>
        <v>q11GRANDTotal_hidden_europe</v>
      </c>
      <c r="B518" s="6" t="str">
        <f t="shared" si="11"/>
        <v>_europe</v>
      </c>
      <c r="C518" s="6" t="s">
        <v>389</v>
      </c>
      <c r="D518" s="15" t="s">
        <v>1905</v>
      </c>
      <c r="E518" s="11" t="s">
        <v>2075</v>
      </c>
      <c r="F518" s="19" t="s">
        <v>3051</v>
      </c>
    </row>
    <row r="519" spans="1:6" x14ac:dyDescent="0.25">
      <c r="A519" s="6" t="str">
        <f t="shared" si="12"/>
        <v>NORTH AMERICA_northamerica</v>
      </c>
      <c r="B519" s="19" t="s">
        <v>2089</v>
      </c>
      <c r="C519" s="13" t="s">
        <v>391</v>
      </c>
      <c r="D519" s="14"/>
      <c r="E519" s="12" t="s">
        <v>2078</v>
      </c>
      <c r="F519" s="6">
        <f>VLOOKUP(E519,'[3]Full Data-Map'!$C:$D,2,FALSE)</f>
        <v>18</v>
      </c>
    </row>
    <row r="520" spans="1:6" x14ac:dyDescent="0.25">
      <c r="A520" s="6" t="str">
        <f t="shared" si="12"/>
        <v>q101_1_northamerica</v>
      </c>
      <c r="B520" s="6" t="str">
        <f t="shared" ref="B520:B583" si="13">B519</f>
        <v>_northamerica</v>
      </c>
      <c r="C520" s="6" t="s">
        <v>284</v>
      </c>
      <c r="D520" s="15" t="s">
        <v>1905</v>
      </c>
      <c r="E520" s="6" t="s">
        <v>1965</v>
      </c>
      <c r="F520" s="19" t="s">
        <v>3052</v>
      </c>
    </row>
    <row r="521" spans="1:6" x14ac:dyDescent="0.25">
      <c r="A521" s="6" t="str">
        <f t="shared" si="12"/>
        <v>q101_2_northamerica</v>
      </c>
      <c r="B521" s="6" t="str">
        <f t="shared" si="13"/>
        <v>_northamerica</v>
      </c>
      <c r="C521" s="6" t="s">
        <v>285</v>
      </c>
      <c r="D521" s="15" t="s">
        <v>1905</v>
      </c>
      <c r="E521" s="6" t="s">
        <v>1966</v>
      </c>
      <c r="F521" s="19" t="s">
        <v>3053</v>
      </c>
    </row>
    <row r="522" spans="1:6" x14ac:dyDescent="0.25">
      <c r="A522" s="6" t="str">
        <f t="shared" si="12"/>
        <v>q101_3_northamerica</v>
      </c>
      <c r="B522" s="6" t="str">
        <f t="shared" si="13"/>
        <v>_northamerica</v>
      </c>
      <c r="C522" s="6" t="s">
        <v>286</v>
      </c>
      <c r="D522" s="15" t="s">
        <v>1905</v>
      </c>
      <c r="E522" s="6" t="s">
        <v>1967</v>
      </c>
      <c r="F522" s="19" t="s">
        <v>3054</v>
      </c>
    </row>
    <row r="523" spans="1:6" x14ac:dyDescent="0.25">
      <c r="A523" s="6" t="str">
        <f t="shared" si="12"/>
        <v>q101_4_northamerica</v>
      </c>
      <c r="B523" s="6" t="str">
        <f t="shared" si="13"/>
        <v>_northamerica</v>
      </c>
      <c r="C523" s="6" t="s">
        <v>287</v>
      </c>
      <c r="D523" s="15" t="s">
        <v>1905</v>
      </c>
      <c r="E523" s="6" t="s">
        <v>1968</v>
      </c>
      <c r="F523" s="19" t="s">
        <v>3055</v>
      </c>
    </row>
    <row r="524" spans="1:6" x14ac:dyDescent="0.25">
      <c r="A524" s="6" t="str">
        <f t="shared" si="12"/>
        <v>q101_5_northamerica</v>
      </c>
      <c r="B524" s="6" t="str">
        <f t="shared" si="13"/>
        <v>_northamerica</v>
      </c>
      <c r="C524" s="6" t="s">
        <v>288</v>
      </c>
      <c r="D524" s="15" t="s">
        <v>1905</v>
      </c>
      <c r="E524" s="6" t="s">
        <v>1969</v>
      </c>
      <c r="F524" s="19" t="s">
        <v>3056</v>
      </c>
    </row>
    <row r="525" spans="1:6" x14ac:dyDescent="0.25">
      <c r="A525" s="6" t="str">
        <f t="shared" si="12"/>
        <v>q101_6_northamerica</v>
      </c>
      <c r="B525" s="6" t="str">
        <f t="shared" si="13"/>
        <v>_northamerica</v>
      </c>
      <c r="C525" s="6" t="s">
        <v>289</v>
      </c>
      <c r="D525" s="15" t="s">
        <v>1905</v>
      </c>
      <c r="E525" s="6" t="s">
        <v>1970</v>
      </c>
      <c r="F525" s="19" t="s">
        <v>3057</v>
      </c>
    </row>
    <row r="526" spans="1:6" x14ac:dyDescent="0.25">
      <c r="A526" s="6" t="str">
        <f t="shared" si="12"/>
        <v>q10ROW1_hidden_northamerica</v>
      </c>
      <c r="B526" s="6" t="str">
        <f t="shared" si="13"/>
        <v>_northamerica</v>
      </c>
      <c r="C526" s="6" t="s">
        <v>290</v>
      </c>
      <c r="D526" s="15" t="s">
        <v>1905</v>
      </c>
      <c r="E526" s="11" t="s">
        <v>1971</v>
      </c>
      <c r="F526" s="19" t="s">
        <v>3058</v>
      </c>
    </row>
    <row r="527" spans="1:6" x14ac:dyDescent="0.25">
      <c r="A527" s="6" t="str">
        <f t="shared" si="12"/>
        <v>q102_1_northamerica</v>
      </c>
      <c r="B527" s="6" t="str">
        <f t="shared" si="13"/>
        <v>_northamerica</v>
      </c>
      <c r="C527" s="6" t="s">
        <v>291</v>
      </c>
      <c r="D527" s="15" t="s">
        <v>1905</v>
      </c>
      <c r="E527" s="6" t="s">
        <v>1972</v>
      </c>
      <c r="F527" s="19" t="s">
        <v>3059</v>
      </c>
    </row>
    <row r="528" spans="1:6" x14ac:dyDescent="0.25">
      <c r="A528" s="6" t="str">
        <f t="shared" si="12"/>
        <v>q102_2_northamerica</v>
      </c>
      <c r="B528" s="6" t="str">
        <f t="shared" si="13"/>
        <v>_northamerica</v>
      </c>
      <c r="C528" s="6" t="s">
        <v>292</v>
      </c>
      <c r="D528" s="15" t="s">
        <v>1905</v>
      </c>
      <c r="E528" s="6" t="s">
        <v>1973</v>
      </c>
      <c r="F528" s="19" t="s">
        <v>3060</v>
      </c>
    </row>
    <row r="529" spans="1:6" x14ac:dyDescent="0.25">
      <c r="A529" s="6" t="str">
        <f t="shared" si="12"/>
        <v>q102_3_northamerica</v>
      </c>
      <c r="B529" s="6" t="str">
        <f t="shared" si="13"/>
        <v>_northamerica</v>
      </c>
      <c r="C529" s="6" t="s">
        <v>293</v>
      </c>
      <c r="D529" s="15" t="s">
        <v>1905</v>
      </c>
      <c r="E529" s="6" t="s">
        <v>1974</v>
      </c>
      <c r="F529" s="19" t="s">
        <v>3061</v>
      </c>
    </row>
    <row r="530" spans="1:6" x14ac:dyDescent="0.25">
      <c r="A530" s="6" t="str">
        <f t="shared" si="12"/>
        <v>q102_4_northamerica</v>
      </c>
      <c r="B530" s="6" t="str">
        <f t="shared" si="13"/>
        <v>_northamerica</v>
      </c>
      <c r="C530" s="6" t="s">
        <v>294</v>
      </c>
      <c r="D530" s="15" t="s">
        <v>1905</v>
      </c>
      <c r="E530" s="6" t="s">
        <v>1975</v>
      </c>
      <c r="F530" s="19" t="s">
        <v>3062</v>
      </c>
    </row>
    <row r="531" spans="1:6" x14ac:dyDescent="0.25">
      <c r="A531" s="6" t="str">
        <f t="shared" si="12"/>
        <v>q102_5_northamerica</v>
      </c>
      <c r="B531" s="6" t="str">
        <f t="shared" si="13"/>
        <v>_northamerica</v>
      </c>
      <c r="C531" s="6" t="s">
        <v>295</v>
      </c>
      <c r="D531" s="15" t="s">
        <v>1905</v>
      </c>
      <c r="E531" s="6" t="s">
        <v>1976</v>
      </c>
      <c r="F531" s="19" t="s">
        <v>3063</v>
      </c>
    </row>
    <row r="532" spans="1:6" x14ac:dyDescent="0.25">
      <c r="A532" s="6" t="str">
        <f t="shared" si="12"/>
        <v>q102_6_northamerica</v>
      </c>
      <c r="B532" s="6" t="str">
        <f t="shared" si="13"/>
        <v>_northamerica</v>
      </c>
      <c r="C532" s="6" t="s">
        <v>296</v>
      </c>
      <c r="D532" s="15" t="s">
        <v>1905</v>
      </c>
      <c r="E532" s="6" t="s">
        <v>1977</v>
      </c>
      <c r="F532" s="19" t="s">
        <v>3064</v>
      </c>
    </row>
    <row r="533" spans="1:6" x14ac:dyDescent="0.25">
      <c r="A533" s="6" t="str">
        <f t="shared" si="12"/>
        <v>q10ROW2_hidden_northamerica</v>
      </c>
      <c r="B533" s="6" t="str">
        <f t="shared" si="13"/>
        <v>_northamerica</v>
      </c>
      <c r="C533" s="6" t="s">
        <v>297</v>
      </c>
      <c r="D533" s="15" t="s">
        <v>1905</v>
      </c>
      <c r="E533" s="11" t="s">
        <v>1978</v>
      </c>
      <c r="F533" s="19" t="s">
        <v>3065</v>
      </c>
    </row>
    <row r="534" spans="1:6" x14ac:dyDescent="0.25">
      <c r="A534" s="6" t="str">
        <f t="shared" si="12"/>
        <v>q103_1_northamerica</v>
      </c>
      <c r="B534" s="6" t="str">
        <f t="shared" si="13"/>
        <v>_northamerica</v>
      </c>
      <c r="C534" s="6" t="s">
        <v>298</v>
      </c>
      <c r="D534" s="15" t="s">
        <v>1905</v>
      </c>
      <c r="E534" s="6" t="s">
        <v>1979</v>
      </c>
      <c r="F534" s="19" t="s">
        <v>3066</v>
      </c>
    </row>
    <row r="535" spans="1:6" x14ac:dyDescent="0.25">
      <c r="A535" s="6" t="str">
        <f t="shared" si="12"/>
        <v>q103_2_northamerica</v>
      </c>
      <c r="B535" s="6" t="str">
        <f t="shared" si="13"/>
        <v>_northamerica</v>
      </c>
      <c r="C535" s="6" t="s">
        <v>299</v>
      </c>
      <c r="D535" s="15" t="s">
        <v>1905</v>
      </c>
      <c r="E535" s="6" t="s">
        <v>1980</v>
      </c>
      <c r="F535" s="19" t="s">
        <v>3067</v>
      </c>
    </row>
    <row r="536" spans="1:6" x14ac:dyDescent="0.25">
      <c r="A536" s="6" t="str">
        <f t="shared" si="12"/>
        <v>q103_3_northamerica</v>
      </c>
      <c r="B536" s="6" t="str">
        <f t="shared" si="13"/>
        <v>_northamerica</v>
      </c>
      <c r="C536" s="6" t="s">
        <v>300</v>
      </c>
      <c r="D536" s="15" t="s">
        <v>1905</v>
      </c>
      <c r="E536" s="6" t="s">
        <v>1981</v>
      </c>
      <c r="F536" s="19" t="s">
        <v>3068</v>
      </c>
    </row>
    <row r="537" spans="1:6" x14ac:dyDescent="0.25">
      <c r="A537" s="6" t="str">
        <f t="shared" si="12"/>
        <v>q103_4_northamerica</v>
      </c>
      <c r="B537" s="6" t="str">
        <f t="shared" si="13"/>
        <v>_northamerica</v>
      </c>
      <c r="C537" s="6" t="s">
        <v>301</v>
      </c>
      <c r="D537" s="15" t="s">
        <v>1905</v>
      </c>
      <c r="E537" s="6" t="s">
        <v>1982</v>
      </c>
      <c r="F537" s="19" t="s">
        <v>3069</v>
      </c>
    </row>
    <row r="538" spans="1:6" x14ac:dyDescent="0.25">
      <c r="A538" s="6" t="str">
        <f t="shared" si="12"/>
        <v>q103_5_northamerica</v>
      </c>
      <c r="B538" s="6" t="str">
        <f t="shared" si="13"/>
        <v>_northamerica</v>
      </c>
      <c r="C538" s="6" t="s">
        <v>302</v>
      </c>
      <c r="D538" s="15" t="s">
        <v>1905</v>
      </c>
      <c r="E538" s="6" t="s">
        <v>1983</v>
      </c>
      <c r="F538" s="19" t="s">
        <v>3070</v>
      </c>
    </row>
    <row r="539" spans="1:6" x14ac:dyDescent="0.25">
      <c r="A539" s="6" t="str">
        <f t="shared" si="12"/>
        <v>q103_6_northamerica</v>
      </c>
      <c r="B539" s="6" t="str">
        <f t="shared" si="13"/>
        <v>_northamerica</v>
      </c>
      <c r="C539" s="6" t="s">
        <v>303</v>
      </c>
      <c r="D539" s="15" t="s">
        <v>1905</v>
      </c>
      <c r="E539" s="6" t="s">
        <v>1984</v>
      </c>
      <c r="F539" s="19" t="s">
        <v>3071</v>
      </c>
    </row>
    <row r="540" spans="1:6" x14ac:dyDescent="0.25">
      <c r="A540" s="6" t="str">
        <f t="shared" si="12"/>
        <v>q10ROW3_hidden_northamerica</v>
      </c>
      <c r="B540" s="6" t="str">
        <f t="shared" si="13"/>
        <v>_northamerica</v>
      </c>
      <c r="C540" s="6" t="s">
        <v>304</v>
      </c>
      <c r="D540" s="15" t="s">
        <v>1905</v>
      </c>
      <c r="E540" s="11" t="s">
        <v>1985</v>
      </c>
      <c r="F540" s="19" t="s">
        <v>3072</v>
      </c>
    </row>
    <row r="541" spans="1:6" x14ac:dyDescent="0.25">
      <c r="A541" s="6" t="str">
        <f t="shared" si="12"/>
        <v>q104_1_northamerica</v>
      </c>
      <c r="B541" s="6" t="str">
        <f t="shared" si="13"/>
        <v>_northamerica</v>
      </c>
      <c r="C541" s="6" t="s">
        <v>305</v>
      </c>
      <c r="D541" s="15" t="s">
        <v>1905</v>
      </c>
      <c r="E541" s="6" t="s">
        <v>1986</v>
      </c>
      <c r="F541" s="19" t="s">
        <v>3073</v>
      </c>
    </row>
    <row r="542" spans="1:6" x14ac:dyDescent="0.25">
      <c r="A542" s="6" t="str">
        <f t="shared" si="12"/>
        <v>q104_2_northamerica</v>
      </c>
      <c r="B542" s="6" t="str">
        <f t="shared" si="13"/>
        <v>_northamerica</v>
      </c>
      <c r="C542" s="6" t="s">
        <v>306</v>
      </c>
      <c r="D542" s="15" t="s">
        <v>1905</v>
      </c>
      <c r="E542" s="6" t="s">
        <v>1987</v>
      </c>
      <c r="F542" s="19" t="s">
        <v>3074</v>
      </c>
    </row>
    <row r="543" spans="1:6" x14ac:dyDescent="0.25">
      <c r="A543" s="6" t="str">
        <f t="shared" si="12"/>
        <v>q104_3_northamerica</v>
      </c>
      <c r="B543" s="6" t="str">
        <f t="shared" si="13"/>
        <v>_northamerica</v>
      </c>
      <c r="C543" s="6" t="s">
        <v>307</v>
      </c>
      <c r="D543" s="15" t="s">
        <v>1905</v>
      </c>
      <c r="E543" s="6" t="s">
        <v>1988</v>
      </c>
      <c r="F543" s="19" t="s">
        <v>3075</v>
      </c>
    </row>
    <row r="544" spans="1:6" x14ac:dyDescent="0.25">
      <c r="A544" s="6" t="str">
        <f t="shared" si="12"/>
        <v>q104_4_northamerica</v>
      </c>
      <c r="B544" s="6" t="str">
        <f t="shared" si="13"/>
        <v>_northamerica</v>
      </c>
      <c r="C544" s="6" t="s">
        <v>308</v>
      </c>
      <c r="D544" s="15" t="s">
        <v>1905</v>
      </c>
      <c r="E544" s="6" t="s">
        <v>1989</v>
      </c>
      <c r="F544" s="19" t="s">
        <v>3076</v>
      </c>
    </row>
    <row r="545" spans="1:6" x14ac:dyDescent="0.25">
      <c r="A545" s="6" t="str">
        <f t="shared" si="12"/>
        <v>q104_5_northamerica</v>
      </c>
      <c r="B545" s="6" t="str">
        <f t="shared" si="13"/>
        <v>_northamerica</v>
      </c>
      <c r="C545" s="6" t="s">
        <v>309</v>
      </c>
      <c r="D545" s="15" t="s">
        <v>1905</v>
      </c>
      <c r="E545" s="6" t="s">
        <v>1990</v>
      </c>
      <c r="F545" s="19" t="s">
        <v>3077</v>
      </c>
    </row>
    <row r="546" spans="1:6" x14ac:dyDescent="0.25">
      <c r="A546" s="6" t="str">
        <f t="shared" si="12"/>
        <v>q104_6_northamerica</v>
      </c>
      <c r="B546" s="6" t="str">
        <f t="shared" si="13"/>
        <v>_northamerica</v>
      </c>
      <c r="C546" s="6" t="s">
        <v>310</v>
      </c>
      <c r="D546" s="15" t="s">
        <v>1905</v>
      </c>
      <c r="E546" s="6" t="s">
        <v>1991</v>
      </c>
      <c r="F546" s="19" t="s">
        <v>3078</v>
      </c>
    </row>
    <row r="547" spans="1:6" x14ac:dyDescent="0.25">
      <c r="A547" s="6" t="str">
        <f t="shared" si="12"/>
        <v>q10ROW4_hidden_northamerica</v>
      </c>
      <c r="B547" s="6" t="str">
        <f t="shared" si="13"/>
        <v>_northamerica</v>
      </c>
      <c r="C547" s="6" t="s">
        <v>311</v>
      </c>
      <c r="D547" s="15" t="s">
        <v>1905</v>
      </c>
      <c r="E547" s="11" t="s">
        <v>1992</v>
      </c>
      <c r="F547" s="19" t="s">
        <v>3079</v>
      </c>
    </row>
    <row r="548" spans="1:6" x14ac:dyDescent="0.25">
      <c r="A548" s="6" t="str">
        <f t="shared" si="12"/>
        <v>q105_1_northamerica</v>
      </c>
      <c r="B548" s="6" t="str">
        <f t="shared" si="13"/>
        <v>_northamerica</v>
      </c>
      <c r="C548" s="6" t="s">
        <v>312</v>
      </c>
      <c r="D548" s="15" t="s">
        <v>1905</v>
      </c>
      <c r="E548" s="6" t="s">
        <v>1993</v>
      </c>
      <c r="F548" s="19" t="s">
        <v>3080</v>
      </c>
    </row>
    <row r="549" spans="1:6" x14ac:dyDescent="0.25">
      <c r="A549" s="6" t="str">
        <f t="shared" si="12"/>
        <v>q105_2_northamerica</v>
      </c>
      <c r="B549" s="6" t="str">
        <f t="shared" si="13"/>
        <v>_northamerica</v>
      </c>
      <c r="C549" s="6" t="s">
        <v>313</v>
      </c>
      <c r="D549" s="15" t="s">
        <v>1905</v>
      </c>
      <c r="E549" s="6" t="s">
        <v>1994</v>
      </c>
      <c r="F549" s="19" t="s">
        <v>3081</v>
      </c>
    </row>
    <row r="550" spans="1:6" x14ac:dyDescent="0.25">
      <c r="A550" s="6" t="str">
        <f t="shared" si="12"/>
        <v>q105_3_northamerica</v>
      </c>
      <c r="B550" s="6" t="str">
        <f t="shared" si="13"/>
        <v>_northamerica</v>
      </c>
      <c r="C550" s="6" t="s">
        <v>314</v>
      </c>
      <c r="D550" s="15" t="s">
        <v>1905</v>
      </c>
      <c r="E550" s="6" t="s">
        <v>1995</v>
      </c>
      <c r="F550" s="19" t="s">
        <v>3082</v>
      </c>
    </row>
    <row r="551" spans="1:6" x14ac:dyDescent="0.25">
      <c r="A551" s="6" t="str">
        <f t="shared" si="12"/>
        <v>q105_4_northamerica</v>
      </c>
      <c r="B551" s="6" t="str">
        <f t="shared" si="13"/>
        <v>_northamerica</v>
      </c>
      <c r="C551" s="6" t="s">
        <v>315</v>
      </c>
      <c r="D551" s="15" t="s">
        <v>1905</v>
      </c>
      <c r="E551" s="6" t="s">
        <v>1996</v>
      </c>
      <c r="F551" s="19" t="s">
        <v>3083</v>
      </c>
    </row>
    <row r="552" spans="1:6" x14ac:dyDescent="0.25">
      <c r="A552" s="6" t="str">
        <f t="shared" si="12"/>
        <v>q105_5_northamerica</v>
      </c>
      <c r="B552" s="6" t="str">
        <f t="shared" si="13"/>
        <v>_northamerica</v>
      </c>
      <c r="C552" s="6" t="s">
        <v>316</v>
      </c>
      <c r="D552" s="15" t="s">
        <v>1905</v>
      </c>
      <c r="E552" s="6" t="s">
        <v>1997</v>
      </c>
      <c r="F552" s="19" t="s">
        <v>3084</v>
      </c>
    </row>
    <row r="553" spans="1:6" x14ac:dyDescent="0.25">
      <c r="A553" s="6" t="str">
        <f t="shared" si="12"/>
        <v>q105_6_northamerica</v>
      </c>
      <c r="B553" s="6" t="str">
        <f t="shared" si="13"/>
        <v>_northamerica</v>
      </c>
      <c r="C553" s="6" t="s">
        <v>317</v>
      </c>
      <c r="D553" s="15" t="s">
        <v>1905</v>
      </c>
      <c r="E553" s="6" t="s">
        <v>1998</v>
      </c>
      <c r="F553" s="19" t="s">
        <v>3085</v>
      </c>
    </row>
    <row r="554" spans="1:6" x14ac:dyDescent="0.25">
      <c r="A554" s="6" t="str">
        <f t="shared" si="12"/>
        <v>q10ROW5_hidden_northamerica</v>
      </c>
      <c r="B554" s="6" t="str">
        <f t="shared" si="13"/>
        <v>_northamerica</v>
      </c>
      <c r="C554" s="6" t="s">
        <v>318</v>
      </c>
      <c r="D554" s="15" t="s">
        <v>1905</v>
      </c>
      <c r="E554" s="11" t="s">
        <v>1999</v>
      </c>
      <c r="F554" s="19" t="s">
        <v>3086</v>
      </c>
    </row>
    <row r="555" spans="1:6" x14ac:dyDescent="0.25">
      <c r="A555" s="6" t="str">
        <f t="shared" si="12"/>
        <v>q106_1_northamerica</v>
      </c>
      <c r="B555" s="6" t="str">
        <f t="shared" si="13"/>
        <v>_northamerica</v>
      </c>
      <c r="C555" s="6" t="s">
        <v>319</v>
      </c>
      <c r="D555" s="15" t="s">
        <v>1905</v>
      </c>
      <c r="E555" s="6" t="s">
        <v>2000</v>
      </c>
      <c r="F555" s="19" t="s">
        <v>3087</v>
      </c>
    </row>
    <row r="556" spans="1:6" x14ac:dyDescent="0.25">
      <c r="A556" s="6" t="str">
        <f t="shared" si="12"/>
        <v>q106_2_northamerica</v>
      </c>
      <c r="B556" s="6" t="str">
        <f t="shared" si="13"/>
        <v>_northamerica</v>
      </c>
      <c r="C556" s="6" t="s">
        <v>320</v>
      </c>
      <c r="D556" s="15" t="s">
        <v>1905</v>
      </c>
      <c r="E556" s="6" t="s">
        <v>2001</v>
      </c>
      <c r="F556" s="19" t="s">
        <v>3088</v>
      </c>
    </row>
    <row r="557" spans="1:6" x14ac:dyDescent="0.25">
      <c r="A557" s="6" t="str">
        <f t="shared" si="12"/>
        <v>q106_3_northamerica</v>
      </c>
      <c r="B557" s="6" t="str">
        <f t="shared" si="13"/>
        <v>_northamerica</v>
      </c>
      <c r="C557" s="6" t="s">
        <v>321</v>
      </c>
      <c r="D557" s="15" t="s">
        <v>1905</v>
      </c>
      <c r="E557" s="6" t="s">
        <v>2002</v>
      </c>
      <c r="F557" s="19" t="s">
        <v>3089</v>
      </c>
    </row>
    <row r="558" spans="1:6" x14ac:dyDescent="0.25">
      <c r="A558" s="6" t="str">
        <f t="shared" si="12"/>
        <v>q106_4_northamerica</v>
      </c>
      <c r="B558" s="6" t="str">
        <f t="shared" si="13"/>
        <v>_northamerica</v>
      </c>
      <c r="C558" s="6" t="s">
        <v>322</v>
      </c>
      <c r="D558" s="15" t="s">
        <v>1905</v>
      </c>
      <c r="E558" s="6" t="s">
        <v>2003</v>
      </c>
      <c r="F558" s="19" t="s">
        <v>3090</v>
      </c>
    </row>
    <row r="559" spans="1:6" x14ac:dyDescent="0.25">
      <c r="A559" s="6" t="str">
        <f t="shared" si="12"/>
        <v>q106_5_northamerica</v>
      </c>
      <c r="B559" s="6" t="str">
        <f t="shared" si="13"/>
        <v>_northamerica</v>
      </c>
      <c r="C559" s="6" t="s">
        <v>323</v>
      </c>
      <c r="D559" s="15" t="s">
        <v>1905</v>
      </c>
      <c r="E559" s="6" t="s">
        <v>2004</v>
      </c>
      <c r="F559" s="19" t="s">
        <v>3091</v>
      </c>
    </row>
    <row r="560" spans="1:6" x14ac:dyDescent="0.25">
      <c r="A560" s="6" t="str">
        <f t="shared" si="12"/>
        <v>q106_6_northamerica</v>
      </c>
      <c r="B560" s="6" t="str">
        <f t="shared" si="13"/>
        <v>_northamerica</v>
      </c>
      <c r="C560" s="6" t="s">
        <v>324</v>
      </c>
      <c r="D560" s="15" t="s">
        <v>1905</v>
      </c>
      <c r="E560" s="6" t="s">
        <v>2005</v>
      </c>
      <c r="F560" s="19" t="s">
        <v>3092</v>
      </c>
    </row>
    <row r="561" spans="1:6" x14ac:dyDescent="0.25">
      <c r="A561" s="6" t="str">
        <f t="shared" si="12"/>
        <v>q10ROW6_hidden_northamerica</v>
      </c>
      <c r="B561" s="6" t="str">
        <f t="shared" si="13"/>
        <v>_northamerica</v>
      </c>
      <c r="C561" s="6" t="s">
        <v>325</v>
      </c>
      <c r="D561" s="15" t="s">
        <v>1905</v>
      </c>
      <c r="E561" s="11" t="s">
        <v>1957</v>
      </c>
      <c r="F561" s="19" t="s">
        <v>3093</v>
      </c>
    </row>
    <row r="562" spans="1:6" x14ac:dyDescent="0.25">
      <c r="A562" s="6" t="str">
        <f t="shared" si="12"/>
        <v>q107_1_northamerica</v>
      </c>
      <c r="B562" s="6" t="str">
        <f t="shared" si="13"/>
        <v>_northamerica</v>
      </c>
      <c r="C562" s="6" t="s">
        <v>326</v>
      </c>
      <c r="D562" s="15" t="s">
        <v>1905</v>
      </c>
      <c r="E562" s="6" t="s">
        <v>2006</v>
      </c>
      <c r="F562" s="19" t="s">
        <v>3094</v>
      </c>
    </row>
    <row r="563" spans="1:6" x14ac:dyDescent="0.25">
      <c r="A563" s="6" t="str">
        <f t="shared" si="12"/>
        <v>q107_2_northamerica</v>
      </c>
      <c r="B563" s="6" t="str">
        <f t="shared" si="13"/>
        <v>_northamerica</v>
      </c>
      <c r="C563" s="6" t="s">
        <v>327</v>
      </c>
      <c r="D563" s="15" t="s">
        <v>1905</v>
      </c>
      <c r="E563" s="6" t="s">
        <v>2007</v>
      </c>
      <c r="F563" s="19" t="s">
        <v>3095</v>
      </c>
    </row>
    <row r="564" spans="1:6" x14ac:dyDescent="0.25">
      <c r="A564" s="6" t="str">
        <f t="shared" si="12"/>
        <v>q107_3_northamerica</v>
      </c>
      <c r="B564" s="6" t="str">
        <f t="shared" si="13"/>
        <v>_northamerica</v>
      </c>
      <c r="C564" s="6" t="s">
        <v>328</v>
      </c>
      <c r="D564" s="15" t="s">
        <v>1905</v>
      </c>
      <c r="E564" s="6" t="s">
        <v>2008</v>
      </c>
      <c r="F564" s="19" t="s">
        <v>3096</v>
      </c>
    </row>
    <row r="565" spans="1:6" x14ac:dyDescent="0.25">
      <c r="A565" s="6" t="str">
        <f t="shared" si="12"/>
        <v>q107_4_northamerica</v>
      </c>
      <c r="B565" s="6" t="str">
        <f t="shared" si="13"/>
        <v>_northamerica</v>
      </c>
      <c r="C565" s="6" t="s">
        <v>329</v>
      </c>
      <c r="D565" s="15" t="s">
        <v>1905</v>
      </c>
      <c r="E565" s="6" t="s">
        <v>2009</v>
      </c>
      <c r="F565" s="19" t="s">
        <v>3097</v>
      </c>
    </row>
    <row r="566" spans="1:6" x14ac:dyDescent="0.25">
      <c r="A566" s="6" t="str">
        <f t="shared" si="12"/>
        <v>q107_5_northamerica</v>
      </c>
      <c r="B566" s="6" t="str">
        <f t="shared" si="13"/>
        <v>_northamerica</v>
      </c>
      <c r="C566" s="6" t="s">
        <v>330</v>
      </c>
      <c r="D566" s="15" t="s">
        <v>1905</v>
      </c>
      <c r="E566" s="6" t="s">
        <v>2010</v>
      </c>
      <c r="F566" s="19" t="s">
        <v>3098</v>
      </c>
    </row>
    <row r="567" spans="1:6" x14ac:dyDescent="0.25">
      <c r="A567" s="6" t="str">
        <f t="shared" si="12"/>
        <v>q107_6_northamerica</v>
      </c>
      <c r="B567" s="6" t="str">
        <f t="shared" si="13"/>
        <v>_northamerica</v>
      </c>
      <c r="C567" s="6" t="s">
        <v>331</v>
      </c>
      <c r="D567" s="15" t="s">
        <v>1905</v>
      </c>
      <c r="E567" s="6" t="s">
        <v>2011</v>
      </c>
      <c r="F567" s="19" t="s">
        <v>3099</v>
      </c>
    </row>
    <row r="568" spans="1:6" x14ac:dyDescent="0.25">
      <c r="A568" s="6" t="str">
        <f t="shared" si="12"/>
        <v>q10ROW7_hidden_northamerica</v>
      </c>
      <c r="B568" s="6" t="str">
        <f t="shared" si="13"/>
        <v>_northamerica</v>
      </c>
      <c r="C568" s="6" t="s">
        <v>332</v>
      </c>
      <c r="D568" s="15" t="s">
        <v>1905</v>
      </c>
      <c r="E568" s="11" t="s">
        <v>2012</v>
      </c>
      <c r="F568" s="19" t="s">
        <v>3100</v>
      </c>
    </row>
    <row r="569" spans="1:6" x14ac:dyDescent="0.25">
      <c r="A569" s="6" t="str">
        <f t="shared" si="12"/>
        <v>q10other_northamerica</v>
      </c>
      <c r="B569" s="6" t="str">
        <f t="shared" si="13"/>
        <v>_northamerica</v>
      </c>
      <c r="C569" s="6" t="s">
        <v>333</v>
      </c>
      <c r="D569" s="15" t="s">
        <v>1890</v>
      </c>
      <c r="E569" s="6" t="s">
        <v>2013</v>
      </c>
      <c r="F569" s="19" t="s">
        <v>3101</v>
      </c>
    </row>
    <row r="570" spans="1:6" x14ac:dyDescent="0.25">
      <c r="A570" s="6" t="str">
        <f t="shared" si="12"/>
        <v>q108_1_northamerica</v>
      </c>
      <c r="B570" s="6" t="str">
        <f t="shared" si="13"/>
        <v>_northamerica</v>
      </c>
      <c r="C570" s="6" t="s">
        <v>334</v>
      </c>
      <c r="D570" s="15" t="s">
        <v>1905</v>
      </c>
      <c r="E570" s="6" t="s">
        <v>2014</v>
      </c>
      <c r="F570" s="19" t="s">
        <v>3102</v>
      </c>
    </row>
    <row r="571" spans="1:6" x14ac:dyDescent="0.25">
      <c r="A571" s="6" t="str">
        <f t="shared" si="12"/>
        <v>q108_2_northamerica</v>
      </c>
      <c r="B571" s="6" t="str">
        <f t="shared" si="13"/>
        <v>_northamerica</v>
      </c>
      <c r="C571" s="6" t="s">
        <v>335</v>
      </c>
      <c r="D571" s="15" t="s">
        <v>1905</v>
      </c>
      <c r="E571" s="6" t="s">
        <v>2015</v>
      </c>
      <c r="F571" s="19" t="s">
        <v>3103</v>
      </c>
    </row>
    <row r="572" spans="1:6" x14ac:dyDescent="0.25">
      <c r="A572" s="6" t="str">
        <f t="shared" si="12"/>
        <v>q108_3_northamerica</v>
      </c>
      <c r="B572" s="6" t="str">
        <f t="shared" si="13"/>
        <v>_northamerica</v>
      </c>
      <c r="C572" s="6" t="s">
        <v>336</v>
      </c>
      <c r="D572" s="15" t="s">
        <v>1905</v>
      </c>
      <c r="E572" s="6" t="s">
        <v>2016</v>
      </c>
      <c r="F572" s="19" t="s">
        <v>3104</v>
      </c>
    </row>
    <row r="573" spans="1:6" x14ac:dyDescent="0.25">
      <c r="A573" s="6" t="str">
        <f t="shared" si="12"/>
        <v>q108_4_northamerica</v>
      </c>
      <c r="B573" s="6" t="str">
        <f t="shared" si="13"/>
        <v>_northamerica</v>
      </c>
      <c r="C573" s="6" t="s">
        <v>337</v>
      </c>
      <c r="D573" s="15" t="s">
        <v>1905</v>
      </c>
      <c r="E573" s="6" t="s">
        <v>2017</v>
      </c>
      <c r="F573" s="19" t="s">
        <v>3105</v>
      </c>
    </row>
    <row r="574" spans="1:6" x14ac:dyDescent="0.25">
      <c r="A574" s="6" t="str">
        <f t="shared" si="12"/>
        <v>q108_5_northamerica</v>
      </c>
      <c r="B574" s="6" t="str">
        <f t="shared" si="13"/>
        <v>_northamerica</v>
      </c>
      <c r="C574" s="6" t="s">
        <v>338</v>
      </c>
      <c r="D574" s="15" t="s">
        <v>1905</v>
      </c>
      <c r="E574" s="6" t="s">
        <v>2018</v>
      </c>
      <c r="F574" s="19" t="s">
        <v>3106</v>
      </c>
    </row>
    <row r="575" spans="1:6" x14ac:dyDescent="0.25">
      <c r="A575" s="6" t="str">
        <f t="shared" si="12"/>
        <v>q108_6_northamerica</v>
      </c>
      <c r="B575" s="6" t="str">
        <f t="shared" si="13"/>
        <v>_northamerica</v>
      </c>
      <c r="C575" s="6" t="s">
        <v>339</v>
      </c>
      <c r="D575" s="15" t="s">
        <v>1905</v>
      </c>
      <c r="E575" s="6" t="s">
        <v>2019</v>
      </c>
      <c r="F575" s="19" t="s">
        <v>3107</v>
      </c>
    </row>
    <row r="576" spans="1:6" x14ac:dyDescent="0.25">
      <c r="A576" s="6" t="str">
        <f t="shared" si="12"/>
        <v>q10ROW8_hidden_northamerica</v>
      </c>
      <c r="B576" s="6" t="str">
        <f t="shared" si="13"/>
        <v>_northamerica</v>
      </c>
      <c r="C576" s="6" t="s">
        <v>340</v>
      </c>
      <c r="D576" s="15" t="s">
        <v>1905</v>
      </c>
      <c r="E576" s="11" t="s">
        <v>2020</v>
      </c>
      <c r="F576" s="19" t="s">
        <v>3108</v>
      </c>
    </row>
    <row r="577" spans="1:6" x14ac:dyDescent="0.25">
      <c r="A577" s="6" t="str">
        <f t="shared" si="12"/>
        <v>q10COL1_hidden_northamerica</v>
      </c>
      <c r="B577" s="6" t="str">
        <f t="shared" si="13"/>
        <v>_northamerica</v>
      </c>
      <c r="C577" s="6" t="s">
        <v>341</v>
      </c>
      <c r="D577" s="15" t="s">
        <v>1905</v>
      </c>
      <c r="E577" s="11" t="s">
        <v>1953</v>
      </c>
      <c r="F577" s="19" t="s">
        <v>3109</v>
      </c>
    </row>
    <row r="578" spans="1:6" x14ac:dyDescent="0.25">
      <c r="A578" s="6" t="str">
        <f t="shared" si="12"/>
        <v>q10COL2_hidden_northamerica</v>
      </c>
      <c r="B578" s="6" t="str">
        <f t="shared" si="13"/>
        <v>_northamerica</v>
      </c>
      <c r="C578" s="6" t="s">
        <v>342</v>
      </c>
      <c r="D578" s="15" t="s">
        <v>1905</v>
      </c>
      <c r="E578" s="11" t="s">
        <v>1954</v>
      </c>
      <c r="F578" s="19" t="s">
        <v>3110</v>
      </c>
    </row>
    <row r="579" spans="1:6" x14ac:dyDescent="0.25">
      <c r="A579" s="6" t="str">
        <f t="shared" ref="A579:A642" si="14">_xlfn.CONCAT(C579,B579)</f>
        <v>q10COL3_hidden_northamerica</v>
      </c>
      <c r="B579" s="6" t="str">
        <f t="shared" si="13"/>
        <v>_northamerica</v>
      </c>
      <c r="C579" s="6" t="s">
        <v>343</v>
      </c>
      <c r="D579" s="15" t="s">
        <v>1905</v>
      </c>
      <c r="E579" s="11" t="s">
        <v>1955</v>
      </c>
      <c r="F579" s="19" t="s">
        <v>3111</v>
      </c>
    </row>
    <row r="580" spans="1:6" x14ac:dyDescent="0.25">
      <c r="A580" s="6" t="str">
        <f t="shared" si="14"/>
        <v>q10COL4_hidden_northamerica</v>
      </c>
      <c r="B580" s="6" t="str">
        <f t="shared" si="13"/>
        <v>_northamerica</v>
      </c>
      <c r="C580" s="6" t="s">
        <v>344</v>
      </c>
      <c r="D580" s="15" t="s">
        <v>1905</v>
      </c>
      <c r="E580" s="11" t="s">
        <v>1956</v>
      </c>
      <c r="F580" s="19" t="s">
        <v>3112</v>
      </c>
    </row>
    <row r="581" spans="1:6" x14ac:dyDescent="0.25">
      <c r="A581" s="6" t="str">
        <f t="shared" si="14"/>
        <v>q10COL5_hidden_northamerica</v>
      </c>
      <c r="B581" s="6" t="str">
        <f t="shared" si="13"/>
        <v>_northamerica</v>
      </c>
      <c r="C581" s="6" t="s">
        <v>345</v>
      </c>
      <c r="D581" s="15" t="s">
        <v>1905</v>
      </c>
      <c r="E581" s="11" t="s">
        <v>1957</v>
      </c>
      <c r="F581" s="19" t="s">
        <v>3113</v>
      </c>
    </row>
    <row r="582" spans="1:6" x14ac:dyDescent="0.25">
      <c r="A582" s="6" t="str">
        <f t="shared" si="14"/>
        <v>q10COL6_hidden_northamerica</v>
      </c>
      <c r="B582" s="6" t="str">
        <f t="shared" si="13"/>
        <v>_northamerica</v>
      </c>
      <c r="C582" s="6" t="s">
        <v>346</v>
      </c>
      <c r="D582" s="15" t="s">
        <v>1905</v>
      </c>
      <c r="E582" s="11" t="s">
        <v>1958</v>
      </c>
      <c r="F582" s="19" t="s">
        <v>3114</v>
      </c>
    </row>
    <row r="583" spans="1:6" x14ac:dyDescent="0.25">
      <c r="A583" s="6" t="str">
        <f t="shared" si="14"/>
        <v>q10GRANDTotal_hidden_northamerica</v>
      </c>
      <c r="B583" s="6" t="str">
        <f t="shared" si="13"/>
        <v>_northamerica</v>
      </c>
      <c r="C583" s="6" t="s">
        <v>347</v>
      </c>
      <c r="D583" s="15" t="s">
        <v>1905</v>
      </c>
      <c r="E583" s="11" t="s">
        <v>2069</v>
      </c>
      <c r="F583" s="19" t="s">
        <v>3115</v>
      </c>
    </row>
    <row r="584" spans="1:6" x14ac:dyDescent="0.25">
      <c r="A584" s="6" t="str">
        <f t="shared" si="14"/>
        <v>_northamerica</v>
      </c>
      <c r="B584" s="6" t="str">
        <f t="shared" ref="B584:B626" si="15">B583</f>
        <v>_northamerica</v>
      </c>
      <c r="C584" s="9"/>
      <c r="D584" s="9"/>
      <c r="E584" s="12" t="s">
        <v>2079</v>
      </c>
      <c r="F584" s="6">
        <f>VLOOKUP(E584,'[3]Full Data-Map'!$C:$D,2,FALSE)</f>
        <v>19</v>
      </c>
    </row>
    <row r="585" spans="1:6" x14ac:dyDescent="0.25">
      <c r="A585" s="6" t="str">
        <f t="shared" si="14"/>
        <v>q111_1_northamerica</v>
      </c>
      <c r="B585" s="6" t="str">
        <f t="shared" si="15"/>
        <v>_northamerica</v>
      </c>
      <c r="C585" s="6" t="s">
        <v>348</v>
      </c>
      <c r="D585" s="15" t="s">
        <v>1905</v>
      </c>
      <c r="E585" s="6" t="s">
        <v>2030</v>
      </c>
      <c r="F585" s="19" t="s">
        <v>3116</v>
      </c>
    </row>
    <row r="586" spans="1:6" x14ac:dyDescent="0.25">
      <c r="A586" s="6" t="str">
        <f t="shared" si="14"/>
        <v>q111_2_northamerica</v>
      </c>
      <c r="B586" s="6" t="str">
        <f t="shared" si="15"/>
        <v>_northamerica</v>
      </c>
      <c r="C586" s="6" t="s">
        <v>349</v>
      </c>
      <c r="D586" s="15" t="s">
        <v>1905</v>
      </c>
      <c r="E586" s="6" t="s">
        <v>2031</v>
      </c>
      <c r="F586" s="19" t="s">
        <v>3117</v>
      </c>
    </row>
    <row r="587" spans="1:6" x14ac:dyDescent="0.25">
      <c r="A587" s="6" t="str">
        <f t="shared" si="14"/>
        <v>q111_3_northamerica</v>
      </c>
      <c r="B587" s="6" t="str">
        <f t="shared" si="15"/>
        <v>_northamerica</v>
      </c>
      <c r="C587" s="6" t="s">
        <v>350</v>
      </c>
      <c r="D587" s="15" t="s">
        <v>1905</v>
      </c>
      <c r="E587" s="6" t="s">
        <v>2032</v>
      </c>
      <c r="F587" s="19" t="s">
        <v>3118</v>
      </c>
    </row>
    <row r="588" spans="1:6" x14ac:dyDescent="0.25">
      <c r="A588" s="6" t="str">
        <f t="shared" si="14"/>
        <v>q111_4_northamerica</v>
      </c>
      <c r="B588" s="6" t="str">
        <f t="shared" si="15"/>
        <v>_northamerica</v>
      </c>
      <c r="C588" s="6" t="s">
        <v>351</v>
      </c>
      <c r="D588" s="15" t="s">
        <v>1905</v>
      </c>
      <c r="E588" s="6" t="s">
        <v>2033</v>
      </c>
      <c r="F588" s="19" t="s">
        <v>3119</v>
      </c>
    </row>
    <row r="589" spans="1:6" x14ac:dyDescent="0.25">
      <c r="A589" s="6" t="str">
        <f t="shared" si="14"/>
        <v>q111_5_northamerica</v>
      </c>
      <c r="B589" s="6" t="str">
        <f t="shared" si="15"/>
        <v>_northamerica</v>
      </c>
      <c r="C589" s="6" t="s">
        <v>352</v>
      </c>
      <c r="D589" s="15" t="s">
        <v>1905</v>
      </c>
      <c r="E589" s="6" t="s">
        <v>2034</v>
      </c>
      <c r="F589" s="19" t="s">
        <v>3120</v>
      </c>
    </row>
    <row r="590" spans="1:6" x14ac:dyDescent="0.25">
      <c r="A590" s="6" t="str">
        <f t="shared" si="14"/>
        <v>q111_6_northamerica</v>
      </c>
      <c r="B590" s="6" t="str">
        <f t="shared" si="15"/>
        <v>_northamerica</v>
      </c>
      <c r="C590" s="6" t="s">
        <v>353</v>
      </c>
      <c r="D590" s="15" t="s">
        <v>1905</v>
      </c>
      <c r="E590" s="6" t="s">
        <v>2035</v>
      </c>
      <c r="F590" s="19" t="s">
        <v>3121</v>
      </c>
    </row>
    <row r="591" spans="1:6" x14ac:dyDescent="0.25">
      <c r="A591" s="6" t="str">
        <f t="shared" si="14"/>
        <v>q11ROW1_hidden_northamerica</v>
      </c>
      <c r="B591" s="6" t="str">
        <f t="shared" si="15"/>
        <v>_northamerica</v>
      </c>
      <c r="C591" s="6" t="s">
        <v>354</v>
      </c>
      <c r="D591" s="15" t="s">
        <v>1905</v>
      </c>
      <c r="E591" s="11" t="s">
        <v>2071</v>
      </c>
      <c r="F591" s="19" t="s">
        <v>3122</v>
      </c>
    </row>
    <row r="592" spans="1:6" x14ac:dyDescent="0.25">
      <c r="A592" s="6" t="str">
        <f t="shared" si="14"/>
        <v>q112_1_northamerica</v>
      </c>
      <c r="B592" s="6" t="str">
        <f t="shared" si="15"/>
        <v>_northamerica</v>
      </c>
      <c r="C592" s="6" t="s">
        <v>355</v>
      </c>
      <c r="D592" s="15" t="s">
        <v>1905</v>
      </c>
      <c r="E592" s="6" t="s">
        <v>2023</v>
      </c>
      <c r="F592" s="19" t="s">
        <v>3123</v>
      </c>
    </row>
    <row r="593" spans="1:6" x14ac:dyDescent="0.25">
      <c r="A593" s="6" t="str">
        <f t="shared" si="14"/>
        <v>q112_2_northamerica</v>
      </c>
      <c r="B593" s="6" t="str">
        <f t="shared" si="15"/>
        <v>_northamerica</v>
      </c>
      <c r="C593" s="6" t="s">
        <v>356</v>
      </c>
      <c r="D593" s="15" t="s">
        <v>1905</v>
      </c>
      <c r="E593" s="6" t="s">
        <v>2024</v>
      </c>
      <c r="F593" s="19" t="s">
        <v>3124</v>
      </c>
    </row>
    <row r="594" spans="1:6" x14ac:dyDescent="0.25">
      <c r="A594" s="6" t="str">
        <f t="shared" si="14"/>
        <v>q112_3_northamerica</v>
      </c>
      <c r="B594" s="6" t="str">
        <f t="shared" si="15"/>
        <v>_northamerica</v>
      </c>
      <c r="C594" s="6" t="s">
        <v>357</v>
      </c>
      <c r="D594" s="15" t="s">
        <v>1905</v>
      </c>
      <c r="E594" s="6" t="s">
        <v>2025</v>
      </c>
      <c r="F594" s="19" t="s">
        <v>3125</v>
      </c>
    </row>
    <row r="595" spans="1:6" x14ac:dyDescent="0.25">
      <c r="A595" s="6" t="str">
        <f t="shared" si="14"/>
        <v>q112_4_northamerica</v>
      </c>
      <c r="B595" s="6" t="str">
        <f t="shared" si="15"/>
        <v>_northamerica</v>
      </c>
      <c r="C595" s="6" t="s">
        <v>358</v>
      </c>
      <c r="D595" s="15" t="s">
        <v>1905</v>
      </c>
      <c r="E595" s="6" t="s">
        <v>2026</v>
      </c>
      <c r="F595" s="19" t="s">
        <v>3126</v>
      </c>
    </row>
    <row r="596" spans="1:6" x14ac:dyDescent="0.25">
      <c r="A596" s="6" t="str">
        <f t="shared" si="14"/>
        <v>q112_5_northamerica</v>
      </c>
      <c r="B596" s="6" t="str">
        <f t="shared" si="15"/>
        <v>_northamerica</v>
      </c>
      <c r="C596" s="6" t="s">
        <v>359</v>
      </c>
      <c r="D596" s="15" t="s">
        <v>1905</v>
      </c>
      <c r="E596" s="6" t="s">
        <v>2027</v>
      </c>
      <c r="F596" s="19" t="s">
        <v>3127</v>
      </c>
    </row>
    <row r="597" spans="1:6" x14ac:dyDescent="0.25">
      <c r="A597" s="6" t="str">
        <f t="shared" si="14"/>
        <v>q112_6_northamerica</v>
      </c>
      <c r="B597" s="6" t="str">
        <f t="shared" si="15"/>
        <v>_northamerica</v>
      </c>
      <c r="C597" s="6" t="s">
        <v>360</v>
      </c>
      <c r="D597" s="15" t="s">
        <v>1905</v>
      </c>
      <c r="E597" s="6" t="s">
        <v>2028</v>
      </c>
      <c r="F597" s="19" t="s">
        <v>3128</v>
      </c>
    </row>
    <row r="598" spans="1:6" x14ac:dyDescent="0.25">
      <c r="A598" s="6" t="str">
        <f t="shared" si="14"/>
        <v>q11ROW2_hidden_northamerica</v>
      </c>
      <c r="B598" s="6" t="str">
        <f t="shared" si="15"/>
        <v>_northamerica</v>
      </c>
      <c r="C598" s="6" t="s">
        <v>361</v>
      </c>
      <c r="D598" s="15" t="s">
        <v>1905</v>
      </c>
      <c r="E598" s="11" t="s">
        <v>2072</v>
      </c>
      <c r="F598" s="19" t="s">
        <v>3129</v>
      </c>
    </row>
    <row r="599" spans="1:6" x14ac:dyDescent="0.25">
      <c r="A599" s="6" t="str">
        <f t="shared" si="14"/>
        <v>q113_1_northamerica</v>
      </c>
      <c r="B599" s="6" t="str">
        <f t="shared" si="15"/>
        <v>_northamerica</v>
      </c>
      <c r="C599" s="6" t="s">
        <v>362</v>
      </c>
      <c r="D599" s="15" t="s">
        <v>1905</v>
      </c>
      <c r="E599" s="6" t="s">
        <v>2037</v>
      </c>
      <c r="F599" s="19" t="s">
        <v>3130</v>
      </c>
    </row>
    <row r="600" spans="1:6" x14ac:dyDescent="0.25">
      <c r="A600" s="6" t="str">
        <f t="shared" si="14"/>
        <v>q113_2_northamerica</v>
      </c>
      <c r="B600" s="6" t="str">
        <f t="shared" si="15"/>
        <v>_northamerica</v>
      </c>
      <c r="C600" s="6" t="s">
        <v>363</v>
      </c>
      <c r="D600" s="15" t="s">
        <v>1905</v>
      </c>
      <c r="E600" s="6" t="s">
        <v>2038</v>
      </c>
      <c r="F600" s="19" t="s">
        <v>3131</v>
      </c>
    </row>
    <row r="601" spans="1:6" x14ac:dyDescent="0.25">
      <c r="A601" s="6" t="str">
        <f t="shared" si="14"/>
        <v>q113_3_northamerica</v>
      </c>
      <c r="B601" s="6" t="str">
        <f t="shared" si="15"/>
        <v>_northamerica</v>
      </c>
      <c r="C601" s="6" t="s">
        <v>364</v>
      </c>
      <c r="D601" s="15" t="s">
        <v>1905</v>
      </c>
      <c r="E601" s="6" t="s">
        <v>2039</v>
      </c>
      <c r="F601" s="19" t="s">
        <v>3132</v>
      </c>
    </row>
    <row r="602" spans="1:6" x14ac:dyDescent="0.25">
      <c r="A602" s="6" t="str">
        <f t="shared" si="14"/>
        <v>q113_4_northamerica</v>
      </c>
      <c r="B602" s="6" t="str">
        <f t="shared" si="15"/>
        <v>_northamerica</v>
      </c>
      <c r="C602" s="6" t="s">
        <v>365</v>
      </c>
      <c r="D602" s="15" t="s">
        <v>1905</v>
      </c>
      <c r="E602" s="6" t="s">
        <v>2040</v>
      </c>
      <c r="F602" s="19" t="s">
        <v>3133</v>
      </c>
    </row>
    <row r="603" spans="1:6" x14ac:dyDescent="0.25">
      <c r="A603" s="6" t="str">
        <f t="shared" si="14"/>
        <v>q113_5_northamerica</v>
      </c>
      <c r="B603" s="6" t="str">
        <f t="shared" si="15"/>
        <v>_northamerica</v>
      </c>
      <c r="C603" s="6" t="s">
        <v>366</v>
      </c>
      <c r="D603" s="15" t="s">
        <v>1905</v>
      </c>
      <c r="E603" s="6" t="s">
        <v>2041</v>
      </c>
      <c r="F603" s="19" t="s">
        <v>3134</v>
      </c>
    </row>
    <row r="604" spans="1:6" x14ac:dyDescent="0.25">
      <c r="A604" s="6" t="str">
        <f t="shared" si="14"/>
        <v>q113_6_northamerica</v>
      </c>
      <c r="B604" s="6" t="str">
        <f t="shared" si="15"/>
        <v>_northamerica</v>
      </c>
      <c r="C604" s="6" t="s">
        <v>367</v>
      </c>
      <c r="D604" s="15" t="s">
        <v>1905</v>
      </c>
      <c r="E604" s="6" t="s">
        <v>2042</v>
      </c>
      <c r="F604" s="19" t="s">
        <v>3135</v>
      </c>
    </row>
    <row r="605" spans="1:6" x14ac:dyDescent="0.25">
      <c r="A605" s="6" t="str">
        <f t="shared" si="14"/>
        <v>q11ROW3_hidden_northamerica</v>
      </c>
      <c r="B605" s="6" t="str">
        <f t="shared" si="15"/>
        <v>_northamerica</v>
      </c>
      <c r="C605" s="6" t="s">
        <v>368</v>
      </c>
      <c r="D605" s="15" t="s">
        <v>1905</v>
      </c>
      <c r="E605" s="11" t="s">
        <v>2073</v>
      </c>
      <c r="F605" s="19" t="s">
        <v>3136</v>
      </c>
    </row>
    <row r="606" spans="1:6" x14ac:dyDescent="0.25">
      <c r="A606" s="6" t="str">
        <f t="shared" si="14"/>
        <v>q114_1_northamerica</v>
      </c>
      <c r="B606" s="6" t="str">
        <f t="shared" si="15"/>
        <v>_northamerica</v>
      </c>
      <c r="C606" s="6" t="s">
        <v>369</v>
      </c>
      <c r="D606" s="15" t="s">
        <v>1905</v>
      </c>
      <c r="E606" s="6" t="s">
        <v>2044</v>
      </c>
      <c r="F606" s="19" t="s">
        <v>3137</v>
      </c>
    </row>
    <row r="607" spans="1:6" x14ac:dyDescent="0.25">
      <c r="A607" s="6" t="str">
        <f t="shared" si="14"/>
        <v>q114_2_northamerica</v>
      </c>
      <c r="B607" s="6" t="str">
        <f t="shared" si="15"/>
        <v>_northamerica</v>
      </c>
      <c r="C607" s="6" t="s">
        <v>370</v>
      </c>
      <c r="D607" s="15" t="s">
        <v>1905</v>
      </c>
      <c r="E607" s="6" t="s">
        <v>2045</v>
      </c>
      <c r="F607" s="19" t="s">
        <v>3138</v>
      </c>
    </row>
    <row r="608" spans="1:6" x14ac:dyDescent="0.25">
      <c r="A608" s="6" t="str">
        <f t="shared" si="14"/>
        <v>q114_3_northamerica</v>
      </c>
      <c r="B608" s="6" t="str">
        <f t="shared" si="15"/>
        <v>_northamerica</v>
      </c>
      <c r="C608" s="6" t="s">
        <v>371</v>
      </c>
      <c r="D608" s="15" t="s">
        <v>1905</v>
      </c>
      <c r="E608" s="6" t="s">
        <v>2046</v>
      </c>
      <c r="F608" s="19" t="s">
        <v>3139</v>
      </c>
    </row>
    <row r="609" spans="1:6" x14ac:dyDescent="0.25">
      <c r="A609" s="6" t="str">
        <f t="shared" si="14"/>
        <v>q114_4_northamerica</v>
      </c>
      <c r="B609" s="6" t="str">
        <f t="shared" si="15"/>
        <v>_northamerica</v>
      </c>
      <c r="C609" s="6" t="s">
        <v>372</v>
      </c>
      <c r="D609" s="15" t="s">
        <v>1905</v>
      </c>
      <c r="E609" s="6" t="s">
        <v>2047</v>
      </c>
      <c r="F609" s="19" t="s">
        <v>3140</v>
      </c>
    </row>
    <row r="610" spans="1:6" x14ac:dyDescent="0.25">
      <c r="A610" s="6" t="str">
        <f t="shared" si="14"/>
        <v>q114_5_northamerica</v>
      </c>
      <c r="B610" s="6" t="str">
        <f t="shared" si="15"/>
        <v>_northamerica</v>
      </c>
      <c r="C610" s="6" t="s">
        <v>373</v>
      </c>
      <c r="D610" s="15" t="s">
        <v>1905</v>
      </c>
      <c r="E610" s="6" t="s">
        <v>2048</v>
      </c>
      <c r="F610" s="19" t="s">
        <v>3141</v>
      </c>
    </row>
    <row r="611" spans="1:6" x14ac:dyDescent="0.25">
      <c r="A611" s="6" t="str">
        <f t="shared" si="14"/>
        <v>q114_6_northamerica</v>
      </c>
      <c r="B611" s="6" t="str">
        <f t="shared" si="15"/>
        <v>_northamerica</v>
      </c>
      <c r="C611" s="6" t="s">
        <v>374</v>
      </c>
      <c r="D611" s="15" t="s">
        <v>1905</v>
      </c>
      <c r="E611" s="6" t="s">
        <v>2049</v>
      </c>
      <c r="F611" s="19" t="s">
        <v>3142</v>
      </c>
    </row>
    <row r="612" spans="1:6" x14ac:dyDescent="0.25">
      <c r="A612" s="6" t="str">
        <f t="shared" si="14"/>
        <v>q11ROW4_hidden_northamerica</v>
      </c>
      <c r="B612" s="6" t="str">
        <f t="shared" si="15"/>
        <v>_northamerica</v>
      </c>
      <c r="C612" s="6" t="s">
        <v>375</v>
      </c>
      <c r="D612" s="15" t="s">
        <v>1905</v>
      </c>
      <c r="E612" s="11" t="s">
        <v>2074</v>
      </c>
      <c r="F612" s="19" t="s">
        <v>3143</v>
      </c>
    </row>
    <row r="613" spans="1:6" x14ac:dyDescent="0.25">
      <c r="A613" s="6" t="str">
        <f t="shared" si="14"/>
        <v>q115_1_northamerica</v>
      </c>
      <c r="B613" s="6" t="str">
        <f t="shared" si="15"/>
        <v>_northamerica</v>
      </c>
      <c r="C613" s="6" t="s">
        <v>376</v>
      </c>
      <c r="D613" s="15" t="s">
        <v>1905</v>
      </c>
      <c r="E613" s="6" t="s">
        <v>2051</v>
      </c>
      <c r="F613" s="19" t="s">
        <v>3144</v>
      </c>
    </row>
    <row r="614" spans="1:6" x14ac:dyDescent="0.25">
      <c r="A614" s="6" t="str">
        <f t="shared" si="14"/>
        <v>q115_2_northamerica</v>
      </c>
      <c r="B614" s="6" t="str">
        <f t="shared" si="15"/>
        <v>_northamerica</v>
      </c>
      <c r="C614" s="6" t="s">
        <v>377</v>
      </c>
      <c r="D614" s="15" t="s">
        <v>1905</v>
      </c>
      <c r="E614" s="6" t="s">
        <v>2052</v>
      </c>
      <c r="F614" s="19" t="s">
        <v>3145</v>
      </c>
    </row>
    <row r="615" spans="1:6" x14ac:dyDescent="0.25">
      <c r="A615" s="6" t="str">
        <f t="shared" si="14"/>
        <v>q115_3_northamerica</v>
      </c>
      <c r="B615" s="6" t="str">
        <f t="shared" si="15"/>
        <v>_northamerica</v>
      </c>
      <c r="C615" s="6" t="s">
        <v>378</v>
      </c>
      <c r="D615" s="15" t="s">
        <v>1905</v>
      </c>
      <c r="E615" s="6" t="s">
        <v>2053</v>
      </c>
      <c r="F615" s="19" t="s">
        <v>3146</v>
      </c>
    </row>
    <row r="616" spans="1:6" x14ac:dyDescent="0.25">
      <c r="A616" s="6" t="str">
        <f t="shared" si="14"/>
        <v>q115_4_northamerica</v>
      </c>
      <c r="B616" s="6" t="str">
        <f t="shared" si="15"/>
        <v>_northamerica</v>
      </c>
      <c r="C616" s="6" t="s">
        <v>379</v>
      </c>
      <c r="D616" s="15" t="s">
        <v>1905</v>
      </c>
      <c r="E616" s="6" t="s">
        <v>2054</v>
      </c>
      <c r="F616" s="19" t="s">
        <v>3147</v>
      </c>
    </row>
    <row r="617" spans="1:6" x14ac:dyDescent="0.25">
      <c r="A617" s="6" t="str">
        <f t="shared" si="14"/>
        <v>q115_5_northamerica</v>
      </c>
      <c r="B617" s="6" t="str">
        <f t="shared" si="15"/>
        <v>_northamerica</v>
      </c>
      <c r="C617" s="6" t="s">
        <v>380</v>
      </c>
      <c r="D617" s="15" t="s">
        <v>1905</v>
      </c>
      <c r="E617" s="6" t="s">
        <v>2055</v>
      </c>
      <c r="F617" s="19" t="s">
        <v>3148</v>
      </c>
    </row>
    <row r="618" spans="1:6" x14ac:dyDescent="0.25">
      <c r="A618" s="6" t="str">
        <f t="shared" si="14"/>
        <v>q115_6_northamerica</v>
      </c>
      <c r="B618" s="6" t="str">
        <f t="shared" si="15"/>
        <v>_northamerica</v>
      </c>
      <c r="C618" s="6" t="s">
        <v>381</v>
      </c>
      <c r="D618" s="15" t="s">
        <v>1905</v>
      </c>
      <c r="E618" s="6" t="s">
        <v>2056</v>
      </c>
      <c r="F618" s="19" t="s">
        <v>3149</v>
      </c>
    </row>
    <row r="619" spans="1:6" x14ac:dyDescent="0.25">
      <c r="A619" s="6" t="str">
        <f t="shared" si="14"/>
        <v>q11ROW5_hidden_northamerica</v>
      </c>
      <c r="B619" s="6" t="str">
        <f t="shared" si="15"/>
        <v>_northamerica</v>
      </c>
      <c r="C619" s="6" t="s">
        <v>382</v>
      </c>
      <c r="D619" s="15" t="s">
        <v>1905</v>
      </c>
      <c r="E619" s="11" t="s">
        <v>2057</v>
      </c>
      <c r="F619" s="19" t="s">
        <v>3150</v>
      </c>
    </row>
    <row r="620" spans="1:6" x14ac:dyDescent="0.25">
      <c r="A620" s="6" t="str">
        <f t="shared" si="14"/>
        <v>q11COL1_hidden_northamerica</v>
      </c>
      <c r="B620" s="6" t="str">
        <f t="shared" si="15"/>
        <v>_northamerica</v>
      </c>
      <c r="C620" s="6" t="s">
        <v>383</v>
      </c>
      <c r="D620" s="15" t="s">
        <v>1905</v>
      </c>
      <c r="E620" s="11" t="s">
        <v>1953</v>
      </c>
      <c r="F620" s="19" t="s">
        <v>3151</v>
      </c>
    </row>
    <row r="621" spans="1:6" x14ac:dyDescent="0.25">
      <c r="A621" s="6" t="str">
        <f t="shared" si="14"/>
        <v>q11COL2_hidden_northamerica</v>
      </c>
      <c r="B621" s="6" t="str">
        <f t="shared" si="15"/>
        <v>_northamerica</v>
      </c>
      <c r="C621" s="6" t="s">
        <v>384</v>
      </c>
      <c r="D621" s="15" t="s">
        <v>1905</v>
      </c>
      <c r="E621" s="11" t="s">
        <v>1954</v>
      </c>
      <c r="F621" s="19" t="s">
        <v>3152</v>
      </c>
    </row>
    <row r="622" spans="1:6" x14ac:dyDescent="0.25">
      <c r="A622" s="6" t="str">
        <f t="shared" si="14"/>
        <v>q11COL3_hidden_northamerica</v>
      </c>
      <c r="B622" s="6" t="str">
        <f t="shared" si="15"/>
        <v>_northamerica</v>
      </c>
      <c r="C622" s="6" t="s">
        <v>385</v>
      </c>
      <c r="D622" s="15" t="s">
        <v>1905</v>
      </c>
      <c r="E622" s="11" t="s">
        <v>1955</v>
      </c>
      <c r="F622" s="19" t="s">
        <v>3153</v>
      </c>
    </row>
    <row r="623" spans="1:6" x14ac:dyDescent="0.25">
      <c r="A623" s="6" t="str">
        <f t="shared" si="14"/>
        <v>q11COL4_hidden_northamerica</v>
      </c>
      <c r="B623" s="6" t="str">
        <f t="shared" si="15"/>
        <v>_northamerica</v>
      </c>
      <c r="C623" s="6" t="s">
        <v>386</v>
      </c>
      <c r="D623" s="15" t="s">
        <v>1905</v>
      </c>
      <c r="E623" s="11" t="s">
        <v>1956</v>
      </c>
      <c r="F623" s="19" t="s">
        <v>3154</v>
      </c>
    </row>
    <row r="624" spans="1:6" x14ac:dyDescent="0.25">
      <c r="A624" s="6" t="str">
        <f t="shared" si="14"/>
        <v>q11COL5_hidden_northamerica</v>
      </c>
      <c r="B624" s="6" t="str">
        <f t="shared" si="15"/>
        <v>_northamerica</v>
      </c>
      <c r="C624" s="6" t="s">
        <v>387</v>
      </c>
      <c r="D624" s="15" t="s">
        <v>1905</v>
      </c>
      <c r="E624" s="11" t="s">
        <v>1957</v>
      </c>
      <c r="F624" s="19" t="s">
        <v>3155</v>
      </c>
    </row>
    <row r="625" spans="1:6" x14ac:dyDescent="0.25">
      <c r="A625" s="6" t="str">
        <f t="shared" si="14"/>
        <v>q11COL6_hidden_northamerica</v>
      </c>
      <c r="B625" s="6" t="str">
        <f t="shared" si="15"/>
        <v>_northamerica</v>
      </c>
      <c r="C625" s="6" t="s">
        <v>388</v>
      </c>
      <c r="D625" s="15" t="s">
        <v>1905</v>
      </c>
      <c r="E625" s="11" t="s">
        <v>1958</v>
      </c>
      <c r="F625" s="19" t="s">
        <v>3156</v>
      </c>
    </row>
    <row r="626" spans="1:6" x14ac:dyDescent="0.25">
      <c r="A626" s="6" t="str">
        <f t="shared" si="14"/>
        <v>q11GRANDTotal_hidden_northamerica</v>
      </c>
      <c r="B626" s="6" t="str">
        <f t="shared" si="15"/>
        <v>_northamerica</v>
      </c>
      <c r="C626" s="6" t="s">
        <v>389</v>
      </c>
      <c r="D626" s="15" t="s">
        <v>1905</v>
      </c>
      <c r="E626" s="11" t="s">
        <v>2075</v>
      </c>
      <c r="F626" s="19" t="s">
        <v>3157</v>
      </c>
    </row>
    <row r="627" spans="1:6" x14ac:dyDescent="0.25">
      <c r="A627" s="6" t="str">
        <f t="shared" si="14"/>
        <v>Global_global</v>
      </c>
      <c r="B627" s="6" t="s">
        <v>2090</v>
      </c>
      <c r="C627" s="13" t="s">
        <v>392</v>
      </c>
      <c r="D627" s="14"/>
      <c r="E627" s="12" t="s">
        <v>2080</v>
      </c>
      <c r="F627" s="6">
        <f>VLOOKUP(E627,'[3]Full Data-Map'!$C:$D,2,FALSE)</f>
        <v>20</v>
      </c>
    </row>
    <row r="628" spans="1:6" x14ac:dyDescent="0.25">
      <c r="A628" s="6" t="str">
        <f t="shared" si="14"/>
        <v>q101_1_global</v>
      </c>
      <c r="B628" s="6" t="str">
        <f t="shared" ref="B628:B691" si="16">B627</f>
        <v>_global</v>
      </c>
      <c r="C628" s="6" t="s">
        <v>284</v>
      </c>
      <c r="D628" s="15" t="s">
        <v>1905</v>
      </c>
      <c r="E628" s="6" t="s">
        <v>1965</v>
      </c>
      <c r="F628" s="19" t="s">
        <v>3158</v>
      </c>
    </row>
    <row r="629" spans="1:6" x14ac:dyDescent="0.25">
      <c r="A629" s="6" t="str">
        <f t="shared" si="14"/>
        <v>q101_2_global</v>
      </c>
      <c r="B629" s="6" t="str">
        <f t="shared" si="16"/>
        <v>_global</v>
      </c>
      <c r="C629" s="6" t="s">
        <v>285</v>
      </c>
      <c r="D629" s="15" t="s">
        <v>1905</v>
      </c>
      <c r="E629" s="6" t="s">
        <v>1966</v>
      </c>
      <c r="F629" s="19" t="s">
        <v>3159</v>
      </c>
    </row>
    <row r="630" spans="1:6" x14ac:dyDescent="0.25">
      <c r="A630" s="6" t="str">
        <f t="shared" si="14"/>
        <v>q101_3_global</v>
      </c>
      <c r="B630" s="6" t="str">
        <f t="shared" si="16"/>
        <v>_global</v>
      </c>
      <c r="C630" s="6" t="s">
        <v>286</v>
      </c>
      <c r="D630" s="15" t="s">
        <v>1905</v>
      </c>
      <c r="E630" s="6" t="s">
        <v>1967</v>
      </c>
      <c r="F630" s="19" t="s">
        <v>3160</v>
      </c>
    </row>
    <row r="631" spans="1:6" x14ac:dyDescent="0.25">
      <c r="A631" s="6" t="str">
        <f t="shared" si="14"/>
        <v>q101_4_global</v>
      </c>
      <c r="B631" s="6" t="str">
        <f t="shared" si="16"/>
        <v>_global</v>
      </c>
      <c r="C631" s="6" t="s">
        <v>287</v>
      </c>
      <c r="D631" s="15" t="s">
        <v>1905</v>
      </c>
      <c r="E631" s="6" t="s">
        <v>1968</v>
      </c>
      <c r="F631" s="19" t="s">
        <v>3161</v>
      </c>
    </row>
    <row r="632" spans="1:6" x14ac:dyDescent="0.25">
      <c r="A632" s="6" t="str">
        <f t="shared" si="14"/>
        <v>q101_5_global</v>
      </c>
      <c r="B632" s="6" t="str">
        <f t="shared" si="16"/>
        <v>_global</v>
      </c>
      <c r="C632" s="6" t="s">
        <v>288</v>
      </c>
      <c r="D632" s="15" t="s">
        <v>1905</v>
      </c>
      <c r="E632" s="6" t="s">
        <v>1969</v>
      </c>
      <c r="F632" s="19" t="s">
        <v>3162</v>
      </c>
    </row>
    <row r="633" spans="1:6" x14ac:dyDescent="0.25">
      <c r="A633" s="6" t="str">
        <f t="shared" si="14"/>
        <v>q101_6_global</v>
      </c>
      <c r="B633" s="6" t="str">
        <f t="shared" si="16"/>
        <v>_global</v>
      </c>
      <c r="C633" s="6" t="s">
        <v>289</v>
      </c>
      <c r="D633" s="15" t="s">
        <v>1905</v>
      </c>
      <c r="E633" s="6" t="s">
        <v>1970</v>
      </c>
      <c r="F633" s="19" t="s">
        <v>3163</v>
      </c>
    </row>
    <row r="634" spans="1:6" x14ac:dyDescent="0.25">
      <c r="A634" s="6" t="str">
        <f t="shared" si="14"/>
        <v>q10ROW1_hidden_global</v>
      </c>
      <c r="B634" s="6" t="str">
        <f t="shared" si="16"/>
        <v>_global</v>
      </c>
      <c r="C634" s="6" t="s">
        <v>290</v>
      </c>
      <c r="D634" s="15" t="s">
        <v>1905</v>
      </c>
      <c r="E634" s="11" t="s">
        <v>1971</v>
      </c>
      <c r="F634" s="19" t="s">
        <v>3164</v>
      </c>
    </row>
    <row r="635" spans="1:6" x14ac:dyDescent="0.25">
      <c r="A635" s="6" t="str">
        <f t="shared" si="14"/>
        <v>q102_1_global</v>
      </c>
      <c r="B635" s="6" t="str">
        <f t="shared" si="16"/>
        <v>_global</v>
      </c>
      <c r="C635" s="6" t="s">
        <v>291</v>
      </c>
      <c r="D635" s="15" t="s">
        <v>1905</v>
      </c>
      <c r="E635" s="6" t="s">
        <v>1972</v>
      </c>
      <c r="F635" s="19" t="s">
        <v>3165</v>
      </c>
    </row>
    <row r="636" spans="1:6" x14ac:dyDescent="0.25">
      <c r="A636" s="6" t="str">
        <f t="shared" si="14"/>
        <v>q102_2_global</v>
      </c>
      <c r="B636" s="6" t="str">
        <f t="shared" si="16"/>
        <v>_global</v>
      </c>
      <c r="C636" s="6" t="s">
        <v>292</v>
      </c>
      <c r="D636" s="15" t="s">
        <v>1905</v>
      </c>
      <c r="E636" s="6" t="s">
        <v>1973</v>
      </c>
      <c r="F636" s="19" t="s">
        <v>3166</v>
      </c>
    </row>
    <row r="637" spans="1:6" x14ac:dyDescent="0.25">
      <c r="A637" s="6" t="str">
        <f t="shared" si="14"/>
        <v>q102_3_global</v>
      </c>
      <c r="B637" s="6" t="str">
        <f t="shared" si="16"/>
        <v>_global</v>
      </c>
      <c r="C637" s="6" t="s">
        <v>293</v>
      </c>
      <c r="D637" s="15" t="s">
        <v>1905</v>
      </c>
      <c r="E637" s="6" t="s">
        <v>1974</v>
      </c>
      <c r="F637" s="19" t="s">
        <v>3167</v>
      </c>
    </row>
    <row r="638" spans="1:6" x14ac:dyDescent="0.25">
      <c r="A638" s="6" t="str">
        <f t="shared" si="14"/>
        <v>q102_4_global</v>
      </c>
      <c r="B638" s="6" t="str">
        <f t="shared" si="16"/>
        <v>_global</v>
      </c>
      <c r="C638" s="6" t="s">
        <v>294</v>
      </c>
      <c r="D638" s="15" t="s">
        <v>1905</v>
      </c>
      <c r="E638" s="6" t="s">
        <v>1975</v>
      </c>
      <c r="F638" s="19" t="s">
        <v>3168</v>
      </c>
    </row>
    <row r="639" spans="1:6" x14ac:dyDescent="0.25">
      <c r="A639" s="6" t="str">
        <f t="shared" si="14"/>
        <v>q102_5_global</v>
      </c>
      <c r="B639" s="6" t="str">
        <f t="shared" si="16"/>
        <v>_global</v>
      </c>
      <c r="C639" s="6" t="s">
        <v>295</v>
      </c>
      <c r="D639" s="15" t="s">
        <v>1905</v>
      </c>
      <c r="E639" s="6" t="s">
        <v>1976</v>
      </c>
      <c r="F639" s="19" t="s">
        <v>3169</v>
      </c>
    </row>
    <row r="640" spans="1:6" x14ac:dyDescent="0.25">
      <c r="A640" s="6" t="str">
        <f t="shared" si="14"/>
        <v>q102_6_global</v>
      </c>
      <c r="B640" s="6" t="str">
        <f t="shared" si="16"/>
        <v>_global</v>
      </c>
      <c r="C640" s="6" t="s">
        <v>296</v>
      </c>
      <c r="D640" s="15" t="s">
        <v>1905</v>
      </c>
      <c r="E640" s="6" t="s">
        <v>1977</v>
      </c>
      <c r="F640" s="19" t="s">
        <v>3170</v>
      </c>
    </row>
    <row r="641" spans="1:6" x14ac:dyDescent="0.25">
      <c r="A641" s="6" t="str">
        <f t="shared" si="14"/>
        <v>q10ROW2_hidden_global</v>
      </c>
      <c r="B641" s="6" t="str">
        <f t="shared" si="16"/>
        <v>_global</v>
      </c>
      <c r="C641" s="6" t="s">
        <v>297</v>
      </c>
      <c r="D641" s="15" t="s">
        <v>1905</v>
      </c>
      <c r="E641" s="11" t="s">
        <v>1978</v>
      </c>
      <c r="F641" s="19" t="s">
        <v>3171</v>
      </c>
    </row>
    <row r="642" spans="1:6" x14ac:dyDescent="0.25">
      <c r="A642" s="6" t="str">
        <f t="shared" si="14"/>
        <v>q103_1_global</v>
      </c>
      <c r="B642" s="6" t="str">
        <f t="shared" si="16"/>
        <v>_global</v>
      </c>
      <c r="C642" s="6" t="s">
        <v>298</v>
      </c>
      <c r="D642" s="15" t="s">
        <v>1905</v>
      </c>
      <c r="E642" s="6" t="s">
        <v>1979</v>
      </c>
      <c r="F642" s="19" t="s">
        <v>3172</v>
      </c>
    </row>
    <row r="643" spans="1:6" x14ac:dyDescent="0.25">
      <c r="A643" s="6" t="str">
        <f t="shared" ref="A643:A706" si="17">_xlfn.CONCAT(C643,B643)</f>
        <v>q103_2_global</v>
      </c>
      <c r="B643" s="6" t="str">
        <f t="shared" si="16"/>
        <v>_global</v>
      </c>
      <c r="C643" s="6" t="s">
        <v>299</v>
      </c>
      <c r="D643" s="15" t="s">
        <v>1905</v>
      </c>
      <c r="E643" s="6" t="s">
        <v>1980</v>
      </c>
      <c r="F643" s="19" t="s">
        <v>3173</v>
      </c>
    </row>
    <row r="644" spans="1:6" x14ac:dyDescent="0.25">
      <c r="A644" s="6" t="str">
        <f t="shared" si="17"/>
        <v>q103_3_global</v>
      </c>
      <c r="B644" s="6" t="str">
        <f t="shared" si="16"/>
        <v>_global</v>
      </c>
      <c r="C644" s="6" t="s">
        <v>300</v>
      </c>
      <c r="D644" s="15" t="s">
        <v>1905</v>
      </c>
      <c r="E644" s="6" t="s">
        <v>1981</v>
      </c>
      <c r="F644" s="19" t="s">
        <v>3174</v>
      </c>
    </row>
    <row r="645" spans="1:6" x14ac:dyDescent="0.25">
      <c r="A645" s="6" t="str">
        <f t="shared" si="17"/>
        <v>q103_4_global</v>
      </c>
      <c r="B645" s="6" t="str">
        <f t="shared" si="16"/>
        <v>_global</v>
      </c>
      <c r="C645" s="6" t="s">
        <v>301</v>
      </c>
      <c r="D645" s="15" t="s">
        <v>1905</v>
      </c>
      <c r="E645" s="6" t="s">
        <v>1982</v>
      </c>
      <c r="F645" s="19" t="s">
        <v>3175</v>
      </c>
    </row>
    <row r="646" spans="1:6" x14ac:dyDescent="0.25">
      <c r="A646" s="6" t="str">
        <f t="shared" si="17"/>
        <v>q103_5_global</v>
      </c>
      <c r="B646" s="6" t="str">
        <f t="shared" si="16"/>
        <v>_global</v>
      </c>
      <c r="C646" s="6" t="s">
        <v>302</v>
      </c>
      <c r="D646" s="15" t="s">
        <v>1905</v>
      </c>
      <c r="E646" s="6" t="s">
        <v>1983</v>
      </c>
      <c r="F646" s="19" t="s">
        <v>3176</v>
      </c>
    </row>
    <row r="647" spans="1:6" x14ac:dyDescent="0.25">
      <c r="A647" s="6" t="str">
        <f t="shared" si="17"/>
        <v>q103_6_global</v>
      </c>
      <c r="B647" s="6" t="str">
        <f t="shared" si="16"/>
        <v>_global</v>
      </c>
      <c r="C647" s="6" t="s">
        <v>303</v>
      </c>
      <c r="D647" s="15" t="s">
        <v>1905</v>
      </c>
      <c r="E647" s="6" t="s">
        <v>1984</v>
      </c>
      <c r="F647" s="19" t="s">
        <v>3177</v>
      </c>
    </row>
    <row r="648" spans="1:6" x14ac:dyDescent="0.25">
      <c r="A648" s="6" t="str">
        <f t="shared" si="17"/>
        <v>q10ROW3_hidden_global</v>
      </c>
      <c r="B648" s="6" t="str">
        <f t="shared" si="16"/>
        <v>_global</v>
      </c>
      <c r="C648" s="6" t="s">
        <v>304</v>
      </c>
      <c r="D648" s="15" t="s">
        <v>1905</v>
      </c>
      <c r="E648" s="11" t="s">
        <v>1985</v>
      </c>
      <c r="F648" s="19" t="s">
        <v>3178</v>
      </c>
    </row>
    <row r="649" spans="1:6" x14ac:dyDescent="0.25">
      <c r="A649" s="6" t="str">
        <f t="shared" si="17"/>
        <v>q104_1_global</v>
      </c>
      <c r="B649" s="6" t="str">
        <f t="shared" si="16"/>
        <v>_global</v>
      </c>
      <c r="C649" s="6" t="s">
        <v>305</v>
      </c>
      <c r="D649" s="15" t="s">
        <v>1905</v>
      </c>
      <c r="E649" s="6" t="s">
        <v>1986</v>
      </c>
      <c r="F649" s="19" t="s">
        <v>3179</v>
      </c>
    </row>
    <row r="650" spans="1:6" x14ac:dyDescent="0.25">
      <c r="A650" s="6" t="str">
        <f t="shared" si="17"/>
        <v>q104_2_global</v>
      </c>
      <c r="B650" s="6" t="str">
        <f t="shared" si="16"/>
        <v>_global</v>
      </c>
      <c r="C650" s="6" t="s">
        <v>306</v>
      </c>
      <c r="D650" s="15" t="s">
        <v>1905</v>
      </c>
      <c r="E650" s="6" t="s">
        <v>1987</v>
      </c>
      <c r="F650" s="19" t="s">
        <v>3180</v>
      </c>
    </row>
    <row r="651" spans="1:6" x14ac:dyDescent="0.25">
      <c r="A651" s="6" t="str">
        <f t="shared" si="17"/>
        <v>q104_3_global</v>
      </c>
      <c r="B651" s="6" t="str">
        <f t="shared" si="16"/>
        <v>_global</v>
      </c>
      <c r="C651" s="6" t="s">
        <v>307</v>
      </c>
      <c r="D651" s="15" t="s">
        <v>1905</v>
      </c>
      <c r="E651" s="6" t="s">
        <v>1988</v>
      </c>
      <c r="F651" s="19" t="s">
        <v>3181</v>
      </c>
    </row>
    <row r="652" spans="1:6" x14ac:dyDescent="0.25">
      <c r="A652" s="6" t="str">
        <f t="shared" si="17"/>
        <v>q104_4_global</v>
      </c>
      <c r="B652" s="6" t="str">
        <f t="shared" si="16"/>
        <v>_global</v>
      </c>
      <c r="C652" s="6" t="s">
        <v>308</v>
      </c>
      <c r="D652" s="15" t="s">
        <v>1905</v>
      </c>
      <c r="E652" s="6" t="s">
        <v>1989</v>
      </c>
      <c r="F652" s="19" t="s">
        <v>3182</v>
      </c>
    </row>
    <row r="653" spans="1:6" x14ac:dyDescent="0.25">
      <c r="A653" s="6" t="str">
        <f t="shared" si="17"/>
        <v>q104_5_global</v>
      </c>
      <c r="B653" s="6" t="str">
        <f t="shared" si="16"/>
        <v>_global</v>
      </c>
      <c r="C653" s="6" t="s">
        <v>309</v>
      </c>
      <c r="D653" s="15" t="s">
        <v>1905</v>
      </c>
      <c r="E653" s="6" t="s">
        <v>1990</v>
      </c>
      <c r="F653" s="19" t="s">
        <v>3183</v>
      </c>
    </row>
    <row r="654" spans="1:6" x14ac:dyDescent="0.25">
      <c r="A654" s="6" t="str">
        <f t="shared" si="17"/>
        <v>q104_6_global</v>
      </c>
      <c r="B654" s="6" t="str">
        <f t="shared" si="16"/>
        <v>_global</v>
      </c>
      <c r="C654" s="6" t="s">
        <v>310</v>
      </c>
      <c r="D654" s="15" t="s">
        <v>1905</v>
      </c>
      <c r="E654" s="6" t="s">
        <v>1991</v>
      </c>
      <c r="F654" s="19" t="s">
        <v>3184</v>
      </c>
    </row>
    <row r="655" spans="1:6" x14ac:dyDescent="0.25">
      <c r="A655" s="6" t="str">
        <f t="shared" si="17"/>
        <v>q10ROW4_hidden_global</v>
      </c>
      <c r="B655" s="6" t="str">
        <f t="shared" si="16"/>
        <v>_global</v>
      </c>
      <c r="C655" s="6" t="s">
        <v>311</v>
      </c>
      <c r="D655" s="15" t="s">
        <v>1905</v>
      </c>
      <c r="E655" s="11" t="s">
        <v>1992</v>
      </c>
      <c r="F655" s="19" t="s">
        <v>3185</v>
      </c>
    </row>
    <row r="656" spans="1:6" x14ac:dyDescent="0.25">
      <c r="A656" s="6" t="str">
        <f t="shared" si="17"/>
        <v>q105_1_global</v>
      </c>
      <c r="B656" s="6" t="str">
        <f t="shared" si="16"/>
        <v>_global</v>
      </c>
      <c r="C656" s="6" t="s">
        <v>312</v>
      </c>
      <c r="D656" s="15" t="s">
        <v>1905</v>
      </c>
      <c r="E656" s="6" t="s">
        <v>1993</v>
      </c>
      <c r="F656" s="19" t="s">
        <v>3186</v>
      </c>
    </row>
    <row r="657" spans="1:6" x14ac:dyDescent="0.25">
      <c r="A657" s="6" t="str">
        <f t="shared" si="17"/>
        <v>q105_2_global</v>
      </c>
      <c r="B657" s="6" t="str">
        <f t="shared" si="16"/>
        <v>_global</v>
      </c>
      <c r="C657" s="6" t="s">
        <v>313</v>
      </c>
      <c r="D657" s="15" t="s">
        <v>1905</v>
      </c>
      <c r="E657" s="6" t="s">
        <v>1994</v>
      </c>
      <c r="F657" s="19" t="s">
        <v>3187</v>
      </c>
    </row>
    <row r="658" spans="1:6" x14ac:dyDescent="0.25">
      <c r="A658" s="6" t="str">
        <f t="shared" si="17"/>
        <v>q105_3_global</v>
      </c>
      <c r="B658" s="6" t="str">
        <f t="shared" si="16"/>
        <v>_global</v>
      </c>
      <c r="C658" s="6" t="s">
        <v>314</v>
      </c>
      <c r="D658" s="15" t="s">
        <v>1905</v>
      </c>
      <c r="E658" s="6" t="s">
        <v>1995</v>
      </c>
      <c r="F658" s="19" t="s">
        <v>3188</v>
      </c>
    </row>
    <row r="659" spans="1:6" x14ac:dyDescent="0.25">
      <c r="A659" s="6" t="str">
        <f t="shared" si="17"/>
        <v>q105_4_global</v>
      </c>
      <c r="B659" s="6" t="str">
        <f t="shared" si="16"/>
        <v>_global</v>
      </c>
      <c r="C659" s="6" t="s">
        <v>315</v>
      </c>
      <c r="D659" s="15" t="s">
        <v>1905</v>
      </c>
      <c r="E659" s="6" t="s">
        <v>1996</v>
      </c>
      <c r="F659" s="19" t="s">
        <v>3189</v>
      </c>
    </row>
    <row r="660" spans="1:6" x14ac:dyDescent="0.25">
      <c r="A660" s="6" t="str">
        <f t="shared" si="17"/>
        <v>q105_5_global</v>
      </c>
      <c r="B660" s="6" t="str">
        <f t="shared" si="16"/>
        <v>_global</v>
      </c>
      <c r="C660" s="6" t="s">
        <v>316</v>
      </c>
      <c r="D660" s="15" t="s">
        <v>1905</v>
      </c>
      <c r="E660" s="6" t="s">
        <v>1997</v>
      </c>
      <c r="F660" s="19" t="s">
        <v>3190</v>
      </c>
    </row>
    <row r="661" spans="1:6" x14ac:dyDescent="0.25">
      <c r="A661" s="6" t="str">
        <f t="shared" si="17"/>
        <v>q105_6_global</v>
      </c>
      <c r="B661" s="6" t="str">
        <f t="shared" si="16"/>
        <v>_global</v>
      </c>
      <c r="C661" s="6" t="s">
        <v>317</v>
      </c>
      <c r="D661" s="15" t="s">
        <v>1905</v>
      </c>
      <c r="E661" s="6" t="s">
        <v>1998</v>
      </c>
      <c r="F661" s="19" t="s">
        <v>3191</v>
      </c>
    </row>
    <row r="662" spans="1:6" x14ac:dyDescent="0.25">
      <c r="A662" s="6" t="str">
        <f t="shared" si="17"/>
        <v>q10ROW5_hidden_global</v>
      </c>
      <c r="B662" s="6" t="str">
        <f t="shared" si="16"/>
        <v>_global</v>
      </c>
      <c r="C662" s="6" t="s">
        <v>318</v>
      </c>
      <c r="D662" s="15" t="s">
        <v>1905</v>
      </c>
      <c r="E662" s="11" t="s">
        <v>1999</v>
      </c>
      <c r="F662" s="19" t="s">
        <v>3192</v>
      </c>
    </row>
    <row r="663" spans="1:6" x14ac:dyDescent="0.25">
      <c r="A663" s="6" t="str">
        <f t="shared" si="17"/>
        <v>q106_1_global</v>
      </c>
      <c r="B663" s="6" t="str">
        <f t="shared" si="16"/>
        <v>_global</v>
      </c>
      <c r="C663" s="6" t="s">
        <v>319</v>
      </c>
      <c r="D663" s="15" t="s">
        <v>1905</v>
      </c>
      <c r="E663" s="6" t="s">
        <v>2000</v>
      </c>
      <c r="F663" s="19" t="s">
        <v>3193</v>
      </c>
    </row>
    <row r="664" spans="1:6" x14ac:dyDescent="0.25">
      <c r="A664" s="6" t="str">
        <f t="shared" si="17"/>
        <v>q106_2_global</v>
      </c>
      <c r="B664" s="6" t="str">
        <f t="shared" si="16"/>
        <v>_global</v>
      </c>
      <c r="C664" s="6" t="s">
        <v>320</v>
      </c>
      <c r="D664" s="15" t="s">
        <v>1905</v>
      </c>
      <c r="E664" s="6" t="s">
        <v>2001</v>
      </c>
      <c r="F664" s="19" t="s">
        <v>3194</v>
      </c>
    </row>
    <row r="665" spans="1:6" x14ac:dyDescent="0.25">
      <c r="A665" s="6" t="str">
        <f t="shared" si="17"/>
        <v>q106_3_global</v>
      </c>
      <c r="B665" s="6" t="str">
        <f t="shared" si="16"/>
        <v>_global</v>
      </c>
      <c r="C665" s="6" t="s">
        <v>321</v>
      </c>
      <c r="D665" s="15" t="s">
        <v>1905</v>
      </c>
      <c r="E665" s="6" t="s">
        <v>2002</v>
      </c>
      <c r="F665" s="19" t="s">
        <v>3195</v>
      </c>
    </row>
    <row r="666" spans="1:6" x14ac:dyDescent="0.25">
      <c r="A666" s="6" t="str">
        <f t="shared" si="17"/>
        <v>q106_4_global</v>
      </c>
      <c r="B666" s="6" t="str">
        <f t="shared" si="16"/>
        <v>_global</v>
      </c>
      <c r="C666" s="6" t="s">
        <v>322</v>
      </c>
      <c r="D666" s="15" t="s">
        <v>1905</v>
      </c>
      <c r="E666" s="6" t="s">
        <v>2003</v>
      </c>
      <c r="F666" s="19" t="s">
        <v>3196</v>
      </c>
    </row>
    <row r="667" spans="1:6" x14ac:dyDescent="0.25">
      <c r="A667" s="6" t="str">
        <f t="shared" si="17"/>
        <v>q106_5_global</v>
      </c>
      <c r="B667" s="6" t="str">
        <f t="shared" si="16"/>
        <v>_global</v>
      </c>
      <c r="C667" s="6" t="s">
        <v>323</v>
      </c>
      <c r="D667" s="15" t="s">
        <v>1905</v>
      </c>
      <c r="E667" s="6" t="s">
        <v>2004</v>
      </c>
      <c r="F667" s="19" t="s">
        <v>3197</v>
      </c>
    </row>
    <row r="668" spans="1:6" x14ac:dyDescent="0.25">
      <c r="A668" s="6" t="str">
        <f t="shared" si="17"/>
        <v>q106_6_global</v>
      </c>
      <c r="B668" s="6" t="str">
        <f t="shared" si="16"/>
        <v>_global</v>
      </c>
      <c r="C668" s="6" t="s">
        <v>324</v>
      </c>
      <c r="D668" s="15" t="s">
        <v>1905</v>
      </c>
      <c r="E668" s="6" t="s">
        <v>2005</v>
      </c>
      <c r="F668" s="19" t="s">
        <v>3198</v>
      </c>
    </row>
    <row r="669" spans="1:6" x14ac:dyDescent="0.25">
      <c r="A669" s="6" t="str">
        <f t="shared" si="17"/>
        <v>q10ROW6_hidden_global</v>
      </c>
      <c r="B669" s="6" t="str">
        <f t="shared" si="16"/>
        <v>_global</v>
      </c>
      <c r="C669" s="6" t="s">
        <v>325</v>
      </c>
      <c r="D669" s="15" t="s">
        <v>1905</v>
      </c>
      <c r="E669" s="11" t="s">
        <v>1957</v>
      </c>
      <c r="F669" s="19" t="s">
        <v>3199</v>
      </c>
    </row>
    <row r="670" spans="1:6" x14ac:dyDescent="0.25">
      <c r="A670" s="6" t="str">
        <f t="shared" si="17"/>
        <v>q107_1_global</v>
      </c>
      <c r="B670" s="6" t="str">
        <f t="shared" si="16"/>
        <v>_global</v>
      </c>
      <c r="C670" s="6" t="s">
        <v>326</v>
      </c>
      <c r="D670" s="15" t="s">
        <v>1905</v>
      </c>
      <c r="E670" s="6" t="s">
        <v>2006</v>
      </c>
      <c r="F670" s="19" t="s">
        <v>3200</v>
      </c>
    </row>
    <row r="671" spans="1:6" x14ac:dyDescent="0.25">
      <c r="A671" s="6" t="str">
        <f t="shared" si="17"/>
        <v>q107_2_global</v>
      </c>
      <c r="B671" s="6" t="str">
        <f t="shared" si="16"/>
        <v>_global</v>
      </c>
      <c r="C671" s="6" t="s">
        <v>327</v>
      </c>
      <c r="D671" s="15" t="s">
        <v>1905</v>
      </c>
      <c r="E671" s="6" t="s">
        <v>2007</v>
      </c>
      <c r="F671" s="19" t="s">
        <v>3201</v>
      </c>
    </row>
    <row r="672" spans="1:6" x14ac:dyDescent="0.25">
      <c r="A672" s="6" t="str">
        <f t="shared" si="17"/>
        <v>q107_3_global</v>
      </c>
      <c r="B672" s="6" t="str">
        <f t="shared" si="16"/>
        <v>_global</v>
      </c>
      <c r="C672" s="6" t="s">
        <v>328</v>
      </c>
      <c r="D672" s="15" t="s">
        <v>1905</v>
      </c>
      <c r="E672" s="6" t="s">
        <v>2008</v>
      </c>
      <c r="F672" s="19" t="s">
        <v>3202</v>
      </c>
    </row>
    <row r="673" spans="1:6" x14ac:dyDescent="0.25">
      <c r="A673" s="6" t="str">
        <f t="shared" si="17"/>
        <v>q107_4_global</v>
      </c>
      <c r="B673" s="6" t="str">
        <f t="shared" si="16"/>
        <v>_global</v>
      </c>
      <c r="C673" s="6" t="s">
        <v>329</v>
      </c>
      <c r="D673" s="15" t="s">
        <v>1905</v>
      </c>
      <c r="E673" s="6" t="s">
        <v>2009</v>
      </c>
      <c r="F673" s="19" t="s">
        <v>3203</v>
      </c>
    </row>
    <row r="674" spans="1:6" x14ac:dyDescent="0.25">
      <c r="A674" s="6" t="str">
        <f t="shared" si="17"/>
        <v>q107_5_global</v>
      </c>
      <c r="B674" s="6" t="str">
        <f t="shared" si="16"/>
        <v>_global</v>
      </c>
      <c r="C674" s="6" t="s">
        <v>330</v>
      </c>
      <c r="D674" s="15" t="s">
        <v>1905</v>
      </c>
      <c r="E674" s="6" t="s">
        <v>2010</v>
      </c>
      <c r="F674" s="19" t="s">
        <v>3204</v>
      </c>
    </row>
    <row r="675" spans="1:6" x14ac:dyDescent="0.25">
      <c r="A675" s="6" t="str">
        <f t="shared" si="17"/>
        <v>q107_6_global</v>
      </c>
      <c r="B675" s="6" t="str">
        <f t="shared" si="16"/>
        <v>_global</v>
      </c>
      <c r="C675" s="6" t="s">
        <v>331</v>
      </c>
      <c r="D675" s="15" t="s">
        <v>1905</v>
      </c>
      <c r="E675" s="6" t="s">
        <v>2011</v>
      </c>
      <c r="F675" s="19" t="s">
        <v>3205</v>
      </c>
    </row>
    <row r="676" spans="1:6" x14ac:dyDescent="0.25">
      <c r="A676" s="6" t="str">
        <f t="shared" si="17"/>
        <v>q10ROW7_hidden_global</v>
      </c>
      <c r="B676" s="6" t="str">
        <f t="shared" si="16"/>
        <v>_global</v>
      </c>
      <c r="C676" s="6" t="s">
        <v>332</v>
      </c>
      <c r="D676" s="15" t="s">
        <v>1905</v>
      </c>
      <c r="E676" s="11" t="s">
        <v>2012</v>
      </c>
      <c r="F676" s="19" t="s">
        <v>3206</v>
      </c>
    </row>
    <row r="677" spans="1:6" x14ac:dyDescent="0.25">
      <c r="A677" s="6" t="str">
        <f t="shared" si="17"/>
        <v>q10other_global</v>
      </c>
      <c r="B677" s="6" t="str">
        <f t="shared" si="16"/>
        <v>_global</v>
      </c>
      <c r="C677" s="6" t="s">
        <v>333</v>
      </c>
      <c r="D677" s="15" t="s">
        <v>1890</v>
      </c>
      <c r="E677" s="6" t="s">
        <v>2013</v>
      </c>
      <c r="F677" s="19" t="s">
        <v>3207</v>
      </c>
    </row>
    <row r="678" spans="1:6" x14ac:dyDescent="0.25">
      <c r="A678" s="6" t="str">
        <f t="shared" si="17"/>
        <v>q108_1_global</v>
      </c>
      <c r="B678" s="6" t="str">
        <f t="shared" si="16"/>
        <v>_global</v>
      </c>
      <c r="C678" s="6" t="s">
        <v>334</v>
      </c>
      <c r="D678" s="15" t="s">
        <v>1905</v>
      </c>
      <c r="E678" s="6" t="s">
        <v>2014</v>
      </c>
      <c r="F678" s="19" t="s">
        <v>3208</v>
      </c>
    </row>
    <row r="679" spans="1:6" x14ac:dyDescent="0.25">
      <c r="A679" s="6" t="str">
        <f t="shared" si="17"/>
        <v>q108_2_global</v>
      </c>
      <c r="B679" s="6" t="str">
        <f t="shared" si="16"/>
        <v>_global</v>
      </c>
      <c r="C679" s="6" t="s">
        <v>335</v>
      </c>
      <c r="D679" s="15" t="s">
        <v>1905</v>
      </c>
      <c r="E679" s="6" t="s">
        <v>2015</v>
      </c>
      <c r="F679" s="19" t="s">
        <v>3209</v>
      </c>
    </row>
    <row r="680" spans="1:6" x14ac:dyDescent="0.25">
      <c r="A680" s="6" t="str">
        <f t="shared" si="17"/>
        <v>q108_3_global</v>
      </c>
      <c r="B680" s="6" t="str">
        <f t="shared" si="16"/>
        <v>_global</v>
      </c>
      <c r="C680" s="6" t="s">
        <v>336</v>
      </c>
      <c r="D680" s="15" t="s">
        <v>1905</v>
      </c>
      <c r="E680" s="6" t="s">
        <v>2016</v>
      </c>
      <c r="F680" s="19" t="s">
        <v>3210</v>
      </c>
    </row>
    <row r="681" spans="1:6" x14ac:dyDescent="0.25">
      <c r="A681" s="6" t="str">
        <f t="shared" si="17"/>
        <v>q108_4_global</v>
      </c>
      <c r="B681" s="6" t="str">
        <f t="shared" si="16"/>
        <v>_global</v>
      </c>
      <c r="C681" s="6" t="s">
        <v>337</v>
      </c>
      <c r="D681" s="15" t="s">
        <v>1905</v>
      </c>
      <c r="E681" s="6" t="s">
        <v>2017</v>
      </c>
      <c r="F681" s="19" t="s">
        <v>3211</v>
      </c>
    </row>
    <row r="682" spans="1:6" x14ac:dyDescent="0.25">
      <c r="A682" s="6" t="str">
        <f t="shared" si="17"/>
        <v>q108_5_global</v>
      </c>
      <c r="B682" s="6" t="str">
        <f t="shared" si="16"/>
        <v>_global</v>
      </c>
      <c r="C682" s="6" t="s">
        <v>338</v>
      </c>
      <c r="D682" s="15" t="s">
        <v>1905</v>
      </c>
      <c r="E682" s="6" t="s">
        <v>2018</v>
      </c>
      <c r="F682" s="19" t="s">
        <v>3212</v>
      </c>
    </row>
    <row r="683" spans="1:6" x14ac:dyDescent="0.25">
      <c r="A683" s="6" t="str">
        <f t="shared" si="17"/>
        <v>q108_6_global</v>
      </c>
      <c r="B683" s="6" t="str">
        <f t="shared" si="16"/>
        <v>_global</v>
      </c>
      <c r="C683" s="6" t="s">
        <v>339</v>
      </c>
      <c r="D683" s="15" t="s">
        <v>1905</v>
      </c>
      <c r="E683" s="6" t="s">
        <v>2019</v>
      </c>
      <c r="F683" s="19" t="s">
        <v>3213</v>
      </c>
    </row>
    <row r="684" spans="1:6" x14ac:dyDescent="0.25">
      <c r="A684" s="6" t="str">
        <f t="shared" si="17"/>
        <v>q10ROW8_hidden_global</v>
      </c>
      <c r="B684" s="6" t="str">
        <f t="shared" si="16"/>
        <v>_global</v>
      </c>
      <c r="C684" s="6" t="s">
        <v>340</v>
      </c>
      <c r="D684" s="15" t="s">
        <v>1905</v>
      </c>
      <c r="E684" s="11" t="s">
        <v>2020</v>
      </c>
      <c r="F684" s="19" t="s">
        <v>3214</v>
      </c>
    </row>
    <row r="685" spans="1:6" x14ac:dyDescent="0.25">
      <c r="A685" s="6" t="str">
        <f t="shared" si="17"/>
        <v>q10COL1_hidden_global</v>
      </c>
      <c r="B685" s="6" t="str">
        <f t="shared" si="16"/>
        <v>_global</v>
      </c>
      <c r="C685" s="6" t="s">
        <v>341</v>
      </c>
      <c r="D685" s="15" t="s">
        <v>1905</v>
      </c>
      <c r="E685" s="11" t="s">
        <v>1953</v>
      </c>
      <c r="F685" s="19" t="s">
        <v>3215</v>
      </c>
    </row>
    <row r="686" spans="1:6" x14ac:dyDescent="0.25">
      <c r="A686" s="6" t="str">
        <f t="shared" si="17"/>
        <v>q10COL2_hidden_global</v>
      </c>
      <c r="B686" s="6" t="str">
        <f t="shared" si="16"/>
        <v>_global</v>
      </c>
      <c r="C686" s="6" t="s">
        <v>342</v>
      </c>
      <c r="D686" s="15" t="s">
        <v>1905</v>
      </c>
      <c r="E686" s="11" t="s">
        <v>1954</v>
      </c>
      <c r="F686" s="19" t="s">
        <v>3216</v>
      </c>
    </row>
    <row r="687" spans="1:6" x14ac:dyDescent="0.25">
      <c r="A687" s="6" t="str">
        <f t="shared" si="17"/>
        <v>q10COL3_hidden_global</v>
      </c>
      <c r="B687" s="6" t="str">
        <f t="shared" si="16"/>
        <v>_global</v>
      </c>
      <c r="C687" s="6" t="s">
        <v>343</v>
      </c>
      <c r="D687" s="15" t="s">
        <v>1905</v>
      </c>
      <c r="E687" s="11" t="s">
        <v>1955</v>
      </c>
      <c r="F687" s="19" t="s">
        <v>3217</v>
      </c>
    </row>
    <row r="688" spans="1:6" x14ac:dyDescent="0.25">
      <c r="A688" s="6" t="str">
        <f t="shared" si="17"/>
        <v>q10COL4_hidden_global</v>
      </c>
      <c r="B688" s="6" t="str">
        <f t="shared" si="16"/>
        <v>_global</v>
      </c>
      <c r="C688" s="6" t="s">
        <v>344</v>
      </c>
      <c r="D688" s="15" t="s">
        <v>1905</v>
      </c>
      <c r="E688" s="11" t="s">
        <v>1956</v>
      </c>
      <c r="F688" s="19" t="s">
        <v>3218</v>
      </c>
    </row>
    <row r="689" spans="1:6" x14ac:dyDescent="0.25">
      <c r="A689" s="6" t="str">
        <f t="shared" si="17"/>
        <v>q10COL5_hidden_global</v>
      </c>
      <c r="B689" s="6" t="str">
        <f t="shared" si="16"/>
        <v>_global</v>
      </c>
      <c r="C689" s="6" t="s">
        <v>345</v>
      </c>
      <c r="D689" s="15" t="s">
        <v>1905</v>
      </c>
      <c r="E689" s="11" t="s">
        <v>1957</v>
      </c>
      <c r="F689" s="19" t="s">
        <v>3219</v>
      </c>
    </row>
    <row r="690" spans="1:6" x14ac:dyDescent="0.25">
      <c r="A690" s="6" t="str">
        <f t="shared" si="17"/>
        <v>q10COL6_hidden_global</v>
      </c>
      <c r="B690" s="6" t="str">
        <f t="shared" si="16"/>
        <v>_global</v>
      </c>
      <c r="C690" s="6" t="s">
        <v>346</v>
      </c>
      <c r="D690" s="15" t="s">
        <v>1905</v>
      </c>
      <c r="E690" s="11" t="s">
        <v>1958</v>
      </c>
      <c r="F690" s="19" t="s">
        <v>3220</v>
      </c>
    </row>
    <row r="691" spans="1:6" x14ac:dyDescent="0.25">
      <c r="A691" s="6" t="str">
        <f t="shared" si="17"/>
        <v>q10GRANDTotal_hidden_global</v>
      </c>
      <c r="B691" s="6" t="str">
        <f t="shared" si="16"/>
        <v>_global</v>
      </c>
      <c r="C691" s="6" t="s">
        <v>347</v>
      </c>
      <c r="D691" s="15" t="s">
        <v>1905</v>
      </c>
      <c r="E691" s="11" t="s">
        <v>2069</v>
      </c>
      <c r="F691" s="19" t="s">
        <v>3221</v>
      </c>
    </row>
    <row r="692" spans="1:6" x14ac:dyDescent="0.25">
      <c r="A692" s="6" t="str">
        <f t="shared" si="17"/>
        <v>_global</v>
      </c>
      <c r="B692" s="6" t="str">
        <f t="shared" ref="B692:B734" si="18">B691</f>
        <v>_global</v>
      </c>
      <c r="C692" s="9"/>
      <c r="D692" s="9"/>
      <c r="E692" s="12" t="s">
        <v>2081</v>
      </c>
      <c r="F692" s="6">
        <f>VLOOKUP(E692,'[3]Full Data-Map'!$C:$D,2,FALSE)</f>
        <v>21</v>
      </c>
    </row>
    <row r="693" spans="1:6" x14ac:dyDescent="0.25">
      <c r="A693" s="6" t="str">
        <f t="shared" si="17"/>
        <v>q111_1_global</v>
      </c>
      <c r="B693" s="6" t="str">
        <f t="shared" si="18"/>
        <v>_global</v>
      </c>
      <c r="C693" s="6" t="s">
        <v>348</v>
      </c>
      <c r="D693" s="15" t="s">
        <v>1905</v>
      </c>
      <c r="E693" s="6" t="s">
        <v>2030</v>
      </c>
      <c r="F693" s="19" t="s">
        <v>3222</v>
      </c>
    </row>
    <row r="694" spans="1:6" x14ac:dyDescent="0.25">
      <c r="A694" s="6" t="str">
        <f t="shared" si="17"/>
        <v>q111_2_global</v>
      </c>
      <c r="B694" s="6" t="str">
        <f t="shared" si="18"/>
        <v>_global</v>
      </c>
      <c r="C694" s="6" t="s">
        <v>349</v>
      </c>
      <c r="D694" s="15" t="s">
        <v>1905</v>
      </c>
      <c r="E694" s="6" t="s">
        <v>2031</v>
      </c>
      <c r="F694" s="19" t="s">
        <v>3223</v>
      </c>
    </row>
    <row r="695" spans="1:6" x14ac:dyDescent="0.25">
      <c r="A695" s="6" t="str">
        <f t="shared" si="17"/>
        <v>q111_3_global</v>
      </c>
      <c r="B695" s="6" t="str">
        <f t="shared" si="18"/>
        <v>_global</v>
      </c>
      <c r="C695" s="6" t="s">
        <v>350</v>
      </c>
      <c r="D695" s="15" t="s">
        <v>1905</v>
      </c>
      <c r="E695" s="6" t="s">
        <v>2032</v>
      </c>
      <c r="F695" s="19" t="s">
        <v>3224</v>
      </c>
    </row>
    <row r="696" spans="1:6" x14ac:dyDescent="0.25">
      <c r="A696" s="6" t="str">
        <f t="shared" si="17"/>
        <v>q111_4_global</v>
      </c>
      <c r="B696" s="6" t="str">
        <f t="shared" si="18"/>
        <v>_global</v>
      </c>
      <c r="C696" s="6" t="s">
        <v>351</v>
      </c>
      <c r="D696" s="15" t="s">
        <v>1905</v>
      </c>
      <c r="E696" s="6" t="s">
        <v>2033</v>
      </c>
      <c r="F696" s="19" t="s">
        <v>3225</v>
      </c>
    </row>
    <row r="697" spans="1:6" x14ac:dyDescent="0.25">
      <c r="A697" s="6" t="str">
        <f t="shared" si="17"/>
        <v>q111_5_global</v>
      </c>
      <c r="B697" s="6" t="str">
        <f t="shared" si="18"/>
        <v>_global</v>
      </c>
      <c r="C697" s="6" t="s">
        <v>352</v>
      </c>
      <c r="D697" s="15" t="s">
        <v>1905</v>
      </c>
      <c r="E697" s="6" t="s">
        <v>2034</v>
      </c>
      <c r="F697" s="19" t="s">
        <v>3226</v>
      </c>
    </row>
    <row r="698" spans="1:6" x14ac:dyDescent="0.25">
      <c r="A698" s="6" t="str">
        <f t="shared" si="17"/>
        <v>q111_6_global</v>
      </c>
      <c r="B698" s="6" t="str">
        <f t="shared" si="18"/>
        <v>_global</v>
      </c>
      <c r="C698" s="6" t="s">
        <v>353</v>
      </c>
      <c r="D698" s="15" t="s">
        <v>1905</v>
      </c>
      <c r="E698" s="6" t="s">
        <v>2035</v>
      </c>
      <c r="F698" s="19" t="s">
        <v>3227</v>
      </c>
    </row>
    <row r="699" spans="1:6" x14ac:dyDescent="0.25">
      <c r="A699" s="6" t="str">
        <f t="shared" si="17"/>
        <v>q11ROW1_hidden_global</v>
      </c>
      <c r="B699" s="6" t="str">
        <f t="shared" si="18"/>
        <v>_global</v>
      </c>
      <c r="C699" s="6" t="s">
        <v>354</v>
      </c>
      <c r="D699" s="15" t="s">
        <v>1905</v>
      </c>
      <c r="E699" s="11" t="s">
        <v>2071</v>
      </c>
      <c r="F699" s="19" t="s">
        <v>3228</v>
      </c>
    </row>
    <row r="700" spans="1:6" x14ac:dyDescent="0.25">
      <c r="A700" s="6" t="str">
        <f t="shared" si="17"/>
        <v>q112_1_global</v>
      </c>
      <c r="B700" s="6" t="str">
        <f t="shared" si="18"/>
        <v>_global</v>
      </c>
      <c r="C700" s="6" t="s">
        <v>355</v>
      </c>
      <c r="D700" s="15" t="s">
        <v>1905</v>
      </c>
      <c r="E700" s="6" t="s">
        <v>2023</v>
      </c>
      <c r="F700" s="19" t="s">
        <v>3229</v>
      </c>
    </row>
    <row r="701" spans="1:6" x14ac:dyDescent="0.25">
      <c r="A701" s="6" t="str">
        <f t="shared" si="17"/>
        <v>q112_2_global</v>
      </c>
      <c r="B701" s="6" t="str">
        <f t="shared" si="18"/>
        <v>_global</v>
      </c>
      <c r="C701" s="6" t="s">
        <v>356</v>
      </c>
      <c r="D701" s="15" t="s">
        <v>1905</v>
      </c>
      <c r="E701" s="6" t="s">
        <v>2024</v>
      </c>
      <c r="F701" s="19" t="s">
        <v>3230</v>
      </c>
    </row>
    <row r="702" spans="1:6" x14ac:dyDescent="0.25">
      <c r="A702" s="6" t="str">
        <f t="shared" si="17"/>
        <v>q112_3_global</v>
      </c>
      <c r="B702" s="6" t="str">
        <f t="shared" si="18"/>
        <v>_global</v>
      </c>
      <c r="C702" s="6" t="s">
        <v>357</v>
      </c>
      <c r="D702" s="15" t="s">
        <v>1905</v>
      </c>
      <c r="E702" s="6" t="s">
        <v>2025</v>
      </c>
      <c r="F702" s="19" t="s">
        <v>3231</v>
      </c>
    </row>
    <row r="703" spans="1:6" x14ac:dyDescent="0.25">
      <c r="A703" s="6" t="str">
        <f t="shared" si="17"/>
        <v>q112_4_global</v>
      </c>
      <c r="B703" s="6" t="str">
        <f t="shared" si="18"/>
        <v>_global</v>
      </c>
      <c r="C703" s="6" t="s">
        <v>358</v>
      </c>
      <c r="D703" s="15" t="s">
        <v>1905</v>
      </c>
      <c r="E703" s="6" t="s">
        <v>2026</v>
      </c>
      <c r="F703" s="19" t="s">
        <v>3232</v>
      </c>
    </row>
    <row r="704" spans="1:6" x14ac:dyDescent="0.25">
      <c r="A704" s="6" t="str">
        <f t="shared" si="17"/>
        <v>q112_5_global</v>
      </c>
      <c r="B704" s="6" t="str">
        <f t="shared" si="18"/>
        <v>_global</v>
      </c>
      <c r="C704" s="6" t="s">
        <v>359</v>
      </c>
      <c r="D704" s="15" t="s">
        <v>1905</v>
      </c>
      <c r="E704" s="6" t="s">
        <v>2027</v>
      </c>
      <c r="F704" s="19" t="s">
        <v>3233</v>
      </c>
    </row>
    <row r="705" spans="1:6" x14ac:dyDescent="0.25">
      <c r="A705" s="6" t="str">
        <f t="shared" si="17"/>
        <v>q112_6_global</v>
      </c>
      <c r="B705" s="6" t="str">
        <f t="shared" si="18"/>
        <v>_global</v>
      </c>
      <c r="C705" s="6" t="s">
        <v>360</v>
      </c>
      <c r="D705" s="15" t="s">
        <v>1905</v>
      </c>
      <c r="E705" s="6" t="s">
        <v>2028</v>
      </c>
      <c r="F705" s="19" t="s">
        <v>3234</v>
      </c>
    </row>
    <row r="706" spans="1:6" x14ac:dyDescent="0.25">
      <c r="A706" s="6" t="str">
        <f t="shared" si="17"/>
        <v>q11ROW2_hidden_global</v>
      </c>
      <c r="B706" s="6" t="str">
        <f t="shared" si="18"/>
        <v>_global</v>
      </c>
      <c r="C706" s="6" t="s">
        <v>361</v>
      </c>
      <c r="D706" s="15" t="s">
        <v>1905</v>
      </c>
      <c r="E706" s="11" t="s">
        <v>2072</v>
      </c>
      <c r="F706" s="19" t="s">
        <v>3235</v>
      </c>
    </row>
    <row r="707" spans="1:6" x14ac:dyDescent="0.25">
      <c r="A707" s="6" t="str">
        <f t="shared" ref="A707:A770" si="19">_xlfn.CONCAT(C707,B707)</f>
        <v>q113_1_global</v>
      </c>
      <c r="B707" s="6" t="str">
        <f t="shared" si="18"/>
        <v>_global</v>
      </c>
      <c r="C707" s="6" t="s">
        <v>362</v>
      </c>
      <c r="D707" s="15" t="s">
        <v>1905</v>
      </c>
      <c r="E707" s="6" t="s">
        <v>2037</v>
      </c>
      <c r="F707" s="19" t="s">
        <v>3236</v>
      </c>
    </row>
    <row r="708" spans="1:6" x14ac:dyDescent="0.25">
      <c r="A708" s="6" t="str">
        <f t="shared" si="19"/>
        <v>q113_2_global</v>
      </c>
      <c r="B708" s="6" t="str">
        <f t="shared" si="18"/>
        <v>_global</v>
      </c>
      <c r="C708" s="6" t="s">
        <v>363</v>
      </c>
      <c r="D708" s="15" t="s">
        <v>1905</v>
      </c>
      <c r="E708" s="6" t="s">
        <v>2038</v>
      </c>
      <c r="F708" s="19" t="s">
        <v>3237</v>
      </c>
    </row>
    <row r="709" spans="1:6" x14ac:dyDescent="0.25">
      <c r="A709" s="6" t="str">
        <f t="shared" si="19"/>
        <v>q113_3_global</v>
      </c>
      <c r="B709" s="6" t="str">
        <f t="shared" si="18"/>
        <v>_global</v>
      </c>
      <c r="C709" s="6" t="s">
        <v>364</v>
      </c>
      <c r="D709" s="15" t="s">
        <v>1905</v>
      </c>
      <c r="E709" s="6" t="s">
        <v>2039</v>
      </c>
      <c r="F709" s="19" t="s">
        <v>3238</v>
      </c>
    </row>
    <row r="710" spans="1:6" x14ac:dyDescent="0.25">
      <c r="A710" s="6" t="str">
        <f t="shared" si="19"/>
        <v>q113_4_global</v>
      </c>
      <c r="B710" s="6" t="str">
        <f t="shared" si="18"/>
        <v>_global</v>
      </c>
      <c r="C710" s="6" t="s">
        <v>365</v>
      </c>
      <c r="D710" s="15" t="s">
        <v>1905</v>
      </c>
      <c r="E710" s="6" t="s">
        <v>2040</v>
      </c>
      <c r="F710" s="19" t="s">
        <v>3239</v>
      </c>
    </row>
    <row r="711" spans="1:6" x14ac:dyDescent="0.25">
      <c r="A711" s="6" t="str">
        <f t="shared" si="19"/>
        <v>q113_5_global</v>
      </c>
      <c r="B711" s="6" t="str">
        <f t="shared" si="18"/>
        <v>_global</v>
      </c>
      <c r="C711" s="6" t="s">
        <v>366</v>
      </c>
      <c r="D711" s="15" t="s">
        <v>1905</v>
      </c>
      <c r="E711" s="6" t="s">
        <v>2041</v>
      </c>
      <c r="F711" s="19" t="s">
        <v>3240</v>
      </c>
    </row>
    <row r="712" spans="1:6" x14ac:dyDescent="0.25">
      <c r="A712" s="6" t="str">
        <f t="shared" si="19"/>
        <v>q113_6_global</v>
      </c>
      <c r="B712" s="6" t="str">
        <f t="shared" si="18"/>
        <v>_global</v>
      </c>
      <c r="C712" s="6" t="s">
        <v>367</v>
      </c>
      <c r="D712" s="15" t="s">
        <v>1905</v>
      </c>
      <c r="E712" s="6" t="s">
        <v>2042</v>
      </c>
      <c r="F712" s="19" t="s">
        <v>3241</v>
      </c>
    </row>
    <row r="713" spans="1:6" x14ac:dyDescent="0.25">
      <c r="A713" s="6" t="str">
        <f t="shared" si="19"/>
        <v>q11ROW3_hidden_global</v>
      </c>
      <c r="B713" s="6" t="str">
        <f t="shared" si="18"/>
        <v>_global</v>
      </c>
      <c r="C713" s="6" t="s">
        <v>368</v>
      </c>
      <c r="D713" s="15" t="s">
        <v>1905</v>
      </c>
      <c r="E713" s="11" t="s">
        <v>2073</v>
      </c>
      <c r="F713" s="19" t="s">
        <v>3242</v>
      </c>
    </row>
    <row r="714" spans="1:6" x14ac:dyDescent="0.25">
      <c r="A714" s="6" t="str">
        <f t="shared" si="19"/>
        <v>q114_1_global</v>
      </c>
      <c r="B714" s="6" t="str">
        <f t="shared" si="18"/>
        <v>_global</v>
      </c>
      <c r="C714" s="6" t="s">
        <v>369</v>
      </c>
      <c r="D714" s="15" t="s">
        <v>1905</v>
      </c>
      <c r="E714" s="6" t="s">
        <v>2044</v>
      </c>
      <c r="F714" s="19" t="s">
        <v>3243</v>
      </c>
    </row>
    <row r="715" spans="1:6" x14ac:dyDescent="0.25">
      <c r="A715" s="6" t="str">
        <f t="shared" si="19"/>
        <v>q114_2_global</v>
      </c>
      <c r="B715" s="6" t="str">
        <f t="shared" si="18"/>
        <v>_global</v>
      </c>
      <c r="C715" s="6" t="s">
        <v>370</v>
      </c>
      <c r="D715" s="15" t="s">
        <v>1905</v>
      </c>
      <c r="E715" s="6" t="s">
        <v>2045</v>
      </c>
      <c r="F715" s="19" t="s">
        <v>3244</v>
      </c>
    </row>
    <row r="716" spans="1:6" x14ac:dyDescent="0.25">
      <c r="A716" s="6" t="str">
        <f t="shared" si="19"/>
        <v>q114_3_global</v>
      </c>
      <c r="B716" s="6" t="str">
        <f t="shared" si="18"/>
        <v>_global</v>
      </c>
      <c r="C716" s="6" t="s">
        <v>371</v>
      </c>
      <c r="D716" s="15" t="s">
        <v>1905</v>
      </c>
      <c r="E716" s="6" t="s">
        <v>2046</v>
      </c>
      <c r="F716" s="19" t="s">
        <v>3245</v>
      </c>
    </row>
    <row r="717" spans="1:6" x14ac:dyDescent="0.25">
      <c r="A717" s="6" t="str">
        <f t="shared" si="19"/>
        <v>q114_4_global</v>
      </c>
      <c r="B717" s="6" t="str">
        <f t="shared" si="18"/>
        <v>_global</v>
      </c>
      <c r="C717" s="6" t="s">
        <v>372</v>
      </c>
      <c r="D717" s="15" t="s">
        <v>1905</v>
      </c>
      <c r="E717" s="6" t="s">
        <v>2047</v>
      </c>
      <c r="F717" s="19" t="s">
        <v>3246</v>
      </c>
    </row>
    <row r="718" spans="1:6" x14ac:dyDescent="0.25">
      <c r="A718" s="6" t="str">
        <f t="shared" si="19"/>
        <v>q114_5_global</v>
      </c>
      <c r="B718" s="6" t="str">
        <f t="shared" si="18"/>
        <v>_global</v>
      </c>
      <c r="C718" s="6" t="s">
        <v>373</v>
      </c>
      <c r="D718" s="15" t="s">
        <v>1905</v>
      </c>
      <c r="E718" s="6" t="s">
        <v>2048</v>
      </c>
      <c r="F718" s="19" t="s">
        <v>3247</v>
      </c>
    </row>
    <row r="719" spans="1:6" x14ac:dyDescent="0.25">
      <c r="A719" s="6" t="str">
        <f t="shared" si="19"/>
        <v>q114_6_global</v>
      </c>
      <c r="B719" s="6" t="str">
        <f t="shared" si="18"/>
        <v>_global</v>
      </c>
      <c r="C719" s="6" t="s">
        <v>374</v>
      </c>
      <c r="D719" s="15" t="s">
        <v>1905</v>
      </c>
      <c r="E719" s="6" t="s">
        <v>2049</v>
      </c>
      <c r="F719" s="19" t="s">
        <v>3248</v>
      </c>
    </row>
    <row r="720" spans="1:6" x14ac:dyDescent="0.25">
      <c r="A720" s="6" t="str">
        <f t="shared" si="19"/>
        <v>q11ROW4_hidden_global</v>
      </c>
      <c r="B720" s="6" t="str">
        <f t="shared" si="18"/>
        <v>_global</v>
      </c>
      <c r="C720" s="6" t="s">
        <v>375</v>
      </c>
      <c r="D720" s="15" t="s">
        <v>1905</v>
      </c>
      <c r="E720" s="11" t="s">
        <v>2074</v>
      </c>
      <c r="F720" s="19" t="s">
        <v>3249</v>
      </c>
    </row>
    <row r="721" spans="1:6" x14ac:dyDescent="0.25">
      <c r="A721" s="6" t="str">
        <f t="shared" si="19"/>
        <v>q115_1_global</v>
      </c>
      <c r="B721" s="6" t="str">
        <f t="shared" si="18"/>
        <v>_global</v>
      </c>
      <c r="C721" s="6" t="s">
        <v>376</v>
      </c>
      <c r="D721" s="15" t="s">
        <v>1905</v>
      </c>
      <c r="E721" s="6" t="s">
        <v>2051</v>
      </c>
      <c r="F721" s="19" t="s">
        <v>3250</v>
      </c>
    </row>
    <row r="722" spans="1:6" x14ac:dyDescent="0.25">
      <c r="A722" s="6" t="str">
        <f t="shared" si="19"/>
        <v>q115_2_global</v>
      </c>
      <c r="B722" s="6" t="str">
        <f t="shared" si="18"/>
        <v>_global</v>
      </c>
      <c r="C722" s="6" t="s">
        <v>377</v>
      </c>
      <c r="D722" s="15" t="s">
        <v>1905</v>
      </c>
      <c r="E722" s="6" t="s">
        <v>2052</v>
      </c>
      <c r="F722" s="19" t="s">
        <v>3251</v>
      </c>
    </row>
    <row r="723" spans="1:6" x14ac:dyDescent="0.25">
      <c r="A723" s="6" t="str">
        <f t="shared" si="19"/>
        <v>q115_3_global</v>
      </c>
      <c r="B723" s="6" t="str">
        <f t="shared" si="18"/>
        <v>_global</v>
      </c>
      <c r="C723" s="6" t="s">
        <v>378</v>
      </c>
      <c r="D723" s="15" t="s">
        <v>1905</v>
      </c>
      <c r="E723" s="6" t="s">
        <v>2053</v>
      </c>
      <c r="F723" s="19" t="s">
        <v>3252</v>
      </c>
    </row>
    <row r="724" spans="1:6" x14ac:dyDescent="0.25">
      <c r="A724" s="6" t="str">
        <f t="shared" si="19"/>
        <v>q115_4_global</v>
      </c>
      <c r="B724" s="6" t="str">
        <f t="shared" si="18"/>
        <v>_global</v>
      </c>
      <c r="C724" s="6" t="s">
        <v>379</v>
      </c>
      <c r="D724" s="15" t="s">
        <v>1905</v>
      </c>
      <c r="E724" s="6" t="s">
        <v>2054</v>
      </c>
      <c r="F724" s="19" t="s">
        <v>3253</v>
      </c>
    </row>
    <row r="725" spans="1:6" x14ac:dyDescent="0.25">
      <c r="A725" s="6" t="str">
        <f t="shared" si="19"/>
        <v>q115_5_global</v>
      </c>
      <c r="B725" s="6" t="str">
        <f t="shared" si="18"/>
        <v>_global</v>
      </c>
      <c r="C725" s="6" t="s">
        <v>380</v>
      </c>
      <c r="D725" s="15" t="s">
        <v>1905</v>
      </c>
      <c r="E725" s="6" t="s">
        <v>2055</v>
      </c>
      <c r="F725" s="19" t="s">
        <v>3254</v>
      </c>
    </row>
    <row r="726" spans="1:6" x14ac:dyDescent="0.25">
      <c r="A726" s="6" t="str">
        <f t="shared" si="19"/>
        <v>q115_6_global</v>
      </c>
      <c r="B726" s="6" t="str">
        <f t="shared" si="18"/>
        <v>_global</v>
      </c>
      <c r="C726" s="6" t="s">
        <v>381</v>
      </c>
      <c r="D726" s="15" t="s">
        <v>1905</v>
      </c>
      <c r="E726" s="6" t="s">
        <v>2056</v>
      </c>
      <c r="F726" s="19" t="s">
        <v>3255</v>
      </c>
    </row>
    <row r="727" spans="1:6" x14ac:dyDescent="0.25">
      <c r="A727" s="6" t="str">
        <f t="shared" si="19"/>
        <v>q11ROW5_hidden_global</v>
      </c>
      <c r="B727" s="6" t="str">
        <f t="shared" si="18"/>
        <v>_global</v>
      </c>
      <c r="C727" s="6" t="s">
        <v>382</v>
      </c>
      <c r="D727" s="15" t="s">
        <v>1905</v>
      </c>
      <c r="E727" s="11" t="s">
        <v>2057</v>
      </c>
      <c r="F727" s="19" t="s">
        <v>3256</v>
      </c>
    </row>
    <row r="728" spans="1:6" x14ac:dyDescent="0.25">
      <c r="A728" s="6" t="str">
        <f t="shared" si="19"/>
        <v>q11COL1_hidden_global</v>
      </c>
      <c r="B728" s="6" t="str">
        <f t="shared" si="18"/>
        <v>_global</v>
      </c>
      <c r="C728" s="6" t="s">
        <v>383</v>
      </c>
      <c r="D728" s="15" t="s">
        <v>1905</v>
      </c>
      <c r="E728" s="11" t="s">
        <v>1953</v>
      </c>
      <c r="F728" s="19" t="s">
        <v>3257</v>
      </c>
    </row>
    <row r="729" spans="1:6" x14ac:dyDescent="0.25">
      <c r="A729" s="6" t="str">
        <f t="shared" si="19"/>
        <v>q11COL2_hidden_global</v>
      </c>
      <c r="B729" s="6" t="str">
        <f t="shared" si="18"/>
        <v>_global</v>
      </c>
      <c r="C729" s="6" t="s">
        <v>384</v>
      </c>
      <c r="D729" s="15" t="s">
        <v>1905</v>
      </c>
      <c r="E729" s="11" t="s">
        <v>1954</v>
      </c>
      <c r="F729" s="19" t="s">
        <v>3258</v>
      </c>
    </row>
    <row r="730" spans="1:6" x14ac:dyDescent="0.25">
      <c r="A730" s="6" t="str">
        <f t="shared" si="19"/>
        <v>q11COL3_hidden_global</v>
      </c>
      <c r="B730" s="6" t="str">
        <f t="shared" si="18"/>
        <v>_global</v>
      </c>
      <c r="C730" s="6" t="s">
        <v>385</v>
      </c>
      <c r="D730" s="15" t="s">
        <v>1905</v>
      </c>
      <c r="E730" s="11" t="s">
        <v>1955</v>
      </c>
      <c r="F730" s="19" t="s">
        <v>3259</v>
      </c>
    </row>
    <row r="731" spans="1:6" x14ac:dyDescent="0.25">
      <c r="A731" s="6" t="str">
        <f t="shared" si="19"/>
        <v>q11COL4_hidden_global</v>
      </c>
      <c r="B731" s="6" t="str">
        <f t="shared" si="18"/>
        <v>_global</v>
      </c>
      <c r="C731" s="6" t="s">
        <v>386</v>
      </c>
      <c r="D731" s="15" t="s">
        <v>1905</v>
      </c>
      <c r="E731" s="11" t="s">
        <v>1956</v>
      </c>
      <c r="F731" s="19" t="s">
        <v>3260</v>
      </c>
    </row>
    <row r="732" spans="1:6" x14ac:dyDescent="0.25">
      <c r="A732" s="6" t="str">
        <f t="shared" si="19"/>
        <v>q11COL5_hidden_global</v>
      </c>
      <c r="B732" s="6" t="str">
        <f t="shared" si="18"/>
        <v>_global</v>
      </c>
      <c r="C732" s="6" t="s">
        <v>387</v>
      </c>
      <c r="D732" s="15" t="s">
        <v>1905</v>
      </c>
      <c r="E732" s="11" t="s">
        <v>1957</v>
      </c>
      <c r="F732" s="19" t="s">
        <v>3261</v>
      </c>
    </row>
    <row r="733" spans="1:6" x14ac:dyDescent="0.25">
      <c r="A733" s="6" t="str">
        <f t="shared" si="19"/>
        <v>q11COL6_hidden_global</v>
      </c>
      <c r="B733" s="6" t="str">
        <f t="shared" si="18"/>
        <v>_global</v>
      </c>
      <c r="C733" s="6" t="s">
        <v>388</v>
      </c>
      <c r="D733" s="15" t="s">
        <v>1905</v>
      </c>
      <c r="E733" s="11" t="s">
        <v>1958</v>
      </c>
      <c r="F733" s="19" t="s">
        <v>3262</v>
      </c>
    </row>
    <row r="734" spans="1:6" x14ac:dyDescent="0.25">
      <c r="A734" s="6" t="str">
        <f t="shared" si="19"/>
        <v>q11GRANDTotal_hidden_global</v>
      </c>
      <c r="B734" s="6" t="str">
        <f t="shared" si="18"/>
        <v>_global</v>
      </c>
      <c r="C734" s="6" t="s">
        <v>389</v>
      </c>
      <c r="D734" s="15" t="s">
        <v>1905</v>
      </c>
      <c r="E734" s="11" t="s">
        <v>2075</v>
      </c>
      <c r="F734" s="19" t="s">
        <v>3263</v>
      </c>
    </row>
    <row r="735" spans="1:6" x14ac:dyDescent="0.25">
      <c r="A735" s="6" t="str">
        <f t="shared" si="19"/>
        <v>SOUTH AMERICA_southamerica</v>
      </c>
      <c r="B735" s="6" t="s">
        <v>2091</v>
      </c>
      <c r="C735" s="13" t="s">
        <v>393</v>
      </c>
      <c r="D735" s="14"/>
      <c r="E735" s="12" t="s">
        <v>2082</v>
      </c>
      <c r="F735" s="6">
        <f>VLOOKUP(E735,'[3]Full Data-Map'!$C:$D,2,FALSE)</f>
        <v>22</v>
      </c>
    </row>
    <row r="736" spans="1:6" x14ac:dyDescent="0.25">
      <c r="A736" s="6" t="str">
        <f t="shared" si="19"/>
        <v>q101_1_southamerica</v>
      </c>
      <c r="B736" s="6" t="str">
        <f t="shared" ref="B736:B799" si="20">B735</f>
        <v>_southamerica</v>
      </c>
      <c r="C736" s="6" t="s">
        <v>284</v>
      </c>
      <c r="D736" s="15" t="s">
        <v>1905</v>
      </c>
      <c r="E736" s="6" t="s">
        <v>1965</v>
      </c>
      <c r="F736" s="19" t="s">
        <v>3264</v>
      </c>
    </row>
    <row r="737" spans="1:6" x14ac:dyDescent="0.25">
      <c r="A737" s="6" t="str">
        <f t="shared" si="19"/>
        <v>q101_2_southamerica</v>
      </c>
      <c r="B737" s="6" t="str">
        <f t="shared" si="20"/>
        <v>_southamerica</v>
      </c>
      <c r="C737" s="6" t="s">
        <v>285</v>
      </c>
      <c r="D737" s="15" t="s">
        <v>1905</v>
      </c>
      <c r="E737" s="6" t="s">
        <v>1966</v>
      </c>
      <c r="F737" s="19" t="s">
        <v>3265</v>
      </c>
    </row>
    <row r="738" spans="1:6" x14ac:dyDescent="0.25">
      <c r="A738" s="6" t="str">
        <f t="shared" si="19"/>
        <v>q101_3_southamerica</v>
      </c>
      <c r="B738" s="6" t="str">
        <f t="shared" si="20"/>
        <v>_southamerica</v>
      </c>
      <c r="C738" s="6" t="s">
        <v>286</v>
      </c>
      <c r="D738" s="15" t="s">
        <v>1905</v>
      </c>
      <c r="E738" s="6" t="s">
        <v>1967</v>
      </c>
      <c r="F738" s="19" t="s">
        <v>3266</v>
      </c>
    </row>
    <row r="739" spans="1:6" x14ac:dyDescent="0.25">
      <c r="A739" s="6" t="str">
        <f t="shared" si="19"/>
        <v>q101_4_southamerica</v>
      </c>
      <c r="B739" s="6" t="str">
        <f t="shared" si="20"/>
        <v>_southamerica</v>
      </c>
      <c r="C739" s="6" t="s">
        <v>287</v>
      </c>
      <c r="D739" s="15" t="s">
        <v>1905</v>
      </c>
      <c r="E739" s="6" t="s">
        <v>1968</v>
      </c>
      <c r="F739" s="19" t="s">
        <v>3267</v>
      </c>
    </row>
    <row r="740" spans="1:6" x14ac:dyDescent="0.25">
      <c r="A740" s="6" t="str">
        <f t="shared" si="19"/>
        <v>q101_5_southamerica</v>
      </c>
      <c r="B740" s="6" t="str">
        <f t="shared" si="20"/>
        <v>_southamerica</v>
      </c>
      <c r="C740" s="6" t="s">
        <v>288</v>
      </c>
      <c r="D740" s="15" t="s">
        <v>1905</v>
      </c>
      <c r="E740" s="6" t="s">
        <v>1969</v>
      </c>
      <c r="F740" s="19" t="s">
        <v>3268</v>
      </c>
    </row>
    <row r="741" spans="1:6" x14ac:dyDescent="0.25">
      <c r="A741" s="6" t="str">
        <f t="shared" si="19"/>
        <v>q101_6_southamerica</v>
      </c>
      <c r="B741" s="6" t="str">
        <f t="shared" si="20"/>
        <v>_southamerica</v>
      </c>
      <c r="C741" s="6" t="s">
        <v>289</v>
      </c>
      <c r="D741" s="15" t="s">
        <v>1905</v>
      </c>
      <c r="E741" s="6" t="s">
        <v>1970</v>
      </c>
      <c r="F741" s="19" t="s">
        <v>3269</v>
      </c>
    </row>
    <row r="742" spans="1:6" x14ac:dyDescent="0.25">
      <c r="A742" s="6" t="str">
        <f t="shared" si="19"/>
        <v>q10ROW1_hidden_southamerica</v>
      </c>
      <c r="B742" s="6" t="str">
        <f t="shared" si="20"/>
        <v>_southamerica</v>
      </c>
      <c r="C742" s="6" t="s">
        <v>290</v>
      </c>
      <c r="D742" s="15" t="s">
        <v>1905</v>
      </c>
      <c r="E742" s="11" t="s">
        <v>1971</v>
      </c>
      <c r="F742" s="19" t="s">
        <v>3270</v>
      </c>
    </row>
    <row r="743" spans="1:6" x14ac:dyDescent="0.25">
      <c r="A743" s="6" t="str">
        <f t="shared" si="19"/>
        <v>q102_1_southamerica</v>
      </c>
      <c r="B743" s="6" t="str">
        <f t="shared" si="20"/>
        <v>_southamerica</v>
      </c>
      <c r="C743" s="6" t="s">
        <v>291</v>
      </c>
      <c r="D743" s="15" t="s">
        <v>1905</v>
      </c>
      <c r="E743" s="6" t="s">
        <v>1972</v>
      </c>
      <c r="F743" s="19" t="s">
        <v>3271</v>
      </c>
    </row>
    <row r="744" spans="1:6" x14ac:dyDescent="0.25">
      <c r="A744" s="6" t="str">
        <f t="shared" si="19"/>
        <v>q102_2_southamerica</v>
      </c>
      <c r="B744" s="6" t="str">
        <f t="shared" si="20"/>
        <v>_southamerica</v>
      </c>
      <c r="C744" s="6" t="s">
        <v>292</v>
      </c>
      <c r="D744" s="15" t="s">
        <v>1905</v>
      </c>
      <c r="E744" s="6" t="s">
        <v>1973</v>
      </c>
      <c r="F744" s="19" t="s">
        <v>3272</v>
      </c>
    </row>
    <row r="745" spans="1:6" x14ac:dyDescent="0.25">
      <c r="A745" s="6" t="str">
        <f t="shared" si="19"/>
        <v>q102_3_southamerica</v>
      </c>
      <c r="B745" s="6" t="str">
        <f t="shared" si="20"/>
        <v>_southamerica</v>
      </c>
      <c r="C745" s="6" t="s">
        <v>293</v>
      </c>
      <c r="D745" s="15" t="s">
        <v>1905</v>
      </c>
      <c r="E745" s="6" t="s">
        <v>1974</v>
      </c>
      <c r="F745" s="19" t="s">
        <v>3273</v>
      </c>
    </row>
    <row r="746" spans="1:6" x14ac:dyDescent="0.25">
      <c r="A746" s="6" t="str">
        <f t="shared" si="19"/>
        <v>q102_4_southamerica</v>
      </c>
      <c r="B746" s="6" t="str">
        <f t="shared" si="20"/>
        <v>_southamerica</v>
      </c>
      <c r="C746" s="6" t="s">
        <v>294</v>
      </c>
      <c r="D746" s="15" t="s">
        <v>1905</v>
      </c>
      <c r="E746" s="6" t="s">
        <v>1975</v>
      </c>
      <c r="F746" s="19" t="s">
        <v>3274</v>
      </c>
    </row>
    <row r="747" spans="1:6" x14ac:dyDescent="0.25">
      <c r="A747" s="6" t="str">
        <f t="shared" si="19"/>
        <v>q102_5_southamerica</v>
      </c>
      <c r="B747" s="6" t="str">
        <f t="shared" si="20"/>
        <v>_southamerica</v>
      </c>
      <c r="C747" s="6" t="s">
        <v>295</v>
      </c>
      <c r="D747" s="15" t="s">
        <v>1905</v>
      </c>
      <c r="E747" s="6" t="s">
        <v>1976</v>
      </c>
      <c r="F747" s="19" t="s">
        <v>3275</v>
      </c>
    </row>
    <row r="748" spans="1:6" x14ac:dyDescent="0.25">
      <c r="A748" s="6" t="str">
        <f t="shared" si="19"/>
        <v>q102_6_southamerica</v>
      </c>
      <c r="B748" s="6" t="str">
        <f t="shared" si="20"/>
        <v>_southamerica</v>
      </c>
      <c r="C748" s="6" t="s">
        <v>296</v>
      </c>
      <c r="D748" s="15" t="s">
        <v>1905</v>
      </c>
      <c r="E748" s="6" t="s">
        <v>1977</v>
      </c>
      <c r="F748" s="19" t="s">
        <v>3276</v>
      </c>
    </row>
    <row r="749" spans="1:6" x14ac:dyDescent="0.25">
      <c r="A749" s="6" t="str">
        <f t="shared" si="19"/>
        <v>q10ROW2_hidden_southamerica</v>
      </c>
      <c r="B749" s="6" t="str">
        <f t="shared" si="20"/>
        <v>_southamerica</v>
      </c>
      <c r="C749" s="6" t="s">
        <v>297</v>
      </c>
      <c r="D749" s="15" t="s">
        <v>1905</v>
      </c>
      <c r="E749" s="11" t="s">
        <v>1978</v>
      </c>
      <c r="F749" s="19" t="s">
        <v>3277</v>
      </c>
    </row>
    <row r="750" spans="1:6" x14ac:dyDescent="0.25">
      <c r="A750" s="6" t="str">
        <f t="shared" si="19"/>
        <v>q103_1_southamerica</v>
      </c>
      <c r="B750" s="6" t="str">
        <f t="shared" si="20"/>
        <v>_southamerica</v>
      </c>
      <c r="C750" s="6" t="s">
        <v>298</v>
      </c>
      <c r="D750" s="15" t="s">
        <v>1905</v>
      </c>
      <c r="E750" s="6" t="s">
        <v>1979</v>
      </c>
      <c r="F750" s="19" t="s">
        <v>3278</v>
      </c>
    </row>
    <row r="751" spans="1:6" x14ac:dyDescent="0.25">
      <c r="A751" s="6" t="str">
        <f t="shared" si="19"/>
        <v>q103_2_southamerica</v>
      </c>
      <c r="B751" s="6" t="str">
        <f t="shared" si="20"/>
        <v>_southamerica</v>
      </c>
      <c r="C751" s="6" t="s">
        <v>299</v>
      </c>
      <c r="D751" s="15" t="s">
        <v>1905</v>
      </c>
      <c r="E751" s="6" t="s">
        <v>1980</v>
      </c>
      <c r="F751" s="19" t="s">
        <v>3279</v>
      </c>
    </row>
    <row r="752" spans="1:6" x14ac:dyDescent="0.25">
      <c r="A752" s="6" t="str">
        <f t="shared" si="19"/>
        <v>q103_3_southamerica</v>
      </c>
      <c r="B752" s="6" t="str">
        <f t="shared" si="20"/>
        <v>_southamerica</v>
      </c>
      <c r="C752" s="6" t="s">
        <v>300</v>
      </c>
      <c r="D752" s="15" t="s">
        <v>1905</v>
      </c>
      <c r="E752" s="6" t="s">
        <v>1981</v>
      </c>
      <c r="F752" s="19" t="s">
        <v>3280</v>
      </c>
    </row>
    <row r="753" spans="1:6" x14ac:dyDescent="0.25">
      <c r="A753" s="6" t="str">
        <f t="shared" si="19"/>
        <v>q103_4_southamerica</v>
      </c>
      <c r="B753" s="6" t="str">
        <f t="shared" si="20"/>
        <v>_southamerica</v>
      </c>
      <c r="C753" s="6" t="s">
        <v>301</v>
      </c>
      <c r="D753" s="15" t="s">
        <v>1905</v>
      </c>
      <c r="E753" s="6" t="s">
        <v>1982</v>
      </c>
      <c r="F753" s="19" t="s">
        <v>3281</v>
      </c>
    </row>
    <row r="754" spans="1:6" x14ac:dyDescent="0.25">
      <c r="A754" s="6" t="str">
        <f t="shared" si="19"/>
        <v>q103_5_southamerica</v>
      </c>
      <c r="B754" s="6" t="str">
        <f t="shared" si="20"/>
        <v>_southamerica</v>
      </c>
      <c r="C754" s="6" t="s">
        <v>302</v>
      </c>
      <c r="D754" s="15" t="s">
        <v>1905</v>
      </c>
      <c r="E754" s="6" t="s">
        <v>1983</v>
      </c>
      <c r="F754" s="19" t="s">
        <v>3282</v>
      </c>
    </row>
    <row r="755" spans="1:6" x14ac:dyDescent="0.25">
      <c r="A755" s="6" t="str">
        <f t="shared" si="19"/>
        <v>q103_6_southamerica</v>
      </c>
      <c r="B755" s="6" t="str">
        <f t="shared" si="20"/>
        <v>_southamerica</v>
      </c>
      <c r="C755" s="6" t="s">
        <v>303</v>
      </c>
      <c r="D755" s="15" t="s">
        <v>1905</v>
      </c>
      <c r="E755" s="6" t="s">
        <v>1984</v>
      </c>
      <c r="F755" s="19" t="s">
        <v>3283</v>
      </c>
    </row>
    <row r="756" spans="1:6" x14ac:dyDescent="0.25">
      <c r="A756" s="6" t="str">
        <f t="shared" si="19"/>
        <v>q10ROW3_hidden_southamerica</v>
      </c>
      <c r="B756" s="6" t="str">
        <f t="shared" si="20"/>
        <v>_southamerica</v>
      </c>
      <c r="C756" s="6" t="s">
        <v>304</v>
      </c>
      <c r="D756" s="15" t="s">
        <v>1905</v>
      </c>
      <c r="E756" s="11" t="s">
        <v>1985</v>
      </c>
      <c r="F756" s="19" t="s">
        <v>3284</v>
      </c>
    </row>
    <row r="757" spans="1:6" x14ac:dyDescent="0.25">
      <c r="A757" s="6" t="str">
        <f t="shared" si="19"/>
        <v>q104_1_southamerica</v>
      </c>
      <c r="B757" s="6" t="str">
        <f t="shared" si="20"/>
        <v>_southamerica</v>
      </c>
      <c r="C757" s="6" t="s">
        <v>305</v>
      </c>
      <c r="D757" s="15" t="s">
        <v>1905</v>
      </c>
      <c r="E757" s="6" t="s">
        <v>1986</v>
      </c>
      <c r="F757" s="19" t="s">
        <v>3285</v>
      </c>
    </row>
    <row r="758" spans="1:6" x14ac:dyDescent="0.25">
      <c r="A758" s="6" t="str">
        <f t="shared" si="19"/>
        <v>q104_2_southamerica</v>
      </c>
      <c r="B758" s="6" t="str">
        <f t="shared" si="20"/>
        <v>_southamerica</v>
      </c>
      <c r="C758" s="6" t="s">
        <v>306</v>
      </c>
      <c r="D758" s="15" t="s">
        <v>1905</v>
      </c>
      <c r="E758" s="6" t="s">
        <v>1987</v>
      </c>
      <c r="F758" s="19" t="s">
        <v>3286</v>
      </c>
    </row>
    <row r="759" spans="1:6" x14ac:dyDescent="0.25">
      <c r="A759" s="6" t="str">
        <f t="shared" si="19"/>
        <v>q104_3_southamerica</v>
      </c>
      <c r="B759" s="6" t="str">
        <f t="shared" si="20"/>
        <v>_southamerica</v>
      </c>
      <c r="C759" s="6" t="s">
        <v>307</v>
      </c>
      <c r="D759" s="15" t="s">
        <v>1905</v>
      </c>
      <c r="E759" s="6" t="s">
        <v>1988</v>
      </c>
      <c r="F759" s="19" t="s">
        <v>3287</v>
      </c>
    </row>
    <row r="760" spans="1:6" x14ac:dyDescent="0.25">
      <c r="A760" s="6" t="str">
        <f t="shared" si="19"/>
        <v>q104_4_southamerica</v>
      </c>
      <c r="B760" s="6" t="str">
        <f t="shared" si="20"/>
        <v>_southamerica</v>
      </c>
      <c r="C760" s="6" t="s">
        <v>308</v>
      </c>
      <c r="D760" s="15" t="s">
        <v>1905</v>
      </c>
      <c r="E760" s="6" t="s">
        <v>1989</v>
      </c>
      <c r="F760" s="19" t="s">
        <v>3288</v>
      </c>
    </row>
    <row r="761" spans="1:6" x14ac:dyDescent="0.25">
      <c r="A761" s="6" t="str">
        <f t="shared" si="19"/>
        <v>q104_5_southamerica</v>
      </c>
      <c r="B761" s="6" t="str">
        <f t="shared" si="20"/>
        <v>_southamerica</v>
      </c>
      <c r="C761" s="6" t="s">
        <v>309</v>
      </c>
      <c r="D761" s="15" t="s">
        <v>1905</v>
      </c>
      <c r="E761" s="6" t="s">
        <v>1990</v>
      </c>
      <c r="F761" s="19" t="s">
        <v>3289</v>
      </c>
    </row>
    <row r="762" spans="1:6" x14ac:dyDescent="0.25">
      <c r="A762" s="6" t="str">
        <f t="shared" si="19"/>
        <v>q104_6_southamerica</v>
      </c>
      <c r="B762" s="6" t="str">
        <f t="shared" si="20"/>
        <v>_southamerica</v>
      </c>
      <c r="C762" s="6" t="s">
        <v>310</v>
      </c>
      <c r="D762" s="15" t="s">
        <v>1905</v>
      </c>
      <c r="E762" s="6" t="s">
        <v>1991</v>
      </c>
      <c r="F762" s="19" t="s">
        <v>3290</v>
      </c>
    </row>
    <row r="763" spans="1:6" x14ac:dyDescent="0.25">
      <c r="A763" s="6" t="str">
        <f t="shared" si="19"/>
        <v>q10ROW4_hidden_southamerica</v>
      </c>
      <c r="B763" s="6" t="str">
        <f t="shared" si="20"/>
        <v>_southamerica</v>
      </c>
      <c r="C763" s="6" t="s">
        <v>311</v>
      </c>
      <c r="D763" s="15" t="s">
        <v>1905</v>
      </c>
      <c r="E763" s="11" t="s">
        <v>1992</v>
      </c>
      <c r="F763" s="19" t="s">
        <v>3291</v>
      </c>
    </row>
    <row r="764" spans="1:6" x14ac:dyDescent="0.25">
      <c r="A764" s="6" t="str">
        <f t="shared" si="19"/>
        <v>q105_1_southamerica</v>
      </c>
      <c r="B764" s="6" t="str">
        <f t="shared" si="20"/>
        <v>_southamerica</v>
      </c>
      <c r="C764" s="6" t="s">
        <v>312</v>
      </c>
      <c r="D764" s="15" t="s">
        <v>1905</v>
      </c>
      <c r="E764" s="6" t="s">
        <v>1993</v>
      </c>
      <c r="F764" s="19" t="s">
        <v>3292</v>
      </c>
    </row>
    <row r="765" spans="1:6" x14ac:dyDescent="0.25">
      <c r="A765" s="6" t="str">
        <f t="shared" si="19"/>
        <v>q105_2_southamerica</v>
      </c>
      <c r="B765" s="6" t="str">
        <f t="shared" si="20"/>
        <v>_southamerica</v>
      </c>
      <c r="C765" s="6" t="s">
        <v>313</v>
      </c>
      <c r="D765" s="15" t="s">
        <v>1905</v>
      </c>
      <c r="E765" s="6" t="s">
        <v>1994</v>
      </c>
      <c r="F765" s="19" t="s">
        <v>3293</v>
      </c>
    </row>
    <row r="766" spans="1:6" x14ac:dyDescent="0.25">
      <c r="A766" s="6" t="str">
        <f t="shared" si="19"/>
        <v>q105_3_southamerica</v>
      </c>
      <c r="B766" s="6" t="str">
        <f t="shared" si="20"/>
        <v>_southamerica</v>
      </c>
      <c r="C766" s="6" t="s">
        <v>314</v>
      </c>
      <c r="D766" s="15" t="s">
        <v>1905</v>
      </c>
      <c r="E766" s="6" t="s">
        <v>1995</v>
      </c>
      <c r="F766" s="19" t="s">
        <v>3294</v>
      </c>
    </row>
    <row r="767" spans="1:6" x14ac:dyDescent="0.25">
      <c r="A767" s="6" t="str">
        <f t="shared" si="19"/>
        <v>q105_4_southamerica</v>
      </c>
      <c r="B767" s="6" t="str">
        <f t="shared" si="20"/>
        <v>_southamerica</v>
      </c>
      <c r="C767" s="6" t="s">
        <v>315</v>
      </c>
      <c r="D767" s="15" t="s">
        <v>1905</v>
      </c>
      <c r="E767" s="6" t="s">
        <v>1996</v>
      </c>
      <c r="F767" s="19" t="s">
        <v>3295</v>
      </c>
    </row>
    <row r="768" spans="1:6" x14ac:dyDescent="0.25">
      <c r="A768" s="6" t="str">
        <f t="shared" si="19"/>
        <v>q105_5_southamerica</v>
      </c>
      <c r="B768" s="6" t="str">
        <f t="shared" si="20"/>
        <v>_southamerica</v>
      </c>
      <c r="C768" s="6" t="s">
        <v>316</v>
      </c>
      <c r="D768" s="15" t="s">
        <v>1905</v>
      </c>
      <c r="E768" s="6" t="s">
        <v>1997</v>
      </c>
      <c r="F768" s="19" t="s">
        <v>3296</v>
      </c>
    </row>
    <row r="769" spans="1:6" x14ac:dyDescent="0.25">
      <c r="A769" s="6" t="str">
        <f t="shared" si="19"/>
        <v>q105_6_southamerica</v>
      </c>
      <c r="B769" s="6" t="str">
        <f t="shared" si="20"/>
        <v>_southamerica</v>
      </c>
      <c r="C769" s="6" t="s">
        <v>317</v>
      </c>
      <c r="D769" s="15" t="s">
        <v>1905</v>
      </c>
      <c r="E769" s="6" t="s">
        <v>1998</v>
      </c>
      <c r="F769" s="19" t="s">
        <v>3297</v>
      </c>
    </row>
    <row r="770" spans="1:6" x14ac:dyDescent="0.25">
      <c r="A770" s="6" t="str">
        <f t="shared" si="19"/>
        <v>q10ROW5_hidden_southamerica</v>
      </c>
      <c r="B770" s="6" t="str">
        <f t="shared" si="20"/>
        <v>_southamerica</v>
      </c>
      <c r="C770" s="6" t="s">
        <v>318</v>
      </c>
      <c r="D770" s="15" t="s">
        <v>1905</v>
      </c>
      <c r="E770" s="11" t="s">
        <v>1999</v>
      </c>
      <c r="F770" s="19" t="s">
        <v>3298</v>
      </c>
    </row>
    <row r="771" spans="1:6" x14ac:dyDescent="0.25">
      <c r="A771" s="6" t="str">
        <f t="shared" ref="A771:A834" si="21">_xlfn.CONCAT(C771,B771)</f>
        <v>q106_1_southamerica</v>
      </c>
      <c r="B771" s="6" t="str">
        <f t="shared" si="20"/>
        <v>_southamerica</v>
      </c>
      <c r="C771" s="6" t="s">
        <v>319</v>
      </c>
      <c r="D771" s="15" t="s">
        <v>1905</v>
      </c>
      <c r="E771" s="6" t="s">
        <v>2000</v>
      </c>
      <c r="F771" s="19" t="s">
        <v>3299</v>
      </c>
    </row>
    <row r="772" spans="1:6" x14ac:dyDescent="0.25">
      <c r="A772" s="6" t="str">
        <f t="shared" si="21"/>
        <v>q106_2_southamerica</v>
      </c>
      <c r="B772" s="6" t="str">
        <f t="shared" si="20"/>
        <v>_southamerica</v>
      </c>
      <c r="C772" s="6" t="s">
        <v>320</v>
      </c>
      <c r="D772" s="15" t="s">
        <v>1905</v>
      </c>
      <c r="E772" s="6" t="s">
        <v>2001</v>
      </c>
      <c r="F772" s="19" t="s">
        <v>3300</v>
      </c>
    </row>
    <row r="773" spans="1:6" x14ac:dyDescent="0.25">
      <c r="A773" s="6" t="str">
        <f t="shared" si="21"/>
        <v>q106_3_southamerica</v>
      </c>
      <c r="B773" s="6" t="str">
        <f t="shared" si="20"/>
        <v>_southamerica</v>
      </c>
      <c r="C773" s="6" t="s">
        <v>321</v>
      </c>
      <c r="D773" s="15" t="s">
        <v>1905</v>
      </c>
      <c r="E773" s="6" t="s">
        <v>2002</v>
      </c>
      <c r="F773" s="19" t="s">
        <v>3301</v>
      </c>
    </row>
    <row r="774" spans="1:6" x14ac:dyDescent="0.25">
      <c r="A774" s="6" t="str">
        <f t="shared" si="21"/>
        <v>q106_4_southamerica</v>
      </c>
      <c r="B774" s="6" t="str">
        <f t="shared" si="20"/>
        <v>_southamerica</v>
      </c>
      <c r="C774" s="6" t="s">
        <v>322</v>
      </c>
      <c r="D774" s="15" t="s">
        <v>1905</v>
      </c>
      <c r="E774" s="6" t="s">
        <v>2003</v>
      </c>
      <c r="F774" s="19" t="s">
        <v>3302</v>
      </c>
    </row>
    <row r="775" spans="1:6" x14ac:dyDescent="0.25">
      <c r="A775" s="6" t="str">
        <f t="shared" si="21"/>
        <v>q106_5_southamerica</v>
      </c>
      <c r="B775" s="6" t="str">
        <f t="shared" si="20"/>
        <v>_southamerica</v>
      </c>
      <c r="C775" s="6" t="s">
        <v>323</v>
      </c>
      <c r="D775" s="15" t="s">
        <v>1905</v>
      </c>
      <c r="E775" s="6" t="s">
        <v>2004</v>
      </c>
      <c r="F775" s="19" t="s">
        <v>3303</v>
      </c>
    </row>
    <row r="776" spans="1:6" x14ac:dyDescent="0.25">
      <c r="A776" s="6" t="str">
        <f t="shared" si="21"/>
        <v>q106_6_southamerica</v>
      </c>
      <c r="B776" s="6" t="str">
        <f t="shared" si="20"/>
        <v>_southamerica</v>
      </c>
      <c r="C776" s="6" t="s">
        <v>324</v>
      </c>
      <c r="D776" s="15" t="s">
        <v>1905</v>
      </c>
      <c r="E776" s="6" t="s">
        <v>2005</v>
      </c>
      <c r="F776" s="19" t="s">
        <v>3304</v>
      </c>
    </row>
    <row r="777" spans="1:6" x14ac:dyDescent="0.25">
      <c r="A777" s="6" t="str">
        <f t="shared" si="21"/>
        <v>q10ROW6_hidden_southamerica</v>
      </c>
      <c r="B777" s="6" t="str">
        <f t="shared" si="20"/>
        <v>_southamerica</v>
      </c>
      <c r="C777" s="6" t="s">
        <v>325</v>
      </c>
      <c r="D777" s="15" t="s">
        <v>1905</v>
      </c>
      <c r="E777" s="11" t="s">
        <v>1957</v>
      </c>
      <c r="F777" s="19" t="s">
        <v>3305</v>
      </c>
    </row>
    <row r="778" spans="1:6" x14ac:dyDescent="0.25">
      <c r="A778" s="6" t="str">
        <f t="shared" si="21"/>
        <v>q107_1_southamerica</v>
      </c>
      <c r="B778" s="6" t="str">
        <f t="shared" si="20"/>
        <v>_southamerica</v>
      </c>
      <c r="C778" s="6" t="s">
        <v>326</v>
      </c>
      <c r="D778" s="15" t="s">
        <v>1905</v>
      </c>
      <c r="E778" s="6" t="s">
        <v>2006</v>
      </c>
      <c r="F778" s="19" t="s">
        <v>3306</v>
      </c>
    </row>
    <row r="779" spans="1:6" x14ac:dyDescent="0.25">
      <c r="A779" s="6" t="str">
        <f t="shared" si="21"/>
        <v>q107_2_southamerica</v>
      </c>
      <c r="B779" s="6" t="str">
        <f t="shared" si="20"/>
        <v>_southamerica</v>
      </c>
      <c r="C779" s="6" t="s">
        <v>327</v>
      </c>
      <c r="D779" s="15" t="s">
        <v>1905</v>
      </c>
      <c r="E779" s="6" t="s">
        <v>2007</v>
      </c>
      <c r="F779" s="19" t="s">
        <v>3307</v>
      </c>
    </row>
    <row r="780" spans="1:6" x14ac:dyDescent="0.25">
      <c r="A780" s="6" t="str">
        <f t="shared" si="21"/>
        <v>q107_3_southamerica</v>
      </c>
      <c r="B780" s="6" t="str">
        <f t="shared" si="20"/>
        <v>_southamerica</v>
      </c>
      <c r="C780" s="6" t="s">
        <v>328</v>
      </c>
      <c r="D780" s="15" t="s">
        <v>1905</v>
      </c>
      <c r="E780" s="6" t="s">
        <v>2008</v>
      </c>
      <c r="F780" s="19" t="s">
        <v>3308</v>
      </c>
    </row>
    <row r="781" spans="1:6" x14ac:dyDescent="0.25">
      <c r="A781" s="6" t="str">
        <f t="shared" si="21"/>
        <v>q107_4_southamerica</v>
      </c>
      <c r="B781" s="6" t="str">
        <f t="shared" si="20"/>
        <v>_southamerica</v>
      </c>
      <c r="C781" s="6" t="s">
        <v>329</v>
      </c>
      <c r="D781" s="15" t="s">
        <v>1905</v>
      </c>
      <c r="E781" s="6" t="s">
        <v>2009</v>
      </c>
      <c r="F781" s="19" t="s">
        <v>3309</v>
      </c>
    </row>
    <row r="782" spans="1:6" x14ac:dyDescent="0.25">
      <c r="A782" s="6" t="str">
        <f t="shared" si="21"/>
        <v>q107_5_southamerica</v>
      </c>
      <c r="B782" s="6" t="str">
        <f t="shared" si="20"/>
        <v>_southamerica</v>
      </c>
      <c r="C782" s="6" t="s">
        <v>330</v>
      </c>
      <c r="D782" s="15" t="s">
        <v>1905</v>
      </c>
      <c r="E782" s="6" t="s">
        <v>2010</v>
      </c>
      <c r="F782" s="19" t="s">
        <v>3310</v>
      </c>
    </row>
    <row r="783" spans="1:6" x14ac:dyDescent="0.25">
      <c r="A783" s="6" t="str">
        <f t="shared" si="21"/>
        <v>q107_6_southamerica</v>
      </c>
      <c r="B783" s="6" t="str">
        <f t="shared" si="20"/>
        <v>_southamerica</v>
      </c>
      <c r="C783" s="6" t="s">
        <v>331</v>
      </c>
      <c r="D783" s="15" t="s">
        <v>1905</v>
      </c>
      <c r="E783" s="6" t="s">
        <v>2011</v>
      </c>
      <c r="F783" s="19" t="s">
        <v>3311</v>
      </c>
    </row>
    <row r="784" spans="1:6" x14ac:dyDescent="0.25">
      <c r="A784" s="6" t="str">
        <f t="shared" si="21"/>
        <v>q10ROW7_hidden_southamerica</v>
      </c>
      <c r="B784" s="6" t="str">
        <f t="shared" si="20"/>
        <v>_southamerica</v>
      </c>
      <c r="C784" s="6" t="s">
        <v>332</v>
      </c>
      <c r="D784" s="15" t="s">
        <v>1905</v>
      </c>
      <c r="E784" s="11" t="s">
        <v>2012</v>
      </c>
      <c r="F784" s="19" t="s">
        <v>3312</v>
      </c>
    </row>
    <row r="785" spans="1:6" x14ac:dyDescent="0.25">
      <c r="A785" s="6" t="str">
        <f t="shared" si="21"/>
        <v>q10other_southamerica</v>
      </c>
      <c r="B785" s="6" t="str">
        <f t="shared" si="20"/>
        <v>_southamerica</v>
      </c>
      <c r="C785" s="6" t="s">
        <v>333</v>
      </c>
      <c r="D785" s="15" t="s">
        <v>1890</v>
      </c>
      <c r="E785" s="6" t="s">
        <v>2013</v>
      </c>
      <c r="F785" s="19" t="s">
        <v>3313</v>
      </c>
    </row>
    <row r="786" spans="1:6" x14ac:dyDescent="0.25">
      <c r="A786" s="6" t="str">
        <f t="shared" si="21"/>
        <v>q108_1_southamerica</v>
      </c>
      <c r="B786" s="6" t="str">
        <f t="shared" si="20"/>
        <v>_southamerica</v>
      </c>
      <c r="C786" s="6" t="s">
        <v>334</v>
      </c>
      <c r="D786" s="15" t="s">
        <v>1905</v>
      </c>
      <c r="E786" s="6" t="s">
        <v>2014</v>
      </c>
      <c r="F786" s="19" t="s">
        <v>3314</v>
      </c>
    </row>
    <row r="787" spans="1:6" x14ac:dyDescent="0.25">
      <c r="A787" s="6" t="str">
        <f t="shared" si="21"/>
        <v>q108_2_southamerica</v>
      </c>
      <c r="B787" s="6" t="str">
        <f t="shared" si="20"/>
        <v>_southamerica</v>
      </c>
      <c r="C787" s="6" t="s">
        <v>335</v>
      </c>
      <c r="D787" s="15" t="s">
        <v>1905</v>
      </c>
      <c r="E787" s="6" t="s">
        <v>2015</v>
      </c>
      <c r="F787" s="19" t="s">
        <v>3315</v>
      </c>
    </row>
    <row r="788" spans="1:6" x14ac:dyDescent="0.25">
      <c r="A788" s="6" t="str">
        <f t="shared" si="21"/>
        <v>q108_3_southamerica</v>
      </c>
      <c r="B788" s="6" t="str">
        <f t="shared" si="20"/>
        <v>_southamerica</v>
      </c>
      <c r="C788" s="6" t="s">
        <v>336</v>
      </c>
      <c r="D788" s="15" t="s">
        <v>1905</v>
      </c>
      <c r="E788" s="6" t="s">
        <v>2016</v>
      </c>
      <c r="F788" s="19" t="s">
        <v>3316</v>
      </c>
    </row>
    <row r="789" spans="1:6" x14ac:dyDescent="0.25">
      <c r="A789" s="6" t="str">
        <f t="shared" si="21"/>
        <v>q108_4_southamerica</v>
      </c>
      <c r="B789" s="6" t="str">
        <f t="shared" si="20"/>
        <v>_southamerica</v>
      </c>
      <c r="C789" s="6" t="s">
        <v>337</v>
      </c>
      <c r="D789" s="15" t="s">
        <v>1905</v>
      </c>
      <c r="E789" s="6" t="s">
        <v>2017</v>
      </c>
      <c r="F789" s="19" t="s">
        <v>3317</v>
      </c>
    </row>
    <row r="790" spans="1:6" x14ac:dyDescent="0.25">
      <c r="A790" s="6" t="str">
        <f t="shared" si="21"/>
        <v>q108_5_southamerica</v>
      </c>
      <c r="B790" s="6" t="str">
        <f t="shared" si="20"/>
        <v>_southamerica</v>
      </c>
      <c r="C790" s="6" t="s">
        <v>338</v>
      </c>
      <c r="D790" s="15" t="s">
        <v>1905</v>
      </c>
      <c r="E790" s="6" t="s">
        <v>2018</v>
      </c>
      <c r="F790" s="19" t="s">
        <v>3318</v>
      </c>
    </row>
    <row r="791" spans="1:6" x14ac:dyDescent="0.25">
      <c r="A791" s="6" t="str">
        <f t="shared" si="21"/>
        <v>q108_6_southamerica</v>
      </c>
      <c r="B791" s="6" t="str">
        <f t="shared" si="20"/>
        <v>_southamerica</v>
      </c>
      <c r="C791" s="6" t="s">
        <v>339</v>
      </c>
      <c r="D791" s="15" t="s">
        <v>1905</v>
      </c>
      <c r="E791" s="6" t="s">
        <v>2019</v>
      </c>
      <c r="F791" s="19" t="s">
        <v>3319</v>
      </c>
    </row>
    <row r="792" spans="1:6" x14ac:dyDescent="0.25">
      <c r="A792" s="6" t="str">
        <f t="shared" si="21"/>
        <v>q10ROW8_hidden_southamerica</v>
      </c>
      <c r="B792" s="6" t="str">
        <f t="shared" si="20"/>
        <v>_southamerica</v>
      </c>
      <c r="C792" s="6" t="s">
        <v>340</v>
      </c>
      <c r="D792" s="15" t="s">
        <v>1905</v>
      </c>
      <c r="E792" s="11" t="s">
        <v>2020</v>
      </c>
      <c r="F792" s="19" t="s">
        <v>3320</v>
      </c>
    </row>
    <row r="793" spans="1:6" x14ac:dyDescent="0.25">
      <c r="A793" s="6" t="str">
        <f t="shared" si="21"/>
        <v>q10COL1_hidden_southamerica</v>
      </c>
      <c r="B793" s="6" t="str">
        <f t="shared" si="20"/>
        <v>_southamerica</v>
      </c>
      <c r="C793" s="6" t="s">
        <v>341</v>
      </c>
      <c r="D793" s="15" t="s">
        <v>1905</v>
      </c>
      <c r="E793" s="11" t="s">
        <v>1953</v>
      </c>
      <c r="F793" s="19" t="s">
        <v>3321</v>
      </c>
    </row>
    <row r="794" spans="1:6" x14ac:dyDescent="0.25">
      <c r="A794" s="6" t="str">
        <f t="shared" si="21"/>
        <v>q10COL2_hidden_southamerica</v>
      </c>
      <c r="B794" s="6" t="str">
        <f t="shared" si="20"/>
        <v>_southamerica</v>
      </c>
      <c r="C794" s="6" t="s">
        <v>342</v>
      </c>
      <c r="D794" s="15" t="s">
        <v>1905</v>
      </c>
      <c r="E794" s="11" t="s">
        <v>1954</v>
      </c>
      <c r="F794" s="19" t="s">
        <v>3322</v>
      </c>
    </row>
    <row r="795" spans="1:6" x14ac:dyDescent="0.25">
      <c r="A795" s="6" t="str">
        <f t="shared" si="21"/>
        <v>q10COL3_hidden_southamerica</v>
      </c>
      <c r="B795" s="6" t="str">
        <f t="shared" si="20"/>
        <v>_southamerica</v>
      </c>
      <c r="C795" s="6" t="s">
        <v>343</v>
      </c>
      <c r="D795" s="15" t="s">
        <v>1905</v>
      </c>
      <c r="E795" s="11" t="s">
        <v>1955</v>
      </c>
      <c r="F795" s="19" t="s">
        <v>3323</v>
      </c>
    </row>
    <row r="796" spans="1:6" x14ac:dyDescent="0.25">
      <c r="A796" s="6" t="str">
        <f t="shared" si="21"/>
        <v>q10COL4_hidden_southamerica</v>
      </c>
      <c r="B796" s="6" t="str">
        <f t="shared" si="20"/>
        <v>_southamerica</v>
      </c>
      <c r="C796" s="6" t="s">
        <v>344</v>
      </c>
      <c r="D796" s="15" t="s">
        <v>1905</v>
      </c>
      <c r="E796" s="11" t="s">
        <v>1956</v>
      </c>
      <c r="F796" s="19" t="s">
        <v>3324</v>
      </c>
    </row>
    <row r="797" spans="1:6" x14ac:dyDescent="0.25">
      <c r="A797" s="6" t="str">
        <f t="shared" si="21"/>
        <v>q10COL5_hidden_southamerica</v>
      </c>
      <c r="B797" s="6" t="str">
        <f t="shared" si="20"/>
        <v>_southamerica</v>
      </c>
      <c r="C797" s="6" t="s">
        <v>345</v>
      </c>
      <c r="D797" s="15" t="s">
        <v>1905</v>
      </c>
      <c r="E797" s="11" t="s">
        <v>1957</v>
      </c>
      <c r="F797" s="19" t="s">
        <v>3325</v>
      </c>
    </row>
    <row r="798" spans="1:6" x14ac:dyDescent="0.25">
      <c r="A798" s="6" t="str">
        <f t="shared" si="21"/>
        <v>q10COL6_hidden_southamerica</v>
      </c>
      <c r="B798" s="6" t="str">
        <f t="shared" si="20"/>
        <v>_southamerica</v>
      </c>
      <c r="C798" s="6" t="s">
        <v>346</v>
      </c>
      <c r="D798" s="15" t="s">
        <v>1905</v>
      </c>
      <c r="E798" s="11" t="s">
        <v>1958</v>
      </c>
      <c r="F798" s="19" t="s">
        <v>3326</v>
      </c>
    </row>
    <row r="799" spans="1:6" x14ac:dyDescent="0.25">
      <c r="A799" s="6" t="str">
        <f t="shared" si="21"/>
        <v>q10GRANDTotal_hidden_southamerica</v>
      </c>
      <c r="B799" s="6" t="str">
        <f t="shared" si="20"/>
        <v>_southamerica</v>
      </c>
      <c r="C799" s="6" t="s">
        <v>347</v>
      </c>
      <c r="D799" s="15" t="s">
        <v>1905</v>
      </c>
      <c r="E799" s="11" t="s">
        <v>2069</v>
      </c>
      <c r="F799" s="19" t="s">
        <v>3327</v>
      </c>
    </row>
    <row r="800" spans="1:6" x14ac:dyDescent="0.25">
      <c r="A800" s="6" t="str">
        <f t="shared" si="21"/>
        <v>_southamerica</v>
      </c>
      <c r="B800" s="6" t="str">
        <f t="shared" ref="B800:B842" si="22">B799</f>
        <v>_southamerica</v>
      </c>
      <c r="C800" s="9"/>
      <c r="D800" s="9"/>
      <c r="E800" s="12" t="s">
        <v>2083</v>
      </c>
      <c r="F800" s="6">
        <f>VLOOKUP(E800,'[3]Full Data-Map'!$C:$D,2,FALSE)</f>
        <v>23</v>
      </c>
    </row>
    <row r="801" spans="1:6" x14ac:dyDescent="0.25">
      <c r="A801" s="6" t="str">
        <f t="shared" si="21"/>
        <v>q111_1_southamerica</v>
      </c>
      <c r="B801" s="6" t="str">
        <f t="shared" si="22"/>
        <v>_southamerica</v>
      </c>
      <c r="C801" s="6" t="s">
        <v>348</v>
      </c>
      <c r="D801" s="15" t="s">
        <v>1905</v>
      </c>
      <c r="E801" s="6" t="s">
        <v>2030</v>
      </c>
      <c r="F801" s="19" t="s">
        <v>3328</v>
      </c>
    </row>
    <row r="802" spans="1:6" x14ac:dyDescent="0.25">
      <c r="A802" s="6" t="str">
        <f t="shared" si="21"/>
        <v>q111_2_southamerica</v>
      </c>
      <c r="B802" s="6" t="str">
        <f t="shared" si="22"/>
        <v>_southamerica</v>
      </c>
      <c r="C802" s="6" t="s">
        <v>349</v>
      </c>
      <c r="D802" s="15" t="s">
        <v>1905</v>
      </c>
      <c r="E802" s="6" t="s">
        <v>2031</v>
      </c>
      <c r="F802" s="19" t="s">
        <v>3329</v>
      </c>
    </row>
    <row r="803" spans="1:6" x14ac:dyDescent="0.25">
      <c r="A803" s="6" t="str">
        <f t="shared" si="21"/>
        <v>q111_3_southamerica</v>
      </c>
      <c r="B803" s="6" t="str">
        <f t="shared" si="22"/>
        <v>_southamerica</v>
      </c>
      <c r="C803" s="6" t="s">
        <v>350</v>
      </c>
      <c r="D803" s="15" t="s">
        <v>1905</v>
      </c>
      <c r="E803" s="6" t="s">
        <v>2032</v>
      </c>
      <c r="F803" s="19" t="s">
        <v>3330</v>
      </c>
    </row>
    <row r="804" spans="1:6" x14ac:dyDescent="0.25">
      <c r="A804" s="6" t="str">
        <f t="shared" si="21"/>
        <v>q111_4_southamerica</v>
      </c>
      <c r="B804" s="6" t="str">
        <f t="shared" si="22"/>
        <v>_southamerica</v>
      </c>
      <c r="C804" s="6" t="s">
        <v>351</v>
      </c>
      <c r="D804" s="15" t="s">
        <v>1905</v>
      </c>
      <c r="E804" s="6" t="s">
        <v>2033</v>
      </c>
      <c r="F804" s="19" t="s">
        <v>3331</v>
      </c>
    </row>
    <row r="805" spans="1:6" x14ac:dyDescent="0.25">
      <c r="A805" s="6" t="str">
        <f t="shared" si="21"/>
        <v>q111_5_southamerica</v>
      </c>
      <c r="B805" s="6" t="str">
        <f t="shared" si="22"/>
        <v>_southamerica</v>
      </c>
      <c r="C805" s="6" t="s">
        <v>352</v>
      </c>
      <c r="D805" s="15" t="s">
        <v>1905</v>
      </c>
      <c r="E805" s="6" t="s">
        <v>2034</v>
      </c>
      <c r="F805" s="19" t="s">
        <v>3332</v>
      </c>
    </row>
    <row r="806" spans="1:6" x14ac:dyDescent="0.25">
      <c r="A806" s="6" t="str">
        <f t="shared" si="21"/>
        <v>q111_6_southamerica</v>
      </c>
      <c r="B806" s="6" t="str">
        <f t="shared" si="22"/>
        <v>_southamerica</v>
      </c>
      <c r="C806" s="6" t="s">
        <v>353</v>
      </c>
      <c r="D806" s="15" t="s">
        <v>1905</v>
      </c>
      <c r="E806" s="6" t="s">
        <v>2035</v>
      </c>
      <c r="F806" s="19" t="s">
        <v>3333</v>
      </c>
    </row>
    <row r="807" spans="1:6" x14ac:dyDescent="0.25">
      <c r="A807" s="6" t="str">
        <f t="shared" si="21"/>
        <v>q11ROW1_hidden_southamerica</v>
      </c>
      <c r="B807" s="6" t="str">
        <f t="shared" si="22"/>
        <v>_southamerica</v>
      </c>
      <c r="C807" s="6" t="s">
        <v>354</v>
      </c>
      <c r="D807" s="15" t="s">
        <v>1905</v>
      </c>
      <c r="E807" s="11" t="s">
        <v>2071</v>
      </c>
      <c r="F807" s="19" t="s">
        <v>3334</v>
      </c>
    </row>
    <row r="808" spans="1:6" x14ac:dyDescent="0.25">
      <c r="A808" s="6" t="str">
        <f t="shared" si="21"/>
        <v>q112_1_southamerica</v>
      </c>
      <c r="B808" s="6" t="str">
        <f t="shared" si="22"/>
        <v>_southamerica</v>
      </c>
      <c r="C808" s="6" t="s">
        <v>355</v>
      </c>
      <c r="D808" s="15" t="s">
        <v>1905</v>
      </c>
      <c r="E808" s="6" t="s">
        <v>2023</v>
      </c>
      <c r="F808" s="19" t="s">
        <v>3335</v>
      </c>
    </row>
    <row r="809" spans="1:6" x14ac:dyDescent="0.25">
      <c r="A809" s="6" t="str">
        <f t="shared" si="21"/>
        <v>q112_2_southamerica</v>
      </c>
      <c r="B809" s="6" t="str">
        <f t="shared" si="22"/>
        <v>_southamerica</v>
      </c>
      <c r="C809" s="6" t="s">
        <v>356</v>
      </c>
      <c r="D809" s="15" t="s">
        <v>1905</v>
      </c>
      <c r="E809" s="6" t="s">
        <v>2024</v>
      </c>
      <c r="F809" s="19" t="s">
        <v>3336</v>
      </c>
    </row>
    <row r="810" spans="1:6" x14ac:dyDescent="0.25">
      <c r="A810" s="6" t="str">
        <f t="shared" si="21"/>
        <v>q112_3_southamerica</v>
      </c>
      <c r="B810" s="6" t="str">
        <f t="shared" si="22"/>
        <v>_southamerica</v>
      </c>
      <c r="C810" s="6" t="s">
        <v>357</v>
      </c>
      <c r="D810" s="15" t="s">
        <v>1905</v>
      </c>
      <c r="E810" s="6" t="s">
        <v>2025</v>
      </c>
      <c r="F810" s="19" t="s">
        <v>3337</v>
      </c>
    </row>
    <row r="811" spans="1:6" x14ac:dyDescent="0.25">
      <c r="A811" s="6" t="str">
        <f t="shared" si="21"/>
        <v>q112_4_southamerica</v>
      </c>
      <c r="B811" s="6" t="str">
        <f t="shared" si="22"/>
        <v>_southamerica</v>
      </c>
      <c r="C811" s="6" t="s">
        <v>358</v>
      </c>
      <c r="D811" s="15" t="s">
        <v>1905</v>
      </c>
      <c r="E811" s="6" t="s">
        <v>2026</v>
      </c>
      <c r="F811" s="19" t="s">
        <v>3338</v>
      </c>
    </row>
    <row r="812" spans="1:6" x14ac:dyDescent="0.25">
      <c r="A812" s="6" t="str">
        <f t="shared" si="21"/>
        <v>q112_5_southamerica</v>
      </c>
      <c r="B812" s="6" t="str">
        <f t="shared" si="22"/>
        <v>_southamerica</v>
      </c>
      <c r="C812" s="6" t="s">
        <v>359</v>
      </c>
      <c r="D812" s="15" t="s">
        <v>1905</v>
      </c>
      <c r="E812" s="6" t="s">
        <v>2027</v>
      </c>
      <c r="F812" s="19" t="s">
        <v>3339</v>
      </c>
    </row>
    <row r="813" spans="1:6" x14ac:dyDescent="0.25">
      <c r="A813" s="6" t="str">
        <f t="shared" si="21"/>
        <v>q112_6_southamerica</v>
      </c>
      <c r="B813" s="6" t="str">
        <f t="shared" si="22"/>
        <v>_southamerica</v>
      </c>
      <c r="C813" s="6" t="s">
        <v>360</v>
      </c>
      <c r="D813" s="15" t="s">
        <v>1905</v>
      </c>
      <c r="E813" s="6" t="s">
        <v>2028</v>
      </c>
      <c r="F813" s="19" t="s">
        <v>3340</v>
      </c>
    </row>
    <row r="814" spans="1:6" x14ac:dyDescent="0.25">
      <c r="A814" s="6" t="str">
        <f t="shared" si="21"/>
        <v>q11ROW2_hidden_southamerica</v>
      </c>
      <c r="B814" s="6" t="str">
        <f t="shared" si="22"/>
        <v>_southamerica</v>
      </c>
      <c r="C814" s="6" t="s">
        <v>361</v>
      </c>
      <c r="D814" s="15" t="s">
        <v>1905</v>
      </c>
      <c r="E814" s="11" t="s">
        <v>2072</v>
      </c>
      <c r="F814" s="19" t="s">
        <v>3341</v>
      </c>
    </row>
    <row r="815" spans="1:6" x14ac:dyDescent="0.25">
      <c r="A815" s="6" t="str">
        <f t="shared" si="21"/>
        <v>q113_1_southamerica</v>
      </c>
      <c r="B815" s="6" t="str">
        <f t="shared" si="22"/>
        <v>_southamerica</v>
      </c>
      <c r="C815" s="6" t="s">
        <v>362</v>
      </c>
      <c r="D815" s="15" t="s">
        <v>1905</v>
      </c>
      <c r="E815" s="6" t="s">
        <v>2037</v>
      </c>
      <c r="F815" s="19" t="s">
        <v>3342</v>
      </c>
    </row>
    <row r="816" spans="1:6" x14ac:dyDescent="0.25">
      <c r="A816" s="6" t="str">
        <f t="shared" si="21"/>
        <v>q113_2_southamerica</v>
      </c>
      <c r="B816" s="6" t="str">
        <f t="shared" si="22"/>
        <v>_southamerica</v>
      </c>
      <c r="C816" s="6" t="s">
        <v>363</v>
      </c>
      <c r="D816" s="15" t="s">
        <v>1905</v>
      </c>
      <c r="E816" s="6" t="s">
        <v>2038</v>
      </c>
      <c r="F816" s="19" t="s">
        <v>3343</v>
      </c>
    </row>
    <row r="817" spans="1:6" x14ac:dyDescent="0.25">
      <c r="A817" s="6" t="str">
        <f t="shared" si="21"/>
        <v>q113_3_southamerica</v>
      </c>
      <c r="B817" s="6" t="str">
        <f t="shared" si="22"/>
        <v>_southamerica</v>
      </c>
      <c r="C817" s="6" t="s">
        <v>364</v>
      </c>
      <c r="D817" s="15" t="s">
        <v>1905</v>
      </c>
      <c r="E817" s="6" t="s">
        <v>2039</v>
      </c>
      <c r="F817" s="19" t="s">
        <v>3344</v>
      </c>
    </row>
    <row r="818" spans="1:6" x14ac:dyDescent="0.25">
      <c r="A818" s="6" t="str">
        <f t="shared" si="21"/>
        <v>q113_4_southamerica</v>
      </c>
      <c r="B818" s="6" t="str">
        <f t="shared" si="22"/>
        <v>_southamerica</v>
      </c>
      <c r="C818" s="6" t="s">
        <v>365</v>
      </c>
      <c r="D818" s="15" t="s">
        <v>1905</v>
      </c>
      <c r="E818" s="6" t="s">
        <v>2040</v>
      </c>
      <c r="F818" s="19" t="s">
        <v>3345</v>
      </c>
    </row>
    <row r="819" spans="1:6" x14ac:dyDescent="0.25">
      <c r="A819" s="6" t="str">
        <f t="shared" si="21"/>
        <v>q113_5_southamerica</v>
      </c>
      <c r="B819" s="6" t="str">
        <f t="shared" si="22"/>
        <v>_southamerica</v>
      </c>
      <c r="C819" s="6" t="s">
        <v>366</v>
      </c>
      <c r="D819" s="15" t="s">
        <v>1905</v>
      </c>
      <c r="E819" s="6" t="s">
        <v>2041</v>
      </c>
      <c r="F819" s="19" t="s">
        <v>3346</v>
      </c>
    </row>
    <row r="820" spans="1:6" x14ac:dyDescent="0.25">
      <c r="A820" s="6" t="str">
        <f t="shared" si="21"/>
        <v>q113_6_southamerica</v>
      </c>
      <c r="B820" s="6" t="str">
        <f t="shared" si="22"/>
        <v>_southamerica</v>
      </c>
      <c r="C820" s="6" t="s">
        <v>367</v>
      </c>
      <c r="D820" s="15" t="s">
        <v>1905</v>
      </c>
      <c r="E820" s="6" t="s">
        <v>2042</v>
      </c>
      <c r="F820" s="19" t="s">
        <v>3347</v>
      </c>
    </row>
    <row r="821" spans="1:6" x14ac:dyDescent="0.25">
      <c r="A821" s="6" t="str">
        <f t="shared" si="21"/>
        <v>q11ROW3_hidden_southamerica</v>
      </c>
      <c r="B821" s="6" t="str">
        <f t="shared" si="22"/>
        <v>_southamerica</v>
      </c>
      <c r="C821" s="6" t="s">
        <v>368</v>
      </c>
      <c r="D821" s="15" t="s">
        <v>1905</v>
      </c>
      <c r="E821" s="11" t="s">
        <v>2073</v>
      </c>
      <c r="F821" s="19" t="s">
        <v>3348</v>
      </c>
    </row>
    <row r="822" spans="1:6" x14ac:dyDescent="0.25">
      <c r="A822" s="6" t="str">
        <f t="shared" si="21"/>
        <v>q114_1_southamerica</v>
      </c>
      <c r="B822" s="6" t="str">
        <f t="shared" si="22"/>
        <v>_southamerica</v>
      </c>
      <c r="C822" s="6" t="s">
        <v>369</v>
      </c>
      <c r="D822" s="15" t="s">
        <v>1905</v>
      </c>
      <c r="E822" s="6" t="s">
        <v>2044</v>
      </c>
      <c r="F822" s="19" t="s">
        <v>3349</v>
      </c>
    </row>
    <row r="823" spans="1:6" x14ac:dyDescent="0.25">
      <c r="A823" s="6" t="str">
        <f t="shared" si="21"/>
        <v>q114_2_southamerica</v>
      </c>
      <c r="B823" s="6" t="str">
        <f t="shared" si="22"/>
        <v>_southamerica</v>
      </c>
      <c r="C823" s="6" t="s">
        <v>370</v>
      </c>
      <c r="D823" s="15" t="s">
        <v>1905</v>
      </c>
      <c r="E823" s="6" t="s">
        <v>2045</v>
      </c>
      <c r="F823" s="19" t="s">
        <v>3350</v>
      </c>
    </row>
    <row r="824" spans="1:6" x14ac:dyDescent="0.25">
      <c r="A824" s="6" t="str">
        <f t="shared" si="21"/>
        <v>q114_3_southamerica</v>
      </c>
      <c r="B824" s="6" t="str">
        <f t="shared" si="22"/>
        <v>_southamerica</v>
      </c>
      <c r="C824" s="6" t="s">
        <v>371</v>
      </c>
      <c r="D824" s="15" t="s">
        <v>1905</v>
      </c>
      <c r="E824" s="6" t="s">
        <v>2046</v>
      </c>
      <c r="F824" s="19" t="s">
        <v>3351</v>
      </c>
    </row>
    <row r="825" spans="1:6" x14ac:dyDescent="0.25">
      <c r="A825" s="6" t="str">
        <f t="shared" si="21"/>
        <v>q114_4_southamerica</v>
      </c>
      <c r="B825" s="6" t="str">
        <f t="shared" si="22"/>
        <v>_southamerica</v>
      </c>
      <c r="C825" s="6" t="s">
        <v>372</v>
      </c>
      <c r="D825" s="15" t="s">
        <v>1905</v>
      </c>
      <c r="E825" s="6" t="s">
        <v>2047</v>
      </c>
      <c r="F825" s="19" t="s">
        <v>3352</v>
      </c>
    </row>
    <row r="826" spans="1:6" x14ac:dyDescent="0.25">
      <c r="A826" s="6" t="str">
        <f t="shared" si="21"/>
        <v>q114_5_southamerica</v>
      </c>
      <c r="B826" s="6" t="str">
        <f t="shared" si="22"/>
        <v>_southamerica</v>
      </c>
      <c r="C826" s="6" t="s">
        <v>373</v>
      </c>
      <c r="D826" s="15" t="s">
        <v>1905</v>
      </c>
      <c r="E826" s="6" t="s">
        <v>2048</v>
      </c>
      <c r="F826" s="19" t="s">
        <v>3353</v>
      </c>
    </row>
    <row r="827" spans="1:6" x14ac:dyDescent="0.25">
      <c r="A827" s="6" t="str">
        <f t="shared" si="21"/>
        <v>q114_6_southamerica</v>
      </c>
      <c r="B827" s="6" t="str">
        <f t="shared" si="22"/>
        <v>_southamerica</v>
      </c>
      <c r="C827" s="6" t="s">
        <v>374</v>
      </c>
      <c r="D827" s="15" t="s">
        <v>1905</v>
      </c>
      <c r="E827" s="6" t="s">
        <v>2049</v>
      </c>
      <c r="F827" s="19" t="s">
        <v>3354</v>
      </c>
    </row>
    <row r="828" spans="1:6" x14ac:dyDescent="0.25">
      <c r="A828" s="6" t="str">
        <f t="shared" si="21"/>
        <v>q11ROW4_hidden_southamerica</v>
      </c>
      <c r="B828" s="6" t="str">
        <f t="shared" si="22"/>
        <v>_southamerica</v>
      </c>
      <c r="C828" s="6" t="s">
        <v>375</v>
      </c>
      <c r="D828" s="15" t="s">
        <v>1905</v>
      </c>
      <c r="E828" s="11" t="s">
        <v>2074</v>
      </c>
      <c r="F828" s="19" t="s">
        <v>3355</v>
      </c>
    </row>
    <row r="829" spans="1:6" x14ac:dyDescent="0.25">
      <c r="A829" s="6" t="str">
        <f t="shared" si="21"/>
        <v>q115_1_southamerica</v>
      </c>
      <c r="B829" s="6" t="str">
        <f t="shared" si="22"/>
        <v>_southamerica</v>
      </c>
      <c r="C829" s="6" t="s">
        <v>376</v>
      </c>
      <c r="D829" s="15" t="s">
        <v>1905</v>
      </c>
      <c r="E829" s="6" t="s">
        <v>2051</v>
      </c>
      <c r="F829" s="19" t="s">
        <v>3356</v>
      </c>
    </row>
    <row r="830" spans="1:6" x14ac:dyDescent="0.25">
      <c r="A830" s="6" t="str">
        <f>_xlfn.CONCAT(C830,B830)</f>
        <v>q115_2_southamerica</v>
      </c>
      <c r="B830" s="6" t="str">
        <f t="shared" si="22"/>
        <v>_southamerica</v>
      </c>
      <c r="C830" s="6" t="s">
        <v>377</v>
      </c>
      <c r="D830" s="15" t="s">
        <v>1905</v>
      </c>
      <c r="E830" s="6" t="s">
        <v>2052</v>
      </c>
      <c r="F830" s="19" t="s">
        <v>3357</v>
      </c>
    </row>
    <row r="831" spans="1:6" x14ac:dyDescent="0.25">
      <c r="A831" s="6" t="str">
        <f t="shared" si="21"/>
        <v>q115_3_southamerica</v>
      </c>
      <c r="B831" s="6" t="str">
        <f t="shared" si="22"/>
        <v>_southamerica</v>
      </c>
      <c r="C831" s="6" t="s">
        <v>378</v>
      </c>
      <c r="D831" s="15" t="s">
        <v>1905</v>
      </c>
      <c r="E831" s="6" t="s">
        <v>2053</v>
      </c>
      <c r="F831" s="19" t="s">
        <v>3358</v>
      </c>
    </row>
    <row r="832" spans="1:6" x14ac:dyDescent="0.25">
      <c r="A832" s="6" t="str">
        <f t="shared" si="21"/>
        <v>q115_4_southamerica</v>
      </c>
      <c r="B832" s="6" t="str">
        <f t="shared" si="22"/>
        <v>_southamerica</v>
      </c>
      <c r="C832" s="6" t="s">
        <v>379</v>
      </c>
      <c r="D832" s="15" t="s">
        <v>1905</v>
      </c>
      <c r="E832" s="6" t="s">
        <v>2054</v>
      </c>
      <c r="F832" s="19" t="s">
        <v>3359</v>
      </c>
    </row>
    <row r="833" spans="1:6" x14ac:dyDescent="0.25">
      <c r="A833" s="6" t="str">
        <f t="shared" si="21"/>
        <v>q115_5_southamerica</v>
      </c>
      <c r="B833" s="6" t="str">
        <f t="shared" si="22"/>
        <v>_southamerica</v>
      </c>
      <c r="C833" s="6" t="s">
        <v>380</v>
      </c>
      <c r="D833" s="15" t="s">
        <v>1905</v>
      </c>
      <c r="E833" s="6" t="s">
        <v>2055</v>
      </c>
      <c r="F833" s="19" t="s">
        <v>3360</v>
      </c>
    </row>
    <row r="834" spans="1:6" x14ac:dyDescent="0.25">
      <c r="A834" s="6" t="str">
        <f t="shared" si="21"/>
        <v>q115_6_southamerica</v>
      </c>
      <c r="B834" s="6" t="str">
        <f t="shared" si="22"/>
        <v>_southamerica</v>
      </c>
      <c r="C834" s="6" t="s">
        <v>381</v>
      </c>
      <c r="D834" s="15" t="s">
        <v>1905</v>
      </c>
      <c r="E834" s="6" t="s">
        <v>2056</v>
      </c>
      <c r="F834" s="19" t="s">
        <v>3361</v>
      </c>
    </row>
    <row r="835" spans="1:6" x14ac:dyDescent="0.25">
      <c r="A835" s="6" t="str">
        <f t="shared" ref="A835:A898" si="23">_xlfn.CONCAT(C835,B835)</f>
        <v>q11ROW5_hidden_southamerica</v>
      </c>
      <c r="B835" s="6" t="str">
        <f t="shared" si="22"/>
        <v>_southamerica</v>
      </c>
      <c r="C835" s="6" t="s">
        <v>382</v>
      </c>
      <c r="D835" s="15" t="s">
        <v>1905</v>
      </c>
      <c r="E835" s="11" t="s">
        <v>2057</v>
      </c>
      <c r="F835" s="19" t="s">
        <v>3362</v>
      </c>
    </row>
    <row r="836" spans="1:6" x14ac:dyDescent="0.25">
      <c r="A836" s="6" t="str">
        <f t="shared" si="23"/>
        <v>q11COL1_hidden_southamerica</v>
      </c>
      <c r="B836" s="6" t="str">
        <f t="shared" si="22"/>
        <v>_southamerica</v>
      </c>
      <c r="C836" s="6" t="s">
        <v>383</v>
      </c>
      <c r="D836" s="15" t="s">
        <v>1905</v>
      </c>
      <c r="E836" s="11" t="s">
        <v>1953</v>
      </c>
      <c r="F836" s="19" t="s">
        <v>3363</v>
      </c>
    </row>
    <row r="837" spans="1:6" x14ac:dyDescent="0.25">
      <c r="A837" s="6" t="str">
        <f t="shared" si="23"/>
        <v>q11COL2_hidden_southamerica</v>
      </c>
      <c r="B837" s="6" t="str">
        <f t="shared" si="22"/>
        <v>_southamerica</v>
      </c>
      <c r="C837" s="6" t="s">
        <v>384</v>
      </c>
      <c r="D837" s="15" t="s">
        <v>1905</v>
      </c>
      <c r="E837" s="11" t="s">
        <v>1954</v>
      </c>
      <c r="F837" s="19" t="s">
        <v>3364</v>
      </c>
    </row>
    <row r="838" spans="1:6" x14ac:dyDescent="0.25">
      <c r="A838" s="6" t="str">
        <f t="shared" si="23"/>
        <v>q11COL3_hidden_southamerica</v>
      </c>
      <c r="B838" s="6" t="str">
        <f t="shared" si="22"/>
        <v>_southamerica</v>
      </c>
      <c r="C838" s="6" t="s">
        <v>385</v>
      </c>
      <c r="D838" s="15" t="s">
        <v>1905</v>
      </c>
      <c r="E838" s="11" t="s">
        <v>1955</v>
      </c>
      <c r="F838" s="19" t="s">
        <v>3365</v>
      </c>
    </row>
    <row r="839" spans="1:6" x14ac:dyDescent="0.25">
      <c r="A839" s="6" t="str">
        <f t="shared" si="23"/>
        <v>q11COL4_hidden_southamerica</v>
      </c>
      <c r="B839" s="6" t="str">
        <f t="shared" si="22"/>
        <v>_southamerica</v>
      </c>
      <c r="C839" s="6" t="s">
        <v>386</v>
      </c>
      <c r="D839" s="15" t="s">
        <v>1905</v>
      </c>
      <c r="E839" s="11" t="s">
        <v>1956</v>
      </c>
      <c r="F839" s="19" t="s">
        <v>3366</v>
      </c>
    </row>
    <row r="840" spans="1:6" x14ac:dyDescent="0.25">
      <c r="A840" s="6" t="str">
        <f t="shared" si="23"/>
        <v>q11COL5_hidden_southamerica</v>
      </c>
      <c r="B840" s="6" t="str">
        <f t="shared" si="22"/>
        <v>_southamerica</v>
      </c>
      <c r="C840" s="6" t="s">
        <v>387</v>
      </c>
      <c r="D840" s="15" t="s">
        <v>1905</v>
      </c>
      <c r="E840" s="11" t="s">
        <v>1957</v>
      </c>
      <c r="F840" s="19" t="s">
        <v>3367</v>
      </c>
    </row>
    <row r="841" spans="1:6" x14ac:dyDescent="0.25">
      <c r="A841" s="6" t="str">
        <f t="shared" si="23"/>
        <v>q11COL6_hidden_southamerica</v>
      </c>
      <c r="B841" s="6" t="str">
        <f t="shared" si="22"/>
        <v>_southamerica</v>
      </c>
      <c r="C841" s="6" t="s">
        <v>388</v>
      </c>
      <c r="D841" s="15" t="s">
        <v>1905</v>
      </c>
      <c r="E841" s="11" t="s">
        <v>1958</v>
      </c>
      <c r="F841" s="19" t="s">
        <v>3368</v>
      </c>
    </row>
    <row r="842" spans="1:6" x14ac:dyDescent="0.25">
      <c r="A842" s="6" t="str">
        <f t="shared" si="23"/>
        <v>q11GRANDTotal_hidden_southamerica</v>
      </c>
      <c r="B842" s="6" t="str">
        <f t="shared" si="22"/>
        <v>_southamerica</v>
      </c>
      <c r="C842" s="6" t="s">
        <v>389</v>
      </c>
      <c r="D842" s="15" t="s">
        <v>1905</v>
      </c>
      <c r="E842" s="11" t="s">
        <v>2075</v>
      </c>
      <c r="F842" s="19" t="s">
        <v>3369</v>
      </c>
    </row>
    <row r="843" spans="1:6" x14ac:dyDescent="0.25">
      <c r="A843" s="6" t="str">
        <f t="shared" si="23"/>
        <v>AFRICA_africa</v>
      </c>
      <c r="B843" s="6" t="s">
        <v>2092</v>
      </c>
      <c r="C843" s="13" t="s">
        <v>394</v>
      </c>
      <c r="D843" s="14"/>
      <c r="E843" s="12" t="s">
        <v>2084</v>
      </c>
      <c r="F843" s="6">
        <f>VLOOKUP(E843,'[3]Full Data-Map'!$C:$D,2,FALSE)</f>
        <v>24</v>
      </c>
    </row>
    <row r="844" spans="1:6" x14ac:dyDescent="0.25">
      <c r="A844" s="6" t="str">
        <f t="shared" si="23"/>
        <v>q101_1_africa</v>
      </c>
      <c r="B844" s="6" t="str">
        <f t="shared" ref="B844:B907" si="24">B843</f>
        <v>_africa</v>
      </c>
      <c r="C844" s="6" t="s">
        <v>284</v>
      </c>
      <c r="D844" s="15" t="s">
        <v>1905</v>
      </c>
      <c r="E844" s="6" t="s">
        <v>1965</v>
      </c>
      <c r="F844" s="19" t="s">
        <v>3370</v>
      </c>
    </row>
    <row r="845" spans="1:6" x14ac:dyDescent="0.25">
      <c r="A845" s="6" t="str">
        <f t="shared" si="23"/>
        <v>q101_2_africa</v>
      </c>
      <c r="B845" s="6" t="str">
        <f t="shared" si="24"/>
        <v>_africa</v>
      </c>
      <c r="C845" s="6" t="s">
        <v>285</v>
      </c>
      <c r="D845" s="15" t="s">
        <v>1905</v>
      </c>
      <c r="E845" s="6" t="s">
        <v>1966</v>
      </c>
      <c r="F845" s="19" t="s">
        <v>3371</v>
      </c>
    </row>
    <row r="846" spans="1:6" x14ac:dyDescent="0.25">
      <c r="A846" s="6" t="str">
        <f t="shared" si="23"/>
        <v>q101_3_africa</v>
      </c>
      <c r="B846" s="6" t="str">
        <f t="shared" si="24"/>
        <v>_africa</v>
      </c>
      <c r="C846" s="6" t="s">
        <v>286</v>
      </c>
      <c r="D846" s="15" t="s">
        <v>1905</v>
      </c>
      <c r="E846" s="6" t="s">
        <v>1967</v>
      </c>
      <c r="F846" s="19" t="s">
        <v>3372</v>
      </c>
    </row>
    <row r="847" spans="1:6" x14ac:dyDescent="0.25">
      <c r="A847" s="6" t="str">
        <f t="shared" si="23"/>
        <v>q101_4_africa</v>
      </c>
      <c r="B847" s="6" t="str">
        <f t="shared" si="24"/>
        <v>_africa</v>
      </c>
      <c r="C847" s="6" t="s">
        <v>287</v>
      </c>
      <c r="D847" s="15" t="s">
        <v>1905</v>
      </c>
      <c r="E847" s="6" t="s">
        <v>1968</v>
      </c>
      <c r="F847" s="19" t="s">
        <v>3373</v>
      </c>
    </row>
    <row r="848" spans="1:6" x14ac:dyDescent="0.25">
      <c r="A848" s="6" t="str">
        <f t="shared" si="23"/>
        <v>q101_5_africa</v>
      </c>
      <c r="B848" s="6" t="str">
        <f t="shared" si="24"/>
        <v>_africa</v>
      </c>
      <c r="C848" s="6" t="s">
        <v>288</v>
      </c>
      <c r="D848" s="15" t="s">
        <v>1905</v>
      </c>
      <c r="E848" s="6" t="s">
        <v>1969</v>
      </c>
      <c r="F848" s="19" t="s">
        <v>3374</v>
      </c>
    </row>
    <row r="849" spans="1:6" x14ac:dyDescent="0.25">
      <c r="A849" s="6" t="str">
        <f t="shared" si="23"/>
        <v>q101_6_africa</v>
      </c>
      <c r="B849" s="6" t="str">
        <f t="shared" si="24"/>
        <v>_africa</v>
      </c>
      <c r="C849" s="6" t="s">
        <v>289</v>
      </c>
      <c r="D849" s="15" t="s">
        <v>1905</v>
      </c>
      <c r="E849" s="6" t="s">
        <v>1970</v>
      </c>
      <c r="F849" s="19" t="s">
        <v>3375</v>
      </c>
    </row>
    <row r="850" spans="1:6" x14ac:dyDescent="0.25">
      <c r="A850" s="6" t="str">
        <f t="shared" si="23"/>
        <v>q10ROW1_hidden_africa</v>
      </c>
      <c r="B850" s="6" t="str">
        <f t="shared" si="24"/>
        <v>_africa</v>
      </c>
      <c r="C850" s="6" t="s">
        <v>290</v>
      </c>
      <c r="D850" s="15" t="s">
        <v>1905</v>
      </c>
      <c r="E850" s="11" t="s">
        <v>1971</v>
      </c>
      <c r="F850" s="19" t="s">
        <v>3376</v>
      </c>
    </row>
    <row r="851" spans="1:6" x14ac:dyDescent="0.25">
      <c r="A851" s="6" t="str">
        <f t="shared" si="23"/>
        <v>q102_1_africa</v>
      </c>
      <c r="B851" s="6" t="str">
        <f t="shared" si="24"/>
        <v>_africa</v>
      </c>
      <c r="C851" s="6" t="s">
        <v>291</v>
      </c>
      <c r="D851" s="15" t="s">
        <v>1905</v>
      </c>
      <c r="E851" s="6" t="s">
        <v>1972</v>
      </c>
      <c r="F851" s="19" t="s">
        <v>3377</v>
      </c>
    </row>
    <row r="852" spans="1:6" x14ac:dyDescent="0.25">
      <c r="A852" s="6" t="str">
        <f t="shared" si="23"/>
        <v>q102_2_africa</v>
      </c>
      <c r="B852" s="6" t="str">
        <f t="shared" si="24"/>
        <v>_africa</v>
      </c>
      <c r="C852" s="6" t="s">
        <v>292</v>
      </c>
      <c r="D852" s="15" t="s">
        <v>1905</v>
      </c>
      <c r="E852" s="6" t="s">
        <v>1973</v>
      </c>
      <c r="F852" s="19" t="s">
        <v>3378</v>
      </c>
    </row>
    <row r="853" spans="1:6" x14ac:dyDescent="0.25">
      <c r="A853" s="6" t="str">
        <f t="shared" si="23"/>
        <v>q102_3_africa</v>
      </c>
      <c r="B853" s="6" t="str">
        <f t="shared" si="24"/>
        <v>_africa</v>
      </c>
      <c r="C853" s="6" t="s">
        <v>293</v>
      </c>
      <c r="D853" s="15" t="s">
        <v>1905</v>
      </c>
      <c r="E853" s="6" t="s">
        <v>1974</v>
      </c>
      <c r="F853" s="19" t="s">
        <v>3379</v>
      </c>
    </row>
    <row r="854" spans="1:6" x14ac:dyDescent="0.25">
      <c r="A854" s="6" t="str">
        <f t="shared" si="23"/>
        <v>q102_4_africa</v>
      </c>
      <c r="B854" s="6" t="str">
        <f t="shared" si="24"/>
        <v>_africa</v>
      </c>
      <c r="C854" s="6" t="s">
        <v>294</v>
      </c>
      <c r="D854" s="15" t="s">
        <v>1905</v>
      </c>
      <c r="E854" s="6" t="s">
        <v>1975</v>
      </c>
      <c r="F854" s="19" t="s">
        <v>3380</v>
      </c>
    </row>
    <row r="855" spans="1:6" x14ac:dyDescent="0.25">
      <c r="A855" s="6" t="str">
        <f t="shared" si="23"/>
        <v>q102_5_africa</v>
      </c>
      <c r="B855" s="6" t="str">
        <f t="shared" si="24"/>
        <v>_africa</v>
      </c>
      <c r="C855" s="6" t="s">
        <v>295</v>
      </c>
      <c r="D855" s="15" t="s">
        <v>1905</v>
      </c>
      <c r="E855" s="6" t="s">
        <v>1976</v>
      </c>
      <c r="F855" s="19" t="s">
        <v>3381</v>
      </c>
    </row>
    <row r="856" spans="1:6" x14ac:dyDescent="0.25">
      <c r="A856" s="6" t="str">
        <f t="shared" si="23"/>
        <v>q102_6_africa</v>
      </c>
      <c r="B856" s="6" t="str">
        <f t="shared" si="24"/>
        <v>_africa</v>
      </c>
      <c r="C856" s="6" t="s">
        <v>296</v>
      </c>
      <c r="D856" s="15" t="s">
        <v>1905</v>
      </c>
      <c r="E856" s="6" t="s">
        <v>1977</v>
      </c>
      <c r="F856" s="19" t="s">
        <v>3382</v>
      </c>
    </row>
    <row r="857" spans="1:6" x14ac:dyDescent="0.25">
      <c r="A857" s="6" t="str">
        <f t="shared" si="23"/>
        <v>q10ROW2_hidden_africa</v>
      </c>
      <c r="B857" s="6" t="str">
        <f t="shared" si="24"/>
        <v>_africa</v>
      </c>
      <c r="C857" s="6" t="s">
        <v>297</v>
      </c>
      <c r="D857" s="15" t="s">
        <v>1905</v>
      </c>
      <c r="E857" s="11" t="s">
        <v>1978</v>
      </c>
      <c r="F857" s="19" t="s">
        <v>3383</v>
      </c>
    </row>
    <row r="858" spans="1:6" x14ac:dyDescent="0.25">
      <c r="A858" s="6" t="str">
        <f t="shared" si="23"/>
        <v>q103_1_africa</v>
      </c>
      <c r="B858" s="6" t="str">
        <f t="shared" si="24"/>
        <v>_africa</v>
      </c>
      <c r="C858" s="6" t="s">
        <v>298</v>
      </c>
      <c r="D858" s="15" t="s">
        <v>1905</v>
      </c>
      <c r="E858" s="6" t="s">
        <v>1979</v>
      </c>
      <c r="F858" s="19" t="s">
        <v>3384</v>
      </c>
    </row>
    <row r="859" spans="1:6" x14ac:dyDescent="0.25">
      <c r="A859" s="6" t="str">
        <f t="shared" si="23"/>
        <v>q103_2_africa</v>
      </c>
      <c r="B859" s="6" t="str">
        <f t="shared" si="24"/>
        <v>_africa</v>
      </c>
      <c r="C859" s="6" t="s">
        <v>299</v>
      </c>
      <c r="D859" s="15" t="s">
        <v>1905</v>
      </c>
      <c r="E859" s="6" t="s">
        <v>1980</v>
      </c>
      <c r="F859" s="19" t="s">
        <v>3385</v>
      </c>
    </row>
    <row r="860" spans="1:6" x14ac:dyDescent="0.25">
      <c r="A860" s="6" t="str">
        <f t="shared" si="23"/>
        <v>q103_3_africa</v>
      </c>
      <c r="B860" s="6" t="str">
        <f t="shared" si="24"/>
        <v>_africa</v>
      </c>
      <c r="C860" s="6" t="s">
        <v>300</v>
      </c>
      <c r="D860" s="15" t="s">
        <v>1905</v>
      </c>
      <c r="E860" s="6" t="s">
        <v>1981</v>
      </c>
      <c r="F860" s="19" t="s">
        <v>3386</v>
      </c>
    </row>
    <row r="861" spans="1:6" x14ac:dyDescent="0.25">
      <c r="A861" s="6" t="str">
        <f t="shared" si="23"/>
        <v>q103_4_africa</v>
      </c>
      <c r="B861" s="6" t="str">
        <f t="shared" si="24"/>
        <v>_africa</v>
      </c>
      <c r="C861" s="6" t="s">
        <v>301</v>
      </c>
      <c r="D861" s="15" t="s">
        <v>1905</v>
      </c>
      <c r="E861" s="6" t="s">
        <v>1982</v>
      </c>
      <c r="F861" s="19" t="s">
        <v>3387</v>
      </c>
    </row>
    <row r="862" spans="1:6" x14ac:dyDescent="0.25">
      <c r="A862" s="6" t="str">
        <f t="shared" si="23"/>
        <v>q103_5_africa</v>
      </c>
      <c r="B862" s="6" t="str">
        <f t="shared" si="24"/>
        <v>_africa</v>
      </c>
      <c r="C862" s="6" t="s">
        <v>302</v>
      </c>
      <c r="D862" s="15" t="s">
        <v>1905</v>
      </c>
      <c r="E862" s="6" t="s">
        <v>1983</v>
      </c>
      <c r="F862" s="19" t="s">
        <v>3388</v>
      </c>
    </row>
    <row r="863" spans="1:6" x14ac:dyDescent="0.25">
      <c r="A863" s="6" t="str">
        <f t="shared" si="23"/>
        <v>q103_6_africa</v>
      </c>
      <c r="B863" s="6" t="str">
        <f t="shared" si="24"/>
        <v>_africa</v>
      </c>
      <c r="C863" s="6" t="s">
        <v>303</v>
      </c>
      <c r="D863" s="15" t="s">
        <v>1905</v>
      </c>
      <c r="E863" s="6" t="s">
        <v>1984</v>
      </c>
      <c r="F863" s="19" t="s">
        <v>3389</v>
      </c>
    </row>
    <row r="864" spans="1:6" x14ac:dyDescent="0.25">
      <c r="A864" s="6" t="str">
        <f t="shared" si="23"/>
        <v>q10ROW3_hidden_africa</v>
      </c>
      <c r="B864" s="6" t="str">
        <f t="shared" si="24"/>
        <v>_africa</v>
      </c>
      <c r="C864" s="6" t="s">
        <v>304</v>
      </c>
      <c r="D864" s="15" t="s">
        <v>1905</v>
      </c>
      <c r="E864" s="11" t="s">
        <v>1985</v>
      </c>
      <c r="F864" s="19" t="s">
        <v>3390</v>
      </c>
    </row>
    <row r="865" spans="1:6" x14ac:dyDescent="0.25">
      <c r="A865" s="6" t="str">
        <f t="shared" si="23"/>
        <v>q104_1_africa</v>
      </c>
      <c r="B865" s="6" t="str">
        <f t="shared" si="24"/>
        <v>_africa</v>
      </c>
      <c r="C865" s="6" t="s">
        <v>305</v>
      </c>
      <c r="D865" s="15" t="s">
        <v>1905</v>
      </c>
      <c r="E865" s="6" t="s">
        <v>1986</v>
      </c>
      <c r="F865" s="19" t="s">
        <v>3391</v>
      </c>
    </row>
    <row r="866" spans="1:6" x14ac:dyDescent="0.25">
      <c r="A866" s="6" t="str">
        <f t="shared" si="23"/>
        <v>q104_2_africa</v>
      </c>
      <c r="B866" s="6" t="str">
        <f t="shared" si="24"/>
        <v>_africa</v>
      </c>
      <c r="C866" s="6" t="s">
        <v>306</v>
      </c>
      <c r="D866" s="15" t="s">
        <v>1905</v>
      </c>
      <c r="E866" s="6" t="s">
        <v>1987</v>
      </c>
      <c r="F866" s="19" t="s">
        <v>3392</v>
      </c>
    </row>
    <row r="867" spans="1:6" x14ac:dyDescent="0.25">
      <c r="A867" s="6" t="str">
        <f t="shared" si="23"/>
        <v>q104_3_africa</v>
      </c>
      <c r="B867" s="6" t="str">
        <f t="shared" si="24"/>
        <v>_africa</v>
      </c>
      <c r="C867" s="6" t="s">
        <v>307</v>
      </c>
      <c r="D867" s="15" t="s">
        <v>1905</v>
      </c>
      <c r="E867" s="6" t="s">
        <v>1988</v>
      </c>
      <c r="F867" s="19" t="s">
        <v>3393</v>
      </c>
    </row>
    <row r="868" spans="1:6" x14ac:dyDescent="0.25">
      <c r="A868" s="6" t="str">
        <f t="shared" si="23"/>
        <v>q104_4_africa</v>
      </c>
      <c r="B868" s="6" t="str">
        <f t="shared" si="24"/>
        <v>_africa</v>
      </c>
      <c r="C868" s="6" t="s">
        <v>308</v>
      </c>
      <c r="D868" s="15" t="s">
        <v>1905</v>
      </c>
      <c r="E868" s="6" t="s">
        <v>1989</v>
      </c>
      <c r="F868" s="19" t="s">
        <v>3394</v>
      </c>
    </row>
    <row r="869" spans="1:6" x14ac:dyDescent="0.25">
      <c r="A869" s="6" t="str">
        <f t="shared" si="23"/>
        <v>q104_5_africa</v>
      </c>
      <c r="B869" s="6" t="str">
        <f t="shared" si="24"/>
        <v>_africa</v>
      </c>
      <c r="C869" s="6" t="s">
        <v>309</v>
      </c>
      <c r="D869" s="15" t="s">
        <v>1905</v>
      </c>
      <c r="E869" s="6" t="s">
        <v>1990</v>
      </c>
      <c r="F869" s="19" t="s">
        <v>3395</v>
      </c>
    </row>
    <row r="870" spans="1:6" x14ac:dyDescent="0.25">
      <c r="A870" s="6" t="str">
        <f t="shared" si="23"/>
        <v>q104_6_africa</v>
      </c>
      <c r="B870" s="6" t="str">
        <f t="shared" si="24"/>
        <v>_africa</v>
      </c>
      <c r="C870" s="6" t="s">
        <v>310</v>
      </c>
      <c r="D870" s="15" t="s">
        <v>1905</v>
      </c>
      <c r="E870" s="6" t="s">
        <v>1991</v>
      </c>
      <c r="F870" s="19" t="s">
        <v>3396</v>
      </c>
    </row>
    <row r="871" spans="1:6" x14ac:dyDescent="0.25">
      <c r="A871" s="6" t="str">
        <f t="shared" si="23"/>
        <v>q10ROW4_hidden_africa</v>
      </c>
      <c r="B871" s="6" t="str">
        <f t="shared" si="24"/>
        <v>_africa</v>
      </c>
      <c r="C871" s="6" t="s">
        <v>311</v>
      </c>
      <c r="D871" s="15" t="s">
        <v>1905</v>
      </c>
      <c r="E871" s="11" t="s">
        <v>1992</v>
      </c>
      <c r="F871" s="19" t="s">
        <v>3397</v>
      </c>
    </row>
    <row r="872" spans="1:6" x14ac:dyDescent="0.25">
      <c r="A872" s="6" t="str">
        <f t="shared" si="23"/>
        <v>q105_1_africa</v>
      </c>
      <c r="B872" s="6" t="str">
        <f t="shared" si="24"/>
        <v>_africa</v>
      </c>
      <c r="C872" s="6" t="s">
        <v>312</v>
      </c>
      <c r="D872" s="15" t="s">
        <v>1905</v>
      </c>
      <c r="E872" s="6" t="s">
        <v>1993</v>
      </c>
      <c r="F872" s="19" t="s">
        <v>3398</v>
      </c>
    </row>
    <row r="873" spans="1:6" x14ac:dyDescent="0.25">
      <c r="A873" s="6" t="str">
        <f t="shared" si="23"/>
        <v>q105_2_africa</v>
      </c>
      <c r="B873" s="6" t="str">
        <f t="shared" si="24"/>
        <v>_africa</v>
      </c>
      <c r="C873" s="6" t="s">
        <v>313</v>
      </c>
      <c r="D873" s="15" t="s">
        <v>1905</v>
      </c>
      <c r="E873" s="6" t="s">
        <v>1994</v>
      </c>
      <c r="F873" s="19" t="s">
        <v>3399</v>
      </c>
    </row>
    <row r="874" spans="1:6" x14ac:dyDescent="0.25">
      <c r="A874" s="6" t="str">
        <f t="shared" si="23"/>
        <v>q105_3_africa</v>
      </c>
      <c r="B874" s="6" t="str">
        <f t="shared" si="24"/>
        <v>_africa</v>
      </c>
      <c r="C874" s="6" t="s">
        <v>314</v>
      </c>
      <c r="D874" s="15" t="s">
        <v>1905</v>
      </c>
      <c r="E874" s="6" t="s">
        <v>1995</v>
      </c>
      <c r="F874" s="19" t="s">
        <v>3400</v>
      </c>
    </row>
    <row r="875" spans="1:6" x14ac:dyDescent="0.25">
      <c r="A875" s="6" t="str">
        <f t="shared" si="23"/>
        <v>q105_4_africa</v>
      </c>
      <c r="B875" s="6" t="str">
        <f t="shared" si="24"/>
        <v>_africa</v>
      </c>
      <c r="C875" s="6" t="s">
        <v>315</v>
      </c>
      <c r="D875" s="15" t="s">
        <v>1905</v>
      </c>
      <c r="E875" s="6" t="s">
        <v>1996</v>
      </c>
      <c r="F875" s="19" t="s">
        <v>3401</v>
      </c>
    </row>
    <row r="876" spans="1:6" x14ac:dyDescent="0.25">
      <c r="A876" s="6" t="str">
        <f t="shared" si="23"/>
        <v>q105_5_africa</v>
      </c>
      <c r="B876" s="6" t="str">
        <f t="shared" si="24"/>
        <v>_africa</v>
      </c>
      <c r="C876" s="6" t="s">
        <v>316</v>
      </c>
      <c r="D876" s="15" t="s">
        <v>1905</v>
      </c>
      <c r="E876" s="6" t="s">
        <v>1997</v>
      </c>
      <c r="F876" s="19" t="s">
        <v>3402</v>
      </c>
    </row>
    <row r="877" spans="1:6" x14ac:dyDescent="0.25">
      <c r="A877" s="6" t="str">
        <f t="shared" si="23"/>
        <v>q105_6_africa</v>
      </c>
      <c r="B877" s="6" t="str">
        <f t="shared" si="24"/>
        <v>_africa</v>
      </c>
      <c r="C877" s="6" t="s">
        <v>317</v>
      </c>
      <c r="D877" s="15" t="s">
        <v>1905</v>
      </c>
      <c r="E877" s="6" t="s">
        <v>1998</v>
      </c>
      <c r="F877" s="19" t="s">
        <v>3403</v>
      </c>
    </row>
    <row r="878" spans="1:6" x14ac:dyDescent="0.25">
      <c r="A878" s="6" t="str">
        <f t="shared" si="23"/>
        <v>q10ROW5_hidden_africa</v>
      </c>
      <c r="B878" s="6" t="str">
        <f t="shared" si="24"/>
        <v>_africa</v>
      </c>
      <c r="C878" s="6" t="s">
        <v>318</v>
      </c>
      <c r="D878" s="15" t="s">
        <v>1905</v>
      </c>
      <c r="E878" s="11" t="s">
        <v>1999</v>
      </c>
      <c r="F878" s="19" t="s">
        <v>3404</v>
      </c>
    </row>
    <row r="879" spans="1:6" x14ac:dyDescent="0.25">
      <c r="A879" s="6" t="str">
        <f t="shared" si="23"/>
        <v>q106_1_africa</v>
      </c>
      <c r="B879" s="6" t="str">
        <f t="shared" si="24"/>
        <v>_africa</v>
      </c>
      <c r="C879" s="6" t="s">
        <v>319</v>
      </c>
      <c r="D879" s="15" t="s">
        <v>1905</v>
      </c>
      <c r="E879" s="6" t="s">
        <v>2000</v>
      </c>
      <c r="F879" s="19" t="s">
        <v>3405</v>
      </c>
    </row>
    <row r="880" spans="1:6" x14ac:dyDescent="0.25">
      <c r="A880" s="6" t="str">
        <f t="shared" si="23"/>
        <v>q106_2_africa</v>
      </c>
      <c r="B880" s="6" t="str">
        <f t="shared" si="24"/>
        <v>_africa</v>
      </c>
      <c r="C880" s="6" t="s">
        <v>320</v>
      </c>
      <c r="D880" s="15" t="s">
        <v>1905</v>
      </c>
      <c r="E880" s="6" t="s">
        <v>2001</v>
      </c>
      <c r="F880" s="19" t="s">
        <v>3406</v>
      </c>
    </row>
    <row r="881" spans="1:6" x14ac:dyDescent="0.25">
      <c r="A881" s="6" t="str">
        <f t="shared" si="23"/>
        <v>q106_3_africa</v>
      </c>
      <c r="B881" s="6" t="str">
        <f t="shared" si="24"/>
        <v>_africa</v>
      </c>
      <c r="C881" s="6" t="s">
        <v>321</v>
      </c>
      <c r="D881" s="15" t="s">
        <v>1905</v>
      </c>
      <c r="E881" s="6" t="s">
        <v>2002</v>
      </c>
      <c r="F881" s="19" t="s">
        <v>3407</v>
      </c>
    </row>
    <row r="882" spans="1:6" x14ac:dyDescent="0.25">
      <c r="A882" s="6" t="str">
        <f t="shared" si="23"/>
        <v>q106_4_africa</v>
      </c>
      <c r="B882" s="6" t="str">
        <f t="shared" si="24"/>
        <v>_africa</v>
      </c>
      <c r="C882" s="6" t="s">
        <v>322</v>
      </c>
      <c r="D882" s="15" t="s">
        <v>1905</v>
      </c>
      <c r="E882" s="6" t="s">
        <v>2003</v>
      </c>
      <c r="F882" s="19" t="s">
        <v>3408</v>
      </c>
    </row>
    <row r="883" spans="1:6" x14ac:dyDescent="0.25">
      <c r="A883" s="6" t="str">
        <f t="shared" si="23"/>
        <v>q106_5_africa</v>
      </c>
      <c r="B883" s="6" t="str">
        <f t="shared" si="24"/>
        <v>_africa</v>
      </c>
      <c r="C883" s="6" t="s">
        <v>323</v>
      </c>
      <c r="D883" s="15" t="s">
        <v>1905</v>
      </c>
      <c r="E883" s="6" t="s">
        <v>2004</v>
      </c>
      <c r="F883" s="19" t="s">
        <v>3409</v>
      </c>
    </row>
    <row r="884" spans="1:6" x14ac:dyDescent="0.25">
      <c r="A884" s="6" t="str">
        <f t="shared" si="23"/>
        <v>q106_6_africa</v>
      </c>
      <c r="B884" s="6" t="str">
        <f t="shared" si="24"/>
        <v>_africa</v>
      </c>
      <c r="C884" s="6" t="s">
        <v>324</v>
      </c>
      <c r="D884" s="15" t="s">
        <v>1905</v>
      </c>
      <c r="E884" s="6" t="s">
        <v>2005</v>
      </c>
      <c r="F884" s="19" t="s">
        <v>3410</v>
      </c>
    </row>
    <row r="885" spans="1:6" x14ac:dyDescent="0.25">
      <c r="A885" s="6" t="str">
        <f t="shared" si="23"/>
        <v>q10ROW6_hidden_africa</v>
      </c>
      <c r="B885" s="6" t="str">
        <f t="shared" si="24"/>
        <v>_africa</v>
      </c>
      <c r="C885" s="6" t="s">
        <v>325</v>
      </c>
      <c r="D885" s="15" t="s">
        <v>1905</v>
      </c>
      <c r="E885" s="11" t="s">
        <v>1957</v>
      </c>
      <c r="F885" s="19" t="s">
        <v>3411</v>
      </c>
    </row>
    <row r="886" spans="1:6" x14ac:dyDescent="0.25">
      <c r="A886" s="6" t="str">
        <f t="shared" si="23"/>
        <v>q107_1_africa</v>
      </c>
      <c r="B886" s="6" t="str">
        <f t="shared" si="24"/>
        <v>_africa</v>
      </c>
      <c r="C886" s="6" t="s">
        <v>326</v>
      </c>
      <c r="D886" s="15" t="s">
        <v>1905</v>
      </c>
      <c r="E886" s="6" t="s">
        <v>2006</v>
      </c>
      <c r="F886" s="19" t="s">
        <v>3412</v>
      </c>
    </row>
    <row r="887" spans="1:6" x14ac:dyDescent="0.25">
      <c r="A887" s="6" t="str">
        <f t="shared" si="23"/>
        <v>q107_2_africa</v>
      </c>
      <c r="B887" s="6" t="str">
        <f t="shared" si="24"/>
        <v>_africa</v>
      </c>
      <c r="C887" s="6" t="s">
        <v>327</v>
      </c>
      <c r="D887" s="15" t="s">
        <v>1905</v>
      </c>
      <c r="E887" s="6" t="s">
        <v>2007</v>
      </c>
      <c r="F887" s="19" t="s">
        <v>3413</v>
      </c>
    </row>
    <row r="888" spans="1:6" x14ac:dyDescent="0.25">
      <c r="A888" s="6" t="str">
        <f t="shared" si="23"/>
        <v>q107_3_africa</v>
      </c>
      <c r="B888" s="6" t="str">
        <f t="shared" si="24"/>
        <v>_africa</v>
      </c>
      <c r="C888" s="6" t="s">
        <v>328</v>
      </c>
      <c r="D888" s="15" t="s">
        <v>1905</v>
      </c>
      <c r="E888" s="6" t="s">
        <v>2008</v>
      </c>
      <c r="F888" s="19" t="s">
        <v>3414</v>
      </c>
    </row>
    <row r="889" spans="1:6" x14ac:dyDescent="0.25">
      <c r="A889" s="6" t="str">
        <f t="shared" si="23"/>
        <v>q107_4_africa</v>
      </c>
      <c r="B889" s="6" t="str">
        <f t="shared" si="24"/>
        <v>_africa</v>
      </c>
      <c r="C889" s="6" t="s">
        <v>329</v>
      </c>
      <c r="D889" s="15" t="s">
        <v>1905</v>
      </c>
      <c r="E889" s="6" t="s">
        <v>2009</v>
      </c>
      <c r="F889" s="19" t="s">
        <v>3415</v>
      </c>
    </row>
    <row r="890" spans="1:6" x14ac:dyDescent="0.25">
      <c r="A890" s="6" t="str">
        <f t="shared" si="23"/>
        <v>q107_5_africa</v>
      </c>
      <c r="B890" s="6" t="str">
        <f t="shared" si="24"/>
        <v>_africa</v>
      </c>
      <c r="C890" s="6" t="s">
        <v>330</v>
      </c>
      <c r="D890" s="15" t="s">
        <v>1905</v>
      </c>
      <c r="E890" s="6" t="s">
        <v>2010</v>
      </c>
      <c r="F890" s="19" t="s">
        <v>3416</v>
      </c>
    </row>
    <row r="891" spans="1:6" x14ac:dyDescent="0.25">
      <c r="A891" s="6" t="str">
        <f t="shared" si="23"/>
        <v>q107_6_africa</v>
      </c>
      <c r="B891" s="6" t="str">
        <f t="shared" si="24"/>
        <v>_africa</v>
      </c>
      <c r="C891" s="6" t="s">
        <v>331</v>
      </c>
      <c r="D891" s="15" t="s">
        <v>1905</v>
      </c>
      <c r="E891" s="6" t="s">
        <v>2011</v>
      </c>
      <c r="F891" s="19" t="s">
        <v>3417</v>
      </c>
    </row>
    <row r="892" spans="1:6" x14ac:dyDescent="0.25">
      <c r="A892" s="6" t="str">
        <f t="shared" si="23"/>
        <v>q10ROW7_hidden_africa</v>
      </c>
      <c r="B892" s="6" t="str">
        <f t="shared" si="24"/>
        <v>_africa</v>
      </c>
      <c r="C892" s="6" t="s">
        <v>332</v>
      </c>
      <c r="D892" s="15" t="s">
        <v>1905</v>
      </c>
      <c r="E892" s="11" t="s">
        <v>2012</v>
      </c>
      <c r="F892" s="19" t="s">
        <v>3418</v>
      </c>
    </row>
    <row r="893" spans="1:6" x14ac:dyDescent="0.25">
      <c r="A893" s="6" t="str">
        <f t="shared" si="23"/>
        <v>q10other_africa</v>
      </c>
      <c r="B893" s="6" t="str">
        <f t="shared" si="24"/>
        <v>_africa</v>
      </c>
      <c r="C893" s="6" t="s">
        <v>333</v>
      </c>
      <c r="D893" s="15" t="s">
        <v>1890</v>
      </c>
      <c r="E893" s="6" t="s">
        <v>2013</v>
      </c>
      <c r="F893" s="19" t="s">
        <v>3419</v>
      </c>
    </row>
    <row r="894" spans="1:6" x14ac:dyDescent="0.25">
      <c r="A894" s="6" t="str">
        <f t="shared" si="23"/>
        <v>q108_1_africa</v>
      </c>
      <c r="B894" s="6" t="str">
        <f t="shared" si="24"/>
        <v>_africa</v>
      </c>
      <c r="C894" s="6" t="s">
        <v>334</v>
      </c>
      <c r="D894" s="15" t="s">
        <v>1905</v>
      </c>
      <c r="E894" s="6" t="s">
        <v>2014</v>
      </c>
      <c r="F894" s="19" t="s">
        <v>3420</v>
      </c>
    </row>
    <row r="895" spans="1:6" x14ac:dyDescent="0.25">
      <c r="A895" s="6" t="str">
        <f t="shared" si="23"/>
        <v>q108_2_africa</v>
      </c>
      <c r="B895" s="6" t="str">
        <f t="shared" si="24"/>
        <v>_africa</v>
      </c>
      <c r="C895" s="6" t="s">
        <v>335</v>
      </c>
      <c r="D895" s="15" t="s">
        <v>1905</v>
      </c>
      <c r="E895" s="6" t="s">
        <v>2015</v>
      </c>
      <c r="F895" s="19" t="s">
        <v>3421</v>
      </c>
    </row>
    <row r="896" spans="1:6" x14ac:dyDescent="0.25">
      <c r="A896" s="6" t="str">
        <f t="shared" si="23"/>
        <v>q108_3_africa</v>
      </c>
      <c r="B896" s="6" t="str">
        <f t="shared" si="24"/>
        <v>_africa</v>
      </c>
      <c r="C896" s="6" t="s">
        <v>336</v>
      </c>
      <c r="D896" s="15" t="s">
        <v>1905</v>
      </c>
      <c r="E896" s="6" t="s">
        <v>2016</v>
      </c>
      <c r="F896" s="19" t="s">
        <v>3422</v>
      </c>
    </row>
    <row r="897" spans="1:6" x14ac:dyDescent="0.25">
      <c r="A897" s="6" t="str">
        <f t="shared" si="23"/>
        <v>q108_4_africa</v>
      </c>
      <c r="B897" s="6" t="str">
        <f t="shared" si="24"/>
        <v>_africa</v>
      </c>
      <c r="C897" s="6" t="s">
        <v>337</v>
      </c>
      <c r="D897" s="15" t="s">
        <v>1905</v>
      </c>
      <c r="E897" s="6" t="s">
        <v>2017</v>
      </c>
      <c r="F897" s="19" t="s">
        <v>3423</v>
      </c>
    </row>
    <row r="898" spans="1:6" x14ac:dyDescent="0.25">
      <c r="A898" s="6" t="str">
        <f t="shared" si="23"/>
        <v>q108_5_africa</v>
      </c>
      <c r="B898" s="6" t="str">
        <f t="shared" si="24"/>
        <v>_africa</v>
      </c>
      <c r="C898" s="6" t="s">
        <v>338</v>
      </c>
      <c r="D898" s="15" t="s">
        <v>1905</v>
      </c>
      <c r="E898" s="6" t="s">
        <v>2018</v>
      </c>
      <c r="F898" s="19" t="s">
        <v>3424</v>
      </c>
    </row>
    <row r="899" spans="1:6" x14ac:dyDescent="0.25">
      <c r="A899" s="6" t="str">
        <f t="shared" ref="A899:A950" si="25">_xlfn.CONCAT(C899,B899)</f>
        <v>q108_6_africa</v>
      </c>
      <c r="B899" s="6" t="str">
        <f t="shared" si="24"/>
        <v>_africa</v>
      </c>
      <c r="C899" s="6" t="s">
        <v>339</v>
      </c>
      <c r="D899" s="15" t="s">
        <v>1905</v>
      </c>
      <c r="E899" s="6" t="s">
        <v>2019</v>
      </c>
      <c r="F899" s="19" t="s">
        <v>3425</v>
      </c>
    </row>
    <row r="900" spans="1:6" x14ac:dyDescent="0.25">
      <c r="A900" s="6" t="str">
        <f t="shared" si="25"/>
        <v>q10ROW8_hidden_africa</v>
      </c>
      <c r="B900" s="6" t="str">
        <f t="shared" si="24"/>
        <v>_africa</v>
      </c>
      <c r="C900" s="6" t="s">
        <v>340</v>
      </c>
      <c r="D900" s="15" t="s">
        <v>1905</v>
      </c>
      <c r="E900" s="11" t="s">
        <v>2020</v>
      </c>
      <c r="F900" s="19" t="s">
        <v>3426</v>
      </c>
    </row>
    <row r="901" spans="1:6" x14ac:dyDescent="0.25">
      <c r="A901" s="6" t="str">
        <f t="shared" si="25"/>
        <v>q10COL1_hidden_africa</v>
      </c>
      <c r="B901" s="6" t="str">
        <f t="shared" si="24"/>
        <v>_africa</v>
      </c>
      <c r="C901" s="6" t="s">
        <v>341</v>
      </c>
      <c r="D901" s="15" t="s">
        <v>1905</v>
      </c>
      <c r="E901" s="11" t="s">
        <v>1953</v>
      </c>
      <c r="F901" s="19" t="s">
        <v>3427</v>
      </c>
    </row>
    <row r="902" spans="1:6" x14ac:dyDescent="0.25">
      <c r="A902" s="6" t="str">
        <f t="shared" si="25"/>
        <v>q10COL2_hidden_africa</v>
      </c>
      <c r="B902" s="6" t="str">
        <f t="shared" si="24"/>
        <v>_africa</v>
      </c>
      <c r="C902" s="6" t="s">
        <v>342</v>
      </c>
      <c r="D902" s="15" t="s">
        <v>1905</v>
      </c>
      <c r="E902" s="11" t="s">
        <v>1954</v>
      </c>
      <c r="F902" s="19" t="s">
        <v>3428</v>
      </c>
    </row>
    <row r="903" spans="1:6" x14ac:dyDescent="0.25">
      <c r="A903" s="6" t="str">
        <f t="shared" si="25"/>
        <v>q10COL3_hidden_africa</v>
      </c>
      <c r="B903" s="6" t="str">
        <f t="shared" si="24"/>
        <v>_africa</v>
      </c>
      <c r="C903" s="6" t="s">
        <v>343</v>
      </c>
      <c r="D903" s="15" t="s">
        <v>1905</v>
      </c>
      <c r="E903" s="11" t="s">
        <v>1955</v>
      </c>
      <c r="F903" s="19" t="s">
        <v>3429</v>
      </c>
    </row>
    <row r="904" spans="1:6" x14ac:dyDescent="0.25">
      <c r="A904" s="6" t="str">
        <f t="shared" si="25"/>
        <v>q10COL4_hidden_africa</v>
      </c>
      <c r="B904" s="6" t="str">
        <f t="shared" si="24"/>
        <v>_africa</v>
      </c>
      <c r="C904" s="6" t="s">
        <v>344</v>
      </c>
      <c r="D904" s="15" t="s">
        <v>1905</v>
      </c>
      <c r="E904" s="11" t="s">
        <v>1956</v>
      </c>
      <c r="F904" s="19" t="s">
        <v>3430</v>
      </c>
    </row>
    <row r="905" spans="1:6" x14ac:dyDescent="0.25">
      <c r="A905" s="6" t="str">
        <f t="shared" si="25"/>
        <v>q10COL5_hidden_africa</v>
      </c>
      <c r="B905" s="6" t="str">
        <f t="shared" si="24"/>
        <v>_africa</v>
      </c>
      <c r="C905" s="6" t="s">
        <v>345</v>
      </c>
      <c r="D905" s="15" t="s">
        <v>1905</v>
      </c>
      <c r="E905" s="11" t="s">
        <v>1957</v>
      </c>
      <c r="F905" s="19" t="s">
        <v>3431</v>
      </c>
    </row>
    <row r="906" spans="1:6" x14ac:dyDescent="0.25">
      <c r="A906" s="6" t="str">
        <f t="shared" si="25"/>
        <v>q10COL6_hidden_africa</v>
      </c>
      <c r="B906" s="6" t="str">
        <f t="shared" si="24"/>
        <v>_africa</v>
      </c>
      <c r="C906" s="6" t="s">
        <v>346</v>
      </c>
      <c r="D906" s="15" t="s">
        <v>1905</v>
      </c>
      <c r="E906" s="11" t="s">
        <v>1958</v>
      </c>
      <c r="F906" s="19" t="s">
        <v>3432</v>
      </c>
    </row>
    <row r="907" spans="1:6" x14ac:dyDescent="0.25">
      <c r="A907" s="6" t="str">
        <f t="shared" si="25"/>
        <v>q10GRANDTotal_hidden_africa</v>
      </c>
      <c r="B907" s="6" t="str">
        <f t="shared" si="24"/>
        <v>_africa</v>
      </c>
      <c r="C907" s="6" t="s">
        <v>347</v>
      </c>
      <c r="D907" s="15" t="s">
        <v>1905</v>
      </c>
      <c r="E907" s="11" t="s">
        <v>2069</v>
      </c>
      <c r="F907" s="19" t="s">
        <v>3433</v>
      </c>
    </row>
    <row r="908" spans="1:6" x14ac:dyDescent="0.25">
      <c r="A908" s="6" t="str">
        <f t="shared" si="25"/>
        <v>_africa</v>
      </c>
      <c r="B908" s="6" t="str">
        <f t="shared" ref="B908:B950" si="26">B907</f>
        <v>_africa</v>
      </c>
      <c r="C908" s="9"/>
      <c r="D908" s="9"/>
      <c r="E908" s="12" t="s">
        <v>2085</v>
      </c>
      <c r="F908" s="6">
        <f>VLOOKUP(E908,'[3]Full Data-Map'!$C:$D,2,FALSE)</f>
        <v>25</v>
      </c>
    </row>
    <row r="909" spans="1:6" x14ac:dyDescent="0.25">
      <c r="A909" s="6" t="str">
        <f t="shared" si="25"/>
        <v>q111_1_africa</v>
      </c>
      <c r="B909" s="6" t="str">
        <f t="shared" si="26"/>
        <v>_africa</v>
      </c>
      <c r="C909" s="6" t="s">
        <v>348</v>
      </c>
      <c r="D909" s="15" t="s">
        <v>1905</v>
      </c>
      <c r="E909" s="6" t="s">
        <v>2030</v>
      </c>
      <c r="F909" s="19" t="s">
        <v>3434</v>
      </c>
    </row>
    <row r="910" spans="1:6" x14ac:dyDescent="0.25">
      <c r="A910" s="6" t="str">
        <f t="shared" si="25"/>
        <v>q111_2_africa</v>
      </c>
      <c r="B910" s="6" t="str">
        <f t="shared" si="26"/>
        <v>_africa</v>
      </c>
      <c r="C910" s="6" t="s">
        <v>349</v>
      </c>
      <c r="D910" s="15" t="s">
        <v>1905</v>
      </c>
      <c r="E910" s="6" t="s">
        <v>2031</v>
      </c>
      <c r="F910" s="19" t="s">
        <v>3435</v>
      </c>
    </row>
    <row r="911" spans="1:6" x14ac:dyDescent="0.25">
      <c r="A911" s="6" t="str">
        <f t="shared" si="25"/>
        <v>q111_3_africa</v>
      </c>
      <c r="B911" s="6" t="str">
        <f t="shared" si="26"/>
        <v>_africa</v>
      </c>
      <c r="C911" s="6" t="s">
        <v>350</v>
      </c>
      <c r="D911" s="15" t="s">
        <v>1905</v>
      </c>
      <c r="E911" s="6" t="s">
        <v>2032</v>
      </c>
      <c r="F911" s="19" t="s">
        <v>3436</v>
      </c>
    </row>
    <row r="912" spans="1:6" x14ac:dyDescent="0.25">
      <c r="A912" s="6" t="str">
        <f t="shared" si="25"/>
        <v>q111_4_africa</v>
      </c>
      <c r="B912" s="6" t="str">
        <f t="shared" si="26"/>
        <v>_africa</v>
      </c>
      <c r="C912" s="6" t="s">
        <v>351</v>
      </c>
      <c r="D912" s="15" t="s">
        <v>1905</v>
      </c>
      <c r="E912" s="6" t="s">
        <v>2033</v>
      </c>
      <c r="F912" s="19" t="s">
        <v>3437</v>
      </c>
    </row>
    <row r="913" spans="1:6" x14ac:dyDescent="0.25">
      <c r="A913" s="6" t="str">
        <f t="shared" si="25"/>
        <v>q111_5_africa</v>
      </c>
      <c r="B913" s="6" t="str">
        <f t="shared" si="26"/>
        <v>_africa</v>
      </c>
      <c r="C913" s="6" t="s">
        <v>352</v>
      </c>
      <c r="D913" s="15" t="s">
        <v>1905</v>
      </c>
      <c r="E913" s="6" t="s">
        <v>2034</v>
      </c>
      <c r="F913" s="19" t="s">
        <v>3438</v>
      </c>
    </row>
    <row r="914" spans="1:6" x14ac:dyDescent="0.25">
      <c r="A914" s="6" t="str">
        <f t="shared" si="25"/>
        <v>q111_6_africa</v>
      </c>
      <c r="B914" s="6" t="str">
        <f t="shared" si="26"/>
        <v>_africa</v>
      </c>
      <c r="C914" s="6" t="s">
        <v>353</v>
      </c>
      <c r="D914" s="15" t="s">
        <v>1905</v>
      </c>
      <c r="E914" s="6" t="s">
        <v>2035</v>
      </c>
      <c r="F914" s="19" t="s">
        <v>3439</v>
      </c>
    </row>
    <row r="915" spans="1:6" x14ac:dyDescent="0.25">
      <c r="A915" s="6" t="str">
        <f t="shared" si="25"/>
        <v>q11ROW1_hidden_africa</v>
      </c>
      <c r="B915" s="6" t="str">
        <f t="shared" si="26"/>
        <v>_africa</v>
      </c>
      <c r="C915" s="6" t="s">
        <v>354</v>
      </c>
      <c r="D915" s="15" t="s">
        <v>1905</v>
      </c>
      <c r="E915" s="11" t="s">
        <v>2071</v>
      </c>
      <c r="F915" s="19" t="s">
        <v>3440</v>
      </c>
    </row>
    <row r="916" spans="1:6" x14ac:dyDescent="0.25">
      <c r="A916" s="6" t="str">
        <f t="shared" si="25"/>
        <v>q112_1_africa</v>
      </c>
      <c r="B916" s="6" t="str">
        <f t="shared" si="26"/>
        <v>_africa</v>
      </c>
      <c r="C916" s="6" t="s">
        <v>355</v>
      </c>
      <c r="D916" s="15" t="s">
        <v>1905</v>
      </c>
      <c r="E916" s="6" t="s">
        <v>2023</v>
      </c>
      <c r="F916" s="19" t="s">
        <v>3441</v>
      </c>
    </row>
    <row r="917" spans="1:6" x14ac:dyDescent="0.25">
      <c r="A917" s="6" t="str">
        <f t="shared" si="25"/>
        <v>q112_2_africa</v>
      </c>
      <c r="B917" s="6" t="str">
        <f t="shared" si="26"/>
        <v>_africa</v>
      </c>
      <c r="C917" s="6" t="s">
        <v>356</v>
      </c>
      <c r="D917" s="15" t="s">
        <v>1905</v>
      </c>
      <c r="E917" s="6" t="s">
        <v>2024</v>
      </c>
      <c r="F917" s="19" t="s">
        <v>3442</v>
      </c>
    </row>
    <row r="918" spans="1:6" x14ac:dyDescent="0.25">
      <c r="A918" s="6" t="str">
        <f t="shared" si="25"/>
        <v>q112_3_africa</v>
      </c>
      <c r="B918" s="6" t="str">
        <f t="shared" si="26"/>
        <v>_africa</v>
      </c>
      <c r="C918" s="6" t="s">
        <v>357</v>
      </c>
      <c r="D918" s="15" t="s">
        <v>1905</v>
      </c>
      <c r="E918" s="6" t="s">
        <v>2025</v>
      </c>
      <c r="F918" s="19" t="s">
        <v>3443</v>
      </c>
    </row>
    <row r="919" spans="1:6" x14ac:dyDescent="0.25">
      <c r="A919" s="6" t="str">
        <f t="shared" si="25"/>
        <v>q112_4_africa</v>
      </c>
      <c r="B919" s="6" t="str">
        <f t="shared" si="26"/>
        <v>_africa</v>
      </c>
      <c r="C919" s="6" t="s">
        <v>358</v>
      </c>
      <c r="D919" s="15" t="s">
        <v>1905</v>
      </c>
      <c r="E919" s="6" t="s">
        <v>2026</v>
      </c>
      <c r="F919" s="19" t="s">
        <v>3444</v>
      </c>
    </row>
    <row r="920" spans="1:6" x14ac:dyDescent="0.25">
      <c r="A920" s="6" t="str">
        <f t="shared" si="25"/>
        <v>q112_5_africa</v>
      </c>
      <c r="B920" s="6" t="str">
        <f t="shared" si="26"/>
        <v>_africa</v>
      </c>
      <c r="C920" s="6" t="s">
        <v>359</v>
      </c>
      <c r="D920" s="15" t="s">
        <v>1905</v>
      </c>
      <c r="E920" s="6" t="s">
        <v>2027</v>
      </c>
      <c r="F920" s="19" t="s">
        <v>3445</v>
      </c>
    </row>
    <row r="921" spans="1:6" x14ac:dyDescent="0.25">
      <c r="A921" s="6" t="str">
        <f t="shared" si="25"/>
        <v>q112_6_africa</v>
      </c>
      <c r="B921" s="6" t="str">
        <f t="shared" si="26"/>
        <v>_africa</v>
      </c>
      <c r="C921" s="6" t="s">
        <v>360</v>
      </c>
      <c r="D921" s="15" t="s">
        <v>1905</v>
      </c>
      <c r="E921" s="6" t="s">
        <v>2028</v>
      </c>
      <c r="F921" s="19" t="s">
        <v>3446</v>
      </c>
    </row>
    <row r="922" spans="1:6" x14ac:dyDescent="0.25">
      <c r="A922" s="6" t="str">
        <f t="shared" si="25"/>
        <v>q11ROW2_hidden_africa</v>
      </c>
      <c r="B922" s="6" t="str">
        <f t="shared" si="26"/>
        <v>_africa</v>
      </c>
      <c r="C922" s="6" t="s">
        <v>361</v>
      </c>
      <c r="D922" s="15" t="s">
        <v>1905</v>
      </c>
      <c r="E922" s="11" t="s">
        <v>2072</v>
      </c>
      <c r="F922" s="19" t="s">
        <v>3447</v>
      </c>
    </row>
    <row r="923" spans="1:6" x14ac:dyDescent="0.25">
      <c r="A923" s="6" t="str">
        <f t="shared" si="25"/>
        <v>q113_1_africa</v>
      </c>
      <c r="B923" s="6" t="str">
        <f t="shared" si="26"/>
        <v>_africa</v>
      </c>
      <c r="C923" s="6" t="s">
        <v>362</v>
      </c>
      <c r="D923" s="15" t="s">
        <v>1905</v>
      </c>
      <c r="E923" s="6" t="s">
        <v>2037</v>
      </c>
      <c r="F923" s="19" t="s">
        <v>3448</v>
      </c>
    </row>
    <row r="924" spans="1:6" x14ac:dyDescent="0.25">
      <c r="A924" s="6" t="str">
        <f t="shared" si="25"/>
        <v>q113_2_africa</v>
      </c>
      <c r="B924" s="6" t="str">
        <f t="shared" si="26"/>
        <v>_africa</v>
      </c>
      <c r="C924" s="6" t="s">
        <v>363</v>
      </c>
      <c r="D924" s="15" t="s">
        <v>1905</v>
      </c>
      <c r="E924" s="6" t="s">
        <v>2038</v>
      </c>
      <c r="F924" s="19" t="s">
        <v>3449</v>
      </c>
    </row>
    <row r="925" spans="1:6" x14ac:dyDescent="0.25">
      <c r="A925" s="6" t="str">
        <f t="shared" si="25"/>
        <v>q113_3_africa</v>
      </c>
      <c r="B925" s="6" t="str">
        <f t="shared" si="26"/>
        <v>_africa</v>
      </c>
      <c r="C925" s="6" t="s">
        <v>364</v>
      </c>
      <c r="D925" s="15" t="s">
        <v>1905</v>
      </c>
      <c r="E925" s="6" t="s">
        <v>2039</v>
      </c>
      <c r="F925" s="19" t="s">
        <v>3450</v>
      </c>
    </row>
    <row r="926" spans="1:6" x14ac:dyDescent="0.25">
      <c r="A926" s="6" t="str">
        <f t="shared" si="25"/>
        <v>q113_4_africa</v>
      </c>
      <c r="B926" s="6" t="str">
        <f t="shared" si="26"/>
        <v>_africa</v>
      </c>
      <c r="C926" s="6" t="s">
        <v>365</v>
      </c>
      <c r="D926" s="15" t="s">
        <v>1905</v>
      </c>
      <c r="E926" s="6" t="s">
        <v>2040</v>
      </c>
      <c r="F926" s="19" t="s">
        <v>3451</v>
      </c>
    </row>
    <row r="927" spans="1:6" x14ac:dyDescent="0.25">
      <c r="A927" s="6" t="str">
        <f t="shared" si="25"/>
        <v>q113_5_africa</v>
      </c>
      <c r="B927" s="6" t="str">
        <f t="shared" si="26"/>
        <v>_africa</v>
      </c>
      <c r="C927" s="6" t="s">
        <v>366</v>
      </c>
      <c r="D927" s="15" t="s">
        <v>1905</v>
      </c>
      <c r="E927" s="6" t="s">
        <v>2041</v>
      </c>
      <c r="F927" s="19" t="s">
        <v>3452</v>
      </c>
    </row>
    <row r="928" spans="1:6" x14ac:dyDescent="0.25">
      <c r="A928" s="6" t="str">
        <f t="shared" si="25"/>
        <v>q113_6_africa</v>
      </c>
      <c r="B928" s="6" t="str">
        <f t="shared" si="26"/>
        <v>_africa</v>
      </c>
      <c r="C928" s="6" t="s">
        <v>367</v>
      </c>
      <c r="D928" s="15" t="s">
        <v>1905</v>
      </c>
      <c r="E928" s="6" t="s">
        <v>2042</v>
      </c>
      <c r="F928" s="19" t="s">
        <v>3453</v>
      </c>
    </row>
    <row r="929" spans="1:6" x14ac:dyDescent="0.25">
      <c r="A929" s="6" t="str">
        <f t="shared" si="25"/>
        <v>q11ROW3_hidden_africa</v>
      </c>
      <c r="B929" s="6" t="str">
        <f t="shared" si="26"/>
        <v>_africa</v>
      </c>
      <c r="C929" s="6" t="s">
        <v>368</v>
      </c>
      <c r="D929" s="15" t="s">
        <v>1905</v>
      </c>
      <c r="E929" s="11" t="s">
        <v>2073</v>
      </c>
      <c r="F929" s="19" t="s">
        <v>3454</v>
      </c>
    </row>
    <row r="930" spans="1:6" x14ac:dyDescent="0.25">
      <c r="A930" s="6" t="str">
        <f t="shared" si="25"/>
        <v>q114_1_africa</v>
      </c>
      <c r="B930" s="6" t="str">
        <f t="shared" si="26"/>
        <v>_africa</v>
      </c>
      <c r="C930" s="6" t="s">
        <v>369</v>
      </c>
      <c r="D930" s="15" t="s">
        <v>1905</v>
      </c>
      <c r="E930" s="6" t="s">
        <v>2044</v>
      </c>
      <c r="F930" s="19" t="s">
        <v>3455</v>
      </c>
    </row>
    <row r="931" spans="1:6" x14ac:dyDescent="0.25">
      <c r="A931" s="6" t="str">
        <f t="shared" si="25"/>
        <v>q114_2_africa</v>
      </c>
      <c r="B931" s="6" t="str">
        <f t="shared" si="26"/>
        <v>_africa</v>
      </c>
      <c r="C931" s="6" t="s">
        <v>370</v>
      </c>
      <c r="D931" s="15" t="s">
        <v>1905</v>
      </c>
      <c r="E931" s="6" t="s">
        <v>2045</v>
      </c>
      <c r="F931" s="19" t="s">
        <v>3456</v>
      </c>
    </row>
    <row r="932" spans="1:6" x14ac:dyDescent="0.25">
      <c r="A932" s="6" t="str">
        <f t="shared" si="25"/>
        <v>q114_3_africa</v>
      </c>
      <c r="B932" s="6" t="str">
        <f t="shared" si="26"/>
        <v>_africa</v>
      </c>
      <c r="C932" s="6" t="s">
        <v>371</v>
      </c>
      <c r="D932" s="15" t="s">
        <v>1905</v>
      </c>
      <c r="E932" s="6" t="s">
        <v>2046</v>
      </c>
      <c r="F932" s="19" t="s">
        <v>3457</v>
      </c>
    </row>
    <row r="933" spans="1:6" x14ac:dyDescent="0.25">
      <c r="A933" s="6" t="str">
        <f t="shared" si="25"/>
        <v>q114_4_africa</v>
      </c>
      <c r="B933" s="6" t="str">
        <f t="shared" si="26"/>
        <v>_africa</v>
      </c>
      <c r="C933" s="6" t="s">
        <v>372</v>
      </c>
      <c r="D933" s="15" t="s">
        <v>1905</v>
      </c>
      <c r="E933" s="6" t="s">
        <v>2047</v>
      </c>
      <c r="F933" s="19" t="s">
        <v>3458</v>
      </c>
    </row>
    <row r="934" spans="1:6" x14ac:dyDescent="0.25">
      <c r="A934" s="6" t="str">
        <f t="shared" si="25"/>
        <v>q114_5_africa</v>
      </c>
      <c r="B934" s="6" t="str">
        <f t="shared" si="26"/>
        <v>_africa</v>
      </c>
      <c r="C934" s="6" t="s">
        <v>373</v>
      </c>
      <c r="D934" s="15" t="s">
        <v>1905</v>
      </c>
      <c r="E934" s="6" t="s">
        <v>2048</v>
      </c>
      <c r="F934" s="19" t="s">
        <v>3459</v>
      </c>
    </row>
    <row r="935" spans="1:6" x14ac:dyDescent="0.25">
      <c r="A935" s="6" t="str">
        <f t="shared" si="25"/>
        <v>q114_6_africa</v>
      </c>
      <c r="B935" s="6" t="str">
        <f t="shared" si="26"/>
        <v>_africa</v>
      </c>
      <c r="C935" s="6" t="s">
        <v>374</v>
      </c>
      <c r="D935" s="15" t="s">
        <v>1905</v>
      </c>
      <c r="E935" s="6" t="s">
        <v>2049</v>
      </c>
      <c r="F935" s="19" t="s">
        <v>3460</v>
      </c>
    </row>
    <row r="936" spans="1:6" x14ac:dyDescent="0.25">
      <c r="A936" s="6" t="str">
        <f t="shared" si="25"/>
        <v>q11ROW4_hidden_africa</v>
      </c>
      <c r="B936" s="6" t="str">
        <f t="shared" si="26"/>
        <v>_africa</v>
      </c>
      <c r="C936" s="6" t="s">
        <v>375</v>
      </c>
      <c r="D936" s="15" t="s">
        <v>1905</v>
      </c>
      <c r="E936" s="11" t="s">
        <v>2074</v>
      </c>
      <c r="F936" s="19" t="s">
        <v>3461</v>
      </c>
    </row>
    <row r="937" spans="1:6" x14ac:dyDescent="0.25">
      <c r="A937" s="6" t="str">
        <f t="shared" si="25"/>
        <v>q115_1_africa</v>
      </c>
      <c r="B937" s="6" t="str">
        <f t="shared" si="26"/>
        <v>_africa</v>
      </c>
      <c r="C937" s="6" t="s">
        <v>376</v>
      </c>
      <c r="D937" s="15" t="s">
        <v>1905</v>
      </c>
      <c r="E937" s="6" t="s">
        <v>2051</v>
      </c>
      <c r="F937" s="19" t="s">
        <v>3462</v>
      </c>
    </row>
    <row r="938" spans="1:6" x14ac:dyDescent="0.25">
      <c r="A938" s="6" t="str">
        <f t="shared" si="25"/>
        <v>q115_2_africa</v>
      </c>
      <c r="B938" s="6" t="str">
        <f t="shared" si="26"/>
        <v>_africa</v>
      </c>
      <c r="C938" s="6" t="s">
        <v>377</v>
      </c>
      <c r="D938" s="15" t="s">
        <v>1905</v>
      </c>
      <c r="E938" s="6" t="s">
        <v>2052</v>
      </c>
      <c r="F938" s="19" t="s">
        <v>3463</v>
      </c>
    </row>
    <row r="939" spans="1:6" x14ac:dyDescent="0.25">
      <c r="A939" s="6" t="str">
        <f t="shared" si="25"/>
        <v>q115_3_africa</v>
      </c>
      <c r="B939" s="6" t="str">
        <f t="shared" si="26"/>
        <v>_africa</v>
      </c>
      <c r="C939" s="6" t="s">
        <v>378</v>
      </c>
      <c r="D939" s="15" t="s">
        <v>1905</v>
      </c>
      <c r="E939" s="6" t="s">
        <v>2053</v>
      </c>
      <c r="F939" s="19" t="s">
        <v>3464</v>
      </c>
    </row>
    <row r="940" spans="1:6" x14ac:dyDescent="0.25">
      <c r="A940" s="6" t="str">
        <f t="shared" si="25"/>
        <v>q115_4_africa</v>
      </c>
      <c r="B940" s="6" t="str">
        <f t="shared" si="26"/>
        <v>_africa</v>
      </c>
      <c r="C940" s="6" t="s">
        <v>379</v>
      </c>
      <c r="D940" s="15" t="s">
        <v>1905</v>
      </c>
      <c r="E940" s="6" t="s">
        <v>2054</v>
      </c>
      <c r="F940" s="19" t="s">
        <v>3465</v>
      </c>
    </row>
    <row r="941" spans="1:6" x14ac:dyDescent="0.25">
      <c r="A941" s="6" t="str">
        <f t="shared" si="25"/>
        <v>q115_5_africa</v>
      </c>
      <c r="B941" s="6" t="str">
        <f t="shared" si="26"/>
        <v>_africa</v>
      </c>
      <c r="C941" s="6" t="s">
        <v>380</v>
      </c>
      <c r="D941" s="15" t="s">
        <v>1905</v>
      </c>
      <c r="E941" s="6" t="s">
        <v>2055</v>
      </c>
      <c r="F941" s="19" t="s">
        <v>3466</v>
      </c>
    </row>
    <row r="942" spans="1:6" x14ac:dyDescent="0.25">
      <c r="A942" s="6" t="str">
        <f t="shared" si="25"/>
        <v>q115_6_africa</v>
      </c>
      <c r="B942" s="6" t="str">
        <f t="shared" si="26"/>
        <v>_africa</v>
      </c>
      <c r="C942" s="6" t="s">
        <v>381</v>
      </c>
      <c r="D942" s="15" t="s">
        <v>1905</v>
      </c>
      <c r="E942" s="6" t="s">
        <v>2056</v>
      </c>
      <c r="F942" s="19" t="s">
        <v>3467</v>
      </c>
    </row>
    <row r="943" spans="1:6" x14ac:dyDescent="0.25">
      <c r="A943" s="6" t="str">
        <f t="shared" si="25"/>
        <v>q11ROW5_hidden_africa</v>
      </c>
      <c r="B943" s="6" t="str">
        <f t="shared" si="26"/>
        <v>_africa</v>
      </c>
      <c r="C943" s="6" t="s">
        <v>382</v>
      </c>
      <c r="D943" s="15" t="s">
        <v>1905</v>
      </c>
      <c r="E943" s="11" t="s">
        <v>2057</v>
      </c>
      <c r="F943" s="19" t="s">
        <v>3468</v>
      </c>
    </row>
    <row r="944" spans="1:6" x14ac:dyDescent="0.25">
      <c r="A944" s="6" t="str">
        <f t="shared" si="25"/>
        <v>q11COL1_hidden_africa</v>
      </c>
      <c r="B944" s="6" t="str">
        <f t="shared" si="26"/>
        <v>_africa</v>
      </c>
      <c r="C944" s="6" t="s">
        <v>383</v>
      </c>
      <c r="D944" s="15" t="s">
        <v>1905</v>
      </c>
      <c r="E944" s="11" t="s">
        <v>1953</v>
      </c>
      <c r="F944" s="19" t="s">
        <v>3469</v>
      </c>
    </row>
    <row r="945" spans="1:6" x14ac:dyDescent="0.25">
      <c r="A945" s="6" t="str">
        <f t="shared" si="25"/>
        <v>q11COL2_hidden_africa</v>
      </c>
      <c r="B945" s="6" t="str">
        <f t="shared" si="26"/>
        <v>_africa</v>
      </c>
      <c r="C945" s="6" t="s">
        <v>384</v>
      </c>
      <c r="D945" s="15" t="s">
        <v>1905</v>
      </c>
      <c r="E945" s="11" t="s">
        <v>1954</v>
      </c>
      <c r="F945" s="19" t="s">
        <v>3470</v>
      </c>
    </row>
    <row r="946" spans="1:6" x14ac:dyDescent="0.25">
      <c r="A946" s="6" t="str">
        <f t="shared" si="25"/>
        <v>q11COL3_hidden_africa</v>
      </c>
      <c r="B946" s="6" t="str">
        <f t="shared" si="26"/>
        <v>_africa</v>
      </c>
      <c r="C946" s="6" t="s">
        <v>385</v>
      </c>
      <c r="D946" s="15" t="s">
        <v>1905</v>
      </c>
      <c r="E946" s="11" t="s">
        <v>1955</v>
      </c>
      <c r="F946" s="19" t="s">
        <v>3471</v>
      </c>
    </row>
    <row r="947" spans="1:6" x14ac:dyDescent="0.25">
      <c r="A947" s="6" t="str">
        <f t="shared" si="25"/>
        <v>q11COL4_hidden_africa</v>
      </c>
      <c r="B947" s="6" t="str">
        <f t="shared" si="26"/>
        <v>_africa</v>
      </c>
      <c r="C947" s="6" t="s">
        <v>386</v>
      </c>
      <c r="D947" s="15" t="s">
        <v>1905</v>
      </c>
      <c r="E947" s="11" t="s">
        <v>1956</v>
      </c>
      <c r="F947" s="19" t="s">
        <v>3472</v>
      </c>
    </row>
    <row r="948" spans="1:6" x14ac:dyDescent="0.25">
      <c r="A948" s="6" t="str">
        <f t="shared" si="25"/>
        <v>q11COL5_hidden_africa</v>
      </c>
      <c r="B948" s="6" t="str">
        <f t="shared" si="26"/>
        <v>_africa</v>
      </c>
      <c r="C948" s="6" t="s">
        <v>387</v>
      </c>
      <c r="D948" s="15" t="s">
        <v>1905</v>
      </c>
      <c r="E948" s="11" t="s">
        <v>1957</v>
      </c>
      <c r="F948" s="19" t="s">
        <v>3473</v>
      </c>
    </row>
    <row r="949" spans="1:6" x14ac:dyDescent="0.25">
      <c r="A949" s="6" t="str">
        <f t="shared" si="25"/>
        <v>q11COL6_hidden_africa</v>
      </c>
      <c r="B949" s="6" t="str">
        <f t="shared" si="26"/>
        <v>_africa</v>
      </c>
      <c r="C949" s="6" t="s">
        <v>388</v>
      </c>
      <c r="D949" s="15" t="s">
        <v>1905</v>
      </c>
      <c r="E949" s="11" t="s">
        <v>1958</v>
      </c>
      <c r="F949" s="19" t="s">
        <v>3474</v>
      </c>
    </row>
    <row r="950" spans="1:6" x14ac:dyDescent="0.25">
      <c r="A950" s="6" t="str">
        <f t="shared" si="25"/>
        <v>q11GRANDTotal_hidden_africa</v>
      </c>
      <c r="B950" s="6" t="str">
        <f t="shared" si="26"/>
        <v>_africa</v>
      </c>
      <c r="C950" s="6" t="s">
        <v>389</v>
      </c>
      <c r="D950" s="15" t="s">
        <v>1905</v>
      </c>
      <c r="E950" s="11" t="s">
        <v>2075</v>
      </c>
      <c r="F950" s="19" t="s">
        <v>3475</v>
      </c>
    </row>
  </sheetData>
  <pageMargins left="0.7" right="0.7" top="0.75" bottom="0.75" header="0.3" footer="0.3"/>
  <customProperties>
    <customPr name="layoutContexts" r:id="rId1"/>
    <customPr name="pages" r:id="rId2"/>
    <customPr name="screen" r:id="rId3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4B71D-3A43-453D-B479-C655055D17C1}">
  <sheetPr>
    <tabColor theme="8" tint="-0.499984740745262"/>
  </sheetPr>
  <dimension ref="A1:AIT216"/>
  <sheetViews>
    <sheetView zoomScale="80" zoomScaleNormal="80" workbookViewId="0">
      <selection activeCell="SL1" sqref="SL1"/>
    </sheetView>
  </sheetViews>
  <sheetFormatPr defaultRowHeight="12.75" x14ac:dyDescent="0.2"/>
  <cols>
    <col min="1" max="1" width="14" bestFit="1" customWidth="1"/>
    <col min="2" max="2" width="21" bestFit="1" customWidth="1"/>
    <col min="3" max="3" width="58.28515625" bestFit="1" customWidth="1"/>
    <col min="4" max="4" width="8" customWidth="1"/>
    <col min="5" max="5" width="21.85546875" customWidth="1"/>
    <col min="6" max="6" width="8" customWidth="1"/>
    <col min="7" max="7" width="24.140625" customWidth="1"/>
    <col min="8" max="8" width="13.7109375" customWidth="1"/>
    <col min="9" max="9" width="30.5703125" customWidth="1"/>
    <col min="10" max="10" width="8" customWidth="1"/>
    <col min="11" max="11" width="24" customWidth="1"/>
    <col min="12" max="12" width="13.85546875" customWidth="1"/>
    <col min="13" max="13" width="30.7109375" customWidth="1"/>
    <col min="14" max="14" width="8" customWidth="1"/>
    <col min="15" max="15" width="23" customWidth="1"/>
    <col min="16" max="16" width="12.42578125" customWidth="1"/>
    <col min="17" max="17" width="10" customWidth="1"/>
    <col min="18" max="18" width="8.5703125" customWidth="1"/>
    <col min="19" max="19" width="12.28515625" customWidth="1"/>
    <col min="20" max="20" width="8.140625" customWidth="1"/>
    <col min="21" max="21" width="11.28515625" customWidth="1"/>
    <col min="22" max="22" width="9.85546875" customWidth="1"/>
    <col min="23" max="23" width="16.140625" customWidth="1"/>
    <col min="24" max="24" width="15" customWidth="1"/>
    <col min="25" max="25" width="8.140625" customWidth="1"/>
    <col min="26" max="26" width="33.28515625" customWidth="1"/>
    <col min="27" max="27" width="52.5703125" customWidth="1"/>
    <col min="28" max="28" width="58" customWidth="1"/>
    <col min="29" max="29" width="43.140625" customWidth="1"/>
    <col min="30" max="30" width="21.42578125" customWidth="1"/>
    <col min="31" max="31" width="19.42578125" customWidth="1"/>
    <col min="32" max="32" width="10" customWidth="1"/>
    <col min="33" max="33" width="15.28515625" hidden="1" customWidth="1"/>
    <col min="34" max="34" width="3.28515625" hidden="1" customWidth="1"/>
    <col min="35" max="35" width="5.5703125" hidden="1" customWidth="1"/>
    <col min="36" max="36" width="72.5703125" hidden="1" customWidth="1"/>
    <col min="37" max="37" width="20.42578125" hidden="1" customWidth="1"/>
    <col min="38" max="38" width="25.140625" hidden="1" customWidth="1"/>
    <col min="39" max="39" width="20.42578125" hidden="1" customWidth="1"/>
    <col min="40" max="40" width="25.140625" hidden="1" customWidth="1"/>
    <col min="41" max="43" width="7.140625" hidden="1" customWidth="1"/>
    <col min="44" max="44" width="10.28515625" hidden="1" customWidth="1"/>
    <col min="45" max="45" width="6.42578125" hidden="1" customWidth="1"/>
    <col min="46" max="46" width="7.140625" hidden="1" customWidth="1"/>
    <col min="47" max="47" width="16.42578125" hidden="1" customWidth="1"/>
    <col min="48" max="48" width="9.28515625" hidden="1" customWidth="1"/>
    <col min="49" max="49" width="8.140625" hidden="1" customWidth="1"/>
    <col min="50" max="50" width="6.42578125" hidden="1" customWidth="1"/>
    <col min="51" max="51" width="8.140625" hidden="1" customWidth="1"/>
    <col min="52" max="52" width="10.28515625" hidden="1" customWidth="1"/>
    <col min="53" max="53" width="6.42578125" hidden="1" customWidth="1"/>
    <col min="54" max="54" width="16.42578125" hidden="1" customWidth="1"/>
    <col min="55" max="55" width="10.28515625" hidden="1" customWidth="1"/>
    <col min="56" max="56" width="7.140625" hidden="1" customWidth="1"/>
    <col min="57" max="57" width="6.42578125" hidden="1" customWidth="1"/>
    <col min="58" max="58" width="8.140625" hidden="1" customWidth="1"/>
    <col min="59" max="59" width="6.42578125" hidden="1" customWidth="1"/>
    <col min="60" max="60" width="9.28515625" hidden="1" customWidth="1"/>
    <col min="61" max="61" width="16.42578125" hidden="1" customWidth="1"/>
    <col min="62" max="65" width="6.42578125" hidden="1" customWidth="1"/>
    <col min="66" max="66" width="10.28515625" hidden="1" customWidth="1"/>
    <col min="67" max="67" width="7.140625" hidden="1" customWidth="1"/>
    <col min="68" max="68" width="16.42578125" hidden="1" customWidth="1"/>
    <col min="69" max="74" width="6.42578125" hidden="1" customWidth="1"/>
    <col min="75" max="75" width="16.42578125" hidden="1" customWidth="1"/>
    <col min="76" max="81" width="6.42578125" hidden="1" customWidth="1"/>
    <col min="82" max="82" width="16.42578125" hidden="1" customWidth="1"/>
    <col min="83" max="88" width="15.28515625" hidden="1" customWidth="1"/>
    <col min="89" max="89" width="22.42578125" hidden="1" customWidth="1"/>
    <col min="90" max="95" width="6.42578125" hidden="1" customWidth="1"/>
    <col min="96" max="96" width="16.42578125" hidden="1" customWidth="1"/>
    <col min="97" max="102" width="6.42578125" hidden="1" customWidth="1"/>
    <col min="103" max="103" width="16.42578125" hidden="1" customWidth="1"/>
    <col min="104" max="109" width="6.42578125" hidden="1" customWidth="1"/>
    <col min="110" max="110" width="16.42578125" hidden="1" customWidth="1"/>
    <col min="111" max="116" width="6.42578125" hidden="1" customWidth="1"/>
    <col min="117" max="117" width="16.42578125" hidden="1" customWidth="1"/>
    <col min="118" max="123" width="6.42578125" hidden="1" customWidth="1"/>
    <col min="124" max="124" width="16.42578125" hidden="1" customWidth="1"/>
    <col min="125" max="130" width="6.42578125" hidden="1" customWidth="1"/>
    <col min="131" max="131" width="16.42578125" hidden="1" customWidth="1"/>
    <col min="132" max="137" width="15.28515625" hidden="1" customWidth="1"/>
    <col min="138" max="138" width="22.42578125" hidden="1" customWidth="1"/>
    <col min="139" max="174" width="9.5703125" hidden="1" customWidth="1"/>
    <col min="175" max="175" width="8.140625" hidden="1" customWidth="1"/>
    <col min="176" max="177" width="7.140625" hidden="1" customWidth="1"/>
    <col min="178" max="178" width="10.28515625" hidden="1" customWidth="1"/>
    <col min="179" max="180" width="6.42578125" hidden="1" customWidth="1"/>
    <col min="181" max="181" width="16.42578125" hidden="1" customWidth="1"/>
    <col min="182" max="182" width="8.140625" hidden="1" customWidth="1"/>
    <col min="183" max="183" width="7.140625" hidden="1" customWidth="1"/>
    <col min="184" max="184" width="6.42578125" hidden="1" customWidth="1"/>
    <col min="185" max="185" width="10.28515625" hidden="1" customWidth="1"/>
    <col min="186" max="186" width="6.42578125" hidden="1" customWidth="1"/>
    <col min="187" max="187" width="9.28515625" hidden="1" customWidth="1"/>
    <col min="188" max="188" width="16.42578125" hidden="1" customWidth="1"/>
    <col min="189" max="189" width="7.140625" hidden="1" customWidth="1"/>
    <col min="190" max="191" width="6.42578125" hidden="1" customWidth="1"/>
    <col min="192" max="192" width="8.140625" hidden="1" customWidth="1"/>
    <col min="193" max="194" width="6.42578125" hidden="1" customWidth="1"/>
    <col min="195" max="195" width="16.42578125" hidden="1" customWidth="1"/>
    <col min="196" max="196" width="7.140625" hidden="1" customWidth="1"/>
    <col min="197" max="198" width="6.42578125" hidden="1" customWidth="1"/>
    <col min="199" max="200" width="7.140625" hidden="1" customWidth="1"/>
    <col min="201" max="201" width="6.42578125" hidden="1" customWidth="1"/>
    <col min="202" max="202" width="16.42578125" hidden="1" customWidth="1"/>
    <col min="203" max="203" width="9.28515625" hidden="1" customWidth="1"/>
    <col min="204" max="208" width="6.42578125" hidden="1" customWidth="1"/>
    <col min="209" max="209" width="16.42578125" hidden="1" customWidth="1"/>
    <col min="210" max="210" width="8.140625" hidden="1" customWidth="1"/>
    <col min="211" max="212" width="6.42578125" hidden="1" customWidth="1"/>
    <col min="213" max="214" width="10.28515625" hidden="1" customWidth="1"/>
    <col min="215" max="215" width="6.42578125" hidden="1" customWidth="1"/>
    <col min="216" max="216" width="16.42578125" hidden="1" customWidth="1"/>
    <col min="217" max="217" width="9.28515625" hidden="1" customWidth="1"/>
    <col min="218" max="219" width="6.42578125" hidden="1" customWidth="1"/>
    <col min="220" max="220" width="9.28515625" hidden="1" customWidth="1"/>
    <col min="221" max="222" width="6.42578125" hidden="1" customWidth="1"/>
    <col min="223" max="223" width="16.42578125" hidden="1" customWidth="1"/>
    <col min="224" max="224" width="71.42578125" hidden="1" customWidth="1"/>
    <col min="225" max="225" width="10.28515625" hidden="1" customWidth="1"/>
    <col min="226" max="226" width="8.140625" hidden="1" customWidth="1"/>
    <col min="227" max="227" width="6.42578125" hidden="1" customWidth="1"/>
    <col min="228" max="228" width="10.28515625" hidden="1" customWidth="1"/>
    <col min="229" max="229" width="8.140625" hidden="1" customWidth="1"/>
    <col min="230" max="230" width="9.28515625" hidden="1" customWidth="1"/>
    <col min="231" max="231" width="16.42578125" hidden="1" customWidth="1"/>
    <col min="232" max="237" width="15.28515625" hidden="1" customWidth="1"/>
    <col min="238" max="238" width="22.42578125" hidden="1" customWidth="1"/>
    <col min="239" max="239" width="9.28515625" hidden="1" customWidth="1"/>
    <col min="240" max="241" width="7.140625" hidden="1" customWidth="1"/>
    <col min="242" max="243" width="10.28515625" hidden="1" customWidth="1"/>
    <col min="244" max="244" width="9.28515625" hidden="1" customWidth="1"/>
    <col min="245" max="245" width="16.42578125" hidden="1" customWidth="1"/>
    <col min="246" max="246" width="9.28515625" hidden="1" customWidth="1"/>
    <col min="247" max="247" width="8.140625" hidden="1" customWidth="1"/>
    <col min="248" max="248" width="6.42578125" hidden="1" customWidth="1"/>
    <col min="249" max="250" width="10.28515625" hidden="1" customWidth="1"/>
    <col min="251" max="251" width="6.42578125" hidden="1" customWidth="1"/>
    <col min="252" max="252" width="16.42578125" hidden="1" customWidth="1"/>
    <col min="253" max="253" width="10.28515625" hidden="1" customWidth="1"/>
    <col min="254" max="254" width="7.140625" hidden="1" customWidth="1"/>
    <col min="255" max="255" width="6.42578125" hidden="1" customWidth="1"/>
    <col min="256" max="256" width="10.28515625" hidden="1" customWidth="1"/>
    <col min="257" max="257" width="6.42578125" hidden="1" customWidth="1"/>
    <col min="258" max="258" width="7.140625" hidden="1" customWidth="1"/>
    <col min="259" max="259" width="16.42578125" hidden="1" customWidth="1"/>
    <col min="260" max="262" width="6.42578125" hidden="1" customWidth="1"/>
    <col min="263" max="263" width="9.28515625" hidden="1" customWidth="1"/>
    <col min="264" max="265" width="6.42578125" hidden="1" customWidth="1"/>
    <col min="266" max="266" width="16.42578125" hidden="1" customWidth="1"/>
    <col min="267" max="269" width="6.42578125" hidden="1" customWidth="1"/>
    <col min="270" max="270" width="8.140625" hidden="1" customWidth="1"/>
    <col min="271" max="272" width="6.42578125" hidden="1" customWidth="1"/>
    <col min="273" max="273" width="16.42578125" hidden="1" customWidth="1"/>
    <col min="274" max="279" width="15.28515625" hidden="1" customWidth="1"/>
    <col min="280" max="280" width="22.42578125" hidden="1" customWidth="1"/>
    <col min="281" max="282" width="5.5703125" hidden="1" customWidth="1"/>
    <col min="283" max="283" width="6.140625" hidden="1" customWidth="1"/>
    <col min="284" max="284" width="50.28515625" hidden="1" customWidth="1"/>
    <col min="285" max="285" width="6.140625" hidden="1" customWidth="1"/>
    <col min="286" max="287" width="5.5703125" hidden="1" customWidth="1"/>
    <col min="288" max="288" width="5.5703125" bestFit="1" customWidth="1"/>
    <col min="289" max="289" width="18.28515625" bestFit="1" customWidth="1"/>
    <col min="290" max="295" width="7.42578125" bestFit="1" customWidth="1"/>
    <col min="296" max="296" width="17.5703125" bestFit="1" customWidth="1"/>
    <col min="297" max="302" width="7.42578125" bestFit="1" customWidth="1"/>
    <col min="303" max="303" width="17.5703125" bestFit="1" customWidth="1"/>
    <col min="304" max="309" width="7.42578125" bestFit="1" customWidth="1"/>
    <col min="310" max="310" width="17.5703125" bestFit="1" customWidth="1"/>
    <col min="311" max="316" width="7.42578125" bestFit="1" customWidth="1"/>
    <col min="317" max="317" width="17.5703125" bestFit="1" customWidth="1"/>
    <col min="318" max="323" width="7.42578125" bestFit="1" customWidth="1"/>
    <col min="324" max="324" width="17.5703125" bestFit="1" customWidth="1"/>
    <col min="325" max="330" width="7.42578125" bestFit="1" customWidth="1"/>
    <col min="331" max="331" width="17.5703125" bestFit="1" customWidth="1"/>
    <col min="332" max="337" width="7.42578125" bestFit="1" customWidth="1"/>
    <col min="338" max="338" width="17.5703125" bestFit="1" customWidth="1"/>
    <col min="339" max="339" width="51.85546875" bestFit="1" customWidth="1"/>
    <col min="340" max="342" width="7.42578125" bestFit="1" customWidth="1"/>
    <col min="343" max="343" width="9.28515625" bestFit="1" customWidth="1"/>
    <col min="344" max="345" width="7.42578125" bestFit="1" customWidth="1"/>
    <col min="346" max="346" width="17.5703125" bestFit="1" customWidth="1"/>
    <col min="347" max="352" width="16.28515625" bestFit="1" customWidth="1"/>
    <col min="353" max="353" width="23.5703125" bestFit="1" customWidth="1"/>
    <col min="354" max="359" width="7.42578125" bestFit="1" customWidth="1"/>
    <col min="360" max="360" width="17.5703125" bestFit="1" customWidth="1"/>
    <col min="361" max="363" width="7.42578125" bestFit="1" customWidth="1"/>
    <col min="364" max="364" width="9.28515625" bestFit="1" customWidth="1"/>
    <col min="365" max="366" width="7.42578125" bestFit="1" customWidth="1"/>
    <col min="367" max="367" width="17.5703125" bestFit="1" customWidth="1"/>
    <col min="368" max="373" width="7.42578125" bestFit="1" customWidth="1"/>
    <col min="374" max="374" width="17.5703125" bestFit="1" customWidth="1"/>
    <col min="375" max="380" width="7.42578125" bestFit="1" customWidth="1"/>
    <col min="381" max="381" width="17.5703125" bestFit="1" customWidth="1"/>
    <col min="382" max="387" width="7.42578125" bestFit="1" customWidth="1"/>
    <col min="388" max="388" width="17.5703125" bestFit="1" customWidth="1"/>
    <col min="389" max="394" width="16.28515625" bestFit="1" customWidth="1"/>
    <col min="395" max="395" width="23.5703125" bestFit="1" customWidth="1"/>
    <col min="396" max="396" width="14.140625" bestFit="1" customWidth="1"/>
    <col min="397" max="397" width="8.140625" bestFit="1" customWidth="1"/>
    <col min="398" max="399" width="7.42578125" bestFit="1" customWidth="1"/>
    <col min="400" max="400" width="9.28515625" bestFit="1" customWidth="1"/>
    <col min="401" max="402" width="7.42578125" bestFit="1" customWidth="1"/>
    <col min="403" max="403" width="17.5703125" bestFit="1" customWidth="1"/>
    <col min="404" max="404" width="8.140625" bestFit="1" customWidth="1"/>
    <col min="405" max="409" width="7.42578125" bestFit="1" customWidth="1"/>
    <col min="410" max="410" width="17.5703125" bestFit="1" customWidth="1"/>
    <col min="411" max="416" width="7.42578125" bestFit="1" customWidth="1"/>
    <col min="417" max="417" width="17.5703125" bestFit="1" customWidth="1"/>
    <col min="418" max="423" width="7.42578125" bestFit="1" customWidth="1"/>
    <col min="424" max="424" width="17.5703125" bestFit="1" customWidth="1"/>
    <col min="425" max="430" width="7.42578125" bestFit="1" customWidth="1"/>
    <col min="431" max="431" width="17.5703125" bestFit="1" customWidth="1"/>
    <col min="432" max="432" width="8.140625" bestFit="1" customWidth="1"/>
    <col min="433" max="434" width="7.42578125" bestFit="1" customWidth="1"/>
    <col min="435" max="435" width="8.140625" bestFit="1" customWidth="1"/>
    <col min="436" max="437" width="7.42578125" bestFit="1" customWidth="1"/>
    <col min="438" max="438" width="17.5703125" bestFit="1" customWidth="1"/>
    <col min="439" max="441" width="7.42578125" bestFit="1" customWidth="1"/>
    <col min="442" max="442" width="8.140625" bestFit="1" customWidth="1"/>
    <col min="443" max="444" width="7.42578125" bestFit="1" customWidth="1"/>
    <col min="445" max="445" width="17.5703125" bestFit="1" customWidth="1"/>
    <col min="446" max="446" width="51.85546875" bestFit="1" customWidth="1"/>
    <col min="447" max="449" width="7.42578125" bestFit="1" customWidth="1"/>
    <col min="450" max="450" width="10.28515625" bestFit="1" customWidth="1"/>
    <col min="451" max="452" width="7.42578125" bestFit="1" customWidth="1"/>
    <col min="453" max="453" width="17.5703125" bestFit="1" customWidth="1"/>
    <col min="454" max="459" width="16.28515625" bestFit="1" customWidth="1"/>
    <col min="460" max="460" width="23.5703125" bestFit="1" customWidth="1"/>
    <col min="461" max="461" width="9.28515625" bestFit="1" customWidth="1"/>
    <col min="462" max="463" width="7.42578125" bestFit="1" customWidth="1"/>
    <col min="464" max="464" width="10.28515625" bestFit="1" customWidth="1"/>
    <col min="465" max="466" width="7.42578125" bestFit="1" customWidth="1"/>
    <col min="467" max="467" width="17.5703125" bestFit="1" customWidth="1"/>
    <col min="468" max="468" width="9.28515625" bestFit="1" customWidth="1"/>
    <col min="469" max="470" width="7.42578125" bestFit="1" customWidth="1"/>
    <col min="471" max="471" width="10.28515625" bestFit="1" customWidth="1"/>
    <col min="472" max="473" width="7.42578125" bestFit="1" customWidth="1"/>
    <col min="474" max="474" width="17.5703125" bestFit="1" customWidth="1"/>
    <col min="475" max="477" width="7.42578125" bestFit="1" customWidth="1"/>
    <col min="478" max="478" width="8.140625" bestFit="1" customWidth="1"/>
    <col min="479" max="480" width="7.42578125" bestFit="1" customWidth="1"/>
    <col min="481" max="481" width="17.5703125" bestFit="1" customWidth="1"/>
    <col min="482" max="487" width="7.42578125" bestFit="1" customWidth="1"/>
    <col min="488" max="488" width="17.5703125" bestFit="1" customWidth="1"/>
    <col min="489" max="494" width="7.42578125" bestFit="1" customWidth="1"/>
    <col min="495" max="495" width="17.5703125" bestFit="1" customWidth="1"/>
    <col min="496" max="501" width="16.28515625" bestFit="1" customWidth="1"/>
    <col min="502" max="502" width="23.5703125" bestFit="1" customWidth="1"/>
    <col min="503" max="503" width="20.85546875" bestFit="1" customWidth="1"/>
    <col min="504" max="504" width="8.140625" bestFit="1" customWidth="1"/>
    <col min="505" max="506" width="7.42578125" bestFit="1" customWidth="1"/>
    <col min="507" max="507" width="9.28515625" bestFit="1" customWidth="1"/>
    <col min="508" max="509" width="7.42578125" bestFit="1" customWidth="1"/>
    <col min="510" max="510" width="17.5703125" bestFit="1" customWidth="1"/>
    <col min="511" max="513" width="7.42578125" bestFit="1" customWidth="1"/>
    <col min="514" max="514" width="9.28515625" bestFit="1" customWidth="1"/>
    <col min="515" max="515" width="7.42578125" bestFit="1" customWidth="1"/>
    <col min="516" max="516" width="9.28515625" bestFit="1" customWidth="1"/>
    <col min="517" max="517" width="17.5703125" bestFit="1" customWidth="1"/>
    <col min="518" max="520" width="7.42578125" bestFit="1" customWidth="1"/>
    <col min="521" max="521" width="8.140625" bestFit="1" customWidth="1"/>
    <col min="522" max="523" width="7.42578125" bestFit="1" customWidth="1"/>
    <col min="524" max="524" width="17.5703125" bestFit="1" customWidth="1"/>
    <col min="525" max="530" width="7.42578125" bestFit="1" customWidth="1"/>
    <col min="531" max="531" width="17.5703125" bestFit="1" customWidth="1"/>
    <col min="532" max="537" width="7.42578125" bestFit="1" customWidth="1"/>
    <col min="538" max="538" width="17.5703125" bestFit="1" customWidth="1"/>
    <col min="539" max="541" width="7.42578125" bestFit="1" customWidth="1"/>
    <col min="542" max="542" width="10.28515625" bestFit="1" customWidth="1"/>
    <col min="543" max="544" width="7.42578125" bestFit="1" customWidth="1"/>
    <col min="545" max="545" width="17.5703125" bestFit="1" customWidth="1"/>
    <col min="546" max="548" width="7.42578125" bestFit="1" customWidth="1"/>
    <col min="549" max="549" width="9.28515625" bestFit="1" customWidth="1"/>
    <col min="550" max="551" width="7.42578125" bestFit="1" customWidth="1"/>
    <col min="552" max="552" width="17.5703125" bestFit="1" customWidth="1"/>
    <col min="553" max="553" width="69.42578125" bestFit="1" customWidth="1"/>
    <col min="554" max="554" width="7.42578125" bestFit="1" customWidth="1"/>
    <col min="555" max="555" width="8.140625" bestFit="1" customWidth="1"/>
    <col min="556" max="556" width="7.42578125" bestFit="1" customWidth="1"/>
    <col min="557" max="557" width="10.28515625" bestFit="1" customWidth="1"/>
    <col min="558" max="558" width="7.42578125" bestFit="1" customWidth="1"/>
    <col min="559" max="559" width="9.28515625" bestFit="1" customWidth="1"/>
    <col min="560" max="560" width="17.5703125" bestFit="1" customWidth="1"/>
    <col min="561" max="566" width="16.28515625" bestFit="1" customWidth="1"/>
    <col min="567" max="567" width="23.5703125" bestFit="1" customWidth="1"/>
    <col min="568" max="573" width="7.42578125" bestFit="1" customWidth="1"/>
    <col min="574" max="574" width="17.5703125" bestFit="1" customWidth="1"/>
    <col min="575" max="577" width="7.42578125" bestFit="1" customWidth="1"/>
    <col min="578" max="578" width="9.28515625" bestFit="1" customWidth="1"/>
    <col min="579" max="579" width="7.42578125" bestFit="1" customWidth="1"/>
    <col min="580" max="580" width="9.28515625" bestFit="1" customWidth="1"/>
    <col min="581" max="581" width="17.5703125" bestFit="1" customWidth="1"/>
    <col min="582" max="583" width="8.140625" bestFit="1" customWidth="1"/>
    <col min="584" max="584" width="7.42578125" bestFit="1" customWidth="1"/>
    <col min="585" max="585" width="10.28515625" bestFit="1" customWidth="1"/>
    <col min="586" max="587" width="7.42578125" bestFit="1" customWidth="1"/>
    <col min="588" max="588" width="17.5703125" bestFit="1" customWidth="1"/>
    <col min="589" max="591" width="7.42578125" bestFit="1" customWidth="1"/>
    <col min="592" max="592" width="9.28515625" bestFit="1" customWidth="1"/>
    <col min="593" max="594" width="7.42578125" bestFit="1" customWidth="1"/>
    <col min="595" max="595" width="17.5703125" bestFit="1" customWidth="1"/>
    <col min="596" max="598" width="7.42578125" bestFit="1" customWidth="1"/>
    <col min="599" max="599" width="8.140625" bestFit="1" customWidth="1"/>
    <col min="600" max="601" width="7.42578125" bestFit="1" customWidth="1"/>
    <col min="602" max="602" width="17.5703125" bestFit="1" customWidth="1"/>
    <col min="603" max="608" width="16.28515625" bestFit="1" customWidth="1"/>
    <col min="609" max="609" width="23.5703125" bestFit="1" customWidth="1"/>
    <col min="610" max="610" width="13.85546875" bestFit="1" customWidth="1"/>
    <col min="611" max="616" width="7.42578125" bestFit="1" customWidth="1"/>
    <col min="617" max="617" width="17.5703125" bestFit="1" customWidth="1"/>
    <col min="618" max="623" width="7.42578125" bestFit="1" customWidth="1"/>
    <col min="624" max="624" width="17.5703125" bestFit="1" customWidth="1"/>
    <col min="625" max="630" width="7.42578125" bestFit="1" customWidth="1"/>
    <col min="631" max="631" width="17.5703125" bestFit="1" customWidth="1"/>
    <col min="632" max="637" width="7.42578125" bestFit="1" customWidth="1"/>
    <col min="638" max="638" width="17.5703125" bestFit="1" customWidth="1"/>
    <col min="639" max="644" width="7.42578125" bestFit="1" customWidth="1"/>
    <col min="645" max="645" width="17.5703125" bestFit="1" customWidth="1"/>
    <col min="646" max="651" width="7.42578125" bestFit="1" customWidth="1"/>
    <col min="652" max="652" width="17.5703125" bestFit="1" customWidth="1"/>
    <col min="653" max="658" width="7.42578125" bestFit="1" customWidth="1"/>
    <col min="659" max="659" width="17.5703125" bestFit="1" customWidth="1"/>
    <col min="660" max="660" width="9.28515625" bestFit="1" customWidth="1"/>
    <col min="661" max="664" width="7.42578125" bestFit="1" customWidth="1"/>
    <col min="665" max="665" width="8.140625" bestFit="1" customWidth="1"/>
    <col min="666" max="666" width="7.42578125" bestFit="1" customWidth="1"/>
    <col min="667" max="667" width="17.5703125" bestFit="1" customWidth="1"/>
    <col min="668" max="673" width="16.28515625" bestFit="1" customWidth="1"/>
    <col min="674" max="674" width="23.5703125" bestFit="1" customWidth="1"/>
    <col min="675" max="680" width="7.42578125" bestFit="1" customWidth="1"/>
    <col min="681" max="681" width="17.5703125" bestFit="1" customWidth="1"/>
    <col min="682" max="685" width="7.42578125" bestFit="1" customWidth="1"/>
    <col min="686" max="686" width="8.140625" bestFit="1" customWidth="1"/>
    <col min="687" max="687" width="7.42578125" bestFit="1" customWidth="1"/>
    <col min="688" max="688" width="17.5703125" bestFit="1" customWidth="1"/>
    <col min="689" max="694" width="7.42578125" bestFit="1" customWidth="1"/>
    <col min="695" max="695" width="17.5703125" bestFit="1" customWidth="1"/>
    <col min="696" max="701" width="7.42578125" bestFit="1" customWidth="1"/>
    <col min="702" max="702" width="17.5703125" bestFit="1" customWidth="1"/>
    <col min="703" max="708" width="7.42578125" bestFit="1" customWidth="1"/>
    <col min="709" max="709" width="17.5703125" bestFit="1" customWidth="1"/>
    <col min="710" max="715" width="16.28515625" bestFit="1" customWidth="1"/>
    <col min="716" max="716" width="23.5703125" bestFit="1" customWidth="1"/>
    <col min="717" max="717" width="22" bestFit="1" customWidth="1"/>
    <col min="718" max="723" width="7.42578125" bestFit="1" customWidth="1"/>
    <col min="724" max="724" width="17.5703125" bestFit="1" customWidth="1"/>
    <col min="725" max="730" width="7.42578125" bestFit="1" customWidth="1"/>
    <col min="731" max="731" width="17.5703125" bestFit="1" customWidth="1"/>
    <col min="732" max="737" width="7.42578125" bestFit="1" customWidth="1"/>
    <col min="738" max="738" width="17.5703125" bestFit="1" customWidth="1"/>
    <col min="739" max="744" width="7.42578125" bestFit="1" customWidth="1"/>
    <col min="745" max="745" width="17.5703125" bestFit="1" customWidth="1"/>
    <col min="746" max="751" width="7.42578125" bestFit="1" customWidth="1"/>
    <col min="752" max="752" width="17.5703125" bestFit="1" customWidth="1"/>
    <col min="753" max="758" width="7.42578125" bestFit="1" customWidth="1"/>
    <col min="759" max="759" width="17.5703125" bestFit="1" customWidth="1"/>
    <col min="760" max="765" width="7.42578125" bestFit="1" customWidth="1"/>
    <col min="766" max="766" width="17.5703125" bestFit="1" customWidth="1"/>
    <col min="767" max="767" width="9.28515625" bestFit="1" customWidth="1"/>
    <col min="768" max="773" width="7.42578125" bestFit="1" customWidth="1"/>
    <col min="774" max="774" width="17.5703125" bestFit="1" customWidth="1"/>
    <col min="775" max="780" width="16.28515625" bestFit="1" customWidth="1"/>
    <col min="781" max="781" width="23.5703125" bestFit="1" customWidth="1"/>
    <col min="782" max="787" width="7.42578125" bestFit="1" customWidth="1"/>
    <col min="788" max="788" width="17.5703125" bestFit="1" customWidth="1"/>
    <col min="789" max="794" width="7.42578125" bestFit="1" customWidth="1"/>
    <col min="795" max="795" width="17.5703125" bestFit="1" customWidth="1"/>
    <col min="796" max="801" width="7.42578125" bestFit="1" customWidth="1"/>
    <col min="802" max="802" width="17.5703125" bestFit="1" customWidth="1"/>
    <col min="803" max="808" width="7.42578125" bestFit="1" customWidth="1"/>
    <col min="809" max="809" width="17.5703125" bestFit="1" customWidth="1"/>
    <col min="810" max="815" width="7.42578125" bestFit="1" customWidth="1"/>
    <col min="816" max="816" width="17.5703125" bestFit="1" customWidth="1"/>
    <col min="817" max="822" width="16.28515625" bestFit="1" customWidth="1"/>
    <col min="823" max="823" width="23.5703125" bestFit="1" customWidth="1"/>
    <col min="824" max="824" width="12.7109375" bestFit="1" customWidth="1"/>
    <col min="825" max="830" width="7.42578125" bestFit="1" customWidth="1"/>
    <col min="831" max="831" width="17.5703125" bestFit="1" customWidth="1"/>
    <col min="832" max="837" width="7.42578125" bestFit="1" customWidth="1"/>
    <col min="838" max="838" width="17.5703125" bestFit="1" customWidth="1"/>
    <col min="839" max="844" width="7.42578125" bestFit="1" customWidth="1"/>
    <col min="845" max="845" width="17.5703125" bestFit="1" customWidth="1"/>
    <col min="846" max="851" width="7.42578125" bestFit="1" customWidth="1"/>
    <col min="852" max="852" width="17.5703125" bestFit="1" customWidth="1"/>
    <col min="853" max="858" width="7.42578125" bestFit="1" customWidth="1"/>
    <col min="859" max="859" width="17.5703125" bestFit="1" customWidth="1"/>
    <col min="860" max="865" width="7.42578125" bestFit="1" customWidth="1"/>
    <col min="866" max="866" width="17.5703125" bestFit="1" customWidth="1"/>
    <col min="867" max="872" width="7.42578125" bestFit="1" customWidth="1"/>
    <col min="873" max="873" width="17.5703125" bestFit="1" customWidth="1"/>
    <col min="874" max="874" width="9.28515625" bestFit="1" customWidth="1"/>
    <col min="875" max="880" width="7.42578125" bestFit="1" customWidth="1"/>
    <col min="881" max="881" width="17.5703125" bestFit="1" customWidth="1"/>
    <col min="882" max="887" width="16.28515625" bestFit="1" customWidth="1"/>
    <col min="888" max="888" width="23.5703125" bestFit="1" customWidth="1"/>
    <col min="889" max="894" width="7.42578125" bestFit="1" customWidth="1"/>
    <col min="895" max="895" width="17.5703125" bestFit="1" customWidth="1"/>
    <col min="896" max="901" width="7.42578125" bestFit="1" customWidth="1"/>
    <col min="902" max="902" width="17.5703125" bestFit="1" customWidth="1"/>
    <col min="903" max="908" width="7.42578125" bestFit="1" customWidth="1"/>
    <col min="909" max="909" width="17.5703125" bestFit="1" customWidth="1"/>
    <col min="910" max="915" width="7.42578125" bestFit="1" customWidth="1"/>
    <col min="916" max="916" width="17.5703125" bestFit="1" customWidth="1"/>
    <col min="917" max="922" width="7.42578125" bestFit="1" customWidth="1"/>
    <col min="923" max="923" width="17.5703125" bestFit="1" customWidth="1"/>
    <col min="924" max="929" width="16.28515625" bestFit="1" customWidth="1"/>
    <col min="930" max="930" width="23.5703125" bestFit="1" customWidth="1"/>
  </cols>
  <sheetData>
    <row r="1" spans="1:930" x14ac:dyDescent="0.2">
      <c r="A1" t="s">
        <v>0</v>
      </c>
      <c r="B1" t="s">
        <v>3477</v>
      </c>
      <c r="C1" t="s">
        <v>3478</v>
      </c>
      <c r="D1" t="s">
        <v>3479</v>
      </c>
      <c r="E1" t="s">
        <v>3480</v>
      </c>
      <c r="F1" t="s">
        <v>3481</v>
      </c>
      <c r="G1" t="s">
        <v>3482</v>
      </c>
      <c r="H1" t="s">
        <v>3483</v>
      </c>
      <c r="I1" t="s">
        <v>3484</v>
      </c>
      <c r="J1" t="s">
        <v>3485</v>
      </c>
      <c r="K1" t="s">
        <v>3486</v>
      </c>
      <c r="L1" t="s">
        <v>3487</v>
      </c>
      <c r="M1" t="s">
        <v>3488</v>
      </c>
      <c r="N1" t="s">
        <v>3489</v>
      </c>
      <c r="O1" t="s">
        <v>3490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  <c r="DC1" t="s">
        <v>101</v>
      </c>
      <c r="DD1" t="s">
        <v>102</v>
      </c>
      <c r="DE1" t="s">
        <v>103</v>
      </c>
      <c r="DF1" t="s">
        <v>104</v>
      </c>
      <c r="DG1" t="s">
        <v>105</v>
      </c>
      <c r="DH1" t="s">
        <v>106</v>
      </c>
      <c r="DI1" t="s">
        <v>107</v>
      </c>
      <c r="DJ1" t="s">
        <v>108</v>
      </c>
      <c r="DK1" t="s">
        <v>109</v>
      </c>
      <c r="DL1" t="s">
        <v>110</v>
      </c>
      <c r="DM1" t="s">
        <v>111</v>
      </c>
      <c r="DN1" t="s">
        <v>112</v>
      </c>
      <c r="DO1" t="s">
        <v>113</v>
      </c>
      <c r="DP1" t="s">
        <v>114</v>
      </c>
      <c r="DQ1" t="s">
        <v>115</v>
      </c>
      <c r="DR1" t="s">
        <v>116</v>
      </c>
      <c r="DS1" t="s">
        <v>117</v>
      </c>
      <c r="DT1" t="s">
        <v>118</v>
      </c>
      <c r="DU1" t="s">
        <v>119</v>
      </c>
      <c r="DV1" t="s">
        <v>120</v>
      </c>
      <c r="DW1" t="s">
        <v>121</v>
      </c>
      <c r="DX1" t="s">
        <v>122</v>
      </c>
      <c r="DY1" t="s">
        <v>123</v>
      </c>
      <c r="DZ1" t="s">
        <v>124</v>
      </c>
      <c r="EA1" t="s">
        <v>125</v>
      </c>
      <c r="EB1" t="s">
        <v>126</v>
      </c>
      <c r="EC1" t="s">
        <v>127</v>
      </c>
      <c r="ED1" t="s">
        <v>128</v>
      </c>
      <c r="EE1" t="s">
        <v>129</v>
      </c>
      <c r="EF1" t="s">
        <v>130</v>
      </c>
      <c r="EG1" t="s">
        <v>131</v>
      </c>
      <c r="EH1" t="s">
        <v>132</v>
      </c>
      <c r="EI1" t="s">
        <v>133</v>
      </c>
      <c r="EJ1" t="s">
        <v>134</v>
      </c>
      <c r="EK1" t="s">
        <v>135</v>
      </c>
      <c r="EL1" t="s">
        <v>136</v>
      </c>
      <c r="EM1" t="s">
        <v>137</v>
      </c>
      <c r="EN1" t="s">
        <v>138</v>
      </c>
      <c r="EO1" t="s">
        <v>139</v>
      </c>
      <c r="EP1" t="s">
        <v>140</v>
      </c>
      <c r="EQ1" t="s">
        <v>141</v>
      </c>
      <c r="ER1" t="s">
        <v>142</v>
      </c>
      <c r="ES1" t="s">
        <v>143</v>
      </c>
      <c r="ET1" t="s">
        <v>144</v>
      </c>
      <c r="EU1" t="s">
        <v>145</v>
      </c>
      <c r="EV1" t="s">
        <v>146</v>
      </c>
      <c r="EW1" t="s">
        <v>147</v>
      </c>
      <c r="EX1" t="s">
        <v>148</v>
      </c>
      <c r="EY1" t="s">
        <v>149</v>
      </c>
      <c r="EZ1" t="s">
        <v>150</v>
      </c>
      <c r="FA1" t="s">
        <v>151</v>
      </c>
      <c r="FB1" t="s">
        <v>152</v>
      </c>
      <c r="FC1" t="s">
        <v>153</v>
      </c>
      <c r="FD1" t="s">
        <v>154</v>
      </c>
      <c r="FE1" t="s">
        <v>155</v>
      </c>
      <c r="FF1" t="s">
        <v>156</v>
      </c>
      <c r="FG1" t="s">
        <v>157</v>
      </c>
      <c r="FH1" t="s">
        <v>158</v>
      </c>
      <c r="FI1" t="s">
        <v>159</v>
      </c>
      <c r="FJ1" t="s">
        <v>160</v>
      </c>
      <c r="FK1" t="s">
        <v>161</v>
      </c>
      <c r="FL1" t="s">
        <v>162</v>
      </c>
      <c r="FM1" t="s">
        <v>163</v>
      </c>
      <c r="FN1" t="s">
        <v>164</v>
      </c>
      <c r="FO1" t="s">
        <v>165</v>
      </c>
      <c r="FP1" t="s">
        <v>166</v>
      </c>
      <c r="FQ1" t="s">
        <v>167</v>
      </c>
      <c r="FR1" t="s">
        <v>168</v>
      </c>
      <c r="FS1" t="s">
        <v>169</v>
      </c>
      <c r="FT1" t="s">
        <v>170</v>
      </c>
      <c r="FU1" t="s">
        <v>171</v>
      </c>
      <c r="FV1" t="s">
        <v>172</v>
      </c>
      <c r="FW1" t="s">
        <v>173</v>
      </c>
      <c r="FX1" t="s">
        <v>174</v>
      </c>
      <c r="FY1" t="s">
        <v>175</v>
      </c>
      <c r="FZ1" t="s">
        <v>176</v>
      </c>
      <c r="GA1" t="s">
        <v>177</v>
      </c>
      <c r="GB1" t="s">
        <v>178</v>
      </c>
      <c r="GC1" t="s">
        <v>179</v>
      </c>
      <c r="GD1" t="s">
        <v>180</v>
      </c>
      <c r="GE1" t="s">
        <v>181</v>
      </c>
      <c r="GF1" t="s">
        <v>182</v>
      </c>
      <c r="GG1" t="s">
        <v>183</v>
      </c>
      <c r="GH1" t="s">
        <v>184</v>
      </c>
      <c r="GI1" t="s">
        <v>185</v>
      </c>
      <c r="GJ1" t="s">
        <v>186</v>
      </c>
      <c r="GK1" t="s">
        <v>187</v>
      </c>
      <c r="GL1" t="s">
        <v>188</v>
      </c>
      <c r="GM1" t="s">
        <v>189</v>
      </c>
      <c r="GN1" t="s">
        <v>190</v>
      </c>
      <c r="GO1" t="s">
        <v>191</v>
      </c>
      <c r="GP1" t="s">
        <v>192</v>
      </c>
      <c r="GQ1" t="s">
        <v>193</v>
      </c>
      <c r="GR1" t="s">
        <v>194</v>
      </c>
      <c r="GS1" t="s">
        <v>195</v>
      </c>
      <c r="GT1" t="s">
        <v>196</v>
      </c>
      <c r="GU1" t="s">
        <v>197</v>
      </c>
      <c r="GV1" t="s">
        <v>198</v>
      </c>
      <c r="GW1" t="s">
        <v>199</v>
      </c>
      <c r="GX1" t="s">
        <v>200</v>
      </c>
      <c r="GY1" t="s">
        <v>201</v>
      </c>
      <c r="GZ1" t="s">
        <v>202</v>
      </c>
      <c r="HA1" t="s">
        <v>203</v>
      </c>
      <c r="HB1" t="s">
        <v>204</v>
      </c>
      <c r="HC1" t="s">
        <v>205</v>
      </c>
      <c r="HD1" t="s">
        <v>206</v>
      </c>
      <c r="HE1" t="s">
        <v>207</v>
      </c>
      <c r="HF1" t="s">
        <v>208</v>
      </c>
      <c r="HG1" t="s">
        <v>209</v>
      </c>
      <c r="HH1" t="s">
        <v>210</v>
      </c>
      <c r="HI1" t="s">
        <v>211</v>
      </c>
      <c r="HJ1" t="s">
        <v>212</v>
      </c>
      <c r="HK1" t="s">
        <v>213</v>
      </c>
      <c r="HL1" t="s">
        <v>214</v>
      </c>
      <c r="HM1" t="s">
        <v>215</v>
      </c>
      <c r="HN1" t="s">
        <v>216</v>
      </c>
      <c r="HO1" t="s">
        <v>217</v>
      </c>
      <c r="HP1" t="s">
        <v>218</v>
      </c>
      <c r="HQ1" t="s">
        <v>219</v>
      </c>
      <c r="HR1" t="s">
        <v>220</v>
      </c>
      <c r="HS1" t="s">
        <v>221</v>
      </c>
      <c r="HT1" t="s">
        <v>222</v>
      </c>
      <c r="HU1" t="s">
        <v>223</v>
      </c>
      <c r="HV1" t="s">
        <v>224</v>
      </c>
      <c r="HW1" t="s">
        <v>225</v>
      </c>
      <c r="HX1" t="s">
        <v>226</v>
      </c>
      <c r="HY1" t="s">
        <v>227</v>
      </c>
      <c r="HZ1" t="s">
        <v>228</v>
      </c>
      <c r="IA1" t="s">
        <v>229</v>
      </c>
      <c r="IB1" t="s">
        <v>230</v>
      </c>
      <c r="IC1" t="s">
        <v>231</v>
      </c>
      <c r="ID1" t="s">
        <v>232</v>
      </c>
      <c r="IE1" t="s">
        <v>233</v>
      </c>
      <c r="IF1" t="s">
        <v>234</v>
      </c>
      <c r="IG1" t="s">
        <v>235</v>
      </c>
      <c r="IH1" t="s">
        <v>236</v>
      </c>
      <c r="II1" t="s">
        <v>237</v>
      </c>
      <c r="IJ1" t="s">
        <v>238</v>
      </c>
      <c r="IK1" t="s">
        <v>239</v>
      </c>
      <c r="IL1" t="s">
        <v>240</v>
      </c>
      <c r="IM1" t="s">
        <v>241</v>
      </c>
      <c r="IN1" t="s">
        <v>242</v>
      </c>
      <c r="IO1" t="s">
        <v>243</v>
      </c>
      <c r="IP1" t="s">
        <v>244</v>
      </c>
      <c r="IQ1" t="s">
        <v>245</v>
      </c>
      <c r="IR1" t="s">
        <v>246</v>
      </c>
      <c r="IS1" t="s">
        <v>247</v>
      </c>
      <c r="IT1" t="s">
        <v>248</v>
      </c>
      <c r="IU1" t="s">
        <v>249</v>
      </c>
      <c r="IV1" t="s">
        <v>250</v>
      </c>
      <c r="IW1" t="s">
        <v>251</v>
      </c>
      <c r="IX1" t="s">
        <v>252</v>
      </c>
      <c r="IY1" t="s">
        <v>253</v>
      </c>
      <c r="IZ1" t="s">
        <v>254</v>
      </c>
      <c r="JA1" t="s">
        <v>255</v>
      </c>
      <c r="JB1" t="s">
        <v>256</v>
      </c>
      <c r="JC1" t="s">
        <v>257</v>
      </c>
      <c r="JD1" t="s">
        <v>258</v>
      </c>
      <c r="JE1" t="s">
        <v>259</v>
      </c>
      <c r="JF1" t="s">
        <v>260</v>
      </c>
      <c r="JG1" t="s">
        <v>261</v>
      </c>
      <c r="JH1" t="s">
        <v>262</v>
      </c>
      <c r="JI1" t="s">
        <v>263</v>
      </c>
      <c r="JJ1" t="s">
        <v>264</v>
      </c>
      <c r="JK1" t="s">
        <v>265</v>
      </c>
      <c r="JL1" t="s">
        <v>266</v>
      </c>
      <c r="JM1" t="s">
        <v>267</v>
      </c>
      <c r="JN1" t="s">
        <v>268</v>
      </c>
      <c r="JO1" t="s">
        <v>269</v>
      </c>
      <c r="JP1" t="s">
        <v>270</v>
      </c>
      <c r="JQ1" t="s">
        <v>271</v>
      </c>
      <c r="JR1" t="s">
        <v>272</v>
      </c>
      <c r="JS1" t="s">
        <v>273</v>
      </c>
      <c r="JT1" t="s">
        <v>274</v>
      </c>
      <c r="JU1" t="s">
        <v>275</v>
      </c>
      <c r="JV1" t="s">
        <v>276</v>
      </c>
      <c r="JW1" t="s">
        <v>277</v>
      </c>
      <c r="JX1" t="s">
        <v>278</v>
      </c>
      <c r="JY1" t="s">
        <v>279</v>
      </c>
      <c r="JZ1" t="s">
        <v>280</v>
      </c>
      <c r="KA1" t="s">
        <v>281</v>
      </c>
      <c r="KB1" t="s">
        <v>282</v>
      </c>
      <c r="KC1" t="s">
        <v>3491</v>
      </c>
      <c r="KD1" t="s">
        <v>2095</v>
      </c>
      <c r="KE1" t="s">
        <v>2096</v>
      </c>
      <c r="KF1" t="s">
        <v>2097</v>
      </c>
      <c r="KG1" t="s">
        <v>2098</v>
      </c>
      <c r="KH1" t="s">
        <v>2099</v>
      </c>
      <c r="KI1" t="s">
        <v>2100</v>
      </c>
      <c r="KJ1" t="s">
        <v>2101</v>
      </c>
      <c r="KK1" t="s">
        <v>2102</v>
      </c>
      <c r="KL1" t="s">
        <v>2103</v>
      </c>
      <c r="KM1" t="s">
        <v>2104</v>
      </c>
      <c r="KN1" t="s">
        <v>2105</v>
      </c>
      <c r="KO1" t="s">
        <v>2106</v>
      </c>
      <c r="KP1" t="s">
        <v>2107</v>
      </c>
      <c r="KQ1" t="s">
        <v>2108</v>
      </c>
      <c r="KR1" t="s">
        <v>2109</v>
      </c>
      <c r="KS1" t="s">
        <v>2110</v>
      </c>
      <c r="KT1" t="s">
        <v>2111</v>
      </c>
      <c r="KU1" t="s">
        <v>2112</v>
      </c>
      <c r="KV1" t="s">
        <v>2113</v>
      </c>
      <c r="KW1" t="s">
        <v>2114</v>
      </c>
      <c r="KX1" t="s">
        <v>2115</v>
      </c>
      <c r="KY1" t="s">
        <v>2116</v>
      </c>
      <c r="KZ1" t="s">
        <v>2117</v>
      </c>
      <c r="LA1" t="s">
        <v>2118</v>
      </c>
      <c r="LB1" t="s">
        <v>2119</v>
      </c>
      <c r="LC1" t="s">
        <v>2120</v>
      </c>
      <c r="LD1" t="s">
        <v>2121</v>
      </c>
      <c r="LE1" t="s">
        <v>2122</v>
      </c>
      <c r="LF1" t="s">
        <v>2123</v>
      </c>
      <c r="LG1" t="s">
        <v>2124</v>
      </c>
      <c r="LH1" t="s">
        <v>2125</v>
      </c>
      <c r="LI1" t="s">
        <v>2126</v>
      </c>
      <c r="LJ1" t="s">
        <v>2127</v>
      </c>
      <c r="LK1" t="s">
        <v>2128</v>
      </c>
      <c r="LL1" t="s">
        <v>2129</v>
      </c>
      <c r="LM1" t="s">
        <v>2130</v>
      </c>
      <c r="LN1" t="s">
        <v>2131</v>
      </c>
      <c r="LO1" t="s">
        <v>2132</v>
      </c>
      <c r="LP1" t="s">
        <v>2133</v>
      </c>
      <c r="LQ1" t="s">
        <v>2134</v>
      </c>
      <c r="LR1" t="s">
        <v>2135</v>
      </c>
      <c r="LS1" t="s">
        <v>2136</v>
      </c>
      <c r="LT1" t="s">
        <v>2137</v>
      </c>
      <c r="LU1" t="s">
        <v>2138</v>
      </c>
      <c r="LV1" t="s">
        <v>2139</v>
      </c>
      <c r="LW1" t="s">
        <v>2140</v>
      </c>
      <c r="LX1" t="s">
        <v>2141</v>
      </c>
      <c r="LY1" t="s">
        <v>2142</v>
      </c>
      <c r="LZ1" t="s">
        <v>2143</v>
      </c>
      <c r="MA1" t="s">
        <v>2144</v>
      </c>
      <c r="MB1" t="s">
        <v>2145</v>
      </c>
      <c r="MC1" t="s">
        <v>2146</v>
      </c>
      <c r="MD1" t="s">
        <v>2147</v>
      </c>
      <c r="ME1" t="s">
        <v>2148</v>
      </c>
      <c r="MF1" t="s">
        <v>2149</v>
      </c>
      <c r="MG1" t="s">
        <v>2150</v>
      </c>
      <c r="MH1" t="s">
        <v>2151</v>
      </c>
      <c r="MI1" t="s">
        <v>2152</v>
      </c>
      <c r="MJ1" t="s">
        <v>2153</v>
      </c>
      <c r="MK1" t="s">
        <v>2154</v>
      </c>
      <c r="ML1" t="s">
        <v>2155</v>
      </c>
      <c r="MM1" t="s">
        <v>2156</v>
      </c>
      <c r="MN1" t="s">
        <v>2157</v>
      </c>
      <c r="MO1" t="s">
        <v>2158</v>
      </c>
      <c r="MP1" t="s">
        <v>2159</v>
      </c>
      <c r="MQ1" t="s">
        <v>2160</v>
      </c>
      <c r="MR1" t="s">
        <v>2161</v>
      </c>
      <c r="MS1" t="s">
        <v>2162</v>
      </c>
      <c r="MT1" t="s">
        <v>2163</v>
      </c>
      <c r="MU1" t="s">
        <v>2164</v>
      </c>
      <c r="MV1" t="s">
        <v>2165</v>
      </c>
      <c r="MW1" t="s">
        <v>2166</v>
      </c>
      <c r="MX1" t="s">
        <v>2167</v>
      </c>
      <c r="MY1" t="s">
        <v>2168</v>
      </c>
      <c r="MZ1" t="s">
        <v>2169</v>
      </c>
      <c r="NA1" t="s">
        <v>2170</v>
      </c>
      <c r="NB1" t="s">
        <v>2171</v>
      </c>
      <c r="NC1" t="s">
        <v>2172</v>
      </c>
      <c r="ND1" t="s">
        <v>2173</v>
      </c>
      <c r="NE1" t="s">
        <v>2174</v>
      </c>
      <c r="NF1" t="s">
        <v>2175</v>
      </c>
      <c r="NG1" t="s">
        <v>2176</v>
      </c>
      <c r="NH1" t="s">
        <v>2177</v>
      </c>
      <c r="NI1" t="s">
        <v>2178</v>
      </c>
      <c r="NJ1" t="s">
        <v>2179</v>
      </c>
      <c r="NK1" t="s">
        <v>2180</v>
      </c>
      <c r="NL1" t="s">
        <v>2181</v>
      </c>
      <c r="NM1" t="s">
        <v>2182</v>
      </c>
      <c r="NN1" t="s">
        <v>2183</v>
      </c>
      <c r="NO1" t="s">
        <v>2184</v>
      </c>
      <c r="NP1" t="s">
        <v>2185</v>
      </c>
      <c r="NQ1" t="s">
        <v>2186</v>
      </c>
      <c r="NR1" t="s">
        <v>2187</v>
      </c>
      <c r="NS1" t="s">
        <v>2188</v>
      </c>
      <c r="NT1" t="s">
        <v>2189</v>
      </c>
      <c r="NU1" t="s">
        <v>2190</v>
      </c>
      <c r="NV1" t="s">
        <v>2191</v>
      </c>
      <c r="NW1" t="s">
        <v>2192</v>
      </c>
      <c r="NX1" t="s">
        <v>2193</v>
      </c>
      <c r="NY1" t="s">
        <v>2194</v>
      </c>
      <c r="NZ1" t="s">
        <v>2195</v>
      </c>
      <c r="OA1" t="s">
        <v>2196</v>
      </c>
      <c r="OB1" t="s">
        <v>2197</v>
      </c>
      <c r="OC1" t="s">
        <v>2198</v>
      </c>
      <c r="OD1" t="s">
        <v>2199</v>
      </c>
      <c r="OE1" t="s">
        <v>2200</v>
      </c>
      <c r="OF1" t="s">
        <v>2201</v>
      </c>
      <c r="OG1" t="s">
        <v>2202</v>
      </c>
      <c r="OH1" t="s">
        <v>2203</v>
      </c>
      <c r="OI1" t="s">
        <v>2204</v>
      </c>
      <c r="OJ1" t="s">
        <v>2205</v>
      </c>
      <c r="OK1" t="s">
        <v>2206</v>
      </c>
      <c r="OL1" t="s">
        <v>2207</v>
      </c>
      <c r="OM1" t="s">
        <v>2208</v>
      </c>
      <c r="ON1" t="s">
        <v>2209</v>
      </c>
      <c r="OO1" t="s">
        <v>2210</v>
      </c>
      <c r="OP1" t="s">
        <v>2211</v>
      </c>
      <c r="OQ1" t="s">
        <v>2212</v>
      </c>
      <c r="OR1" t="s">
        <v>2213</v>
      </c>
      <c r="OS1" t="s">
        <v>2214</v>
      </c>
      <c r="OT1" t="s">
        <v>2215</v>
      </c>
      <c r="OU1" t="s">
        <v>2216</v>
      </c>
      <c r="OV1" t="s">
        <v>2217</v>
      </c>
      <c r="OW1" t="s">
        <v>2218</v>
      </c>
      <c r="OX1" t="s">
        <v>2219</v>
      </c>
      <c r="OY1" t="s">
        <v>2220</v>
      </c>
      <c r="OZ1" t="s">
        <v>2221</v>
      </c>
      <c r="PA1" t="s">
        <v>2222</v>
      </c>
      <c r="PB1" t="s">
        <v>2223</v>
      </c>
      <c r="PC1" t="s">
        <v>2224</v>
      </c>
      <c r="PD1" t="s">
        <v>2225</v>
      </c>
      <c r="PE1" t="s">
        <v>2226</v>
      </c>
      <c r="PF1" t="s">
        <v>2227</v>
      </c>
      <c r="PG1" t="s">
        <v>2228</v>
      </c>
      <c r="PH1" t="s">
        <v>2229</v>
      </c>
      <c r="PI1" t="s">
        <v>2230</v>
      </c>
      <c r="PJ1" t="s">
        <v>2231</v>
      </c>
      <c r="PK1" t="s">
        <v>2232</v>
      </c>
      <c r="PL1" t="s">
        <v>2233</v>
      </c>
      <c r="PM1" t="s">
        <v>2234</v>
      </c>
      <c r="PN1" t="s">
        <v>2235</v>
      </c>
      <c r="PO1" t="s">
        <v>2236</v>
      </c>
      <c r="PP1" t="s">
        <v>2237</v>
      </c>
      <c r="PQ1" t="s">
        <v>2238</v>
      </c>
      <c r="PR1" t="s">
        <v>2239</v>
      </c>
      <c r="PS1" t="s">
        <v>2240</v>
      </c>
      <c r="PT1" t="s">
        <v>2241</v>
      </c>
      <c r="PU1" t="s">
        <v>2242</v>
      </c>
      <c r="PV1" t="s">
        <v>2243</v>
      </c>
      <c r="PW1" t="s">
        <v>2244</v>
      </c>
      <c r="PX1" t="s">
        <v>2245</v>
      </c>
      <c r="PY1" t="s">
        <v>2246</v>
      </c>
      <c r="PZ1" t="s">
        <v>2247</v>
      </c>
      <c r="QA1" t="s">
        <v>2248</v>
      </c>
      <c r="QB1" t="s">
        <v>2249</v>
      </c>
      <c r="QC1" t="s">
        <v>2250</v>
      </c>
      <c r="QD1" t="s">
        <v>2251</v>
      </c>
      <c r="QE1" t="s">
        <v>2252</v>
      </c>
      <c r="QF1" t="s">
        <v>2253</v>
      </c>
      <c r="QG1" t="s">
        <v>2254</v>
      </c>
      <c r="QH1" t="s">
        <v>2255</v>
      </c>
      <c r="QI1" t="s">
        <v>2256</v>
      </c>
      <c r="QJ1" t="s">
        <v>2257</v>
      </c>
      <c r="QK1" t="s">
        <v>2258</v>
      </c>
      <c r="QL1" t="s">
        <v>2259</v>
      </c>
      <c r="QM1" t="s">
        <v>2260</v>
      </c>
      <c r="QN1" t="s">
        <v>2261</v>
      </c>
      <c r="QO1" t="s">
        <v>2262</v>
      </c>
      <c r="QP1" t="s">
        <v>2263</v>
      </c>
      <c r="QQ1" t="s">
        <v>2264</v>
      </c>
      <c r="QR1" t="s">
        <v>2265</v>
      </c>
      <c r="QS1" t="s">
        <v>2266</v>
      </c>
      <c r="QT1" t="s">
        <v>2267</v>
      </c>
      <c r="QU1" t="s">
        <v>2268</v>
      </c>
      <c r="QV1" t="s">
        <v>2269</v>
      </c>
      <c r="QW1" t="s">
        <v>2270</v>
      </c>
      <c r="QX1" t="s">
        <v>2271</v>
      </c>
      <c r="QY1" t="s">
        <v>2272</v>
      </c>
      <c r="QZ1" t="s">
        <v>2273</v>
      </c>
      <c r="RA1" t="s">
        <v>2274</v>
      </c>
      <c r="RB1" t="s">
        <v>2275</v>
      </c>
      <c r="RC1" t="s">
        <v>2276</v>
      </c>
      <c r="RD1" t="s">
        <v>2277</v>
      </c>
      <c r="RE1" t="s">
        <v>2278</v>
      </c>
      <c r="RF1" t="s">
        <v>2279</v>
      </c>
      <c r="RG1" t="s">
        <v>2280</v>
      </c>
      <c r="RH1" t="s">
        <v>2281</v>
      </c>
      <c r="RI1" t="s">
        <v>2282</v>
      </c>
      <c r="RJ1" t="s">
        <v>2283</v>
      </c>
      <c r="RK1" t="s">
        <v>2284</v>
      </c>
      <c r="RL1" t="s">
        <v>2285</v>
      </c>
      <c r="RM1" t="s">
        <v>2286</v>
      </c>
      <c r="RN1" t="s">
        <v>2287</v>
      </c>
      <c r="RO1" t="s">
        <v>2288</v>
      </c>
      <c r="RP1" t="s">
        <v>2289</v>
      </c>
      <c r="RQ1" t="s">
        <v>2290</v>
      </c>
      <c r="RR1" t="s">
        <v>2291</v>
      </c>
      <c r="RS1" t="s">
        <v>2292</v>
      </c>
      <c r="RT1" t="s">
        <v>2293</v>
      </c>
      <c r="RU1" t="s">
        <v>2294</v>
      </c>
      <c r="RV1" t="s">
        <v>2295</v>
      </c>
      <c r="RW1" t="s">
        <v>2296</v>
      </c>
      <c r="RX1" t="s">
        <v>2297</v>
      </c>
      <c r="RY1" t="s">
        <v>2298</v>
      </c>
      <c r="RZ1" t="s">
        <v>2299</v>
      </c>
      <c r="SA1" t="s">
        <v>2300</v>
      </c>
      <c r="SB1" t="s">
        <v>2301</v>
      </c>
      <c r="SC1" t="s">
        <v>2302</v>
      </c>
      <c r="SD1" t="s">
        <v>2303</v>
      </c>
      <c r="SE1" t="s">
        <v>2304</v>
      </c>
      <c r="SF1" t="s">
        <v>2305</v>
      </c>
      <c r="SG1" t="s">
        <v>2306</v>
      </c>
      <c r="SH1" t="s">
        <v>2307</v>
      </c>
      <c r="SI1" t="s">
        <v>3492</v>
      </c>
      <c r="SJ1" t="s">
        <v>2309</v>
      </c>
      <c r="SK1" t="s">
        <v>2310</v>
      </c>
      <c r="SL1" t="s">
        <v>2311</v>
      </c>
      <c r="SM1" t="s">
        <v>2312</v>
      </c>
      <c r="SN1" t="s">
        <v>2313</v>
      </c>
      <c r="SO1" t="s">
        <v>2314</v>
      </c>
      <c r="SP1" t="s">
        <v>2315</v>
      </c>
      <c r="SQ1" t="s">
        <v>2316</v>
      </c>
      <c r="SR1" t="s">
        <v>2317</v>
      </c>
      <c r="SS1" t="s">
        <v>2318</v>
      </c>
      <c r="ST1" t="s">
        <v>2319</v>
      </c>
      <c r="SU1" t="s">
        <v>2320</v>
      </c>
      <c r="SV1" t="s">
        <v>2321</v>
      </c>
      <c r="SW1" t="s">
        <v>2322</v>
      </c>
      <c r="SX1" t="s">
        <v>2323</v>
      </c>
      <c r="SY1" t="s">
        <v>2324</v>
      </c>
      <c r="SZ1" t="s">
        <v>2325</v>
      </c>
      <c r="TA1" t="s">
        <v>2326</v>
      </c>
      <c r="TB1" t="s">
        <v>2327</v>
      </c>
      <c r="TC1" t="s">
        <v>2328</v>
      </c>
      <c r="TD1" t="s">
        <v>2329</v>
      </c>
      <c r="TE1" t="s">
        <v>2330</v>
      </c>
      <c r="TF1" t="s">
        <v>2331</v>
      </c>
      <c r="TG1" t="s">
        <v>2332</v>
      </c>
      <c r="TH1" t="s">
        <v>2333</v>
      </c>
      <c r="TI1" t="s">
        <v>2334</v>
      </c>
      <c r="TJ1" t="s">
        <v>2335</v>
      </c>
      <c r="TK1" t="s">
        <v>2336</v>
      </c>
      <c r="TL1" t="s">
        <v>2337</v>
      </c>
      <c r="TM1" t="s">
        <v>2338</v>
      </c>
      <c r="TN1" t="s">
        <v>2339</v>
      </c>
      <c r="TO1" t="s">
        <v>2340</v>
      </c>
      <c r="TP1" t="s">
        <v>2341</v>
      </c>
      <c r="TQ1" t="s">
        <v>2342</v>
      </c>
      <c r="TR1" t="s">
        <v>2343</v>
      </c>
      <c r="TS1" t="s">
        <v>2344</v>
      </c>
      <c r="TT1" t="s">
        <v>2345</v>
      </c>
      <c r="TU1" t="s">
        <v>2346</v>
      </c>
      <c r="TV1" t="s">
        <v>2347</v>
      </c>
      <c r="TW1" t="s">
        <v>2348</v>
      </c>
      <c r="TX1" t="s">
        <v>2349</v>
      </c>
      <c r="TY1" t="s">
        <v>2350</v>
      </c>
      <c r="TZ1" t="s">
        <v>2351</v>
      </c>
      <c r="UA1" t="s">
        <v>2352</v>
      </c>
      <c r="UB1" t="s">
        <v>2353</v>
      </c>
      <c r="UC1" t="s">
        <v>2354</v>
      </c>
      <c r="UD1" t="s">
        <v>2355</v>
      </c>
      <c r="UE1" t="s">
        <v>2356</v>
      </c>
      <c r="UF1" t="s">
        <v>2357</v>
      </c>
      <c r="UG1" t="s">
        <v>2358</v>
      </c>
      <c r="UH1" t="s">
        <v>2359</v>
      </c>
      <c r="UI1" t="s">
        <v>2360</v>
      </c>
      <c r="UJ1" t="s">
        <v>2361</v>
      </c>
      <c r="UK1" t="s">
        <v>2362</v>
      </c>
      <c r="UL1" t="s">
        <v>2363</v>
      </c>
      <c r="UM1" t="s">
        <v>2364</v>
      </c>
      <c r="UN1" t="s">
        <v>2365</v>
      </c>
      <c r="UO1" t="s">
        <v>2366</v>
      </c>
      <c r="UP1" t="s">
        <v>2367</v>
      </c>
      <c r="UQ1" t="s">
        <v>2368</v>
      </c>
      <c r="UR1" t="s">
        <v>2369</v>
      </c>
      <c r="US1" t="s">
        <v>2370</v>
      </c>
      <c r="UT1" t="s">
        <v>2371</v>
      </c>
      <c r="UU1" t="s">
        <v>2372</v>
      </c>
      <c r="UV1" t="s">
        <v>2373</v>
      </c>
      <c r="UW1" t="s">
        <v>2374</v>
      </c>
      <c r="UX1" t="s">
        <v>2375</v>
      </c>
      <c r="UY1" t="s">
        <v>2376</v>
      </c>
      <c r="UZ1" t="s">
        <v>2377</v>
      </c>
      <c r="VA1" t="s">
        <v>2378</v>
      </c>
      <c r="VB1" t="s">
        <v>2379</v>
      </c>
      <c r="VC1" t="s">
        <v>2380</v>
      </c>
      <c r="VD1" t="s">
        <v>2381</v>
      </c>
      <c r="VE1" t="s">
        <v>2382</v>
      </c>
      <c r="VF1" t="s">
        <v>2383</v>
      </c>
      <c r="VG1" t="s">
        <v>2384</v>
      </c>
      <c r="VH1" t="s">
        <v>2385</v>
      </c>
      <c r="VI1" t="s">
        <v>2386</v>
      </c>
      <c r="VJ1" t="s">
        <v>2387</v>
      </c>
      <c r="VK1" t="s">
        <v>2388</v>
      </c>
      <c r="VL1" t="s">
        <v>2389</v>
      </c>
      <c r="VM1" t="s">
        <v>2390</v>
      </c>
      <c r="VN1" t="s">
        <v>2391</v>
      </c>
      <c r="VO1" t="s">
        <v>2392</v>
      </c>
      <c r="VP1" t="s">
        <v>2393</v>
      </c>
      <c r="VQ1" t="s">
        <v>2394</v>
      </c>
      <c r="VR1" t="s">
        <v>2395</v>
      </c>
      <c r="VS1" t="s">
        <v>2396</v>
      </c>
      <c r="VT1" t="s">
        <v>2397</v>
      </c>
      <c r="VU1" t="s">
        <v>2398</v>
      </c>
      <c r="VV1" t="s">
        <v>2399</v>
      </c>
      <c r="VW1" t="s">
        <v>2400</v>
      </c>
      <c r="VX1" t="s">
        <v>2401</v>
      </c>
      <c r="VY1" t="s">
        <v>2402</v>
      </c>
      <c r="VZ1" t="s">
        <v>2403</v>
      </c>
      <c r="WA1" t="s">
        <v>2404</v>
      </c>
      <c r="WB1" t="s">
        <v>2405</v>
      </c>
      <c r="WC1" t="s">
        <v>2406</v>
      </c>
      <c r="WD1" t="s">
        <v>2407</v>
      </c>
      <c r="WE1" t="s">
        <v>2408</v>
      </c>
      <c r="WF1" t="s">
        <v>2409</v>
      </c>
      <c r="WG1" t="s">
        <v>2410</v>
      </c>
      <c r="WH1" t="s">
        <v>2411</v>
      </c>
      <c r="WI1" t="s">
        <v>2412</v>
      </c>
      <c r="WJ1" t="s">
        <v>2413</v>
      </c>
      <c r="WK1" t="s">
        <v>2414</v>
      </c>
      <c r="WL1" t="s">
        <v>2415</v>
      </c>
      <c r="WM1" t="s">
        <v>2416</v>
      </c>
      <c r="WN1" t="s">
        <v>2417</v>
      </c>
      <c r="WO1" t="s">
        <v>2418</v>
      </c>
      <c r="WP1" t="s">
        <v>2419</v>
      </c>
      <c r="WQ1" t="s">
        <v>2420</v>
      </c>
      <c r="WR1" t="s">
        <v>2421</v>
      </c>
      <c r="WS1" t="s">
        <v>2422</v>
      </c>
      <c r="WT1" t="s">
        <v>2423</v>
      </c>
      <c r="WU1" t="s">
        <v>2424</v>
      </c>
      <c r="WV1" t="s">
        <v>2425</v>
      </c>
      <c r="WW1" t="s">
        <v>2426</v>
      </c>
      <c r="WX1" t="s">
        <v>2427</v>
      </c>
      <c r="WY1" t="s">
        <v>2428</v>
      </c>
      <c r="WZ1" t="s">
        <v>2429</v>
      </c>
      <c r="XA1" t="s">
        <v>2430</v>
      </c>
      <c r="XB1" t="s">
        <v>2431</v>
      </c>
      <c r="XC1" t="s">
        <v>2432</v>
      </c>
      <c r="XD1" t="s">
        <v>2433</v>
      </c>
      <c r="XE1" t="s">
        <v>2434</v>
      </c>
      <c r="XF1" t="s">
        <v>2435</v>
      </c>
      <c r="XG1" t="s">
        <v>2436</v>
      </c>
      <c r="XH1" t="s">
        <v>2437</v>
      </c>
      <c r="XI1" t="s">
        <v>2438</v>
      </c>
      <c r="XJ1" t="s">
        <v>2439</v>
      </c>
      <c r="XK1" t="s">
        <v>2440</v>
      </c>
      <c r="XL1" t="s">
        <v>2441</v>
      </c>
      <c r="XM1" t="s">
        <v>2442</v>
      </c>
      <c r="XN1" t="s">
        <v>2443</v>
      </c>
      <c r="XO1" t="s">
        <v>2444</v>
      </c>
      <c r="XP1" t="s">
        <v>2445</v>
      </c>
      <c r="XQ1" t="s">
        <v>2446</v>
      </c>
      <c r="XR1" t="s">
        <v>2447</v>
      </c>
      <c r="XS1" t="s">
        <v>2448</v>
      </c>
      <c r="XT1" t="s">
        <v>2449</v>
      </c>
      <c r="XU1" t="s">
        <v>2450</v>
      </c>
      <c r="XV1" t="s">
        <v>2451</v>
      </c>
      <c r="XW1" t="s">
        <v>2452</v>
      </c>
      <c r="XX1" t="s">
        <v>2453</v>
      </c>
      <c r="XY1" t="s">
        <v>2454</v>
      </c>
      <c r="XZ1" t="s">
        <v>2455</v>
      </c>
      <c r="YA1" t="s">
        <v>2456</v>
      </c>
      <c r="YB1" t="s">
        <v>2457</v>
      </c>
      <c r="YC1" t="s">
        <v>2458</v>
      </c>
      <c r="YD1" t="s">
        <v>2459</v>
      </c>
      <c r="YE1" t="s">
        <v>2460</v>
      </c>
      <c r="YF1" t="s">
        <v>2461</v>
      </c>
      <c r="YG1" t="s">
        <v>2462</v>
      </c>
      <c r="YH1" t="s">
        <v>2463</v>
      </c>
      <c r="YI1" t="s">
        <v>2464</v>
      </c>
      <c r="YJ1" t="s">
        <v>2465</v>
      </c>
      <c r="YK1" t="s">
        <v>2466</v>
      </c>
      <c r="YL1" t="s">
        <v>2467</v>
      </c>
      <c r="YM1" t="s">
        <v>2468</v>
      </c>
      <c r="YN1" t="s">
        <v>2469</v>
      </c>
      <c r="YO1" t="s">
        <v>2470</v>
      </c>
      <c r="YP1" t="s">
        <v>2471</v>
      </c>
      <c r="YQ1" t="s">
        <v>2472</v>
      </c>
      <c r="YR1" t="s">
        <v>2473</v>
      </c>
      <c r="YS1" t="s">
        <v>2474</v>
      </c>
      <c r="YT1" t="s">
        <v>2475</v>
      </c>
      <c r="YU1" t="s">
        <v>2476</v>
      </c>
      <c r="YV1" t="s">
        <v>2477</v>
      </c>
      <c r="YW1" t="s">
        <v>2478</v>
      </c>
      <c r="YX1" t="s">
        <v>2479</v>
      </c>
      <c r="YY1" t="s">
        <v>2480</v>
      </c>
      <c r="YZ1" t="s">
        <v>2481</v>
      </c>
      <c r="ZA1" t="s">
        <v>2482</v>
      </c>
      <c r="ZB1" t="s">
        <v>2483</v>
      </c>
      <c r="ZC1" t="s">
        <v>2484</v>
      </c>
      <c r="ZD1" t="s">
        <v>2485</v>
      </c>
      <c r="ZE1" t="s">
        <v>2486</v>
      </c>
      <c r="ZF1" t="s">
        <v>2487</v>
      </c>
      <c r="ZG1" t="s">
        <v>2488</v>
      </c>
      <c r="ZH1" t="s">
        <v>2489</v>
      </c>
      <c r="ZI1" t="s">
        <v>2490</v>
      </c>
      <c r="ZJ1" t="s">
        <v>2491</v>
      </c>
      <c r="ZK1" t="s">
        <v>2492</v>
      </c>
      <c r="ZL1" t="s">
        <v>2493</v>
      </c>
      <c r="ZM1" t="s">
        <v>2494</v>
      </c>
      <c r="ZN1" t="s">
        <v>2495</v>
      </c>
      <c r="ZO1" t="s">
        <v>2496</v>
      </c>
      <c r="ZP1" t="s">
        <v>2497</v>
      </c>
      <c r="ZQ1" t="s">
        <v>2498</v>
      </c>
      <c r="ZR1" t="s">
        <v>2499</v>
      </c>
      <c r="ZS1" t="s">
        <v>2500</v>
      </c>
      <c r="ZT1" t="s">
        <v>2501</v>
      </c>
      <c r="ZU1" t="s">
        <v>2502</v>
      </c>
      <c r="ZV1" t="s">
        <v>2503</v>
      </c>
      <c r="ZW1" t="s">
        <v>2504</v>
      </c>
      <c r="ZX1" t="s">
        <v>2505</v>
      </c>
      <c r="ZY1" t="s">
        <v>2506</v>
      </c>
      <c r="ZZ1" t="s">
        <v>2507</v>
      </c>
      <c r="AAA1" t="s">
        <v>2508</v>
      </c>
      <c r="AAB1" t="s">
        <v>2509</v>
      </c>
      <c r="AAC1" t="s">
        <v>2510</v>
      </c>
      <c r="AAD1" t="s">
        <v>2511</v>
      </c>
      <c r="AAE1" t="s">
        <v>2512</v>
      </c>
      <c r="AAF1" t="s">
        <v>2513</v>
      </c>
      <c r="AAG1" t="s">
        <v>2514</v>
      </c>
      <c r="AAH1" t="s">
        <v>2515</v>
      </c>
      <c r="AAI1" t="s">
        <v>2516</v>
      </c>
      <c r="AAJ1" t="s">
        <v>2517</v>
      </c>
      <c r="AAK1" t="s">
        <v>2518</v>
      </c>
      <c r="AAL1" t="s">
        <v>2519</v>
      </c>
      <c r="AAM1" t="s">
        <v>2520</v>
      </c>
      <c r="AAN1" t="s">
        <v>2521</v>
      </c>
      <c r="AAO1" t="s">
        <v>3493</v>
      </c>
      <c r="AAP1" t="s">
        <v>2523</v>
      </c>
      <c r="AAQ1" t="s">
        <v>2524</v>
      </c>
      <c r="AAR1" t="s">
        <v>2525</v>
      </c>
      <c r="AAS1" t="s">
        <v>2526</v>
      </c>
      <c r="AAT1" t="s">
        <v>2527</v>
      </c>
      <c r="AAU1" t="s">
        <v>2528</v>
      </c>
      <c r="AAV1" t="s">
        <v>2529</v>
      </c>
      <c r="AAW1" t="s">
        <v>2530</v>
      </c>
      <c r="AAX1" t="s">
        <v>2531</v>
      </c>
      <c r="AAY1" t="s">
        <v>2532</v>
      </c>
      <c r="AAZ1" t="s">
        <v>2533</v>
      </c>
      <c r="ABA1" t="s">
        <v>2534</v>
      </c>
      <c r="ABB1" t="s">
        <v>2535</v>
      </c>
      <c r="ABC1" t="s">
        <v>2536</v>
      </c>
      <c r="ABD1" t="s">
        <v>2537</v>
      </c>
      <c r="ABE1" t="s">
        <v>2538</v>
      </c>
      <c r="ABF1" t="s">
        <v>2539</v>
      </c>
      <c r="ABG1" t="s">
        <v>2540</v>
      </c>
      <c r="ABH1" t="s">
        <v>2541</v>
      </c>
      <c r="ABI1" t="s">
        <v>2542</v>
      </c>
      <c r="ABJ1" t="s">
        <v>2543</v>
      </c>
      <c r="ABK1" t="s">
        <v>2544</v>
      </c>
      <c r="ABL1" t="s">
        <v>2545</v>
      </c>
      <c r="ABM1" t="s">
        <v>2546</v>
      </c>
      <c r="ABN1" t="s">
        <v>2547</v>
      </c>
      <c r="ABO1" t="s">
        <v>2548</v>
      </c>
      <c r="ABP1" t="s">
        <v>2549</v>
      </c>
      <c r="ABQ1" t="s">
        <v>2550</v>
      </c>
      <c r="ABR1" t="s">
        <v>2551</v>
      </c>
      <c r="ABS1" t="s">
        <v>2552</v>
      </c>
      <c r="ABT1" t="s">
        <v>2553</v>
      </c>
      <c r="ABU1" t="s">
        <v>2554</v>
      </c>
      <c r="ABV1" t="s">
        <v>2555</v>
      </c>
      <c r="ABW1" t="s">
        <v>2556</v>
      </c>
      <c r="ABX1" t="s">
        <v>2557</v>
      </c>
      <c r="ABY1" t="s">
        <v>2558</v>
      </c>
      <c r="ABZ1" t="s">
        <v>2559</v>
      </c>
      <c r="ACA1" t="s">
        <v>2560</v>
      </c>
      <c r="ACB1" t="s">
        <v>2561</v>
      </c>
      <c r="ACC1" t="s">
        <v>2562</v>
      </c>
      <c r="ACD1" t="s">
        <v>2563</v>
      </c>
      <c r="ACE1" t="s">
        <v>2564</v>
      </c>
      <c r="ACF1" t="s">
        <v>2565</v>
      </c>
      <c r="ACG1" t="s">
        <v>2566</v>
      </c>
      <c r="ACH1" t="s">
        <v>2567</v>
      </c>
      <c r="ACI1" t="s">
        <v>2568</v>
      </c>
      <c r="ACJ1" t="s">
        <v>2569</v>
      </c>
      <c r="ACK1" t="s">
        <v>2570</v>
      </c>
      <c r="ACL1" t="s">
        <v>2571</v>
      </c>
      <c r="ACM1" t="s">
        <v>2572</v>
      </c>
      <c r="ACN1" t="s">
        <v>2573</v>
      </c>
      <c r="ACO1" t="s">
        <v>2574</v>
      </c>
      <c r="ACP1" t="s">
        <v>2575</v>
      </c>
      <c r="ACQ1" t="s">
        <v>2576</v>
      </c>
      <c r="ACR1" t="s">
        <v>2577</v>
      </c>
      <c r="ACS1" t="s">
        <v>2578</v>
      </c>
      <c r="ACT1" t="s">
        <v>2579</v>
      </c>
      <c r="ACU1" t="s">
        <v>2580</v>
      </c>
      <c r="ACV1" t="s">
        <v>2581</v>
      </c>
      <c r="ACW1" t="s">
        <v>2582</v>
      </c>
      <c r="ACX1" t="s">
        <v>2583</v>
      </c>
      <c r="ACY1" t="s">
        <v>2584</v>
      </c>
      <c r="ACZ1" t="s">
        <v>2585</v>
      </c>
      <c r="ADA1" t="s">
        <v>2586</v>
      </c>
      <c r="ADB1" t="s">
        <v>2587</v>
      </c>
      <c r="ADC1" t="s">
        <v>2588</v>
      </c>
      <c r="ADD1" t="s">
        <v>2589</v>
      </c>
      <c r="ADE1" t="s">
        <v>2590</v>
      </c>
      <c r="ADF1" t="s">
        <v>2591</v>
      </c>
      <c r="ADG1" t="s">
        <v>2592</v>
      </c>
      <c r="ADH1" t="s">
        <v>2593</v>
      </c>
      <c r="ADI1" t="s">
        <v>2594</v>
      </c>
      <c r="ADJ1" t="s">
        <v>2595</v>
      </c>
      <c r="ADK1" t="s">
        <v>2596</v>
      </c>
      <c r="ADL1" t="s">
        <v>2597</v>
      </c>
      <c r="ADM1" t="s">
        <v>2598</v>
      </c>
      <c r="ADN1" t="s">
        <v>2599</v>
      </c>
      <c r="ADO1" t="s">
        <v>2600</v>
      </c>
      <c r="ADP1" t="s">
        <v>2601</v>
      </c>
      <c r="ADQ1" t="s">
        <v>2602</v>
      </c>
      <c r="ADR1" t="s">
        <v>2603</v>
      </c>
      <c r="ADS1" t="s">
        <v>2604</v>
      </c>
      <c r="ADT1" t="s">
        <v>2605</v>
      </c>
      <c r="ADU1" t="s">
        <v>2606</v>
      </c>
      <c r="ADV1" t="s">
        <v>2607</v>
      </c>
      <c r="ADW1" t="s">
        <v>2608</v>
      </c>
      <c r="ADX1" t="s">
        <v>2609</v>
      </c>
      <c r="ADY1" t="s">
        <v>2610</v>
      </c>
      <c r="ADZ1" t="s">
        <v>2611</v>
      </c>
      <c r="AEA1" t="s">
        <v>2612</v>
      </c>
      <c r="AEB1" t="s">
        <v>2613</v>
      </c>
      <c r="AEC1" t="s">
        <v>2614</v>
      </c>
      <c r="AED1" t="s">
        <v>2615</v>
      </c>
      <c r="AEE1" t="s">
        <v>2616</v>
      </c>
      <c r="AEF1" t="s">
        <v>2617</v>
      </c>
      <c r="AEG1" t="s">
        <v>2618</v>
      </c>
      <c r="AEH1" t="s">
        <v>2619</v>
      </c>
      <c r="AEI1" t="s">
        <v>2620</v>
      </c>
      <c r="AEJ1" t="s">
        <v>2621</v>
      </c>
      <c r="AEK1" t="s">
        <v>2622</v>
      </c>
      <c r="AEL1" t="s">
        <v>2623</v>
      </c>
      <c r="AEM1" t="s">
        <v>2624</v>
      </c>
      <c r="AEN1" t="s">
        <v>2625</v>
      </c>
      <c r="AEO1" t="s">
        <v>2626</v>
      </c>
      <c r="AEP1" t="s">
        <v>2627</v>
      </c>
      <c r="AEQ1" t="s">
        <v>2628</v>
      </c>
      <c r="AER1" t="s">
        <v>2629</v>
      </c>
      <c r="AES1" t="s">
        <v>2630</v>
      </c>
      <c r="AET1" t="s">
        <v>2631</v>
      </c>
      <c r="AEU1" t="s">
        <v>2632</v>
      </c>
      <c r="AEV1" t="s">
        <v>2633</v>
      </c>
      <c r="AEW1" t="s">
        <v>2634</v>
      </c>
      <c r="AEX1" t="s">
        <v>2635</v>
      </c>
      <c r="AEY1" t="s">
        <v>2636</v>
      </c>
      <c r="AEZ1" t="s">
        <v>2637</v>
      </c>
      <c r="AFA1" t="s">
        <v>2638</v>
      </c>
      <c r="AFB1" t="s">
        <v>2639</v>
      </c>
      <c r="AFC1" t="s">
        <v>2640</v>
      </c>
      <c r="AFD1" t="s">
        <v>2641</v>
      </c>
      <c r="AFE1" t="s">
        <v>2642</v>
      </c>
      <c r="AFF1" t="s">
        <v>2643</v>
      </c>
      <c r="AFG1" t="s">
        <v>2644</v>
      </c>
      <c r="AFH1" t="s">
        <v>2645</v>
      </c>
      <c r="AFI1" t="s">
        <v>2646</v>
      </c>
      <c r="AFJ1" t="s">
        <v>2647</v>
      </c>
      <c r="AFK1" t="s">
        <v>2648</v>
      </c>
      <c r="AFL1" t="s">
        <v>2649</v>
      </c>
      <c r="AFM1" t="s">
        <v>2650</v>
      </c>
      <c r="AFN1" t="s">
        <v>2651</v>
      </c>
      <c r="AFO1" t="s">
        <v>2652</v>
      </c>
      <c r="AFP1" t="s">
        <v>2653</v>
      </c>
      <c r="AFQ1" t="s">
        <v>2654</v>
      </c>
      <c r="AFR1" t="s">
        <v>2655</v>
      </c>
      <c r="AFS1" t="s">
        <v>2656</v>
      </c>
      <c r="AFT1" t="s">
        <v>2657</v>
      </c>
      <c r="AFU1" t="s">
        <v>2658</v>
      </c>
      <c r="AFV1" t="s">
        <v>2659</v>
      </c>
      <c r="AFW1" t="s">
        <v>2660</v>
      </c>
      <c r="AFX1" t="s">
        <v>2661</v>
      </c>
      <c r="AFY1" t="s">
        <v>2662</v>
      </c>
      <c r="AFZ1" t="s">
        <v>2663</v>
      </c>
      <c r="AGA1" t="s">
        <v>2664</v>
      </c>
      <c r="AGB1" t="s">
        <v>2665</v>
      </c>
      <c r="AGC1" t="s">
        <v>2666</v>
      </c>
      <c r="AGD1" t="s">
        <v>2667</v>
      </c>
      <c r="AGE1" t="s">
        <v>2668</v>
      </c>
      <c r="AGF1" t="s">
        <v>2669</v>
      </c>
      <c r="AGG1" t="s">
        <v>2670</v>
      </c>
      <c r="AGH1" t="s">
        <v>2671</v>
      </c>
      <c r="AGI1" t="s">
        <v>2672</v>
      </c>
      <c r="AGJ1" t="s">
        <v>2673</v>
      </c>
      <c r="AGK1" t="s">
        <v>2674</v>
      </c>
      <c r="AGL1" t="s">
        <v>2675</v>
      </c>
      <c r="AGM1" t="s">
        <v>2676</v>
      </c>
      <c r="AGN1" t="s">
        <v>2677</v>
      </c>
      <c r="AGO1" t="s">
        <v>2678</v>
      </c>
      <c r="AGP1" t="s">
        <v>2679</v>
      </c>
      <c r="AGQ1" t="s">
        <v>2680</v>
      </c>
      <c r="AGR1" t="s">
        <v>2681</v>
      </c>
      <c r="AGS1" t="s">
        <v>2682</v>
      </c>
      <c r="AGT1" t="s">
        <v>2683</v>
      </c>
      <c r="AGU1" t="s">
        <v>2684</v>
      </c>
      <c r="AGV1" t="s">
        <v>2685</v>
      </c>
      <c r="AGW1" t="s">
        <v>2686</v>
      </c>
      <c r="AGX1" t="s">
        <v>2687</v>
      </c>
      <c r="AGY1" t="s">
        <v>2688</v>
      </c>
      <c r="AGZ1" t="s">
        <v>2689</v>
      </c>
      <c r="AHA1" t="s">
        <v>2690</v>
      </c>
      <c r="AHB1" t="s">
        <v>2691</v>
      </c>
      <c r="AHC1" t="s">
        <v>2692</v>
      </c>
      <c r="AHD1" t="s">
        <v>2693</v>
      </c>
      <c r="AHE1" t="s">
        <v>2694</v>
      </c>
      <c r="AHF1" t="s">
        <v>2695</v>
      </c>
      <c r="AHG1" t="s">
        <v>2696</v>
      </c>
      <c r="AHH1" t="s">
        <v>2697</v>
      </c>
      <c r="AHI1" t="s">
        <v>2698</v>
      </c>
      <c r="AHJ1" t="s">
        <v>2699</v>
      </c>
      <c r="AHK1" t="s">
        <v>2700</v>
      </c>
      <c r="AHL1" t="s">
        <v>2701</v>
      </c>
      <c r="AHM1" t="s">
        <v>2702</v>
      </c>
      <c r="AHN1" t="s">
        <v>2703</v>
      </c>
      <c r="AHO1" t="s">
        <v>2704</v>
      </c>
      <c r="AHP1" t="s">
        <v>2705</v>
      </c>
      <c r="AHQ1" t="s">
        <v>2706</v>
      </c>
      <c r="AHR1" t="s">
        <v>2707</v>
      </c>
      <c r="AHS1" t="s">
        <v>2708</v>
      </c>
      <c r="AHT1" t="s">
        <v>2709</v>
      </c>
      <c r="AHU1" t="s">
        <v>2710</v>
      </c>
      <c r="AHV1" t="s">
        <v>2711</v>
      </c>
      <c r="AHW1" t="s">
        <v>2712</v>
      </c>
      <c r="AHX1" t="s">
        <v>2713</v>
      </c>
      <c r="AHY1" t="s">
        <v>2714</v>
      </c>
      <c r="AHZ1" t="s">
        <v>2715</v>
      </c>
      <c r="AIA1" t="s">
        <v>2716</v>
      </c>
      <c r="AIB1" t="s">
        <v>2717</v>
      </c>
      <c r="AIC1" t="s">
        <v>2718</v>
      </c>
      <c r="AID1" t="s">
        <v>2719</v>
      </c>
      <c r="AIE1" t="s">
        <v>2720</v>
      </c>
      <c r="AIF1" t="s">
        <v>2721</v>
      </c>
      <c r="AIG1" t="s">
        <v>2722</v>
      </c>
      <c r="AIH1" t="s">
        <v>2723</v>
      </c>
      <c r="AII1" t="s">
        <v>2724</v>
      </c>
      <c r="AIJ1" t="s">
        <v>2725</v>
      </c>
      <c r="AIK1" t="s">
        <v>2726</v>
      </c>
      <c r="AIL1" t="s">
        <v>2727</v>
      </c>
      <c r="AIM1" t="s">
        <v>2728</v>
      </c>
      <c r="AIN1" t="s">
        <v>2729</v>
      </c>
      <c r="AIO1" t="s">
        <v>2730</v>
      </c>
      <c r="AIP1" t="s">
        <v>2731</v>
      </c>
      <c r="AIQ1" t="s">
        <v>2732</v>
      </c>
      <c r="AIR1" t="s">
        <v>2733</v>
      </c>
      <c r="AIS1" t="s">
        <v>2734</v>
      </c>
      <c r="AIT1" t="s">
        <v>2735</v>
      </c>
    </row>
    <row r="2" spans="1:930" x14ac:dyDescent="0.2">
      <c r="A2" t="s">
        <v>395</v>
      </c>
      <c r="B2" t="s">
        <v>396</v>
      </c>
      <c r="C2" t="s">
        <v>397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>
        <v>629</v>
      </c>
      <c r="W2" s="3">
        <v>43520.311805555553</v>
      </c>
      <c r="X2" t="s">
        <v>398</v>
      </c>
      <c r="Y2">
        <v>2019</v>
      </c>
      <c r="Z2" t="s">
        <v>399</v>
      </c>
      <c r="AA2" t="s">
        <v>400</v>
      </c>
      <c r="AC2" t="s">
        <v>401</v>
      </c>
      <c r="AE2" t="s">
        <v>402</v>
      </c>
      <c r="AF2" t="s">
        <v>403</v>
      </c>
      <c r="AH2">
        <v>1</v>
      </c>
      <c r="AK2">
        <v>73</v>
      </c>
      <c r="AL2">
        <v>71</v>
      </c>
      <c r="AM2">
        <v>2</v>
      </c>
      <c r="AN2">
        <v>0</v>
      </c>
      <c r="AU2">
        <v>0</v>
      </c>
      <c r="AV2">
        <v>71</v>
      </c>
      <c r="BB2">
        <v>71</v>
      </c>
      <c r="BI2">
        <v>0</v>
      </c>
      <c r="BP2">
        <v>0</v>
      </c>
      <c r="BW2">
        <v>0</v>
      </c>
      <c r="CD2">
        <v>0</v>
      </c>
      <c r="CE2">
        <v>71</v>
      </c>
      <c r="CF2">
        <v>0</v>
      </c>
      <c r="CG2">
        <v>0</v>
      </c>
      <c r="CH2">
        <v>0</v>
      </c>
      <c r="CI2">
        <v>0</v>
      </c>
      <c r="CJ2">
        <v>0</v>
      </c>
      <c r="CK2">
        <v>71</v>
      </c>
      <c r="CR2">
        <v>0</v>
      </c>
      <c r="CS2">
        <v>1</v>
      </c>
      <c r="CY2">
        <v>1</v>
      </c>
      <c r="DF2">
        <v>0</v>
      </c>
      <c r="DM2">
        <v>0</v>
      </c>
      <c r="DT2">
        <v>0</v>
      </c>
      <c r="EA2">
        <v>0</v>
      </c>
      <c r="EB2">
        <v>1</v>
      </c>
      <c r="EC2">
        <v>0</v>
      </c>
      <c r="ED2">
        <v>0</v>
      </c>
      <c r="EE2">
        <v>0</v>
      </c>
      <c r="EF2">
        <v>0</v>
      </c>
      <c r="EG2">
        <v>0</v>
      </c>
      <c r="EH2">
        <v>1</v>
      </c>
      <c r="EI2" t="s">
        <v>404</v>
      </c>
      <c r="EJ2" t="s">
        <v>404</v>
      </c>
      <c r="EK2" t="s">
        <v>404</v>
      </c>
      <c r="EL2" t="s">
        <v>404</v>
      </c>
      <c r="EM2" t="s">
        <v>404</v>
      </c>
      <c r="EN2" t="s">
        <v>404</v>
      </c>
      <c r="EO2" t="s">
        <v>405</v>
      </c>
      <c r="EP2" t="s">
        <v>404</v>
      </c>
      <c r="EQ2" t="s">
        <v>404</v>
      </c>
      <c r="ER2" t="s">
        <v>404</v>
      </c>
      <c r="ES2" t="s">
        <v>404</v>
      </c>
      <c r="ET2" t="s">
        <v>404</v>
      </c>
      <c r="EU2" t="s">
        <v>404</v>
      </c>
      <c r="EV2" t="s">
        <v>404</v>
      </c>
      <c r="EW2" t="s">
        <v>404</v>
      </c>
      <c r="EX2" t="s">
        <v>404</v>
      </c>
      <c r="EY2" t="s">
        <v>404</v>
      </c>
      <c r="EZ2" t="s">
        <v>404</v>
      </c>
      <c r="FA2" t="s">
        <v>404</v>
      </c>
      <c r="FB2" t="s">
        <v>404</v>
      </c>
      <c r="FC2" t="s">
        <v>404</v>
      </c>
      <c r="FD2" t="s">
        <v>404</v>
      </c>
      <c r="FE2" t="s">
        <v>404</v>
      </c>
      <c r="FF2" t="s">
        <v>404</v>
      </c>
      <c r="FG2" t="s">
        <v>404</v>
      </c>
      <c r="FH2" t="s">
        <v>404</v>
      </c>
      <c r="FI2" t="s">
        <v>404</v>
      </c>
      <c r="FJ2" t="s">
        <v>404</v>
      </c>
      <c r="FK2" t="s">
        <v>404</v>
      </c>
      <c r="FL2" t="s">
        <v>404</v>
      </c>
      <c r="FM2" t="s">
        <v>404</v>
      </c>
      <c r="FN2" t="s">
        <v>404</v>
      </c>
      <c r="FO2" t="s">
        <v>404</v>
      </c>
      <c r="FP2" t="s">
        <v>404</v>
      </c>
      <c r="FQ2" t="s">
        <v>404</v>
      </c>
      <c r="FR2" t="s">
        <v>404</v>
      </c>
      <c r="FS2">
        <v>59</v>
      </c>
      <c r="FY2">
        <v>59</v>
      </c>
      <c r="GF2">
        <v>0</v>
      </c>
      <c r="GM2">
        <v>0</v>
      </c>
      <c r="GT2">
        <v>0</v>
      </c>
      <c r="GU2">
        <v>6</v>
      </c>
      <c r="HA2">
        <v>6</v>
      </c>
      <c r="HH2">
        <v>0</v>
      </c>
      <c r="HO2">
        <v>0</v>
      </c>
      <c r="HP2" t="s">
        <v>406</v>
      </c>
      <c r="HQ2">
        <v>6</v>
      </c>
      <c r="HW2">
        <v>6</v>
      </c>
      <c r="HX2">
        <v>71</v>
      </c>
      <c r="HY2">
        <v>0</v>
      </c>
      <c r="HZ2">
        <v>0</v>
      </c>
      <c r="IA2">
        <v>0</v>
      </c>
      <c r="IB2">
        <v>0</v>
      </c>
      <c r="IC2">
        <v>0</v>
      </c>
      <c r="ID2">
        <v>71</v>
      </c>
      <c r="IK2">
        <v>0</v>
      </c>
      <c r="IL2">
        <v>71</v>
      </c>
      <c r="IR2">
        <v>71</v>
      </c>
      <c r="IY2">
        <v>0</v>
      </c>
      <c r="JF2">
        <v>0</v>
      </c>
      <c r="JM2">
        <v>0</v>
      </c>
      <c r="JN2">
        <v>71</v>
      </c>
      <c r="JO2">
        <v>0</v>
      </c>
      <c r="JP2">
        <v>0</v>
      </c>
      <c r="JQ2">
        <v>0</v>
      </c>
      <c r="JR2">
        <v>0</v>
      </c>
      <c r="JS2">
        <v>0</v>
      </c>
      <c r="JT2">
        <v>71</v>
      </c>
      <c r="JU2">
        <v>34</v>
      </c>
      <c r="JW2">
        <v>66</v>
      </c>
      <c r="JZ2">
        <v>2</v>
      </c>
      <c r="KA2">
        <v>3</v>
      </c>
      <c r="KB2">
        <v>1</v>
      </c>
      <c r="KC2" t="s">
        <v>407</v>
      </c>
      <c r="OF2" t="s">
        <v>408</v>
      </c>
      <c r="SI2" t="s">
        <v>409</v>
      </c>
      <c r="WL2" t="s">
        <v>410</v>
      </c>
      <c r="AAO2" t="s">
        <v>411</v>
      </c>
      <c r="AER2" t="s">
        <v>412</v>
      </c>
    </row>
    <row r="3" spans="1:930" x14ac:dyDescent="0.2">
      <c r="A3" t="s">
        <v>413</v>
      </c>
      <c r="B3" t="s">
        <v>414</v>
      </c>
      <c r="C3" t="s">
        <v>415</v>
      </c>
      <c r="P3" t="b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>
        <v>708</v>
      </c>
      <c r="W3" s="3">
        <v>43510.219444444447</v>
      </c>
      <c r="X3" t="s">
        <v>416</v>
      </c>
      <c r="Y3">
        <v>2019</v>
      </c>
      <c r="Z3" t="s">
        <v>417</v>
      </c>
      <c r="AA3" t="s">
        <v>418</v>
      </c>
      <c r="AC3" t="s">
        <v>419</v>
      </c>
      <c r="AE3" t="s">
        <v>420</v>
      </c>
      <c r="AF3" t="s">
        <v>421</v>
      </c>
      <c r="AH3">
        <v>1</v>
      </c>
      <c r="AK3">
        <v>150</v>
      </c>
      <c r="AL3">
        <v>150</v>
      </c>
      <c r="AM3">
        <v>150</v>
      </c>
      <c r="AN3">
        <v>150</v>
      </c>
      <c r="AO3">
        <v>150</v>
      </c>
      <c r="AU3">
        <v>150</v>
      </c>
      <c r="BB3">
        <v>0</v>
      </c>
      <c r="BI3">
        <v>0</v>
      </c>
      <c r="BP3">
        <v>0</v>
      </c>
      <c r="BW3">
        <v>0</v>
      </c>
      <c r="CD3">
        <v>0</v>
      </c>
      <c r="CE3">
        <v>150</v>
      </c>
      <c r="CF3">
        <v>0</v>
      </c>
      <c r="CG3">
        <v>0</v>
      </c>
      <c r="CH3">
        <v>0</v>
      </c>
      <c r="CI3">
        <v>0</v>
      </c>
      <c r="CJ3">
        <v>0</v>
      </c>
      <c r="CK3">
        <v>150</v>
      </c>
      <c r="CL3">
        <v>2</v>
      </c>
      <c r="CR3">
        <v>2</v>
      </c>
      <c r="CY3">
        <v>0</v>
      </c>
      <c r="DF3">
        <v>0</v>
      </c>
      <c r="DM3">
        <v>0</v>
      </c>
      <c r="DT3">
        <v>0</v>
      </c>
      <c r="EA3">
        <v>0</v>
      </c>
      <c r="EB3">
        <v>2</v>
      </c>
      <c r="EC3">
        <v>0</v>
      </c>
      <c r="ED3">
        <v>0</v>
      </c>
      <c r="EE3">
        <v>0</v>
      </c>
      <c r="EF3">
        <v>0</v>
      </c>
      <c r="EG3">
        <v>0</v>
      </c>
      <c r="EH3">
        <v>2</v>
      </c>
      <c r="EI3" t="s">
        <v>405</v>
      </c>
      <c r="EJ3" t="s">
        <v>404</v>
      </c>
      <c r="EK3" t="s">
        <v>404</v>
      </c>
      <c r="EL3" t="s">
        <v>404</v>
      </c>
      <c r="EM3" t="s">
        <v>404</v>
      </c>
      <c r="EN3" t="s">
        <v>404</v>
      </c>
      <c r="EO3" t="s">
        <v>404</v>
      </c>
      <c r="EP3" t="s">
        <v>404</v>
      </c>
      <c r="EQ3" t="s">
        <v>404</v>
      </c>
      <c r="ER3" t="s">
        <v>404</v>
      </c>
      <c r="ES3" t="s">
        <v>404</v>
      </c>
      <c r="ET3" t="s">
        <v>404</v>
      </c>
      <c r="EU3" t="s">
        <v>404</v>
      </c>
      <c r="EV3" t="s">
        <v>404</v>
      </c>
      <c r="EW3" t="s">
        <v>404</v>
      </c>
      <c r="EX3" t="s">
        <v>404</v>
      </c>
      <c r="EY3" t="s">
        <v>404</v>
      </c>
      <c r="EZ3" t="s">
        <v>404</v>
      </c>
      <c r="FA3" t="s">
        <v>404</v>
      </c>
      <c r="FB3" t="s">
        <v>404</v>
      </c>
      <c r="FC3" t="s">
        <v>404</v>
      </c>
      <c r="FD3" t="s">
        <v>404</v>
      </c>
      <c r="FE3" t="s">
        <v>404</v>
      </c>
      <c r="FF3" t="s">
        <v>404</v>
      </c>
      <c r="FG3" t="s">
        <v>404</v>
      </c>
      <c r="FH3" t="s">
        <v>404</v>
      </c>
      <c r="FI3" t="s">
        <v>404</v>
      </c>
      <c r="FJ3" t="s">
        <v>404</v>
      </c>
      <c r="FK3" t="s">
        <v>404</v>
      </c>
      <c r="FL3" t="s">
        <v>404</v>
      </c>
      <c r="FM3" t="s">
        <v>404</v>
      </c>
      <c r="FN3" t="s">
        <v>404</v>
      </c>
      <c r="FO3" t="s">
        <v>404</v>
      </c>
      <c r="FP3" t="s">
        <v>404</v>
      </c>
      <c r="FQ3" t="s">
        <v>404</v>
      </c>
      <c r="FR3" t="s">
        <v>404</v>
      </c>
      <c r="FS3">
        <v>100</v>
      </c>
      <c r="FY3">
        <v>100</v>
      </c>
      <c r="GF3">
        <v>0</v>
      </c>
      <c r="GM3">
        <v>0</v>
      </c>
      <c r="GT3">
        <v>0</v>
      </c>
      <c r="HA3">
        <v>0</v>
      </c>
      <c r="HH3">
        <v>0</v>
      </c>
      <c r="HO3">
        <v>0</v>
      </c>
      <c r="HP3" t="s">
        <v>422</v>
      </c>
      <c r="HQ3">
        <v>50</v>
      </c>
      <c r="HW3">
        <v>50</v>
      </c>
      <c r="HX3">
        <v>150</v>
      </c>
      <c r="HY3">
        <v>0</v>
      </c>
      <c r="HZ3">
        <v>0</v>
      </c>
      <c r="IA3">
        <v>0</v>
      </c>
      <c r="IB3">
        <v>0</v>
      </c>
      <c r="IC3">
        <v>0</v>
      </c>
      <c r="ID3">
        <v>150</v>
      </c>
      <c r="IE3">
        <v>150</v>
      </c>
      <c r="IK3">
        <v>150</v>
      </c>
      <c r="IR3">
        <v>0</v>
      </c>
      <c r="IY3">
        <v>0</v>
      </c>
      <c r="JF3">
        <v>0</v>
      </c>
      <c r="JM3">
        <v>0</v>
      </c>
      <c r="JN3">
        <v>150</v>
      </c>
      <c r="JO3">
        <v>0</v>
      </c>
      <c r="JP3">
        <v>0</v>
      </c>
      <c r="JQ3">
        <v>0</v>
      </c>
      <c r="JR3">
        <v>0</v>
      </c>
      <c r="JS3">
        <v>0</v>
      </c>
      <c r="JT3">
        <v>150</v>
      </c>
      <c r="JW3">
        <v>100</v>
      </c>
      <c r="JZ3">
        <v>1</v>
      </c>
      <c r="KA3">
        <v>3</v>
      </c>
      <c r="KB3">
        <v>1</v>
      </c>
      <c r="KC3" t="s">
        <v>407</v>
      </c>
      <c r="OF3" t="s">
        <v>408</v>
      </c>
      <c r="SI3" t="s">
        <v>409</v>
      </c>
      <c r="WL3" t="s">
        <v>410</v>
      </c>
      <c r="AAO3" t="s">
        <v>411</v>
      </c>
      <c r="AER3" t="s">
        <v>412</v>
      </c>
    </row>
    <row r="4" spans="1:930" x14ac:dyDescent="0.2">
      <c r="A4" t="s">
        <v>423</v>
      </c>
      <c r="B4" t="s">
        <v>414</v>
      </c>
      <c r="C4" t="s">
        <v>424</v>
      </c>
      <c r="P4" t="b">
        <v>0</v>
      </c>
      <c r="Q4" t="b">
        <v>1</v>
      </c>
      <c r="R4" t="b">
        <v>0</v>
      </c>
      <c r="S4" t="b">
        <v>0</v>
      </c>
      <c r="T4" t="b">
        <v>0</v>
      </c>
      <c r="U4" t="b">
        <v>0</v>
      </c>
      <c r="V4">
        <v>535</v>
      </c>
      <c r="W4" s="3">
        <v>43523.354861111111</v>
      </c>
      <c r="X4" t="s">
        <v>425</v>
      </c>
      <c r="Y4">
        <v>2019</v>
      </c>
      <c r="Z4" t="s">
        <v>426</v>
      </c>
      <c r="AA4" t="s">
        <v>427</v>
      </c>
      <c r="AB4" t="s">
        <v>428</v>
      </c>
      <c r="AC4" t="s">
        <v>429</v>
      </c>
      <c r="AD4" t="s">
        <v>430</v>
      </c>
      <c r="AE4" t="s">
        <v>420</v>
      </c>
      <c r="AF4" t="s">
        <v>421</v>
      </c>
      <c r="AH4">
        <v>1</v>
      </c>
      <c r="AK4">
        <v>1244</v>
      </c>
      <c r="AL4">
        <v>1244</v>
      </c>
      <c r="AM4">
        <v>1244</v>
      </c>
      <c r="AN4">
        <v>1244</v>
      </c>
      <c r="AO4">
        <v>1065</v>
      </c>
      <c r="AR4">
        <v>179</v>
      </c>
      <c r="AU4">
        <v>1244</v>
      </c>
      <c r="BB4">
        <v>0</v>
      </c>
      <c r="BI4">
        <v>0</v>
      </c>
      <c r="BP4">
        <v>0</v>
      </c>
      <c r="BW4">
        <v>0</v>
      </c>
      <c r="CD4">
        <v>0</v>
      </c>
      <c r="CE4">
        <v>1065</v>
      </c>
      <c r="CF4">
        <v>0</v>
      </c>
      <c r="CG4">
        <v>0</v>
      </c>
      <c r="CH4">
        <v>179</v>
      </c>
      <c r="CI4">
        <v>0</v>
      </c>
      <c r="CJ4">
        <v>0</v>
      </c>
      <c r="CK4">
        <v>1244</v>
      </c>
      <c r="CL4">
        <v>2</v>
      </c>
      <c r="CO4">
        <v>4</v>
      </c>
      <c r="CR4">
        <v>6</v>
      </c>
      <c r="CY4">
        <v>0</v>
      </c>
      <c r="DF4">
        <v>0</v>
      </c>
      <c r="DM4">
        <v>0</v>
      </c>
      <c r="DT4">
        <v>0</v>
      </c>
      <c r="EA4">
        <v>0</v>
      </c>
      <c r="EB4">
        <v>2</v>
      </c>
      <c r="EC4">
        <v>0</v>
      </c>
      <c r="ED4">
        <v>0</v>
      </c>
      <c r="EE4">
        <v>4</v>
      </c>
      <c r="EF4">
        <v>0</v>
      </c>
      <c r="EG4">
        <v>0</v>
      </c>
      <c r="EH4">
        <v>6</v>
      </c>
      <c r="EI4" t="s">
        <v>405</v>
      </c>
      <c r="EJ4" t="s">
        <v>404</v>
      </c>
      <c r="EK4" t="s">
        <v>404</v>
      </c>
      <c r="EL4" t="s">
        <v>405</v>
      </c>
      <c r="EM4" t="s">
        <v>404</v>
      </c>
      <c r="EN4" t="s">
        <v>404</v>
      </c>
      <c r="EO4" t="s">
        <v>404</v>
      </c>
      <c r="EP4" t="s">
        <v>404</v>
      </c>
      <c r="EQ4" t="s">
        <v>404</v>
      </c>
      <c r="ER4" t="s">
        <v>404</v>
      </c>
      <c r="ES4" t="s">
        <v>404</v>
      </c>
      <c r="ET4" t="s">
        <v>404</v>
      </c>
      <c r="EU4" t="s">
        <v>404</v>
      </c>
      <c r="EV4" t="s">
        <v>404</v>
      </c>
      <c r="EW4" t="s">
        <v>404</v>
      </c>
      <c r="EX4" t="s">
        <v>404</v>
      </c>
      <c r="EY4" t="s">
        <v>404</v>
      </c>
      <c r="EZ4" t="s">
        <v>404</v>
      </c>
      <c r="FA4" t="s">
        <v>404</v>
      </c>
      <c r="FB4" t="s">
        <v>404</v>
      </c>
      <c r="FC4" t="s">
        <v>404</v>
      </c>
      <c r="FD4" t="s">
        <v>404</v>
      </c>
      <c r="FE4" t="s">
        <v>404</v>
      </c>
      <c r="FF4" t="s">
        <v>404</v>
      </c>
      <c r="FG4" t="s">
        <v>404</v>
      </c>
      <c r="FH4" t="s">
        <v>404</v>
      </c>
      <c r="FI4" t="s">
        <v>404</v>
      </c>
      <c r="FJ4" t="s">
        <v>404</v>
      </c>
      <c r="FK4" t="s">
        <v>404</v>
      </c>
      <c r="FL4" t="s">
        <v>404</v>
      </c>
      <c r="FM4" t="s">
        <v>404</v>
      </c>
      <c r="FN4" t="s">
        <v>404</v>
      </c>
      <c r="FO4" t="s">
        <v>404</v>
      </c>
      <c r="FP4" t="s">
        <v>404</v>
      </c>
      <c r="FQ4" t="s">
        <v>404</v>
      </c>
      <c r="FR4" t="s">
        <v>404</v>
      </c>
      <c r="FS4">
        <v>922</v>
      </c>
      <c r="FV4">
        <v>121</v>
      </c>
      <c r="FY4">
        <v>1043</v>
      </c>
      <c r="FZ4">
        <v>121</v>
      </c>
      <c r="GF4">
        <v>121</v>
      </c>
      <c r="GG4">
        <v>2</v>
      </c>
      <c r="GJ4">
        <v>58</v>
      </c>
      <c r="GM4">
        <v>60</v>
      </c>
      <c r="GT4">
        <v>0</v>
      </c>
      <c r="HA4">
        <v>0</v>
      </c>
      <c r="HB4">
        <v>20</v>
      </c>
      <c r="HH4">
        <v>20</v>
      </c>
      <c r="HO4">
        <v>0</v>
      </c>
      <c r="HW4">
        <v>0</v>
      </c>
      <c r="HX4">
        <v>1065</v>
      </c>
      <c r="HY4">
        <v>0</v>
      </c>
      <c r="HZ4">
        <v>0</v>
      </c>
      <c r="IA4">
        <v>179</v>
      </c>
      <c r="IB4">
        <v>0</v>
      </c>
      <c r="IC4">
        <v>0</v>
      </c>
      <c r="ID4">
        <v>1244</v>
      </c>
      <c r="IE4">
        <v>957</v>
      </c>
      <c r="IH4">
        <v>179</v>
      </c>
      <c r="IK4">
        <v>1136</v>
      </c>
      <c r="IL4">
        <v>108</v>
      </c>
      <c r="IR4">
        <v>108</v>
      </c>
      <c r="IY4">
        <v>0</v>
      </c>
      <c r="JF4">
        <v>0</v>
      </c>
      <c r="JM4">
        <v>0</v>
      </c>
      <c r="JN4">
        <v>1065</v>
      </c>
      <c r="JO4">
        <v>0</v>
      </c>
      <c r="JP4">
        <v>0</v>
      </c>
      <c r="JQ4">
        <v>179</v>
      </c>
      <c r="JR4">
        <v>0</v>
      </c>
      <c r="JS4">
        <v>0</v>
      </c>
      <c r="JT4">
        <v>1244</v>
      </c>
      <c r="JW4">
        <v>100</v>
      </c>
      <c r="JZ4">
        <v>3</v>
      </c>
      <c r="KA4">
        <v>3</v>
      </c>
      <c r="KB4">
        <v>1</v>
      </c>
      <c r="KC4" t="s">
        <v>407</v>
      </c>
      <c r="OF4" t="s">
        <v>408</v>
      </c>
      <c r="SI4" t="s">
        <v>409</v>
      </c>
      <c r="WL4" t="s">
        <v>410</v>
      </c>
      <c r="AAO4" t="s">
        <v>411</v>
      </c>
      <c r="AER4" t="s">
        <v>412</v>
      </c>
    </row>
    <row r="5" spans="1:930" x14ac:dyDescent="0.2">
      <c r="A5" t="s">
        <v>431</v>
      </c>
      <c r="B5" t="s">
        <v>396</v>
      </c>
      <c r="C5" t="s">
        <v>432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0</v>
      </c>
      <c r="V5">
        <v>642</v>
      </c>
      <c r="W5" s="3">
        <v>43524.72152777778</v>
      </c>
      <c r="X5" t="s">
        <v>433</v>
      </c>
      <c r="Y5">
        <v>2019</v>
      </c>
      <c r="Z5" t="s">
        <v>434</v>
      </c>
      <c r="AA5" t="s">
        <v>435</v>
      </c>
      <c r="AC5" t="s">
        <v>436</v>
      </c>
      <c r="AE5" t="s">
        <v>437</v>
      </c>
      <c r="AF5" t="s">
        <v>403</v>
      </c>
      <c r="AH5">
        <v>1</v>
      </c>
      <c r="AK5">
        <v>5110.3999999999996</v>
      </c>
      <c r="AL5">
        <v>5027</v>
      </c>
      <c r="AO5">
        <v>17.399999999999999</v>
      </c>
      <c r="AP5">
        <v>3.2</v>
      </c>
      <c r="AS5">
        <v>66</v>
      </c>
      <c r="AU5">
        <v>86.6</v>
      </c>
      <c r="AV5">
        <v>363.5</v>
      </c>
      <c r="AW5">
        <v>319.39999999999998</v>
      </c>
      <c r="BA5">
        <v>15.6</v>
      </c>
      <c r="BB5">
        <v>698.5</v>
      </c>
      <c r="BC5">
        <v>1490.5</v>
      </c>
      <c r="BD5">
        <v>516.70000000000005</v>
      </c>
      <c r="BE5">
        <v>31</v>
      </c>
      <c r="BI5">
        <v>2038.2</v>
      </c>
      <c r="BK5">
        <v>106.4</v>
      </c>
      <c r="BL5">
        <v>223.8</v>
      </c>
      <c r="BN5">
        <v>1845.3</v>
      </c>
      <c r="BP5">
        <v>2175.5</v>
      </c>
      <c r="BV5">
        <v>28.4</v>
      </c>
      <c r="BW5">
        <v>28.4</v>
      </c>
      <c r="CD5">
        <v>0</v>
      </c>
      <c r="CE5">
        <v>1871.4</v>
      </c>
      <c r="CF5">
        <v>945.7</v>
      </c>
      <c r="CG5">
        <v>254.8</v>
      </c>
      <c r="CH5">
        <v>0</v>
      </c>
      <c r="CI5">
        <v>1911.3</v>
      </c>
      <c r="CJ5">
        <v>44</v>
      </c>
      <c r="CK5">
        <v>5027.2</v>
      </c>
      <c r="CR5">
        <v>0</v>
      </c>
      <c r="CY5">
        <v>0</v>
      </c>
      <c r="DF5">
        <v>0</v>
      </c>
      <c r="DM5">
        <v>0</v>
      </c>
      <c r="DT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 t="s">
        <v>405</v>
      </c>
      <c r="EJ5" t="s">
        <v>405</v>
      </c>
      <c r="EK5" t="s">
        <v>404</v>
      </c>
      <c r="EL5" t="s">
        <v>404</v>
      </c>
      <c r="EM5" t="s">
        <v>405</v>
      </c>
      <c r="EN5" t="s">
        <v>404</v>
      </c>
      <c r="EO5" t="s">
        <v>405</v>
      </c>
      <c r="EP5" t="s">
        <v>405</v>
      </c>
      <c r="EQ5" t="s">
        <v>404</v>
      </c>
      <c r="ER5" t="s">
        <v>404</v>
      </c>
      <c r="ES5" t="s">
        <v>404</v>
      </c>
      <c r="ET5" t="s">
        <v>405</v>
      </c>
      <c r="EU5" t="s">
        <v>405</v>
      </c>
      <c r="EV5" t="s">
        <v>405</v>
      </c>
      <c r="EW5" t="s">
        <v>405</v>
      </c>
      <c r="EX5" t="s">
        <v>404</v>
      </c>
      <c r="EY5" t="s">
        <v>404</v>
      </c>
      <c r="EZ5" t="s">
        <v>404</v>
      </c>
      <c r="FA5" t="s">
        <v>404</v>
      </c>
      <c r="FB5" t="s">
        <v>405</v>
      </c>
      <c r="FC5" t="s">
        <v>405</v>
      </c>
      <c r="FD5" t="s">
        <v>404</v>
      </c>
      <c r="FE5" t="s">
        <v>405</v>
      </c>
      <c r="FF5" t="s">
        <v>404</v>
      </c>
      <c r="FG5" t="s">
        <v>404</v>
      </c>
      <c r="FH5" t="s">
        <v>404</v>
      </c>
      <c r="FI5" t="s">
        <v>404</v>
      </c>
      <c r="FJ5" t="s">
        <v>404</v>
      </c>
      <c r="FK5" t="s">
        <v>404</v>
      </c>
      <c r="FL5" t="s">
        <v>405</v>
      </c>
      <c r="FM5" t="s">
        <v>404</v>
      </c>
      <c r="FN5" t="s">
        <v>404</v>
      </c>
      <c r="FO5" t="s">
        <v>404</v>
      </c>
      <c r="FP5" t="s">
        <v>404</v>
      </c>
      <c r="FQ5" t="s">
        <v>404</v>
      </c>
      <c r="FR5" t="s">
        <v>404</v>
      </c>
      <c r="FY5">
        <v>0</v>
      </c>
      <c r="GF5">
        <v>0</v>
      </c>
      <c r="GM5">
        <v>0</v>
      </c>
      <c r="GT5">
        <v>0</v>
      </c>
      <c r="HA5">
        <v>0</v>
      </c>
      <c r="HH5">
        <v>0</v>
      </c>
      <c r="HO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K5">
        <v>0</v>
      </c>
      <c r="IR5">
        <v>0</v>
      </c>
      <c r="IY5">
        <v>0</v>
      </c>
      <c r="JF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Z5">
        <v>1</v>
      </c>
      <c r="KA5">
        <v>3</v>
      </c>
      <c r="KB5">
        <v>1</v>
      </c>
      <c r="KC5" t="s">
        <v>407</v>
      </c>
      <c r="OF5" t="s">
        <v>408</v>
      </c>
      <c r="SI5" t="s">
        <v>409</v>
      </c>
      <c r="WL5" t="s">
        <v>410</v>
      </c>
      <c r="AAO5" t="s">
        <v>411</v>
      </c>
      <c r="AER5" t="s">
        <v>412</v>
      </c>
    </row>
    <row r="6" spans="1:930" x14ac:dyDescent="0.2">
      <c r="A6" t="s">
        <v>438</v>
      </c>
      <c r="B6" t="s">
        <v>396</v>
      </c>
      <c r="C6" t="s">
        <v>439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>
        <v>759</v>
      </c>
      <c r="W6" s="3">
        <v>43524.365972222222</v>
      </c>
      <c r="X6" t="s">
        <v>440</v>
      </c>
      <c r="Y6">
        <v>2019</v>
      </c>
      <c r="Z6" t="s">
        <v>441</v>
      </c>
      <c r="AA6" t="s">
        <v>442</v>
      </c>
      <c r="AC6" t="s">
        <v>443</v>
      </c>
      <c r="AE6" t="s">
        <v>444</v>
      </c>
      <c r="AF6" t="s">
        <v>403</v>
      </c>
      <c r="AH6">
        <v>1</v>
      </c>
      <c r="AK6">
        <v>65</v>
      </c>
      <c r="AL6">
        <v>65</v>
      </c>
      <c r="AM6">
        <v>16</v>
      </c>
      <c r="AN6">
        <v>16</v>
      </c>
      <c r="AU6">
        <v>0</v>
      </c>
      <c r="AV6">
        <v>65</v>
      </c>
      <c r="BB6">
        <v>65</v>
      </c>
      <c r="BI6">
        <v>0</v>
      </c>
      <c r="BP6">
        <v>0</v>
      </c>
      <c r="BW6">
        <v>0</v>
      </c>
      <c r="CD6">
        <v>0</v>
      </c>
      <c r="CE6">
        <v>65</v>
      </c>
      <c r="CF6">
        <v>0</v>
      </c>
      <c r="CG6">
        <v>0</v>
      </c>
      <c r="CH6">
        <v>0</v>
      </c>
      <c r="CI6">
        <v>0</v>
      </c>
      <c r="CJ6">
        <v>0</v>
      </c>
      <c r="CK6">
        <v>65</v>
      </c>
      <c r="CR6">
        <v>0</v>
      </c>
      <c r="CS6">
        <v>2</v>
      </c>
      <c r="CY6">
        <v>2</v>
      </c>
      <c r="DF6">
        <v>0</v>
      </c>
      <c r="DM6">
        <v>0</v>
      </c>
      <c r="DT6">
        <v>0</v>
      </c>
      <c r="EA6">
        <v>0</v>
      </c>
      <c r="EB6">
        <v>2</v>
      </c>
      <c r="EC6">
        <v>0</v>
      </c>
      <c r="ED6">
        <v>0</v>
      </c>
      <c r="EE6">
        <v>0</v>
      </c>
      <c r="EF6">
        <v>0</v>
      </c>
      <c r="EG6">
        <v>0</v>
      </c>
      <c r="EH6">
        <v>2</v>
      </c>
      <c r="EI6" t="s">
        <v>404</v>
      </c>
      <c r="EJ6" t="s">
        <v>404</v>
      </c>
      <c r="EK6" t="s">
        <v>404</v>
      </c>
      <c r="EL6" t="s">
        <v>404</v>
      </c>
      <c r="EM6" t="s">
        <v>404</v>
      </c>
      <c r="EN6" t="s">
        <v>404</v>
      </c>
      <c r="EO6" t="s">
        <v>405</v>
      </c>
      <c r="EP6" t="s">
        <v>404</v>
      </c>
      <c r="EQ6" t="s">
        <v>404</v>
      </c>
      <c r="ER6" t="s">
        <v>404</v>
      </c>
      <c r="ES6" t="s">
        <v>404</v>
      </c>
      <c r="ET6" t="s">
        <v>404</v>
      </c>
      <c r="EU6" t="s">
        <v>404</v>
      </c>
      <c r="EV6" t="s">
        <v>404</v>
      </c>
      <c r="EW6" t="s">
        <v>404</v>
      </c>
      <c r="EX6" t="s">
        <v>404</v>
      </c>
      <c r="EY6" t="s">
        <v>404</v>
      </c>
      <c r="EZ6" t="s">
        <v>404</v>
      </c>
      <c r="FA6" t="s">
        <v>404</v>
      </c>
      <c r="FB6" t="s">
        <v>404</v>
      </c>
      <c r="FC6" t="s">
        <v>404</v>
      </c>
      <c r="FD6" t="s">
        <v>404</v>
      </c>
      <c r="FE6" t="s">
        <v>404</v>
      </c>
      <c r="FF6" t="s">
        <v>404</v>
      </c>
      <c r="FG6" t="s">
        <v>404</v>
      </c>
      <c r="FH6" t="s">
        <v>404</v>
      </c>
      <c r="FI6" t="s">
        <v>404</v>
      </c>
      <c r="FJ6" t="s">
        <v>404</v>
      </c>
      <c r="FK6" t="s">
        <v>404</v>
      </c>
      <c r="FL6" t="s">
        <v>404</v>
      </c>
      <c r="FM6" t="s">
        <v>404</v>
      </c>
      <c r="FN6" t="s">
        <v>404</v>
      </c>
      <c r="FO6" t="s">
        <v>404</v>
      </c>
      <c r="FP6" t="s">
        <v>404</v>
      </c>
      <c r="FQ6" t="s">
        <v>404</v>
      </c>
      <c r="FR6" t="s">
        <v>404</v>
      </c>
      <c r="FY6">
        <v>0</v>
      </c>
      <c r="GF6">
        <v>0</v>
      </c>
      <c r="GM6">
        <v>0</v>
      </c>
      <c r="GT6">
        <v>0</v>
      </c>
      <c r="HA6">
        <v>0</v>
      </c>
      <c r="HB6">
        <v>65</v>
      </c>
      <c r="HH6">
        <v>65</v>
      </c>
      <c r="HO6">
        <v>0</v>
      </c>
      <c r="HW6">
        <v>0</v>
      </c>
      <c r="HX6">
        <v>65</v>
      </c>
      <c r="HY6">
        <v>0</v>
      </c>
      <c r="HZ6">
        <v>0</v>
      </c>
      <c r="IA6">
        <v>0</v>
      </c>
      <c r="IB6">
        <v>0</v>
      </c>
      <c r="IC6">
        <v>0</v>
      </c>
      <c r="ID6">
        <v>65</v>
      </c>
      <c r="IK6">
        <v>0</v>
      </c>
      <c r="IL6">
        <v>65</v>
      </c>
      <c r="IR6">
        <v>65</v>
      </c>
      <c r="IY6">
        <v>0</v>
      </c>
      <c r="JF6">
        <v>0</v>
      </c>
      <c r="JM6">
        <v>0</v>
      </c>
      <c r="JN6">
        <v>65</v>
      </c>
      <c r="JO6">
        <v>0</v>
      </c>
      <c r="JP6">
        <v>0</v>
      </c>
      <c r="JQ6">
        <v>0</v>
      </c>
      <c r="JR6">
        <v>0</v>
      </c>
      <c r="JS6">
        <v>0</v>
      </c>
      <c r="JT6">
        <v>65</v>
      </c>
      <c r="JW6">
        <v>100</v>
      </c>
      <c r="JZ6">
        <v>1</v>
      </c>
      <c r="KA6">
        <v>3</v>
      </c>
      <c r="KB6">
        <v>1</v>
      </c>
      <c r="KC6" t="s">
        <v>407</v>
      </c>
      <c r="OF6" t="s">
        <v>408</v>
      </c>
      <c r="SI6" t="s">
        <v>409</v>
      </c>
      <c r="WL6" t="s">
        <v>410</v>
      </c>
      <c r="AAO6" t="s">
        <v>411</v>
      </c>
      <c r="AER6" t="s">
        <v>412</v>
      </c>
    </row>
    <row r="7" spans="1:930" x14ac:dyDescent="0.2">
      <c r="A7" t="s">
        <v>445</v>
      </c>
      <c r="B7" t="s">
        <v>396</v>
      </c>
      <c r="C7" t="s">
        <v>446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>
        <v>768</v>
      </c>
      <c r="W7" s="3">
        <v>43516.550694444442</v>
      </c>
      <c r="X7" t="s">
        <v>447</v>
      </c>
      <c r="Y7">
        <v>2019</v>
      </c>
      <c r="Z7" t="s">
        <v>448</v>
      </c>
      <c r="AA7" t="s">
        <v>449</v>
      </c>
      <c r="AB7" t="s">
        <v>450</v>
      </c>
      <c r="AC7" t="s">
        <v>451</v>
      </c>
      <c r="AD7">
        <v>708870995</v>
      </c>
      <c r="AE7" t="s">
        <v>452</v>
      </c>
      <c r="AF7" t="s">
        <v>403</v>
      </c>
      <c r="AH7">
        <v>1</v>
      </c>
      <c r="AK7">
        <v>75</v>
      </c>
      <c r="AL7">
        <v>75</v>
      </c>
      <c r="AM7">
        <v>17</v>
      </c>
      <c r="AN7">
        <v>17</v>
      </c>
      <c r="AU7">
        <v>0</v>
      </c>
      <c r="AV7">
        <v>75</v>
      </c>
      <c r="AW7">
        <v>0</v>
      </c>
      <c r="AX7">
        <v>0</v>
      </c>
      <c r="AY7">
        <v>0</v>
      </c>
      <c r="AZ7">
        <v>0</v>
      </c>
      <c r="BA7">
        <v>0</v>
      </c>
      <c r="BB7">
        <v>75</v>
      </c>
      <c r="BI7">
        <v>0</v>
      </c>
      <c r="BP7">
        <v>0</v>
      </c>
      <c r="BW7">
        <v>0</v>
      </c>
      <c r="CD7">
        <v>0</v>
      </c>
      <c r="CE7">
        <v>75</v>
      </c>
      <c r="CF7">
        <v>0</v>
      </c>
      <c r="CG7">
        <v>0</v>
      </c>
      <c r="CH7">
        <v>0</v>
      </c>
      <c r="CI7">
        <v>0</v>
      </c>
      <c r="CJ7">
        <v>0</v>
      </c>
      <c r="CK7">
        <v>75</v>
      </c>
      <c r="CR7">
        <v>0</v>
      </c>
      <c r="CS7">
        <v>1</v>
      </c>
      <c r="CY7">
        <v>1</v>
      </c>
      <c r="DF7">
        <v>0</v>
      </c>
      <c r="DM7">
        <v>0</v>
      </c>
      <c r="DT7">
        <v>0</v>
      </c>
      <c r="EA7">
        <v>0</v>
      </c>
      <c r="EB7">
        <v>1</v>
      </c>
      <c r="EC7">
        <v>0</v>
      </c>
      <c r="ED7">
        <v>0</v>
      </c>
      <c r="EE7">
        <v>0</v>
      </c>
      <c r="EF7">
        <v>0</v>
      </c>
      <c r="EG7">
        <v>0</v>
      </c>
      <c r="EH7">
        <v>1</v>
      </c>
      <c r="EI7" t="s">
        <v>404</v>
      </c>
      <c r="EJ7" t="s">
        <v>404</v>
      </c>
      <c r="EK7" t="s">
        <v>404</v>
      </c>
      <c r="EL7" t="s">
        <v>404</v>
      </c>
      <c r="EM7" t="s">
        <v>404</v>
      </c>
      <c r="EN7" t="s">
        <v>404</v>
      </c>
      <c r="EO7" t="s">
        <v>405</v>
      </c>
      <c r="EP7" t="s">
        <v>404</v>
      </c>
      <c r="EQ7" t="s">
        <v>404</v>
      </c>
      <c r="ER7" t="s">
        <v>404</v>
      </c>
      <c r="ES7" t="s">
        <v>404</v>
      </c>
      <c r="ET7" t="s">
        <v>404</v>
      </c>
      <c r="EU7" t="s">
        <v>404</v>
      </c>
      <c r="EV7" t="s">
        <v>404</v>
      </c>
      <c r="EW7" t="s">
        <v>404</v>
      </c>
      <c r="EX7" t="s">
        <v>404</v>
      </c>
      <c r="EY7" t="s">
        <v>404</v>
      </c>
      <c r="EZ7" t="s">
        <v>404</v>
      </c>
      <c r="FA7" t="s">
        <v>404</v>
      </c>
      <c r="FB7" t="s">
        <v>404</v>
      </c>
      <c r="FC7" t="s">
        <v>404</v>
      </c>
      <c r="FD7" t="s">
        <v>404</v>
      </c>
      <c r="FE7" t="s">
        <v>404</v>
      </c>
      <c r="FF7" t="s">
        <v>404</v>
      </c>
      <c r="FG7" t="s">
        <v>404</v>
      </c>
      <c r="FH7" t="s">
        <v>404</v>
      </c>
      <c r="FI7" t="s">
        <v>404</v>
      </c>
      <c r="FJ7" t="s">
        <v>404</v>
      </c>
      <c r="FK7" t="s">
        <v>404</v>
      </c>
      <c r="FL7" t="s">
        <v>404</v>
      </c>
      <c r="FM7" t="s">
        <v>404</v>
      </c>
      <c r="FN7" t="s">
        <v>404</v>
      </c>
      <c r="FO7" t="s">
        <v>404</v>
      </c>
      <c r="FP7" t="s">
        <v>404</v>
      </c>
      <c r="FQ7" t="s">
        <v>404</v>
      </c>
      <c r="FR7" t="s">
        <v>404</v>
      </c>
      <c r="FS7">
        <v>75</v>
      </c>
      <c r="FY7">
        <v>75</v>
      </c>
      <c r="GF7">
        <v>0</v>
      </c>
      <c r="GM7">
        <v>0</v>
      </c>
      <c r="GT7">
        <v>0</v>
      </c>
      <c r="HA7">
        <v>0</v>
      </c>
      <c r="HH7">
        <v>0</v>
      </c>
      <c r="HO7">
        <v>0</v>
      </c>
      <c r="HW7">
        <v>0</v>
      </c>
      <c r="HX7">
        <v>75</v>
      </c>
      <c r="HY7">
        <v>0</v>
      </c>
      <c r="HZ7">
        <v>0</v>
      </c>
      <c r="IA7">
        <v>0</v>
      </c>
      <c r="IB7">
        <v>0</v>
      </c>
      <c r="IC7">
        <v>0</v>
      </c>
      <c r="ID7">
        <v>75</v>
      </c>
      <c r="IK7">
        <v>0</v>
      </c>
      <c r="IL7">
        <v>75</v>
      </c>
      <c r="IR7">
        <v>75</v>
      </c>
      <c r="IY7">
        <v>0</v>
      </c>
      <c r="JF7">
        <v>0</v>
      </c>
      <c r="JM7">
        <v>0</v>
      </c>
      <c r="JN7">
        <v>75</v>
      </c>
      <c r="JO7">
        <v>0</v>
      </c>
      <c r="JP7">
        <v>0</v>
      </c>
      <c r="JQ7">
        <v>0</v>
      </c>
      <c r="JR7">
        <v>0</v>
      </c>
      <c r="JS7">
        <v>0</v>
      </c>
      <c r="JT7">
        <v>75</v>
      </c>
      <c r="JU7">
        <v>0</v>
      </c>
      <c r="JV7">
        <v>0</v>
      </c>
      <c r="JW7">
        <v>100</v>
      </c>
      <c r="JZ7">
        <v>1</v>
      </c>
      <c r="KA7">
        <v>3</v>
      </c>
      <c r="KB7">
        <v>1</v>
      </c>
      <c r="KC7" t="s">
        <v>407</v>
      </c>
      <c r="OF7" t="s">
        <v>408</v>
      </c>
      <c r="SI7" t="s">
        <v>409</v>
      </c>
      <c r="WL7" t="s">
        <v>410</v>
      </c>
      <c r="AAO7" t="s">
        <v>411</v>
      </c>
      <c r="AER7" t="s">
        <v>412</v>
      </c>
    </row>
    <row r="8" spans="1:930" x14ac:dyDescent="0.2">
      <c r="A8" t="s">
        <v>453</v>
      </c>
      <c r="B8" t="s">
        <v>414</v>
      </c>
      <c r="C8" t="s">
        <v>454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>
        <v>539</v>
      </c>
      <c r="W8" s="3">
        <v>43517.972916666666</v>
      </c>
      <c r="X8" t="s">
        <v>455</v>
      </c>
      <c r="Y8">
        <v>2019</v>
      </c>
      <c r="Z8" t="s">
        <v>456</v>
      </c>
      <c r="AA8" t="s">
        <v>454</v>
      </c>
      <c r="AB8" t="s">
        <v>457</v>
      </c>
      <c r="AC8" t="s">
        <v>458</v>
      </c>
      <c r="AD8" t="s">
        <v>459</v>
      </c>
      <c r="AE8" t="s">
        <v>420</v>
      </c>
      <c r="AF8" t="s">
        <v>421</v>
      </c>
      <c r="AH8">
        <v>1</v>
      </c>
      <c r="AK8">
        <v>1000</v>
      </c>
      <c r="AL8">
        <v>1000</v>
      </c>
      <c r="AM8">
        <v>1000</v>
      </c>
      <c r="AN8">
        <v>1000</v>
      </c>
      <c r="AO8">
        <v>1000</v>
      </c>
      <c r="AU8">
        <v>1000</v>
      </c>
      <c r="BB8">
        <v>0</v>
      </c>
      <c r="BI8">
        <v>0</v>
      </c>
      <c r="BP8">
        <v>0</v>
      </c>
      <c r="BW8">
        <v>0</v>
      </c>
      <c r="CD8">
        <v>0</v>
      </c>
      <c r="CE8">
        <v>1000</v>
      </c>
      <c r="CF8">
        <v>0</v>
      </c>
      <c r="CG8">
        <v>0</v>
      </c>
      <c r="CH8">
        <v>0</v>
      </c>
      <c r="CI8">
        <v>0</v>
      </c>
      <c r="CJ8">
        <v>0</v>
      </c>
      <c r="CK8">
        <v>1000</v>
      </c>
      <c r="CL8">
        <v>2</v>
      </c>
      <c r="CR8">
        <v>2</v>
      </c>
      <c r="CY8">
        <v>0</v>
      </c>
      <c r="DF8">
        <v>0</v>
      </c>
      <c r="DM8">
        <v>0</v>
      </c>
      <c r="DT8">
        <v>0</v>
      </c>
      <c r="EA8">
        <v>0</v>
      </c>
      <c r="EB8">
        <v>2</v>
      </c>
      <c r="EC8">
        <v>0</v>
      </c>
      <c r="ED8">
        <v>0</v>
      </c>
      <c r="EE8">
        <v>0</v>
      </c>
      <c r="EF8">
        <v>0</v>
      </c>
      <c r="EG8">
        <v>0</v>
      </c>
      <c r="EH8">
        <v>2</v>
      </c>
      <c r="EI8" t="s">
        <v>405</v>
      </c>
      <c r="EJ8" t="s">
        <v>404</v>
      </c>
      <c r="EK8" t="s">
        <v>404</v>
      </c>
      <c r="EL8" t="s">
        <v>404</v>
      </c>
      <c r="EM8" t="s">
        <v>404</v>
      </c>
      <c r="EN8" t="s">
        <v>404</v>
      </c>
      <c r="EO8" t="s">
        <v>404</v>
      </c>
      <c r="EP8" t="s">
        <v>404</v>
      </c>
      <c r="EQ8" t="s">
        <v>404</v>
      </c>
      <c r="ER8" t="s">
        <v>404</v>
      </c>
      <c r="ES8" t="s">
        <v>404</v>
      </c>
      <c r="ET8" t="s">
        <v>404</v>
      </c>
      <c r="EU8" t="s">
        <v>404</v>
      </c>
      <c r="EV8" t="s">
        <v>404</v>
      </c>
      <c r="EW8" t="s">
        <v>404</v>
      </c>
      <c r="EX8" t="s">
        <v>404</v>
      </c>
      <c r="EY8" t="s">
        <v>404</v>
      </c>
      <c r="EZ8" t="s">
        <v>404</v>
      </c>
      <c r="FA8" t="s">
        <v>404</v>
      </c>
      <c r="FB8" t="s">
        <v>404</v>
      </c>
      <c r="FC8" t="s">
        <v>404</v>
      </c>
      <c r="FD8" t="s">
        <v>404</v>
      </c>
      <c r="FE8" t="s">
        <v>404</v>
      </c>
      <c r="FF8" t="s">
        <v>404</v>
      </c>
      <c r="FG8" t="s">
        <v>404</v>
      </c>
      <c r="FH8" t="s">
        <v>404</v>
      </c>
      <c r="FI8" t="s">
        <v>404</v>
      </c>
      <c r="FJ8" t="s">
        <v>404</v>
      </c>
      <c r="FK8" t="s">
        <v>404</v>
      </c>
      <c r="FL8" t="s">
        <v>404</v>
      </c>
      <c r="FM8" t="s">
        <v>404</v>
      </c>
      <c r="FN8" t="s">
        <v>404</v>
      </c>
      <c r="FO8" t="s">
        <v>404</v>
      </c>
      <c r="FP8" t="s">
        <v>404</v>
      </c>
      <c r="FQ8" t="s">
        <v>404</v>
      </c>
      <c r="FR8" t="s">
        <v>404</v>
      </c>
      <c r="FS8">
        <v>477.3</v>
      </c>
      <c r="FY8">
        <v>477.3</v>
      </c>
      <c r="GF8">
        <v>0</v>
      </c>
      <c r="GM8">
        <v>0</v>
      </c>
      <c r="GN8">
        <v>522.70000000000005</v>
      </c>
      <c r="GT8">
        <v>522.70000000000005</v>
      </c>
      <c r="HA8">
        <v>0</v>
      </c>
      <c r="HH8">
        <v>0</v>
      </c>
      <c r="HO8">
        <v>0</v>
      </c>
      <c r="HW8">
        <v>0</v>
      </c>
      <c r="HX8">
        <v>1000</v>
      </c>
      <c r="HY8">
        <v>0</v>
      </c>
      <c r="HZ8">
        <v>0</v>
      </c>
      <c r="IA8">
        <v>0</v>
      </c>
      <c r="IB8">
        <v>0</v>
      </c>
      <c r="IC8">
        <v>0</v>
      </c>
      <c r="ID8">
        <v>1000</v>
      </c>
      <c r="IE8">
        <v>1000</v>
      </c>
      <c r="IK8">
        <v>1000</v>
      </c>
      <c r="IR8">
        <v>0</v>
      </c>
      <c r="IY8">
        <v>0</v>
      </c>
      <c r="JF8">
        <v>0</v>
      </c>
      <c r="JM8">
        <v>0</v>
      </c>
      <c r="JN8">
        <v>1000</v>
      </c>
      <c r="JO8">
        <v>0</v>
      </c>
      <c r="JP8">
        <v>0</v>
      </c>
      <c r="JQ8">
        <v>0</v>
      </c>
      <c r="JR8">
        <v>0</v>
      </c>
      <c r="JS8">
        <v>0</v>
      </c>
      <c r="JT8">
        <v>1000</v>
      </c>
      <c r="JW8">
        <v>100</v>
      </c>
      <c r="JZ8">
        <v>1</v>
      </c>
      <c r="KA8">
        <v>3</v>
      </c>
      <c r="KB8">
        <v>1</v>
      </c>
      <c r="KC8" t="s">
        <v>407</v>
      </c>
      <c r="OF8" t="s">
        <v>408</v>
      </c>
      <c r="SI8" t="s">
        <v>409</v>
      </c>
      <c r="WL8" t="s">
        <v>410</v>
      </c>
      <c r="AAO8" t="s">
        <v>411</v>
      </c>
      <c r="AER8" t="s">
        <v>412</v>
      </c>
    </row>
    <row r="9" spans="1:930" x14ac:dyDescent="0.2">
      <c r="A9" t="s">
        <v>460</v>
      </c>
      <c r="B9" t="s">
        <v>396</v>
      </c>
      <c r="C9" t="s">
        <v>461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>
        <v>651</v>
      </c>
      <c r="W9" s="3">
        <v>43490.67291666667</v>
      </c>
      <c r="X9" t="s">
        <v>462</v>
      </c>
      <c r="Y9">
        <v>2019</v>
      </c>
      <c r="Z9" t="s">
        <v>463</v>
      </c>
      <c r="AA9" t="s">
        <v>464</v>
      </c>
      <c r="AB9" t="s">
        <v>465</v>
      </c>
      <c r="AC9" t="s">
        <v>466</v>
      </c>
      <c r="AD9">
        <v>4793402718</v>
      </c>
      <c r="AE9" t="s">
        <v>467</v>
      </c>
      <c r="AF9" t="s">
        <v>468</v>
      </c>
      <c r="AH9">
        <v>2</v>
      </c>
      <c r="AI9">
        <v>6</v>
      </c>
      <c r="AJ9" t="s">
        <v>469</v>
      </c>
      <c r="AU9">
        <v>0</v>
      </c>
      <c r="BB9">
        <v>0</v>
      </c>
      <c r="BI9">
        <v>0</v>
      </c>
      <c r="BP9">
        <v>0</v>
      </c>
      <c r="BW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R9">
        <v>0</v>
      </c>
      <c r="CY9">
        <v>0</v>
      </c>
      <c r="DF9">
        <v>0</v>
      </c>
      <c r="DM9">
        <v>0</v>
      </c>
      <c r="DT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 t="s">
        <v>404</v>
      </c>
      <c r="EJ9" t="s">
        <v>404</v>
      </c>
      <c r="EK9" t="s">
        <v>404</v>
      </c>
      <c r="EL9" t="s">
        <v>404</v>
      </c>
      <c r="EM9" t="s">
        <v>404</v>
      </c>
      <c r="EN9" t="s">
        <v>404</v>
      </c>
      <c r="EO9" t="s">
        <v>404</v>
      </c>
      <c r="EP9" t="s">
        <v>404</v>
      </c>
      <c r="EQ9" t="s">
        <v>404</v>
      </c>
      <c r="ER9" t="s">
        <v>404</v>
      </c>
      <c r="ES9" t="s">
        <v>404</v>
      </c>
      <c r="ET9" t="s">
        <v>404</v>
      </c>
      <c r="EU9" t="s">
        <v>404</v>
      </c>
      <c r="EV9" t="s">
        <v>404</v>
      </c>
      <c r="EW9" t="s">
        <v>404</v>
      </c>
      <c r="EX9" t="s">
        <v>404</v>
      </c>
      <c r="EY9" t="s">
        <v>404</v>
      </c>
      <c r="EZ9" t="s">
        <v>404</v>
      </c>
      <c r="FA9" t="s">
        <v>404</v>
      </c>
      <c r="FB9" t="s">
        <v>404</v>
      </c>
      <c r="FC9" t="s">
        <v>404</v>
      </c>
      <c r="FD9" t="s">
        <v>404</v>
      </c>
      <c r="FE9" t="s">
        <v>404</v>
      </c>
      <c r="FF9" t="s">
        <v>404</v>
      </c>
      <c r="FG9" t="s">
        <v>404</v>
      </c>
      <c r="FH9" t="s">
        <v>404</v>
      </c>
      <c r="FI9" t="s">
        <v>404</v>
      </c>
      <c r="FJ9" t="s">
        <v>404</v>
      </c>
      <c r="FK9" t="s">
        <v>404</v>
      </c>
      <c r="FL9" t="s">
        <v>404</v>
      </c>
      <c r="FM9" t="s">
        <v>404</v>
      </c>
      <c r="FN9" t="s">
        <v>404</v>
      </c>
      <c r="FO9" t="s">
        <v>404</v>
      </c>
      <c r="FP9" t="s">
        <v>404</v>
      </c>
      <c r="FQ9" t="s">
        <v>404</v>
      </c>
      <c r="FR9" t="s">
        <v>404</v>
      </c>
      <c r="FY9">
        <v>0</v>
      </c>
      <c r="GF9">
        <v>0</v>
      </c>
      <c r="GM9">
        <v>0</v>
      </c>
      <c r="GT9">
        <v>0</v>
      </c>
      <c r="HA9">
        <v>0</v>
      </c>
      <c r="HH9">
        <v>0</v>
      </c>
      <c r="HO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K9">
        <v>0</v>
      </c>
      <c r="IR9">
        <v>0</v>
      </c>
      <c r="IY9">
        <v>0</v>
      </c>
      <c r="JF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Z9">
        <v>3</v>
      </c>
      <c r="KA9">
        <v>3</v>
      </c>
      <c r="KB9">
        <v>1</v>
      </c>
      <c r="KC9" t="s">
        <v>407</v>
      </c>
      <c r="OF9" t="s">
        <v>408</v>
      </c>
      <c r="SI9" t="s">
        <v>409</v>
      </c>
      <c r="WL9" t="s">
        <v>410</v>
      </c>
      <c r="AAO9" t="s">
        <v>411</v>
      </c>
      <c r="AER9" t="s">
        <v>412</v>
      </c>
    </row>
    <row r="10" spans="1:930" x14ac:dyDescent="0.2">
      <c r="A10" t="s">
        <v>470</v>
      </c>
      <c r="B10" t="s">
        <v>396</v>
      </c>
      <c r="C10" t="s">
        <v>471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>
        <v>563</v>
      </c>
      <c r="W10" s="3">
        <v>43475.474999999999</v>
      </c>
      <c r="X10" t="s">
        <v>472</v>
      </c>
      <c r="Y10">
        <v>2019</v>
      </c>
      <c r="Z10" t="s">
        <v>473</v>
      </c>
      <c r="AA10" t="s">
        <v>474</v>
      </c>
      <c r="AC10" t="s">
        <v>475</v>
      </c>
      <c r="AE10" t="s">
        <v>444</v>
      </c>
      <c r="AF10" t="s">
        <v>403</v>
      </c>
      <c r="AH10">
        <v>1</v>
      </c>
      <c r="AK10">
        <v>260</v>
      </c>
      <c r="AL10">
        <v>0</v>
      </c>
      <c r="AM10">
        <v>260</v>
      </c>
      <c r="AN10">
        <v>0</v>
      </c>
      <c r="AU10">
        <v>0</v>
      </c>
      <c r="AW10">
        <v>60</v>
      </c>
      <c r="AX10">
        <v>200</v>
      </c>
      <c r="BB10">
        <v>260</v>
      </c>
      <c r="BI10">
        <v>0</v>
      </c>
      <c r="BP10">
        <v>0</v>
      </c>
      <c r="BW10">
        <v>0</v>
      </c>
      <c r="CD10">
        <v>0</v>
      </c>
      <c r="CE10">
        <v>0</v>
      </c>
      <c r="CF10">
        <v>60</v>
      </c>
      <c r="CG10">
        <v>200</v>
      </c>
      <c r="CH10">
        <v>0</v>
      </c>
      <c r="CI10">
        <v>0</v>
      </c>
      <c r="CJ10">
        <v>0</v>
      </c>
      <c r="CK10">
        <v>260</v>
      </c>
      <c r="CR10">
        <v>0</v>
      </c>
      <c r="CT10">
        <v>1</v>
      </c>
      <c r="CU10">
        <v>1</v>
      </c>
      <c r="CY10">
        <v>2</v>
      </c>
      <c r="DF10">
        <v>0</v>
      </c>
      <c r="DM10">
        <v>0</v>
      </c>
      <c r="DT10">
        <v>0</v>
      </c>
      <c r="EA10">
        <v>0</v>
      </c>
      <c r="EB10">
        <v>0</v>
      </c>
      <c r="EC10">
        <v>1</v>
      </c>
      <c r="ED10">
        <v>1</v>
      </c>
      <c r="EE10">
        <v>0</v>
      </c>
      <c r="EF10">
        <v>0</v>
      </c>
      <c r="EG10">
        <v>0</v>
      </c>
      <c r="EH10">
        <v>2</v>
      </c>
      <c r="EI10" t="s">
        <v>404</v>
      </c>
      <c r="EJ10" t="s">
        <v>404</v>
      </c>
      <c r="EK10" t="s">
        <v>404</v>
      </c>
      <c r="EL10" t="s">
        <v>404</v>
      </c>
      <c r="EM10" t="s">
        <v>404</v>
      </c>
      <c r="EN10" t="s">
        <v>404</v>
      </c>
      <c r="EO10" t="s">
        <v>404</v>
      </c>
      <c r="EP10" t="s">
        <v>405</v>
      </c>
      <c r="EQ10" t="s">
        <v>405</v>
      </c>
      <c r="ER10" t="s">
        <v>404</v>
      </c>
      <c r="ES10" t="s">
        <v>404</v>
      </c>
      <c r="ET10" t="s">
        <v>404</v>
      </c>
      <c r="EU10" t="s">
        <v>404</v>
      </c>
      <c r="EV10" t="s">
        <v>404</v>
      </c>
      <c r="EW10" t="s">
        <v>404</v>
      </c>
      <c r="EX10" t="s">
        <v>404</v>
      </c>
      <c r="EY10" t="s">
        <v>404</v>
      </c>
      <c r="EZ10" t="s">
        <v>404</v>
      </c>
      <c r="FA10" t="s">
        <v>404</v>
      </c>
      <c r="FB10" t="s">
        <v>404</v>
      </c>
      <c r="FC10" t="s">
        <v>404</v>
      </c>
      <c r="FD10" t="s">
        <v>404</v>
      </c>
      <c r="FE10" t="s">
        <v>404</v>
      </c>
      <c r="FF10" t="s">
        <v>404</v>
      </c>
      <c r="FG10" t="s">
        <v>404</v>
      </c>
      <c r="FH10" t="s">
        <v>404</v>
      </c>
      <c r="FI10" t="s">
        <v>404</v>
      </c>
      <c r="FJ10" t="s">
        <v>404</v>
      </c>
      <c r="FK10" t="s">
        <v>404</v>
      </c>
      <c r="FL10" t="s">
        <v>404</v>
      </c>
      <c r="FM10" t="s">
        <v>404</v>
      </c>
      <c r="FN10" t="s">
        <v>404</v>
      </c>
      <c r="FO10" t="s">
        <v>404</v>
      </c>
      <c r="FP10" t="s">
        <v>404</v>
      </c>
      <c r="FQ10" t="s">
        <v>404</v>
      </c>
      <c r="FR10" t="s">
        <v>404</v>
      </c>
      <c r="FY10">
        <v>0</v>
      </c>
      <c r="GF10">
        <v>0</v>
      </c>
      <c r="GM10">
        <v>0</v>
      </c>
      <c r="GT10">
        <v>0</v>
      </c>
      <c r="HA10">
        <v>0</v>
      </c>
      <c r="HH10">
        <v>0</v>
      </c>
      <c r="HO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K10">
        <v>0</v>
      </c>
      <c r="IM10">
        <v>60</v>
      </c>
      <c r="IN10">
        <v>200</v>
      </c>
      <c r="IR10">
        <v>260</v>
      </c>
      <c r="IY10">
        <v>0</v>
      </c>
      <c r="JF10">
        <v>0</v>
      </c>
      <c r="JM10">
        <v>0</v>
      </c>
      <c r="JN10">
        <v>0</v>
      </c>
      <c r="JO10">
        <v>60</v>
      </c>
      <c r="JP10">
        <v>200</v>
      </c>
      <c r="JQ10">
        <v>0</v>
      </c>
      <c r="JR10">
        <v>0</v>
      </c>
      <c r="JS10">
        <v>0</v>
      </c>
      <c r="JT10">
        <v>260</v>
      </c>
      <c r="JW10">
        <v>100</v>
      </c>
      <c r="JZ10">
        <v>3</v>
      </c>
      <c r="KA10">
        <v>3</v>
      </c>
      <c r="KB10">
        <v>2</v>
      </c>
      <c r="KC10" t="s">
        <v>407</v>
      </c>
      <c r="OF10" t="s">
        <v>408</v>
      </c>
      <c r="SI10" t="s">
        <v>409</v>
      </c>
      <c r="WL10" t="s">
        <v>410</v>
      </c>
      <c r="AAO10" t="s">
        <v>411</v>
      </c>
      <c r="AER10" t="s">
        <v>412</v>
      </c>
    </row>
    <row r="11" spans="1:930" x14ac:dyDescent="0.2">
      <c r="A11" t="s">
        <v>476</v>
      </c>
      <c r="B11" t="s">
        <v>396</v>
      </c>
      <c r="C11" t="s">
        <v>477</v>
      </c>
      <c r="D11" t="s">
        <v>478</v>
      </c>
      <c r="E11" s="3">
        <v>43517.617361111108</v>
      </c>
      <c r="F11" t="s">
        <v>479</v>
      </c>
      <c r="G11" s="3">
        <v>43517.617361111108</v>
      </c>
      <c r="P11" t="b">
        <v>1</v>
      </c>
      <c r="Q11" t="b">
        <v>1</v>
      </c>
      <c r="R11" t="b">
        <v>0</v>
      </c>
      <c r="S11" t="b">
        <v>0</v>
      </c>
      <c r="T11" t="b">
        <v>0</v>
      </c>
      <c r="U11" t="b">
        <v>0</v>
      </c>
      <c r="V11">
        <v>783</v>
      </c>
      <c r="W11" s="3">
        <v>43517.616666666669</v>
      </c>
      <c r="X11" t="s">
        <v>480</v>
      </c>
      <c r="Y11">
        <v>2019</v>
      </c>
      <c r="Z11" t="s">
        <v>481</v>
      </c>
      <c r="AA11" t="s">
        <v>477</v>
      </c>
      <c r="AB11" t="s">
        <v>482</v>
      </c>
      <c r="AC11" t="s">
        <v>483</v>
      </c>
      <c r="AD11">
        <v>496929970245</v>
      </c>
      <c r="AE11" t="s">
        <v>444</v>
      </c>
      <c r="AF11" t="s">
        <v>403</v>
      </c>
      <c r="AH11">
        <v>1</v>
      </c>
      <c r="AK11">
        <v>2600</v>
      </c>
      <c r="AL11">
        <v>2600</v>
      </c>
      <c r="AM11">
        <v>1800</v>
      </c>
      <c r="AN11">
        <v>1800</v>
      </c>
      <c r="AS11">
        <v>200</v>
      </c>
      <c r="AU11">
        <v>200</v>
      </c>
      <c r="AZ11">
        <v>2400</v>
      </c>
      <c r="BB11">
        <v>2400</v>
      </c>
      <c r="BI11">
        <v>0</v>
      </c>
      <c r="BP11">
        <v>0</v>
      </c>
      <c r="BW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2600</v>
      </c>
      <c r="CJ11">
        <v>0</v>
      </c>
      <c r="CK11">
        <v>2600</v>
      </c>
      <c r="CP11">
        <v>1</v>
      </c>
      <c r="CR11">
        <v>1</v>
      </c>
      <c r="CW11">
        <v>9</v>
      </c>
      <c r="CY11">
        <v>9</v>
      </c>
      <c r="DF11">
        <v>0</v>
      </c>
      <c r="DM11">
        <v>0</v>
      </c>
      <c r="DT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10</v>
      </c>
      <c r="EG11">
        <v>0</v>
      </c>
      <c r="EH11">
        <v>10</v>
      </c>
      <c r="EI11" t="s">
        <v>404</v>
      </c>
      <c r="EJ11" t="s">
        <v>404</v>
      </c>
      <c r="EK11" t="s">
        <v>404</v>
      </c>
      <c r="EL11" t="s">
        <v>404</v>
      </c>
      <c r="EM11" t="s">
        <v>405</v>
      </c>
      <c r="EN11" t="s">
        <v>404</v>
      </c>
      <c r="EO11" t="s">
        <v>404</v>
      </c>
      <c r="EP11" t="s">
        <v>404</v>
      </c>
      <c r="EQ11" t="s">
        <v>404</v>
      </c>
      <c r="ER11" t="s">
        <v>404</v>
      </c>
      <c r="ES11" t="s">
        <v>405</v>
      </c>
      <c r="ET11" t="s">
        <v>404</v>
      </c>
      <c r="EU11" t="s">
        <v>404</v>
      </c>
      <c r="EV11" t="s">
        <v>404</v>
      </c>
      <c r="EW11" t="s">
        <v>404</v>
      </c>
      <c r="EX11" t="s">
        <v>404</v>
      </c>
      <c r="EY11" t="s">
        <v>404</v>
      </c>
      <c r="EZ11" t="s">
        <v>404</v>
      </c>
      <c r="FA11" t="s">
        <v>404</v>
      </c>
      <c r="FB11" t="s">
        <v>404</v>
      </c>
      <c r="FC11" t="s">
        <v>404</v>
      </c>
      <c r="FD11" t="s">
        <v>404</v>
      </c>
      <c r="FE11" t="s">
        <v>404</v>
      </c>
      <c r="FF11" t="s">
        <v>404</v>
      </c>
      <c r="FG11" t="s">
        <v>404</v>
      </c>
      <c r="FH11" t="s">
        <v>404</v>
      </c>
      <c r="FI11" t="s">
        <v>404</v>
      </c>
      <c r="FJ11" t="s">
        <v>404</v>
      </c>
      <c r="FK11" t="s">
        <v>404</v>
      </c>
      <c r="FL11" t="s">
        <v>404</v>
      </c>
      <c r="FM11" t="s">
        <v>404</v>
      </c>
      <c r="FN11" t="s">
        <v>404</v>
      </c>
      <c r="FO11" t="s">
        <v>404</v>
      </c>
      <c r="FP11" t="s">
        <v>404</v>
      </c>
      <c r="FQ11" t="s">
        <v>404</v>
      </c>
      <c r="FR11" t="s">
        <v>404</v>
      </c>
      <c r="FY11">
        <v>0</v>
      </c>
      <c r="GF11">
        <v>0</v>
      </c>
      <c r="GM11">
        <v>0</v>
      </c>
      <c r="GT11">
        <v>0</v>
      </c>
      <c r="HA11">
        <v>0</v>
      </c>
      <c r="HH11">
        <v>0</v>
      </c>
      <c r="HO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K11">
        <v>0</v>
      </c>
      <c r="IP11">
        <v>2600</v>
      </c>
      <c r="IR11">
        <v>2600</v>
      </c>
      <c r="IY11">
        <v>0</v>
      </c>
      <c r="JF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2600</v>
      </c>
      <c r="JS11">
        <v>0</v>
      </c>
      <c r="JT11">
        <v>2600</v>
      </c>
      <c r="JU11">
        <v>0</v>
      </c>
      <c r="JW11">
        <v>100</v>
      </c>
      <c r="JZ11">
        <v>3</v>
      </c>
      <c r="KA11">
        <v>2</v>
      </c>
      <c r="KB11">
        <v>1</v>
      </c>
      <c r="KC11" t="s">
        <v>407</v>
      </c>
      <c r="KH11">
        <v>150</v>
      </c>
      <c r="KJ11">
        <v>150</v>
      </c>
      <c r="KO11">
        <v>50</v>
      </c>
      <c r="KQ11">
        <v>50</v>
      </c>
      <c r="KX11">
        <v>0</v>
      </c>
      <c r="LE11">
        <v>0</v>
      </c>
      <c r="LL11">
        <v>0</v>
      </c>
      <c r="LS11">
        <v>0</v>
      </c>
      <c r="LZ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200</v>
      </c>
      <c r="MN11">
        <v>0</v>
      </c>
      <c r="MO11">
        <v>200</v>
      </c>
      <c r="MT11">
        <v>200</v>
      </c>
      <c r="MV11">
        <v>200</v>
      </c>
      <c r="NC11">
        <v>0</v>
      </c>
      <c r="NJ11">
        <v>0</v>
      </c>
      <c r="NQ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200</v>
      </c>
      <c r="OD11">
        <v>0</v>
      </c>
      <c r="OE11">
        <v>200</v>
      </c>
      <c r="OF11" t="s">
        <v>408</v>
      </c>
      <c r="OM11">
        <v>0</v>
      </c>
      <c r="OT11">
        <v>0</v>
      </c>
      <c r="PA11">
        <v>0</v>
      </c>
      <c r="PH11">
        <v>0</v>
      </c>
      <c r="PO11">
        <v>0</v>
      </c>
      <c r="PV11">
        <v>0</v>
      </c>
      <c r="QC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W11">
        <v>2400</v>
      </c>
      <c r="QY11">
        <v>2400</v>
      </c>
      <c r="RF11">
        <v>0</v>
      </c>
      <c r="RM11">
        <v>0</v>
      </c>
      <c r="RT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2400</v>
      </c>
      <c r="SG11">
        <v>0</v>
      </c>
      <c r="SH11">
        <v>2400</v>
      </c>
      <c r="SI11" t="s">
        <v>409</v>
      </c>
      <c r="WL11" t="s">
        <v>410</v>
      </c>
      <c r="AAO11" t="s">
        <v>411</v>
      </c>
      <c r="AER11" t="s">
        <v>412</v>
      </c>
    </row>
    <row r="12" spans="1:930" x14ac:dyDescent="0.2">
      <c r="A12" t="s">
        <v>484</v>
      </c>
      <c r="B12" t="s">
        <v>396</v>
      </c>
      <c r="C12" t="s">
        <v>485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>
        <v>745</v>
      </c>
      <c r="W12" s="3">
        <v>43514.6875</v>
      </c>
      <c r="X12" t="s">
        <v>486</v>
      </c>
      <c r="Y12">
        <v>2019</v>
      </c>
      <c r="Z12" t="s">
        <v>487</v>
      </c>
      <c r="AA12" t="s">
        <v>488</v>
      </c>
      <c r="AB12" t="s">
        <v>489</v>
      </c>
      <c r="AC12" t="s">
        <v>490</v>
      </c>
      <c r="AE12" t="s">
        <v>491</v>
      </c>
      <c r="AF12" t="s">
        <v>492</v>
      </c>
      <c r="AH12">
        <v>2</v>
      </c>
      <c r="AI12">
        <v>6</v>
      </c>
      <c r="AJ12" t="s">
        <v>493</v>
      </c>
      <c r="AU12">
        <v>0</v>
      </c>
      <c r="BB12">
        <v>0</v>
      </c>
      <c r="BI12">
        <v>0</v>
      </c>
      <c r="BP12">
        <v>0</v>
      </c>
      <c r="BW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R12">
        <v>0</v>
      </c>
      <c r="CY12">
        <v>0</v>
      </c>
      <c r="DF12">
        <v>0</v>
      </c>
      <c r="DM12">
        <v>0</v>
      </c>
      <c r="DT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 t="s">
        <v>404</v>
      </c>
      <c r="EJ12" t="s">
        <v>404</v>
      </c>
      <c r="EK12" t="s">
        <v>404</v>
      </c>
      <c r="EL12" t="s">
        <v>404</v>
      </c>
      <c r="EM12" t="s">
        <v>404</v>
      </c>
      <c r="EN12" t="s">
        <v>404</v>
      </c>
      <c r="EO12" t="s">
        <v>404</v>
      </c>
      <c r="EP12" t="s">
        <v>404</v>
      </c>
      <c r="EQ12" t="s">
        <v>404</v>
      </c>
      <c r="ER12" t="s">
        <v>404</v>
      </c>
      <c r="ES12" t="s">
        <v>404</v>
      </c>
      <c r="ET12" t="s">
        <v>404</v>
      </c>
      <c r="EU12" t="s">
        <v>404</v>
      </c>
      <c r="EV12" t="s">
        <v>404</v>
      </c>
      <c r="EW12" t="s">
        <v>404</v>
      </c>
      <c r="EX12" t="s">
        <v>404</v>
      </c>
      <c r="EY12" t="s">
        <v>404</v>
      </c>
      <c r="EZ12" t="s">
        <v>404</v>
      </c>
      <c r="FA12" t="s">
        <v>404</v>
      </c>
      <c r="FB12" t="s">
        <v>404</v>
      </c>
      <c r="FC12" t="s">
        <v>404</v>
      </c>
      <c r="FD12" t="s">
        <v>404</v>
      </c>
      <c r="FE12" t="s">
        <v>404</v>
      </c>
      <c r="FF12" t="s">
        <v>404</v>
      </c>
      <c r="FG12" t="s">
        <v>404</v>
      </c>
      <c r="FH12" t="s">
        <v>404</v>
      </c>
      <c r="FI12" t="s">
        <v>404</v>
      </c>
      <c r="FJ12" t="s">
        <v>404</v>
      </c>
      <c r="FK12" t="s">
        <v>404</v>
      </c>
      <c r="FL12" t="s">
        <v>404</v>
      </c>
      <c r="FM12" t="s">
        <v>404</v>
      </c>
      <c r="FN12" t="s">
        <v>404</v>
      </c>
      <c r="FO12" t="s">
        <v>404</v>
      </c>
      <c r="FP12" t="s">
        <v>404</v>
      </c>
      <c r="FQ12" t="s">
        <v>404</v>
      </c>
      <c r="FR12" t="s">
        <v>404</v>
      </c>
      <c r="FY12">
        <v>0</v>
      </c>
      <c r="GF12">
        <v>0</v>
      </c>
      <c r="GM12">
        <v>0</v>
      </c>
      <c r="GT12">
        <v>0</v>
      </c>
      <c r="HA12">
        <v>0</v>
      </c>
      <c r="HH12">
        <v>0</v>
      </c>
      <c r="HO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K12">
        <v>0</v>
      </c>
      <c r="IR12">
        <v>0</v>
      </c>
      <c r="IY12">
        <v>0</v>
      </c>
      <c r="JF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Z12">
        <v>1</v>
      </c>
      <c r="KA12">
        <v>2</v>
      </c>
      <c r="KB12">
        <v>1</v>
      </c>
      <c r="KC12" t="s">
        <v>407</v>
      </c>
      <c r="OF12" t="s">
        <v>408</v>
      </c>
      <c r="SI12" t="s">
        <v>409</v>
      </c>
      <c r="WL12" t="s">
        <v>410</v>
      </c>
      <c r="AAO12" t="s">
        <v>411</v>
      </c>
      <c r="AER12" t="s">
        <v>412</v>
      </c>
    </row>
    <row r="13" spans="1:930" x14ac:dyDescent="0.2">
      <c r="A13" t="s">
        <v>494</v>
      </c>
      <c r="B13" t="s">
        <v>396</v>
      </c>
      <c r="C13" t="s">
        <v>495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>
        <v>820</v>
      </c>
      <c r="W13" s="3">
        <v>43530.765972222223</v>
      </c>
      <c r="X13" t="s">
        <v>496</v>
      </c>
      <c r="Y13">
        <v>2019</v>
      </c>
      <c r="Z13" t="s">
        <v>497</v>
      </c>
      <c r="AA13" t="s">
        <v>495</v>
      </c>
      <c r="AB13" t="s">
        <v>498</v>
      </c>
      <c r="AC13" t="s">
        <v>499</v>
      </c>
      <c r="AD13">
        <v>2031242716</v>
      </c>
      <c r="AE13" t="s">
        <v>491</v>
      </c>
      <c r="AF13" t="s">
        <v>492</v>
      </c>
      <c r="AH13">
        <v>1</v>
      </c>
      <c r="AK13">
        <v>983</v>
      </c>
      <c r="AL13">
        <v>829</v>
      </c>
      <c r="AU13">
        <v>0</v>
      </c>
      <c r="AV13">
        <v>729</v>
      </c>
      <c r="AY13">
        <v>100</v>
      </c>
      <c r="BB13">
        <v>829</v>
      </c>
      <c r="BI13">
        <v>0</v>
      </c>
      <c r="BP13">
        <v>0</v>
      </c>
      <c r="BW13">
        <v>0</v>
      </c>
      <c r="CD13">
        <v>0</v>
      </c>
      <c r="CE13">
        <v>729</v>
      </c>
      <c r="CF13">
        <v>0</v>
      </c>
      <c r="CG13">
        <v>0</v>
      </c>
      <c r="CH13">
        <v>100</v>
      </c>
      <c r="CI13">
        <v>0</v>
      </c>
      <c r="CJ13">
        <v>0</v>
      </c>
      <c r="CK13">
        <v>829</v>
      </c>
      <c r="CR13">
        <v>0</v>
      </c>
      <c r="CS13">
        <v>4</v>
      </c>
      <c r="CV13">
        <v>1</v>
      </c>
      <c r="CY13">
        <v>5</v>
      </c>
      <c r="DF13">
        <v>0</v>
      </c>
      <c r="DM13">
        <v>0</v>
      </c>
      <c r="DT13">
        <v>0</v>
      </c>
      <c r="EA13">
        <v>0</v>
      </c>
      <c r="EB13">
        <v>4</v>
      </c>
      <c r="EC13">
        <v>0</v>
      </c>
      <c r="ED13">
        <v>0</v>
      </c>
      <c r="EE13">
        <v>1</v>
      </c>
      <c r="EF13">
        <v>0</v>
      </c>
      <c r="EG13">
        <v>0</v>
      </c>
      <c r="EH13">
        <v>5</v>
      </c>
      <c r="EI13" t="s">
        <v>404</v>
      </c>
      <c r="EJ13" t="s">
        <v>404</v>
      </c>
      <c r="EK13" t="s">
        <v>404</v>
      </c>
      <c r="EL13" t="s">
        <v>404</v>
      </c>
      <c r="EM13" t="s">
        <v>404</v>
      </c>
      <c r="EN13" t="s">
        <v>404</v>
      </c>
      <c r="EO13" t="s">
        <v>405</v>
      </c>
      <c r="EP13" t="s">
        <v>404</v>
      </c>
      <c r="EQ13" t="s">
        <v>404</v>
      </c>
      <c r="ER13" t="s">
        <v>405</v>
      </c>
      <c r="ES13" t="s">
        <v>404</v>
      </c>
      <c r="ET13" t="s">
        <v>404</v>
      </c>
      <c r="EU13" t="s">
        <v>404</v>
      </c>
      <c r="EV13" t="s">
        <v>404</v>
      </c>
      <c r="EW13" t="s">
        <v>404</v>
      </c>
      <c r="EX13" t="s">
        <v>404</v>
      </c>
      <c r="EY13" t="s">
        <v>404</v>
      </c>
      <c r="EZ13" t="s">
        <v>404</v>
      </c>
      <c r="FA13" t="s">
        <v>404</v>
      </c>
      <c r="FB13" t="s">
        <v>404</v>
      </c>
      <c r="FC13" t="s">
        <v>404</v>
      </c>
      <c r="FD13" t="s">
        <v>404</v>
      </c>
      <c r="FE13" t="s">
        <v>404</v>
      </c>
      <c r="FF13" t="s">
        <v>404</v>
      </c>
      <c r="FG13" t="s">
        <v>404</v>
      </c>
      <c r="FH13" t="s">
        <v>404</v>
      </c>
      <c r="FI13" t="s">
        <v>404</v>
      </c>
      <c r="FJ13" t="s">
        <v>404</v>
      </c>
      <c r="FK13" t="s">
        <v>404</v>
      </c>
      <c r="FL13" t="s">
        <v>404</v>
      </c>
      <c r="FM13" t="s">
        <v>404</v>
      </c>
      <c r="FN13" t="s">
        <v>404</v>
      </c>
      <c r="FO13" t="s">
        <v>404</v>
      </c>
      <c r="FP13" t="s">
        <v>404</v>
      </c>
      <c r="FQ13" t="s">
        <v>404</v>
      </c>
      <c r="FR13" t="s">
        <v>404</v>
      </c>
      <c r="FS13">
        <v>652</v>
      </c>
      <c r="FV13">
        <v>50</v>
      </c>
      <c r="FY13">
        <v>702</v>
      </c>
      <c r="GC13">
        <v>50</v>
      </c>
      <c r="GF13">
        <v>50</v>
      </c>
      <c r="GM13">
        <v>0</v>
      </c>
      <c r="GT13">
        <v>0</v>
      </c>
      <c r="HA13">
        <v>0</v>
      </c>
      <c r="HB13">
        <v>77</v>
      </c>
      <c r="HH13">
        <v>77</v>
      </c>
      <c r="HO13">
        <v>0</v>
      </c>
      <c r="HW13">
        <v>0</v>
      </c>
      <c r="HX13">
        <v>729</v>
      </c>
      <c r="HY13">
        <v>0</v>
      </c>
      <c r="HZ13">
        <v>0</v>
      </c>
      <c r="IA13">
        <v>100</v>
      </c>
      <c r="IB13">
        <v>0</v>
      </c>
      <c r="IC13">
        <v>0</v>
      </c>
      <c r="ID13">
        <v>829</v>
      </c>
      <c r="IK13">
        <v>0</v>
      </c>
      <c r="IL13">
        <v>729</v>
      </c>
      <c r="IO13">
        <v>100</v>
      </c>
      <c r="IR13">
        <v>829</v>
      </c>
      <c r="IY13">
        <v>0</v>
      </c>
      <c r="JF13">
        <v>0</v>
      </c>
      <c r="JM13">
        <v>0</v>
      </c>
      <c r="JN13">
        <v>729</v>
      </c>
      <c r="JO13">
        <v>0</v>
      </c>
      <c r="JP13">
        <v>0</v>
      </c>
      <c r="JQ13">
        <v>100</v>
      </c>
      <c r="JR13">
        <v>0</v>
      </c>
      <c r="JS13">
        <v>0</v>
      </c>
      <c r="JT13">
        <v>829</v>
      </c>
      <c r="JW13">
        <v>100</v>
      </c>
      <c r="JZ13">
        <v>3</v>
      </c>
      <c r="KA13">
        <v>3</v>
      </c>
      <c r="KB13">
        <v>1</v>
      </c>
      <c r="KC13" t="s">
        <v>407</v>
      </c>
      <c r="OF13" t="s">
        <v>408</v>
      </c>
      <c r="SI13" t="s">
        <v>409</v>
      </c>
      <c r="WL13" t="s">
        <v>410</v>
      </c>
      <c r="AAO13" t="s">
        <v>411</v>
      </c>
      <c r="AER13" t="s">
        <v>412</v>
      </c>
    </row>
    <row r="14" spans="1:930" x14ac:dyDescent="0.2">
      <c r="A14" t="s">
        <v>500</v>
      </c>
      <c r="B14" t="s">
        <v>396</v>
      </c>
      <c r="C14" t="s">
        <v>501</v>
      </c>
      <c r="F14" t="s">
        <v>479</v>
      </c>
      <c r="G14" s="3">
        <v>43521.722916666666</v>
      </c>
      <c r="H14" t="s">
        <v>502</v>
      </c>
      <c r="I14" s="3">
        <v>43521.724305555559</v>
      </c>
      <c r="P14" t="b">
        <v>1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>
        <v>581</v>
      </c>
      <c r="W14" s="3">
        <v>43521.722222222219</v>
      </c>
      <c r="X14" t="s">
        <v>503</v>
      </c>
      <c r="Y14">
        <v>2019</v>
      </c>
      <c r="Z14" t="s">
        <v>504</v>
      </c>
      <c r="AA14" t="s">
        <v>505</v>
      </c>
      <c r="AB14" t="s">
        <v>506</v>
      </c>
      <c r="AC14" t="s">
        <v>507</v>
      </c>
      <c r="AE14" t="s">
        <v>491</v>
      </c>
      <c r="AF14" t="s">
        <v>492</v>
      </c>
      <c r="AH14">
        <v>1</v>
      </c>
      <c r="AK14">
        <v>160</v>
      </c>
      <c r="AL14">
        <v>160</v>
      </c>
      <c r="AU14">
        <v>0</v>
      </c>
      <c r="AY14">
        <v>99</v>
      </c>
      <c r="BB14">
        <v>99</v>
      </c>
      <c r="BF14">
        <v>61</v>
      </c>
      <c r="BI14">
        <v>61</v>
      </c>
      <c r="BP14">
        <v>0</v>
      </c>
      <c r="BW14">
        <v>0</v>
      </c>
      <c r="CD14">
        <v>0</v>
      </c>
      <c r="CE14">
        <v>0</v>
      </c>
      <c r="CF14">
        <v>0</v>
      </c>
      <c r="CG14">
        <v>0</v>
      </c>
      <c r="CH14">
        <v>160</v>
      </c>
      <c r="CI14">
        <v>0</v>
      </c>
      <c r="CJ14">
        <v>0</v>
      </c>
      <c r="CK14">
        <v>160</v>
      </c>
      <c r="CR14">
        <v>0</v>
      </c>
      <c r="CV14">
        <v>2</v>
      </c>
      <c r="CY14">
        <v>2</v>
      </c>
      <c r="DC14">
        <v>2</v>
      </c>
      <c r="DF14">
        <v>2</v>
      </c>
      <c r="DM14">
        <v>0</v>
      </c>
      <c r="DT14">
        <v>0</v>
      </c>
      <c r="EA14">
        <v>0</v>
      </c>
      <c r="EB14">
        <v>0</v>
      </c>
      <c r="EC14">
        <v>0</v>
      </c>
      <c r="ED14">
        <v>0</v>
      </c>
      <c r="EE14">
        <v>4</v>
      </c>
      <c r="EF14">
        <v>0</v>
      </c>
      <c r="EG14">
        <v>0</v>
      </c>
      <c r="EH14">
        <v>4</v>
      </c>
      <c r="EI14" t="s">
        <v>404</v>
      </c>
      <c r="EJ14" t="s">
        <v>404</v>
      </c>
      <c r="EK14" t="s">
        <v>404</v>
      </c>
      <c r="EL14" t="s">
        <v>404</v>
      </c>
      <c r="EM14" t="s">
        <v>404</v>
      </c>
      <c r="EN14" t="s">
        <v>404</v>
      </c>
      <c r="EO14" t="s">
        <v>404</v>
      </c>
      <c r="EP14" t="s">
        <v>404</v>
      </c>
      <c r="EQ14" t="s">
        <v>404</v>
      </c>
      <c r="ER14" t="s">
        <v>405</v>
      </c>
      <c r="ES14" t="s">
        <v>404</v>
      </c>
      <c r="ET14" t="s">
        <v>404</v>
      </c>
      <c r="EU14" t="s">
        <v>404</v>
      </c>
      <c r="EV14" t="s">
        <v>404</v>
      </c>
      <c r="EW14" t="s">
        <v>404</v>
      </c>
      <c r="EX14" t="s">
        <v>405</v>
      </c>
      <c r="EY14" t="s">
        <v>404</v>
      </c>
      <c r="EZ14" t="s">
        <v>404</v>
      </c>
      <c r="FA14" t="s">
        <v>404</v>
      </c>
      <c r="FB14" t="s">
        <v>404</v>
      </c>
      <c r="FC14" t="s">
        <v>404</v>
      </c>
      <c r="FD14" t="s">
        <v>404</v>
      </c>
      <c r="FE14" t="s">
        <v>404</v>
      </c>
      <c r="FF14" t="s">
        <v>404</v>
      </c>
      <c r="FG14" t="s">
        <v>404</v>
      </c>
      <c r="FH14" t="s">
        <v>404</v>
      </c>
      <c r="FI14" t="s">
        <v>404</v>
      </c>
      <c r="FJ14" t="s">
        <v>404</v>
      </c>
      <c r="FK14" t="s">
        <v>404</v>
      </c>
      <c r="FL14" t="s">
        <v>404</v>
      </c>
      <c r="FM14" t="s">
        <v>404</v>
      </c>
      <c r="FN14" t="s">
        <v>404</v>
      </c>
      <c r="FO14" t="s">
        <v>404</v>
      </c>
      <c r="FP14" t="s">
        <v>404</v>
      </c>
      <c r="FQ14" t="s">
        <v>404</v>
      </c>
      <c r="FR14" t="s">
        <v>404</v>
      </c>
      <c r="FV14">
        <v>15</v>
      </c>
      <c r="FY14">
        <v>15</v>
      </c>
      <c r="GF14">
        <v>0</v>
      </c>
      <c r="GM14">
        <v>0</v>
      </c>
      <c r="GT14">
        <v>0</v>
      </c>
      <c r="HA14">
        <v>0</v>
      </c>
      <c r="HH14">
        <v>0</v>
      </c>
      <c r="HL14">
        <v>145</v>
      </c>
      <c r="HO14">
        <v>145</v>
      </c>
      <c r="HW14">
        <v>0</v>
      </c>
      <c r="HX14">
        <v>0</v>
      </c>
      <c r="HY14">
        <v>0</v>
      </c>
      <c r="HZ14">
        <v>0</v>
      </c>
      <c r="IA14">
        <v>160</v>
      </c>
      <c r="IB14">
        <v>0</v>
      </c>
      <c r="IC14">
        <v>0</v>
      </c>
      <c r="ID14">
        <v>160</v>
      </c>
      <c r="IH14">
        <v>14</v>
      </c>
      <c r="IK14">
        <v>14</v>
      </c>
      <c r="IO14">
        <v>85</v>
      </c>
      <c r="IR14">
        <v>85</v>
      </c>
      <c r="IV14">
        <v>61</v>
      </c>
      <c r="IY14">
        <v>61</v>
      </c>
      <c r="JF14">
        <v>0</v>
      </c>
      <c r="JM14">
        <v>0</v>
      </c>
      <c r="JN14">
        <v>0</v>
      </c>
      <c r="JO14">
        <v>0</v>
      </c>
      <c r="JP14">
        <v>0</v>
      </c>
      <c r="JQ14">
        <v>160</v>
      </c>
      <c r="JR14">
        <v>0</v>
      </c>
      <c r="JS14">
        <v>0</v>
      </c>
      <c r="JT14">
        <v>160</v>
      </c>
      <c r="JW14">
        <v>100</v>
      </c>
      <c r="JZ14">
        <v>1</v>
      </c>
      <c r="KA14">
        <v>2</v>
      </c>
      <c r="KB14">
        <v>1</v>
      </c>
      <c r="KC14" t="s">
        <v>407</v>
      </c>
      <c r="OF14" t="s">
        <v>408</v>
      </c>
      <c r="OM14">
        <v>0</v>
      </c>
      <c r="OT14">
        <v>0</v>
      </c>
      <c r="PA14">
        <v>0</v>
      </c>
      <c r="PH14">
        <v>0</v>
      </c>
      <c r="PO14">
        <v>0</v>
      </c>
      <c r="PV14">
        <v>0</v>
      </c>
      <c r="PZ14">
        <v>99</v>
      </c>
      <c r="QC14">
        <v>99</v>
      </c>
      <c r="QK14">
        <v>0</v>
      </c>
      <c r="QL14">
        <v>0</v>
      </c>
      <c r="QM14">
        <v>0</v>
      </c>
      <c r="QN14">
        <v>0</v>
      </c>
      <c r="QO14">
        <v>99</v>
      </c>
      <c r="QP14">
        <v>0</v>
      </c>
      <c r="QQ14">
        <v>0</v>
      </c>
      <c r="QR14">
        <v>99</v>
      </c>
      <c r="QV14">
        <v>85</v>
      </c>
      <c r="QY14">
        <v>85</v>
      </c>
      <c r="RC14">
        <v>14</v>
      </c>
      <c r="RF14">
        <v>14</v>
      </c>
      <c r="RM14">
        <v>0</v>
      </c>
      <c r="RT14">
        <v>0</v>
      </c>
      <c r="SA14">
        <v>0</v>
      </c>
      <c r="SB14">
        <v>0</v>
      </c>
      <c r="SC14">
        <v>0</v>
      </c>
      <c r="SD14">
        <v>0</v>
      </c>
      <c r="SE14">
        <v>99</v>
      </c>
      <c r="SF14">
        <v>0</v>
      </c>
      <c r="SG14">
        <v>0</v>
      </c>
      <c r="SH14">
        <v>99</v>
      </c>
      <c r="SI14" t="s">
        <v>409</v>
      </c>
      <c r="SP14">
        <v>0</v>
      </c>
      <c r="SW14">
        <v>0</v>
      </c>
      <c r="TD14">
        <v>0</v>
      </c>
      <c r="TK14">
        <v>0</v>
      </c>
      <c r="TR14">
        <v>0</v>
      </c>
      <c r="TY14">
        <v>0</v>
      </c>
      <c r="UC14">
        <v>61</v>
      </c>
      <c r="UF14">
        <v>61</v>
      </c>
      <c r="UN14">
        <v>0</v>
      </c>
      <c r="UO14">
        <v>0</v>
      </c>
      <c r="UP14">
        <v>0</v>
      </c>
      <c r="UQ14">
        <v>0</v>
      </c>
      <c r="UR14">
        <v>61</v>
      </c>
      <c r="US14">
        <v>0</v>
      </c>
      <c r="UT14">
        <v>0</v>
      </c>
      <c r="UU14">
        <v>61</v>
      </c>
      <c r="VB14">
        <v>0</v>
      </c>
      <c r="VI14">
        <v>0</v>
      </c>
      <c r="VM14">
        <v>61</v>
      </c>
      <c r="VP14">
        <v>61</v>
      </c>
      <c r="VW14">
        <v>0</v>
      </c>
      <c r="WD14">
        <v>0</v>
      </c>
      <c r="WE14">
        <v>0</v>
      </c>
      <c r="WF14">
        <v>0</v>
      </c>
      <c r="WG14">
        <v>0</v>
      </c>
      <c r="WH14">
        <v>61</v>
      </c>
      <c r="WI14">
        <v>0</v>
      </c>
      <c r="WJ14">
        <v>0</v>
      </c>
      <c r="WK14">
        <v>61</v>
      </c>
      <c r="WL14" t="s">
        <v>410</v>
      </c>
      <c r="AAO14" t="s">
        <v>411</v>
      </c>
      <c r="AER14" t="s">
        <v>412</v>
      </c>
    </row>
    <row r="15" spans="1:930" x14ac:dyDescent="0.2">
      <c r="A15" t="s">
        <v>508</v>
      </c>
      <c r="B15" t="s">
        <v>396</v>
      </c>
      <c r="C15" t="s">
        <v>509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>
        <v>756</v>
      </c>
      <c r="W15" s="3">
        <v>43515.46875</v>
      </c>
      <c r="X15" t="s">
        <v>510</v>
      </c>
      <c r="Y15">
        <v>2019</v>
      </c>
      <c r="Z15" t="s">
        <v>511</v>
      </c>
      <c r="AA15" t="s">
        <v>512</v>
      </c>
      <c r="AB15" t="s">
        <v>513</v>
      </c>
      <c r="AC15" t="s">
        <v>514</v>
      </c>
      <c r="AD15" t="s">
        <v>515</v>
      </c>
      <c r="AE15" t="s">
        <v>516</v>
      </c>
      <c r="AF15" t="s">
        <v>403</v>
      </c>
      <c r="AH15">
        <v>1</v>
      </c>
      <c r="AK15">
        <v>303</v>
      </c>
      <c r="AL15">
        <v>303</v>
      </c>
      <c r="AM15">
        <v>250</v>
      </c>
      <c r="AN15">
        <v>250</v>
      </c>
      <c r="AU15">
        <v>0</v>
      </c>
      <c r="AV15">
        <v>293</v>
      </c>
      <c r="AZ15">
        <v>10</v>
      </c>
      <c r="BB15">
        <v>303</v>
      </c>
      <c r="BI15">
        <v>0</v>
      </c>
      <c r="BP15">
        <v>0</v>
      </c>
      <c r="BW15">
        <v>0</v>
      </c>
      <c r="CD15">
        <v>0</v>
      </c>
      <c r="CE15">
        <v>293</v>
      </c>
      <c r="CF15">
        <v>0</v>
      </c>
      <c r="CG15">
        <v>0</v>
      </c>
      <c r="CH15">
        <v>0</v>
      </c>
      <c r="CI15">
        <v>10</v>
      </c>
      <c r="CJ15">
        <v>0</v>
      </c>
      <c r="CK15">
        <v>303</v>
      </c>
      <c r="CR15">
        <v>0</v>
      </c>
      <c r="CS15">
        <v>5</v>
      </c>
      <c r="CW15">
        <v>1</v>
      </c>
      <c r="CY15">
        <v>6</v>
      </c>
      <c r="DF15">
        <v>0</v>
      </c>
      <c r="DM15">
        <v>0</v>
      </c>
      <c r="DT15">
        <v>0</v>
      </c>
      <c r="EA15">
        <v>0</v>
      </c>
      <c r="EB15">
        <v>5</v>
      </c>
      <c r="EC15">
        <v>0</v>
      </c>
      <c r="ED15">
        <v>0</v>
      </c>
      <c r="EE15">
        <v>0</v>
      </c>
      <c r="EF15">
        <v>1</v>
      </c>
      <c r="EG15">
        <v>0</v>
      </c>
      <c r="EH15">
        <v>6</v>
      </c>
      <c r="EI15" t="s">
        <v>404</v>
      </c>
      <c r="EJ15" t="s">
        <v>404</v>
      </c>
      <c r="EK15" t="s">
        <v>404</v>
      </c>
      <c r="EL15" t="s">
        <v>404</v>
      </c>
      <c r="EM15" t="s">
        <v>404</v>
      </c>
      <c r="EN15" t="s">
        <v>404</v>
      </c>
      <c r="EO15" t="s">
        <v>405</v>
      </c>
      <c r="EP15" t="s">
        <v>404</v>
      </c>
      <c r="EQ15" t="s">
        <v>404</v>
      </c>
      <c r="ER15" t="s">
        <v>404</v>
      </c>
      <c r="ES15" t="s">
        <v>405</v>
      </c>
      <c r="ET15" t="s">
        <v>404</v>
      </c>
      <c r="EU15" t="s">
        <v>404</v>
      </c>
      <c r="EV15" t="s">
        <v>404</v>
      </c>
      <c r="EW15" t="s">
        <v>404</v>
      </c>
      <c r="EX15" t="s">
        <v>404</v>
      </c>
      <c r="EY15" t="s">
        <v>404</v>
      </c>
      <c r="EZ15" t="s">
        <v>404</v>
      </c>
      <c r="FA15" t="s">
        <v>404</v>
      </c>
      <c r="FB15" t="s">
        <v>404</v>
      </c>
      <c r="FC15" t="s">
        <v>404</v>
      </c>
      <c r="FD15" t="s">
        <v>404</v>
      </c>
      <c r="FE15" t="s">
        <v>404</v>
      </c>
      <c r="FF15" t="s">
        <v>404</v>
      </c>
      <c r="FG15" t="s">
        <v>404</v>
      </c>
      <c r="FH15" t="s">
        <v>404</v>
      </c>
      <c r="FI15" t="s">
        <v>404</v>
      </c>
      <c r="FJ15" t="s">
        <v>404</v>
      </c>
      <c r="FK15" t="s">
        <v>404</v>
      </c>
      <c r="FL15" t="s">
        <v>404</v>
      </c>
      <c r="FM15" t="s">
        <v>404</v>
      </c>
      <c r="FN15" t="s">
        <v>404</v>
      </c>
      <c r="FO15" t="s">
        <v>404</v>
      </c>
      <c r="FP15" t="s">
        <v>404</v>
      </c>
      <c r="FQ15" t="s">
        <v>404</v>
      </c>
      <c r="FR15" t="s">
        <v>404</v>
      </c>
      <c r="FS15">
        <v>5</v>
      </c>
      <c r="FY15">
        <v>5</v>
      </c>
      <c r="FZ15">
        <v>6</v>
      </c>
      <c r="GD15">
        <v>5</v>
      </c>
      <c r="GF15">
        <v>11</v>
      </c>
      <c r="GM15">
        <v>0</v>
      </c>
      <c r="GT15">
        <v>0</v>
      </c>
      <c r="GU15">
        <v>5</v>
      </c>
      <c r="GY15">
        <v>5</v>
      </c>
      <c r="HA15">
        <v>10</v>
      </c>
      <c r="HH15">
        <v>0</v>
      </c>
      <c r="HI15">
        <v>277</v>
      </c>
      <c r="HO15">
        <v>277</v>
      </c>
      <c r="HW15">
        <v>0</v>
      </c>
      <c r="HX15">
        <v>293</v>
      </c>
      <c r="HY15">
        <v>0</v>
      </c>
      <c r="HZ15">
        <v>0</v>
      </c>
      <c r="IA15">
        <v>0</v>
      </c>
      <c r="IB15">
        <v>10</v>
      </c>
      <c r="IC15">
        <v>0</v>
      </c>
      <c r="ID15">
        <v>303</v>
      </c>
      <c r="IK15">
        <v>0</v>
      </c>
      <c r="IL15">
        <v>293</v>
      </c>
      <c r="IP15">
        <v>10</v>
      </c>
      <c r="IR15">
        <v>303</v>
      </c>
      <c r="IY15">
        <v>0</v>
      </c>
      <c r="JF15">
        <v>0</v>
      </c>
      <c r="JM15">
        <v>0</v>
      </c>
      <c r="JN15">
        <v>293</v>
      </c>
      <c r="JO15">
        <v>0</v>
      </c>
      <c r="JP15">
        <v>0</v>
      </c>
      <c r="JQ15">
        <v>0</v>
      </c>
      <c r="JR15">
        <v>10</v>
      </c>
      <c r="JS15">
        <v>0</v>
      </c>
      <c r="JT15">
        <v>303</v>
      </c>
      <c r="JW15">
        <v>100</v>
      </c>
      <c r="JZ15">
        <v>3</v>
      </c>
      <c r="KA15">
        <v>3</v>
      </c>
      <c r="KB15">
        <v>1</v>
      </c>
      <c r="KC15" t="s">
        <v>407</v>
      </c>
      <c r="OF15" t="s">
        <v>408</v>
      </c>
      <c r="SI15" t="s">
        <v>409</v>
      </c>
      <c r="WL15" t="s">
        <v>410</v>
      </c>
      <c r="AAO15" t="s">
        <v>411</v>
      </c>
      <c r="AER15" t="s">
        <v>412</v>
      </c>
    </row>
    <row r="16" spans="1:930" x14ac:dyDescent="0.2">
      <c r="A16" t="s">
        <v>517</v>
      </c>
      <c r="B16" t="s">
        <v>396</v>
      </c>
      <c r="C16" t="s">
        <v>518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>
        <v>625</v>
      </c>
      <c r="W16" s="3">
        <v>43520.65</v>
      </c>
      <c r="X16" t="s">
        <v>519</v>
      </c>
      <c r="Y16">
        <v>2019</v>
      </c>
      <c r="Z16" t="s">
        <v>520</v>
      </c>
      <c r="AA16" t="s">
        <v>518</v>
      </c>
      <c r="AB16" t="s">
        <v>521</v>
      </c>
      <c r="AC16" t="s">
        <v>522</v>
      </c>
      <c r="AD16">
        <f>44-797-122-6842</f>
        <v>-7717</v>
      </c>
      <c r="AE16" t="s">
        <v>491</v>
      </c>
      <c r="AF16" t="s">
        <v>492</v>
      </c>
      <c r="AH16">
        <v>1</v>
      </c>
      <c r="AK16">
        <v>150</v>
      </c>
      <c r="AL16">
        <v>150</v>
      </c>
      <c r="AM16">
        <v>150</v>
      </c>
      <c r="AN16">
        <v>150</v>
      </c>
      <c r="AU16">
        <v>0</v>
      </c>
      <c r="AV16">
        <v>150</v>
      </c>
      <c r="BB16">
        <v>150</v>
      </c>
      <c r="BI16">
        <v>0</v>
      </c>
      <c r="BP16">
        <v>0</v>
      </c>
      <c r="BW16">
        <v>0</v>
      </c>
      <c r="CD16">
        <v>0</v>
      </c>
      <c r="CE16">
        <v>150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150</v>
      </c>
      <c r="CR16">
        <v>0</v>
      </c>
      <c r="CS16">
        <v>1</v>
      </c>
      <c r="CY16">
        <v>1</v>
      </c>
      <c r="DF16">
        <v>0</v>
      </c>
      <c r="DM16">
        <v>0</v>
      </c>
      <c r="DT16">
        <v>0</v>
      </c>
      <c r="EA16">
        <v>0</v>
      </c>
      <c r="EB16">
        <v>1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1</v>
      </c>
      <c r="EI16" t="s">
        <v>404</v>
      </c>
      <c r="EJ16" t="s">
        <v>404</v>
      </c>
      <c r="EK16" t="s">
        <v>404</v>
      </c>
      <c r="EL16" t="s">
        <v>404</v>
      </c>
      <c r="EM16" t="s">
        <v>404</v>
      </c>
      <c r="EN16" t="s">
        <v>404</v>
      </c>
      <c r="EO16" t="s">
        <v>405</v>
      </c>
      <c r="EP16" t="s">
        <v>404</v>
      </c>
      <c r="EQ16" t="s">
        <v>404</v>
      </c>
      <c r="ER16" t="s">
        <v>404</v>
      </c>
      <c r="ES16" t="s">
        <v>404</v>
      </c>
      <c r="ET16" t="s">
        <v>404</v>
      </c>
      <c r="EU16" t="s">
        <v>404</v>
      </c>
      <c r="EV16" t="s">
        <v>404</v>
      </c>
      <c r="EW16" t="s">
        <v>404</v>
      </c>
      <c r="EX16" t="s">
        <v>404</v>
      </c>
      <c r="EY16" t="s">
        <v>404</v>
      </c>
      <c r="EZ16" t="s">
        <v>404</v>
      </c>
      <c r="FA16" t="s">
        <v>404</v>
      </c>
      <c r="FB16" t="s">
        <v>404</v>
      </c>
      <c r="FC16" t="s">
        <v>404</v>
      </c>
      <c r="FD16" t="s">
        <v>404</v>
      </c>
      <c r="FE16" t="s">
        <v>404</v>
      </c>
      <c r="FF16" t="s">
        <v>404</v>
      </c>
      <c r="FG16" t="s">
        <v>404</v>
      </c>
      <c r="FH16" t="s">
        <v>404</v>
      </c>
      <c r="FI16" t="s">
        <v>404</v>
      </c>
      <c r="FJ16" t="s">
        <v>404</v>
      </c>
      <c r="FK16" t="s">
        <v>404</v>
      </c>
      <c r="FL16" t="s">
        <v>404</v>
      </c>
      <c r="FM16" t="s">
        <v>404</v>
      </c>
      <c r="FN16" t="s">
        <v>404</v>
      </c>
      <c r="FO16" t="s">
        <v>404</v>
      </c>
      <c r="FP16" t="s">
        <v>404</v>
      </c>
      <c r="FQ16" t="s">
        <v>404</v>
      </c>
      <c r="FR16" t="s">
        <v>404</v>
      </c>
      <c r="FS16">
        <v>40</v>
      </c>
      <c r="FY16">
        <v>40</v>
      </c>
      <c r="GF16">
        <v>0</v>
      </c>
      <c r="GM16">
        <v>0</v>
      </c>
      <c r="GT16">
        <v>0</v>
      </c>
      <c r="HA16">
        <v>0</v>
      </c>
      <c r="HB16">
        <v>80</v>
      </c>
      <c r="HH16">
        <v>80</v>
      </c>
      <c r="HI16">
        <v>30</v>
      </c>
      <c r="HO16">
        <v>30</v>
      </c>
      <c r="HW16">
        <v>0</v>
      </c>
      <c r="HX16">
        <v>150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150</v>
      </c>
      <c r="IK16">
        <v>0</v>
      </c>
      <c r="IL16">
        <v>138</v>
      </c>
      <c r="IR16">
        <v>138</v>
      </c>
      <c r="IS16">
        <v>12</v>
      </c>
      <c r="IY16">
        <v>12</v>
      </c>
      <c r="JF16">
        <v>0</v>
      </c>
      <c r="JM16">
        <v>0</v>
      </c>
      <c r="JN16">
        <v>150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150</v>
      </c>
      <c r="JW16">
        <v>100</v>
      </c>
      <c r="JZ16">
        <v>1</v>
      </c>
      <c r="KA16">
        <v>2</v>
      </c>
      <c r="KB16">
        <v>2</v>
      </c>
      <c r="KC16" t="s">
        <v>407</v>
      </c>
      <c r="OF16" t="s">
        <v>408</v>
      </c>
      <c r="SI16" t="s">
        <v>409</v>
      </c>
      <c r="WL16" t="s">
        <v>410</v>
      </c>
      <c r="AAO16" t="s">
        <v>411</v>
      </c>
      <c r="AER16" t="s">
        <v>412</v>
      </c>
    </row>
    <row r="17" spans="1:824" x14ac:dyDescent="0.2">
      <c r="A17" t="s">
        <v>523</v>
      </c>
      <c r="B17" t="s">
        <v>396</v>
      </c>
      <c r="C17" t="s">
        <v>524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>
        <v>735</v>
      </c>
      <c r="W17" s="3">
        <v>43517.352083333331</v>
      </c>
      <c r="X17" t="s">
        <v>525</v>
      </c>
      <c r="Y17">
        <v>2019</v>
      </c>
      <c r="Z17" t="s">
        <v>526</v>
      </c>
      <c r="AA17" t="s">
        <v>527</v>
      </c>
      <c r="AB17" t="s">
        <v>528</v>
      </c>
      <c r="AC17" t="s">
        <v>529</v>
      </c>
      <c r="AD17" t="s">
        <v>530</v>
      </c>
      <c r="AE17" t="s">
        <v>491</v>
      </c>
      <c r="AF17" t="s">
        <v>403</v>
      </c>
      <c r="AH17">
        <v>1</v>
      </c>
      <c r="AK17">
        <v>328</v>
      </c>
      <c r="AL17">
        <v>328</v>
      </c>
      <c r="AM17">
        <v>268</v>
      </c>
      <c r="AN17">
        <v>268</v>
      </c>
      <c r="AU17">
        <v>0</v>
      </c>
      <c r="AV17">
        <v>202</v>
      </c>
      <c r="AW17">
        <v>126</v>
      </c>
      <c r="BB17">
        <v>328</v>
      </c>
      <c r="BI17">
        <v>0</v>
      </c>
      <c r="BP17">
        <v>0</v>
      </c>
      <c r="BW17">
        <v>0</v>
      </c>
      <c r="CD17">
        <v>0</v>
      </c>
      <c r="CE17">
        <v>202</v>
      </c>
      <c r="CF17">
        <v>126</v>
      </c>
      <c r="CG17">
        <v>0</v>
      </c>
      <c r="CH17">
        <v>0</v>
      </c>
      <c r="CI17">
        <v>0</v>
      </c>
      <c r="CJ17">
        <v>0</v>
      </c>
      <c r="CK17">
        <v>328</v>
      </c>
      <c r="CR17">
        <v>0</v>
      </c>
      <c r="CS17">
        <v>4</v>
      </c>
      <c r="CT17">
        <v>3</v>
      </c>
      <c r="CY17">
        <v>7</v>
      </c>
      <c r="DF17">
        <v>0</v>
      </c>
      <c r="DM17">
        <v>0</v>
      </c>
      <c r="DT17">
        <v>0</v>
      </c>
      <c r="EA17">
        <v>0</v>
      </c>
      <c r="EB17">
        <v>4</v>
      </c>
      <c r="EC17">
        <v>3</v>
      </c>
      <c r="ED17">
        <v>0</v>
      </c>
      <c r="EE17">
        <v>0</v>
      </c>
      <c r="EF17">
        <v>0</v>
      </c>
      <c r="EG17">
        <v>0</v>
      </c>
      <c r="EH17">
        <v>7</v>
      </c>
      <c r="EI17" t="s">
        <v>404</v>
      </c>
      <c r="EJ17" t="s">
        <v>404</v>
      </c>
      <c r="EK17" t="s">
        <v>404</v>
      </c>
      <c r="EL17" t="s">
        <v>404</v>
      </c>
      <c r="EM17" t="s">
        <v>404</v>
      </c>
      <c r="EN17" t="s">
        <v>404</v>
      </c>
      <c r="EO17" t="s">
        <v>405</v>
      </c>
      <c r="EP17" t="s">
        <v>405</v>
      </c>
      <c r="EQ17" t="s">
        <v>404</v>
      </c>
      <c r="ER17" t="s">
        <v>404</v>
      </c>
      <c r="ES17" t="s">
        <v>404</v>
      </c>
      <c r="ET17" t="s">
        <v>404</v>
      </c>
      <c r="EU17" t="s">
        <v>404</v>
      </c>
      <c r="EV17" t="s">
        <v>404</v>
      </c>
      <c r="EW17" t="s">
        <v>404</v>
      </c>
      <c r="EX17" t="s">
        <v>404</v>
      </c>
      <c r="EY17" t="s">
        <v>404</v>
      </c>
      <c r="EZ17" t="s">
        <v>404</v>
      </c>
      <c r="FA17" t="s">
        <v>404</v>
      </c>
      <c r="FB17" t="s">
        <v>404</v>
      </c>
      <c r="FC17" t="s">
        <v>404</v>
      </c>
      <c r="FD17" t="s">
        <v>404</v>
      </c>
      <c r="FE17" t="s">
        <v>404</v>
      </c>
      <c r="FF17" t="s">
        <v>404</v>
      </c>
      <c r="FG17" t="s">
        <v>404</v>
      </c>
      <c r="FH17" t="s">
        <v>404</v>
      </c>
      <c r="FI17" t="s">
        <v>404</v>
      </c>
      <c r="FJ17" t="s">
        <v>404</v>
      </c>
      <c r="FK17" t="s">
        <v>404</v>
      </c>
      <c r="FL17" t="s">
        <v>404</v>
      </c>
      <c r="FM17" t="s">
        <v>404</v>
      </c>
      <c r="FN17" t="s">
        <v>404</v>
      </c>
      <c r="FO17" t="s">
        <v>404</v>
      </c>
      <c r="FP17" t="s">
        <v>404</v>
      </c>
      <c r="FQ17" t="s">
        <v>404</v>
      </c>
      <c r="FR17" t="s">
        <v>404</v>
      </c>
      <c r="FS17">
        <v>54</v>
      </c>
      <c r="FT17">
        <v>36</v>
      </c>
      <c r="FY17">
        <v>90</v>
      </c>
      <c r="GF17">
        <v>0</v>
      </c>
      <c r="GM17">
        <v>0</v>
      </c>
      <c r="GT17">
        <v>0</v>
      </c>
      <c r="HA17">
        <v>0</v>
      </c>
      <c r="HB17">
        <v>147</v>
      </c>
      <c r="HH17">
        <v>147</v>
      </c>
      <c r="HI17">
        <v>91</v>
      </c>
      <c r="HO17">
        <v>91</v>
      </c>
      <c r="HW17">
        <v>0</v>
      </c>
      <c r="HX17">
        <v>292</v>
      </c>
      <c r="HY17">
        <v>36</v>
      </c>
      <c r="HZ17">
        <v>0</v>
      </c>
      <c r="IA17">
        <v>0</v>
      </c>
      <c r="IB17">
        <v>0</v>
      </c>
      <c r="IC17">
        <v>0</v>
      </c>
      <c r="ID17">
        <v>328</v>
      </c>
      <c r="IK17">
        <v>0</v>
      </c>
      <c r="IL17">
        <v>292</v>
      </c>
      <c r="IM17">
        <v>36</v>
      </c>
      <c r="IR17">
        <v>328</v>
      </c>
      <c r="IY17">
        <v>0</v>
      </c>
      <c r="JF17">
        <v>0</v>
      </c>
      <c r="JM17">
        <v>0</v>
      </c>
      <c r="JN17">
        <v>292</v>
      </c>
      <c r="JO17">
        <v>36</v>
      </c>
      <c r="JP17">
        <v>0</v>
      </c>
      <c r="JQ17">
        <v>0</v>
      </c>
      <c r="JR17">
        <v>0</v>
      </c>
      <c r="JS17">
        <v>0</v>
      </c>
      <c r="JT17">
        <v>328</v>
      </c>
      <c r="JW17">
        <v>100</v>
      </c>
      <c r="JZ17">
        <v>1</v>
      </c>
      <c r="KA17">
        <v>2</v>
      </c>
      <c r="KB17">
        <v>1</v>
      </c>
      <c r="KC17" t="s">
        <v>407</v>
      </c>
      <c r="OF17" t="s">
        <v>408</v>
      </c>
      <c r="SI17" t="s">
        <v>409</v>
      </c>
      <c r="WL17" t="s">
        <v>410</v>
      </c>
      <c r="AAO17" t="s">
        <v>411</v>
      </c>
      <c r="AER17" t="s">
        <v>412</v>
      </c>
    </row>
    <row r="18" spans="1:824" x14ac:dyDescent="0.2">
      <c r="A18" t="s">
        <v>531</v>
      </c>
      <c r="B18" t="s">
        <v>414</v>
      </c>
      <c r="C18" t="s">
        <v>532</v>
      </c>
      <c r="P18" t="b">
        <v>0</v>
      </c>
      <c r="Q18" t="b">
        <v>1</v>
      </c>
      <c r="R18" t="b">
        <v>0</v>
      </c>
      <c r="S18" t="b">
        <v>0</v>
      </c>
      <c r="T18" t="b">
        <v>0</v>
      </c>
      <c r="U18" t="b">
        <v>0</v>
      </c>
      <c r="V18">
        <v>712</v>
      </c>
      <c r="W18" s="3">
        <v>43509.164583333331</v>
      </c>
      <c r="X18" t="s">
        <v>533</v>
      </c>
      <c r="Y18">
        <v>2019</v>
      </c>
      <c r="Z18" t="s">
        <v>534</v>
      </c>
      <c r="AA18" t="s">
        <v>532</v>
      </c>
      <c r="AB18" t="s">
        <v>528</v>
      </c>
      <c r="AC18" t="s">
        <v>535</v>
      </c>
      <c r="AD18" t="s">
        <v>536</v>
      </c>
      <c r="AE18" t="s">
        <v>537</v>
      </c>
      <c r="AF18" t="s">
        <v>538</v>
      </c>
      <c r="AH18">
        <v>1</v>
      </c>
      <c r="AK18">
        <v>420</v>
      </c>
      <c r="AL18">
        <v>420</v>
      </c>
      <c r="AM18">
        <v>0</v>
      </c>
      <c r="AN18">
        <v>0</v>
      </c>
      <c r="AO18">
        <v>420</v>
      </c>
      <c r="AU18">
        <v>420</v>
      </c>
      <c r="BB18">
        <v>0</v>
      </c>
      <c r="BI18">
        <v>0</v>
      </c>
      <c r="BP18">
        <v>0</v>
      </c>
      <c r="BW18">
        <v>0</v>
      </c>
      <c r="CD18">
        <v>0</v>
      </c>
      <c r="CE18">
        <v>420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420</v>
      </c>
      <c r="CL18">
        <v>1</v>
      </c>
      <c r="CR18">
        <v>1</v>
      </c>
      <c r="CY18">
        <v>0</v>
      </c>
      <c r="DF18">
        <v>0</v>
      </c>
      <c r="DM18">
        <v>0</v>
      </c>
      <c r="DT18">
        <v>0</v>
      </c>
      <c r="EA18">
        <v>0</v>
      </c>
      <c r="EB18">
        <v>1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1</v>
      </c>
      <c r="EI18" t="s">
        <v>405</v>
      </c>
      <c r="EJ18" t="s">
        <v>404</v>
      </c>
      <c r="EK18" t="s">
        <v>404</v>
      </c>
      <c r="EL18" t="s">
        <v>404</v>
      </c>
      <c r="EM18" t="s">
        <v>404</v>
      </c>
      <c r="EN18" t="s">
        <v>404</v>
      </c>
      <c r="EO18" t="s">
        <v>404</v>
      </c>
      <c r="EP18" t="s">
        <v>404</v>
      </c>
      <c r="EQ18" t="s">
        <v>404</v>
      </c>
      <c r="ER18" t="s">
        <v>404</v>
      </c>
      <c r="ES18" t="s">
        <v>404</v>
      </c>
      <c r="ET18" t="s">
        <v>404</v>
      </c>
      <c r="EU18" t="s">
        <v>404</v>
      </c>
      <c r="EV18" t="s">
        <v>404</v>
      </c>
      <c r="EW18" t="s">
        <v>404</v>
      </c>
      <c r="EX18" t="s">
        <v>404</v>
      </c>
      <c r="EY18" t="s">
        <v>404</v>
      </c>
      <c r="EZ18" t="s">
        <v>404</v>
      </c>
      <c r="FA18" t="s">
        <v>404</v>
      </c>
      <c r="FB18" t="s">
        <v>404</v>
      </c>
      <c r="FC18" t="s">
        <v>404</v>
      </c>
      <c r="FD18" t="s">
        <v>404</v>
      </c>
      <c r="FE18" t="s">
        <v>404</v>
      </c>
      <c r="FF18" t="s">
        <v>404</v>
      </c>
      <c r="FG18" t="s">
        <v>404</v>
      </c>
      <c r="FH18" t="s">
        <v>404</v>
      </c>
      <c r="FI18" t="s">
        <v>404</v>
      </c>
      <c r="FJ18" t="s">
        <v>404</v>
      </c>
      <c r="FK18" t="s">
        <v>404</v>
      </c>
      <c r="FL18" t="s">
        <v>404</v>
      </c>
      <c r="FM18" t="s">
        <v>404</v>
      </c>
      <c r="FN18" t="s">
        <v>404</v>
      </c>
      <c r="FO18" t="s">
        <v>404</v>
      </c>
      <c r="FP18" t="s">
        <v>404</v>
      </c>
      <c r="FQ18" t="s">
        <v>404</v>
      </c>
      <c r="FR18" t="s">
        <v>404</v>
      </c>
      <c r="FS18">
        <v>150</v>
      </c>
      <c r="FY18">
        <v>150</v>
      </c>
      <c r="FZ18">
        <v>35</v>
      </c>
      <c r="GF18">
        <v>35</v>
      </c>
      <c r="GM18">
        <v>0</v>
      </c>
      <c r="GT18">
        <v>0</v>
      </c>
      <c r="GU18">
        <v>50</v>
      </c>
      <c r="HA18">
        <v>50</v>
      </c>
      <c r="HB18">
        <v>165</v>
      </c>
      <c r="HH18">
        <v>165</v>
      </c>
      <c r="HI18">
        <v>13</v>
      </c>
      <c r="HO18">
        <v>13</v>
      </c>
      <c r="HP18" t="s">
        <v>539</v>
      </c>
      <c r="HQ18">
        <v>7</v>
      </c>
      <c r="HW18">
        <v>7</v>
      </c>
      <c r="HX18">
        <v>420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420</v>
      </c>
      <c r="IE18">
        <v>107</v>
      </c>
      <c r="IK18">
        <v>107</v>
      </c>
      <c r="IL18">
        <v>178</v>
      </c>
      <c r="IR18">
        <v>178</v>
      </c>
      <c r="IS18">
        <v>135</v>
      </c>
      <c r="IY18">
        <v>135</v>
      </c>
      <c r="JF18">
        <v>0</v>
      </c>
      <c r="JM18">
        <v>0</v>
      </c>
      <c r="JN18">
        <v>420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420</v>
      </c>
      <c r="JU18">
        <v>19</v>
      </c>
      <c r="JW18">
        <v>79</v>
      </c>
      <c r="JX18" t="s">
        <v>539</v>
      </c>
      <c r="JY18">
        <v>2</v>
      </c>
      <c r="JZ18">
        <v>1</v>
      </c>
      <c r="KA18">
        <v>2</v>
      </c>
      <c r="KB18">
        <v>1</v>
      </c>
      <c r="KC18" t="s">
        <v>407</v>
      </c>
      <c r="OF18" t="s">
        <v>408</v>
      </c>
      <c r="SI18" t="s">
        <v>409</v>
      </c>
      <c r="WL18" t="s">
        <v>410</v>
      </c>
      <c r="AAO18" t="s">
        <v>411</v>
      </c>
      <c r="AER18" t="s">
        <v>412</v>
      </c>
    </row>
    <row r="19" spans="1:824" x14ac:dyDescent="0.2">
      <c r="A19" t="s">
        <v>540</v>
      </c>
      <c r="B19" t="s">
        <v>414</v>
      </c>
      <c r="C19" t="s">
        <v>541</v>
      </c>
      <c r="P19" t="b">
        <v>0</v>
      </c>
      <c r="Q19" t="b">
        <v>1</v>
      </c>
      <c r="R19" t="b">
        <v>0</v>
      </c>
      <c r="S19" t="b">
        <v>0</v>
      </c>
      <c r="T19" t="b">
        <v>0</v>
      </c>
      <c r="U19" t="b">
        <v>0</v>
      </c>
      <c r="V19">
        <v>635</v>
      </c>
      <c r="W19" s="3">
        <v>43508.42083333333</v>
      </c>
      <c r="X19" t="s">
        <v>542</v>
      </c>
      <c r="Y19">
        <v>2019</v>
      </c>
      <c r="Z19" t="s">
        <v>543</v>
      </c>
      <c r="AA19" t="s">
        <v>544</v>
      </c>
      <c r="AB19" t="s">
        <v>545</v>
      </c>
      <c r="AC19" t="s">
        <v>546</v>
      </c>
      <c r="AD19" t="s">
        <v>547</v>
      </c>
      <c r="AE19" t="s">
        <v>537</v>
      </c>
      <c r="AF19" t="s">
        <v>548</v>
      </c>
      <c r="AH19">
        <v>1</v>
      </c>
      <c r="AK19">
        <v>420</v>
      </c>
      <c r="AL19">
        <v>420</v>
      </c>
      <c r="AM19">
        <v>340</v>
      </c>
      <c r="AN19">
        <v>340</v>
      </c>
      <c r="AO19">
        <v>420</v>
      </c>
      <c r="AU19">
        <v>420</v>
      </c>
      <c r="BB19">
        <v>0</v>
      </c>
      <c r="BI19">
        <v>0</v>
      </c>
      <c r="BP19">
        <v>0</v>
      </c>
      <c r="BW19">
        <v>0</v>
      </c>
      <c r="CD19">
        <v>0</v>
      </c>
      <c r="CE19">
        <v>420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420</v>
      </c>
      <c r="CL19">
        <v>2</v>
      </c>
      <c r="CR19">
        <v>2</v>
      </c>
      <c r="CY19">
        <v>0</v>
      </c>
      <c r="DF19">
        <v>0</v>
      </c>
      <c r="DM19">
        <v>0</v>
      </c>
      <c r="DT19">
        <v>0</v>
      </c>
      <c r="EA19">
        <v>0</v>
      </c>
      <c r="EB19">
        <v>2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2</v>
      </c>
      <c r="EI19" t="s">
        <v>405</v>
      </c>
      <c r="EJ19" t="s">
        <v>404</v>
      </c>
      <c r="EK19" t="s">
        <v>404</v>
      </c>
      <c r="EL19" t="s">
        <v>404</v>
      </c>
      <c r="EM19" t="s">
        <v>404</v>
      </c>
      <c r="EN19" t="s">
        <v>404</v>
      </c>
      <c r="EO19" t="s">
        <v>404</v>
      </c>
      <c r="EP19" t="s">
        <v>404</v>
      </c>
      <c r="EQ19" t="s">
        <v>404</v>
      </c>
      <c r="ER19" t="s">
        <v>404</v>
      </c>
      <c r="ES19" t="s">
        <v>404</v>
      </c>
      <c r="ET19" t="s">
        <v>404</v>
      </c>
      <c r="EU19" t="s">
        <v>404</v>
      </c>
      <c r="EV19" t="s">
        <v>404</v>
      </c>
      <c r="EW19" t="s">
        <v>404</v>
      </c>
      <c r="EX19" t="s">
        <v>404</v>
      </c>
      <c r="EY19" t="s">
        <v>404</v>
      </c>
      <c r="EZ19" t="s">
        <v>404</v>
      </c>
      <c r="FA19" t="s">
        <v>404</v>
      </c>
      <c r="FB19" t="s">
        <v>404</v>
      </c>
      <c r="FC19" t="s">
        <v>404</v>
      </c>
      <c r="FD19" t="s">
        <v>404</v>
      </c>
      <c r="FE19" t="s">
        <v>404</v>
      </c>
      <c r="FF19" t="s">
        <v>404</v>
      </c>
      <c r="FG19" t="s">
        <v>404</v>
      </c>
      <c r="FH19" t="s">
        <v>404</v>
      </c>
      <c r="FI19" t="s">
        <v>404</v>
      </c>
      <c r="FJ19" t="s">
        <v>404</v>
      </c>
      <c r="FK19" t="s">
        <v>404</v>
      </c>
      <c r="FL19" t="s">
        <v>404</v>
      </c>
      <c r="FM19" t="s">
        <v>404</v>
      </c>
      <c r="FN19" t="s">
        <v>404</v>
      </c>
      <c r="FO19" t="s">
        <v>404</v>
      </c>
      <c r="FP19" t="s">
        <v>404</v>
      </c>
      <c r="FQ19" t="s">
        <v>404</v>
      </c>
      <c r="FR19" t="s">
        <v>404</v>
      </c>
      <c r="FS19">
        <v>420</v>
      </c>
      <c r="FY19">
        <v>420</v>
      </c>
      <c r="GF19">
        <v>0</v>
      </c>
      <c r="GM19">
        <v>0</v>
      </c>
      <c r="GT19">
        <v>0</v>
      </c>
      <c r="HA19">
        <v>0</v>
      </c>
      <c r="HH19">
        <v>0</v>
      </c>
      <c r="HO19">
        <v>0</v>
      </c>
      <c r="HW19">
        <v>0</v>
      </c>
      <c r="HX19">
        <v>420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420</v>
      </c>
      <c r="IE19">
        <v>420</v>
      </c>
      <c r="IK19">
        <v>420</v>
      </c>
      <c r="IR19">
        <v>0</v>
      </c>
      <c r="IY19">
        <v>0</v>
      </c>
      <c r="JF19">
        <v>0</v>
      </c>
      <c r="JM19">
        <v>0</v>
      </c>
      <c r="JN19">
        <v>420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420</v>
      </c>
      <c r="JW19">
        <v>100</v>
      </c>
      <c r="JZ19">
        <v>3</v>
      </c>
      <c r="KA19">
        <v>3</v>
      </c>
      <c r="KB19">
        <v>1</v>
      </c>
      <c r="KC19" t="s">
        <v>407</v>
      </c>
      <c r="OF19" t="s">
        <v>408</v>
      </c>
      <c r="SI19" t="s">
        <v>409</v>
      </c>
      <c r="WL19" t="s">
        <v>410</v>
      </c>
      <c r="AAO19" t="s">
        <v>411</v>
      </c>
      <c r="AER19" t="s">
        <v>412</v>
      </c>
    </row>
    <row r="20" spans="1:824" x14ac:dyDescent="0.2">
      <c r="A20" t="s">
        <v>549</v>
      </c>
      <c r="B20" t="s">
        <v>396</v>
      </c>
      <c r="C20" t="s">
        <v>550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>
        <v>592</v>
      </c>
      <c r="W20" s="3">
        <v>43508.548611111109</v>
      </c>
      <c r="X20" t="s">
        <v>551</v>
      </c>
      <c r="Y20">
        <v>2019</v>
      </c>
      <c r="Z20" t="s">
        <v>552</v>
      </c>
      <c r="AA20" t="s">
        <v>550</v>
      </c>
      <c r="AC20" t="s">
        <v>553</v>
      </c>
      <c r="AE20" t="s">
        <v>516</v>
      </c>
      <c r="AF20" t="s">
        <v>403</v>
      </c>
      <c r="AH20">
        <v>1</v>
      </c>
      <c r="AK20">
        <v>35</v>
      </c>
      <c r="AL20">
        <v>35</v>
      </c>
      <c r="AM20">
        <v>30</v>
      </c>
      <c r="AN20">
        <v>30</v>
      </c>
      <c r="AU20">
        <v>0</v>
      </c>
      <c r="AV20">
        <v>35</v>
      </c>
      <c r="BB20">
        <v>35</v>
      </c>
      <c r="BI20">
        <v>0</v>
      </c>
      <c r="BP20">
        <v>0</v>
      </c>
      <c r="BW20">
        <v>0</v>
      </c>
      <c r="CD20">
        <v>0</v>
      </c>
      <c r="CE20">
        <v>35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35</v>
      </c>
      <c r="CR20">
        <v>0</v>
      </c>
      <c r="CS20">
        <v>1</v>
      </c>
      <c r="CY20">
        <v>1</v>
      </c>
      <c r="DF20">
        <v>0</v>
      </c>
      <c r="DM20">
        <v>0</v>
      </c>
      <c r="DT20">
        <v>0</v>
      </c>
      <c r="EA20">
        <v>0</v>
      </c>
      <c r="EB20">
        <v>1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1</v>
      </c>
      <c r="EI20" t="s">
        <v>404</v>
      </c>
      <c r="EJ20" t="s">
        <v>404</v>
      </c>
      <c r="EK20" t="s">
        <v>404</v>
      </c>
      <c r="EL20" t="s">
        <v>404</v>
      </c>
      <c r="EM20" t="s">
        <v>404</v>
      </c>
      <c r="EN20" t="s">
        <v>404</v>
      </c>
      <c r="EO20" t="s">
        <v>405</v>
      </c>
      <c r="EP20" t="s">
        <v>404</v>
      </c>
      <c r="EQ20" t="s">
        <v>404</v>
      </c>
      <c r="ER20" t="s">
        <v>404</v>
      </c>
      <c r="ES20" t="s">
        <v>404</v>
      </c>
      <c r="ET20" t="s">
        <v>404</v>
      </c>
      <c r="EU20" t="s">
        <v>404</v>
      </c>
      <c r="EV20" t="s">
        <v>404</v>
      </c>
      <c r="EW20" t="s">
        <v>404</v>
      </c>
      <c r="EX20" t="s">
        <v>404</v>
      </c>
      <c r="EY20" t="s">
        <v>404</v>
      </c>
      <c r="EZ20" t="s">
        <v>404</v>
      </c>
      <c r="FA20" t="s">
        <v>404</v>
      </c>
      <c r="FB20" t="s">
        <v>404</v>
      </c>
      <c r="FC20" t="s">
        <v>404</v>
      </c>
      <c r="FD20" t="s">
        <v>404</v>
      </c>
      <c r="FE20" t="s">
        <v>404</v>
      </c>
      <c r="FF20" t="s">
        <v>404</v>
      </c>
      <c r="FG20" t="s">
        <v>404</v>
      </c>
      <c r="FH20" t="s">
        <v>404</v>
      </c>
      <c r="FI20" t="s">
        <v>404</v>
      </c>
      <c r="FJ20" t="s">
        <v>404</v>
      </c>
      <c r="FK20" t="s">
        <v>404</v>
      </c>
      <c r="FL20" t="s">
        <v>404</v>
      </c>
      <c r="FM20" t="s">
        <v>404</v>
      </c>
      <c r="FN20" t="s">
        <v>404</v>
      </c>
      <c r="FO20" t="s">
        <v>404</v>
      </c>
      <c r="FP20" t="s">
        <v>404</v>
      </c>
      <c r="FQ20" t="s">
        <v>404</v>
      </c>
      <c r="FR20" t="s">
        <v>404</v>
      </c>
      <c r="FS20">
        <v>25</v>
      </c>
      <c r="FY20">
        <v>25</v>
      </c>
      <c r="GF20">
        <v>0</v>
      </c>
      <c r="GM20">
        <v>0</v>
      </c>
      <c r="GT20">
        <v>0</v>
      </c>
      <c r="HA20">
        <v>0</v>
      </c>
      <c r="HB20">
        <v>5</v>
      </c>
      <c r="HH20">
        <v>5</v>
      </c>
      <c r="HI20">
        <v>5</v>
      </c>
      <c r="HO20">
        <v>5</v>
      </c>
      <c r="HW20">
        <v>0</v>
      </c>
      <c r="HX20">
        <v>35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35</v>
      </c>
      <c r="IK20">
        <v>0</v>
      </c>
      <c r="IL20">
        <v>35</v>
      </c>
      <c r="IR20">
        <v>35</v>
      </c>
      <c r="IY20">
        <v>0</v>
      </c>
      <c r="JF20">
        <v>0</v>
      </c>
      <c r="JM20">
        <v>0</v>
      </c>
      <c r="JN20">
        <v>35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35</v>
      </c>
      <c r="JW20">
        <v>100</v>
      </c>
      <c r="JZ20">
        <v>3</v>
      </c>
      <c r="KA20">
        <v>3</v>
      </c>
      <c r="KB20">
        <v>1</v>
      </c>
      <c r="KC20" t="s">
        <v>407</v>
      </c>
      <c r="OF20" t="s">
        <v>408</v>
      </c>
      <c r="SI20" t="s">
        <v>409</v>
      </c>
      <c r="WL20" t="s">
        <v>410</v>
      </c>
      <c r="AAO20" t="s">
        <v>411</v>
      </c>
      <c r="AER20" t="s">
        <v>412</v>
      </c>
    </row>
    <row r="21" spans="1:824" x14ac:dyDescent="0.2">
      <c r="A21" t="s">
        <v>554</v>
      </c>
      <c r="B21" t="s">
        <v>396</v>
      </c>
      <c r="C21" t="s">
        <v>555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>
        <v>741</v>
      </c>
      <c r="W21" s="3">
        <v>43515.462500000001</v>
      </c>
      <c r="X21" t="s">
        <v>556</v>
      </c>
      <c r="Y21">
        <v>2019</v>
      </c>
      <c r="Z21" t="s">
        <v>557</v>
      </c>
      <c r="AA21" t="s">
        <v>555</v>
      </c>
      <c r="AB21" t="s">
        <v>558</v>
      </c>
      <c r="AC21" t="s">
        <v>559</v>
      </c>
      <c r="AD21" t="s">
        <v>560</v>
      </c>
      <c r="AE21" t="s">
        <v>444</v>
      </c>
      <c r="AF21" t="s">
        <v>403</v>
      </c>
      <c r="AH21">
        <v>2</v>
      </c>
      <c r="AI21">
        <v>6</v>
      </c>
      <c r="AJ21" t="s">
        <v>561</v>
      </c>
      <c r="AU21">
        <v>0</v>
      </c>
      <c r="BB21">
        <v>0</v>
      </c>
      <c r="BI21">
        <v>0</v>
      </c>
      <c r="BP21">
        <v>0</v>
      </c>
      <c r="BW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R21">
        <v>0</v>
      </c>
      <c r="CY21">
        <v>0</v>
      </c>
      <c r="DF21">
        <v>0</v>
      </c>
      <c r="DM21">
        <v>0</v>
      </c>
      <c r="DT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 t="s">
        <v>404</v>
      </c>
      <c r="EJ21" t="s">
        <v>404</v>
      </c>
      <c r="EK21" t="s">
        <v>404</v>
      </c>
      <c r="EL21" t="s">
        <v>404</v>
      </c>
      <c r="EM21" t="s">
        <v>404</v>
      </c>
      <c r="EN21" t="s">
        <v>404</v>
      </c>
      <c r="EO21" t="s">
        <v>404</v>
      </c>
      <c r="EP21" t="s">
        <v>404</v>
      </c>
      <c r="EQ21" t="s">
        <v>404</v>
      </c>
      <c r="ER21" t="s">
        <v>404</v>
      </c>
      <c r="ES21" t="s">
        <v>404</v>
      </c>
      <c r="ET21" t="s">
        <v>404</v>
      </c>
      <c r="EU21" t="s">
        <v>404</v>
      </c>
      <c r="EV21" t="s">
        <v>404</v>
      </c>
      <c r="EW21" t="s">
        <v>404</v>
      </c>
      <c r="EX21" t="s">
        <v>404</v>
      </c>
      <c r="EY21" t="s">
        <v>404</v>
      </c>
      <c r="EZ21" t="s">
        <v>404</v>
      </c>
      <c r="FA21" t="s">
        <v>404</v>
      </c>
      <c r="FB21" t="s">
        <v>404</v>
      </c>
      <c r="FC21" t="s">
        <v>404</v>
      </c>
      <c r="FD21" t="s">
        <v>404</v>
      </c>
      <c r="FE21" t="s">
        <v>404</v>
      </c>
      <c r="FF21" t="s">
        <v>404</v>
      </c>
      <c r="FG21" t="s">
        <v>404</v>
      </c>
      <c r="FH21" t="s">
        <v>404</v>
      </c>
      <c r="FI21" t="s">
        <v>404</v>
      </c>
      <c r="FJ21" t="s">
        <v>404</v>
      </c>
      <c r="FK21" t="s">
        <v>404</v>
      </c>
      <c r="FL21" t="s">
        <v>404</v>
      </c>
      <c r="FM21" t="s">
        <v>404</v>
      </c>
      <c r="FN21" t="s">
        <v>404</v>
      </c>
      <c r="FO21" t="s">
        <v>404</v>
      </c>
      <c r="FP21" t="s">
        <v>404</v>
      </c>
      <c r="FQ21" t="s">
        <v>404</v>
      </c>
      <c r="FR21" t="s">
        <v>404</v>
      </c>
      <c r="FY21">
        <v>0</v>
      </c>
      <c r="GF21">
        <v>0</v>
      </c>
      <c r="GM21">
        <v>0</v>
      </c>
      <c r="GT21">
        <v>0</v>
      </c>
      <c r="HA21">
        <v>0</v>
      </c>
      <c r="HH21">
        <v>0</v>
      </c>
      <c r="HO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K21">
        <v>0</v>
      </c>
      <c r="IR21">
        <v>0</v>
      </c>
      <c r="IY21">
        <v>0</v>
      </c>
      <c r="JF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Z21">
        <v>1</v>
      </c>
      <c r="KA21">
        <v>2</v>
      </c>
      <c r="KB21">
        <v>1</v>
      </c>
      <c r="KC21" t="s">
        <v>407</v>
      </c>
      <c r="OF21" t="s">
        <v>408</v>
      </c>
      <c r="SI21" t="s">
        <v>409</v>
      </c>
      <c r="WL21" t="s">
        <v>410</v>
      </c>
      <c r="AAO21" t="s">
        <v>411</v>
      </c>
      <c r="AER21" t="s">
        <v>412</v>
      </c>
    </row>
    <row r="22" spans="1:824" x14ac:dyDescent="0.2">
      <c r="A22" t="s">
        <v>562</v>
      </c>
      <c r="B22" t="s">
        <v>563</v>
      </c>
      <c r="C22" t="s">
        <v>564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b">
        <v>0</v>
      </c>
      <c r="V22">
        <v>600</v>
      </c>
      <c r="W22" s="3">
        <v>43481.849305555559</v>
      </c>
      <c r="X22" t="s">
        <v>565</v>
      </c>
      <c r="Y22">
        <v>2019</v>
      </c>
      <c r="Z22" t="s">
        <v>566</v>
      </c>
      <c r="AA22" t="s">
        <v>567</v>
      </c>
      <c r="AB22" t="s">
        <v>568</v>
      </c>
      <c r="AC22" t="s">
        <v>569</v>
      </c>
      <c r="AD22" t="s">
        <v>570</v>
      </c>
      <c r="AE22" t="s">
        <v>571</v>
      </c>
      <c r="AF22" t="s">
        <v>538</v>
      </c>
      <c r="AH22">
        <v>1</v>
      </c>
      <c r="AK22">
        <v>710</v>
      </c>
      <c r="AL22">
        <v>710</v>
      </c>
      <c r="AM22">
        <v>561</v>
      </c>
      <c r="AN22">
        <v>561</v>
      </c>
      <c r="AU22">
        <v>0</v>
      </c>
      <c r="BB22">
        <v>0</v>
      </c>
      <c r="BC22">
        <v>237</v>
      </c>
      <c r="BD22">
        <v>473</v>
      </c>
      <c r="BI22">
        <v>710</v>
      </c>
      <c r="BP22">
        <v>0</v>
      </c>
      <c r="BW22">
        <v>0</v>
      </c>
      <c r="CD22">
        <v>0</v>
      </c>
      <c r="CE22">
        <v>237</v>
      </c>
      <c r="CF22">
        <v>473</v>
      </c>
      <c r="CG22">
        <v>0</v>
      </c>
      <c r="CH22">
        <v>0</v>
      </c>
      <c r="CI22">
        <v>0</v>
      </c>
      <c r="CJ22">
        <v>0</v>
      </c>
      <c r="CK22">
        <v>710</v>
      </c>
      <c r="CR22">
        <v>0</v>
      </c>
      <c r="CY22">
        <v>0</v>
      </c>
      <c r="CZ22">
        <v>1</v>
      </c>
      <c r="DA22">
        <v>2</v>
      </c>
      <c r="DF22">
        <v>3</v>
      </c>
      <c r="DM22">
        <v>0</v>
      </c>
      <c r="DT22">
        <v>0</v>
      </c>
      <c r="EA22">
        <v>0</v>
      </c>
      <c r="EB22">
        <v>1</v>
      </c>
      <c r="EC22">
        <v>2</v>
      </c>
      <c r="ED22">
        <v>0</v>
      </c>
      <c r="EE22">
        <v>0</v>
      </c>
      <c r="EF22">
        <v>0</v>
      </c>
      <c r="EG22">
        <v>0</v>
      </c>
      <c r="EH22">
        <v>3</v>
      </c>
      <c r="EI22" t="s">
        <v>404</v>
      </c>
      <c r="EJ22" t="s">
        <v>404</v>
      </c>
      <c r="EK22" t="s">
        <v>404</v>
      </c>
      <c r="EL22" t="s">
        <v>404</v>
      </c>
      <c r="EM22" t="s">
        <v>404</v>
      </c>
      <c r="EN22" t="s">
        <v>404</v>
      </c>
      <c r="EO22" t="s">
        <v>404</v>
      </c>
      <c r="EP22" t="s">
        <v>404</v>
      </c>
      <c r="EQ22" t="s">
        <v>404</v>
      </c>
      <c r="ER22" t="s">
        <v>404</v>
      </c>
      <c r="ES22" t="s">
        <v>404</v>
      </c>
      <c r="ET22" t="s">
        <v>404</v>
      </c>
      <c r="EU22" t="s">
        <v>405</v>
      </c>
      <c r="EV22" t="s">
        <v>405</v>
      </c>
      <c r="EW22" t="s">
        <v>404</v>
      </c>
      <c r="EX22" t="s">
        <v>404</v>
      </c>
      <c r="EY22" t="s">
        <v>404</v>
      </c>
      <c r="EZ22" t="s">
        <v>404</v>
      </c>
      <c r="FA22" t="s">
        <v>404</v>
      </c>
      <c r="FB22" t="s">
        <v>404</v>
      </c>
      <c r="FC22" t="s">
        <v>404</v>
      </c>
      <c r="FD22" t="s">
        <v>404</v>
      </c>
      <c r="FE22" t="s">
        <v>404</v>
      </c>
      <c r="FF22" t="s">
        <v>404</v>
      </c>
      <c r="FG22" t="s">
        <v>404</v>
      </c>
      <c r="FH22" t="s">
        <v>404</v>
      </c>
      <c r="FI22" t="s">
        <v>404</v>
      </c>
      <c r="FJ22" t="s">
        <v>404</v>
      </c>
      <c r="FK22" t="s">
        <v>404</v>
      </c>
      <c r="FL22" t="s">
        <v>404</v>
      </c>
      <c r="FM22" t="s">
        <v>404</v>
      </c>
      <c r="FN22" t="s">
        <v>404</v>
      </c>
      <c r="FO22" t="s">
        <v>404</v>
      </c>
      <c r="FP22" t="s">
        <v>404</v>
      </c>
      <c r="FQ22" t="s">
        <v>404</v>
      </c>
      <c r="FR22" t="s">
        <v>404</v>
      </c>
      <c r="FS22">
        <v>191</v>
      </c>
      <c r="FY22">
        <v>191</v>
      </c>
      <c r="GF22">
        <v>0</v>
      </c>
      <c r="GM22">
        <v>0</v>
      </c>
      <c r="GT22">
        <v>0</v>
      </c>
      <c r="GU22">
        <v>26</v>
      </c>
      <c r="HA22">
        <v>26</v>
      </c>
      <c r="HC22">
        <v>473</v>
      </c>
      <c r="HH22">
        <v>473</v>
      </c>
      <c r="HI22">
        <v>20</v>
      </c>
      <c r="HO22">
        <v>20</v>
      </c>
      <c r="HW22">
        <v>0</v>
      </c>
      <c r="HX22">
        <v>237</v>
      </c>
      <c r="HY22">
        <v>473</v>
      </c>
      <c r="HZ22">
        <v>0</v>
      </c>
      <c r="IA22">
        <v>0</v>
      </c>
      <c r="IB22">
        <v>0</v>
      </c>
      <c r="IC22">
        <v>0</v>
      </c>
      <c r="ID22">
        <v>710</v>
      </c>
      <c r="IK22">
        <v>0</v>
      </c>
      <c r="IR22">
        <v>0</v>
      </c>
      <c r="IS22">
        <v>237</v>
      </c>
      <c r="IT22">
        <v>473</v>
      </c>
      <c r="IY22">
        <v>710</v>
      </c>
      <c r="JF22">
        <v>0</v>
      </c>
      <c r="JM22">
        <v>0</v>
      </c>
      <c r="JN22">
        <v>237</v>
      </c>
      <c r="JO22">
        <v>473</v>
      </c>
      <c r="JP22">
        <v>0</v>
      </c>
      <c r="JQ22">
        <v>0</v>
      </c>
      <c r="JR22">
        <v>0</v>
      </c>
      <c r="JS22">
        <v>0</v>
      </c>
      <c r="JT22">
        <v>710</v>
      </c>
      <c r="JU22">
        <v>0</v>
      </c>
      <c r="JW22">
        <v>100</v>
      </c>
      <c r="JZ22">
        <v>2</v>
      </c>
      <c r="KA22">
        <v>3</v>
      </c>
      <c r="KB22">
        <v>2</v>
      </c>
      <c r="KC22" t="s">
        <v>407</v>
      </c>
      <c r="OF22" t="s">
        <v>408</v>
      </c>
      <c r="SI22" t="s">
        <v>409</v>
      </c>
      <c r="WL22" t="s">
        <v>410</v>
      </c>
      <c r="AAO22" t="s">
        <v>411</v>
      </c>
      <c r="AER22" t="s">
        <v>412</v>
      </c>
    </row>
    <row r="23" spans="1:824" x14ac:dyDescent="0.2">
      <c r="A23" t="s">
        <v>572</v>
      </c>
      <c r="B23" t="s">
        <v>563</v>
      </c>
      <c r="C23" t="s">
        <v>573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>
        <v>609</v>
      </c>
      <c r="W23" s="3">
        <v>43482.051388888889</v>
      </c>
      <c r="X23" t="s">
        <v>574</v>
      </c>
      <c r="Y23">
        <v>2019</v>
      </c>
      <c r="Z23" t="s">
        <v>575</v>
      </c>
      <c r="AA23" t="s">
        <v>576</v>
      </c>
      <c r="AB23" t="s">
        <v>577</v>
      </c>
      <c r="AC23" t="s">
        <v>578</v>
      </c>
      <c r="AD23">
        <v>4253010728</v>
      </c>
      <c r="AE23" t="s">
        <v>571</v>
      </c>
      <c r="AF23" t="s">
        <v>538</v>
      </c>
      <c r="AH23">
        <v>2</v>
      </c>
      <c r="AI23">
        <v>6</v>
      </c>
      <c r="AJ23" t="s">
        <v>579</v>
      </c>
      <c r="AU23">
        <v>0</v>
      </c>
      <c r="BB23">
        <v>0</v>
      </c>
      <c r="BI23">
        <v>0</v>
      </c>
      <c r="BP23">
        <v>0</v>
      </c>
      <c r="BW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R23">
        <v>0</v>
      </c>
      <c r="CY23">
        <v>0</v>
      </c>
      <c r="DF23">
        <v>0</v>
      </c>
      <c r="DM23">
        <v>0</v>
      </c>
      <c r="DT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 t="s">
        <v>404</v>
      </c>
      <c r="EJ23" t="s">
        <v>404</v>
      </c>
      <c r="EK23" t="s">
        <v>404</v>
      </c>
      <c r="EL23" t="s">
        <v>404</v>
      </c>
      <c r="EM23" t="s">
        <v>404</v>
      </c>
      <c r="EN23" t="s">
        <v>404</v>
      </c>
      <c r="EO23" t="s">
        <v>404</v>
      </c>
      <c r="EP23" t="s">
        <v>404</v>
      </c>
      <c r="EQ23" t="s">
        <v>404</v>
      </c>
      <c r="ER23" t="s">
        <v>404</v>
      </c>
      <c r="ES23" t="s">
        <v>404</v>
      </c>
      <c r="ET23" t="s">
        <v>404</v>
      </c>
      <c r="EU23" t="s">
        <v>404</v>
      </c>
      <c r="EV23" t="s">
        <v>404</v>
      </c>
      <c r="EW23" t="s">
        <v>404</v>
      </c>
      <c r="EX23" t="s">
        <v>404</v>
      </c>
      <c r="EY23" t="s">
        <v>404</v>
      </c>
      <c r="EZ23" t="s">
        <v>404</v>
      </c>
      <c r="FA23" t="s">
        <v>404</v>
      </c>
      <c r="FB23" t="s">
        <v>404</v>
      </c>
      <c r="FC23" t="s">
        <v>404</v>
      </c>
      <c r="FD23" t="s">
        <v>404</v>
      </c>
      <c r="FE23" t="s">
        <v>404</v>
      </c>
      <c r="FF23" t="s">
        <v>404</v>
      </c>
      <c r="FG23" t="s">
        <v>404</v>
      </c>
      <c r="FH23" t="s">
        <v>404</v>
      </c>
      <c r="FI23" t="s">
        <v>404</v>
      </c>
      <c r="FJ23" t="s">
        <v>404</v>
      </c>
      <c r="FK23" t="s">
        <v>404</v>
      </c>
      <c r="FL23" t="s">
        <v>404</v>
      </c>
      <c r="FM23" t="s">
        <v>404</v>
      </c>
      <c r="FN23" t="s">
        <v>404</v>
      </c>
      <c r="FO23" t="s">
        <v>404</v>
      </c>
      <c r="FP23" t="s">
        <v>404</v>
      </c>
      <c r="FQ23" t="s">
        <v>404</v>
      </c>
      <c r="FR23" t="s">
        <v>404</v>
      </c>
      <c r="FY23">
        <v>0</v>
      </c>
      <c r="GF23">
        <v>0</v>
      </c>
      <c r="GM23">
        <v>0</v>
      </c>
      <c r="GT23">
        <v>0</v>
      </c>
      <c r="HA23">
        <v>0</v>
      </c>
      <c r="HH23">
        <v>0</v>
      </c>
      <c r="HO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K23">
        <v>0</v>
      </c>
      <c r="IR23">
        <v>0</v>
      </c>
      <c r="IY23">
        <v>0</v>
      </c>
      <c r="JF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Z23">
        <v>1</v>
      </c>
      <c r="KA23">
        <v>3</v>
      </c>
      <c r="KB23">
        <v>1</v>
      </c>
      <c r="KC23" t="s">
        <v>407</v>
      </c>
      <c r="OF23" t="s">
        <v>408</v>
      </c>
      <c r="SI23" t="s">
        <v>409</v>
      </c>
      <c r="WL23" t="s">
        <v>410</v>
      </c>
      <c r="AAO23" t="s">
        <v>411</v>
      </c>
      <c r="AER23" t="s">
        <v>412</v>
      </c>
    </row>
    <row r="24" spans="1:824" x14ac:dyDescent="0.2">
      <c r="A24" t="s">
        <v>580</v>
      </c>
      <c r="B24" t="s">
        <v>396</v>
      </c>
      <c r="C24" t="s">
        <v>581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>
        <v>591</v>
      </c>
      <c r="W24" s="3">
        <v>43481.479166666664</v>
      </c>
      <c r="X24" t="s">
        <v>582</v>
      </c>
      <c r="Y24">
        <v>2019</v>
      </c>
      <c r="Z24" t="s">
        <v>583</v>
      </c>
      <c r="AA24" t="s">
        <v>581</v>
      </c>
      <c r="AB24" t="s">
        <v>513</v>
      </c>
      <c r="AC24" t="s">
        <v>584</v>
      </c>
      <c r="AD24">
        <v>4520606020</v>
      </c>
      <c r="AE24" t="s">
        <v>402</v>
      </c>
      <c r="AF24" t="s">
        <v>403</v>
      </c>
      <c r="AH24">
        <v>2</v>
      </c>
      <c r="AI24">
        <v>2</v>
      </c>
      <c r="AU24">
        <v>0</v>
      </c>
      <c r="BB24">
        <v>0</v>
      </c>
      <c r="BI24">
        <v>0</v>
      </c>
      <c r="BP24">
        <v>0</v>
      </c>
      <c r="BW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R24">
        <v>0</v>
      </c>
      <c r="CY24">
        <v>0</v>
      </c>
      <c r="DF24">
        <v>0</v>
      </c>
      <c r="DM24">
        <v>0</v>
      </c>
      <c r="DT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 t="s">
        <v>404</v>
      </c>
      <c r="EJ24" t="s">
        <v>404</v>
      </c>
      <c r="EK24" t="s">
        <v>404</v>
      </c>
      <c r="EL24" t="s">
        <v>404</v>
      </c>
      <c r="EM24" t="s">
        <v>404</v>
      </c>
      <c r="EN24" t="s">
        <v>404</v>
      </c>
      <c r="EO24" t="s">
        <v>404</v>
      </c>
      <c r="EP24" t="s">
        <v>404</v>
      </c>
      <c r="EQ24" t="s">
        <v>404</v>
      </c>
      <c r="ER24" t="s">
        <v>404</v>
      </c>
      <c r="ES24" t="s">
        <v>404</v>
      </c>
      <c r="ET24" t="s">
        <v>404</v>
      </c>
      <c r="EU24" t="s">
        <v>404</v>
      </c>
      <c r="EV24" t="s">
        <v>404</v>
      </c>
      <c r="EW24" t="s">
        <v>404</v>
      </c>
      <c r="EX24" t="s">
        <v>404</v>
      </c>
      <c r="EY24" t="s">
        <v>404</v>
      </c>
      <c r="EZ24" t="s">
        <v>404</v>
      </c>
      <c r="FA24" t="s">
        <v>404</v>
      </c>
      <c r="FB24" t="s">
        <v>404</v>
      </c>
      <c r="FC24" t="s">
        <v>404</v>
      </c>
      <c r="FD24" t="s">
        <v>404</v>
      </c>
      <c r="FE24" t="s">
        <v>404</v>
      </c>
      <c r="FF24" t="s">
        <v>404</v>
      </c>
      <c r="FG24" t="s">
        <v>404</v>
      </c>
      <c r="FH24" t="s">
        <v>404</v>
      </c>
      <c r="FI24" t="s">
        <v>404</v>
      </c>
      <c r="FJ24" t="s">
        <v>404</v>
      </c>
      <c r="FK24" t="s">
        <v>404</v>
      </c>
      <c r="FL24" t="s">
        <v>404</v>
      </c>
      <c r="FM24" t="s">
        <v>404</v>
      </c>
      <c r="FN24" t="s">
        <v>404</v>
      </c>
      <c r="FO24" t="s">
        <v>404</v>
      </c>
      <c r="FP24" t="s">
        <v>404</v>
      </c>
      <c r="FQ24" t="s">
        <v>404</v>
      </c>
      <c r="FR24" t="s">
        <v>404</v>
      </c>
      <c r="FY24">
        <v>0</v>
      </c>
      <c r="GF24">
        <v>0</v>
      </c>
      <c r="GM24">
        <v>0</v>
      </c>
      <c r="GT24">
        <v>0</v>
      </c>
      <c r="HA24">
        <v>0</v>
      </c>
      <c r="HH24">
        <v>0</v>
      </c>
      <c r="HO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K24">
        <v>0</v>
      </c>
      <c r="IR24">
        <v>0</v>
      </c>
      <c r="IY24">
        <v>0</v>
      </c>
      <c r="JF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Z24">
        <v>1</v>
      </c>
      <c r="KA24">
        <v>2</v>
      </c>
      <c r="KB24">
        <v>1</v>
      </c>
      <c r="KC24" t="s">
        <v>407</v>
      </c>
      <c r="OF24" t="s">
        <v>408</v>
      </c>
      <c r="SI24" t="s">
        <v>409</v>
      </c>
      <c r="WL24" t="s">
        <v>410</v>
      </c>
      <c r="AAO24" t="s">
        <v>411</v>
      </c>
      <c r="AER24" t="s">
        <v>412</v>
      </c>
    </row>
    <row r="25" spans="1:824" x14ac:dyDescent="0.2">
      <c r="A25" t="s">
        <v>585</v>
      </c>
      <c r="B25" t="s">
        <v>396</v>
      </c>
      <c r="C25" t="s">
        <v>586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>
        <v>549</v>
      </c>
      <c r="W25" s="3">
        <v>43518.679861111108</v>
      </c>
      <c r="X25" t="s">
        <v>587</v>
      </c>
      <c r="Y25">
        <v>2019</v>
      </c>
      <c r="Z25" t="s">
        <v>588</v>
      </c>
      <c r="AA25" t="s">
        <v>589</v>
      </c>
      <c r="AB25" t="s">
        <v>590</v>
      </c>
      <c r="AC25" t="s">
        <v>591</v>
      </c>
      <c r="AE25" t="s">
        <v>592</v>
      </c>
      <c r="AF25" t="s">
        <v>403</v>
      </c>
      <c r="AH25">
        <v>1</v>
      </c>
      <c r="AK25">
        <v>3127</v>
      </c>
      <c r="AL25">
        <v>3127</v>
      </c>
      <c r="AM25">
        <v>3127</v>
      </c>
      <c r="AN25">
        <v>3127</v>
      </c>
      <c r="AU25">
        <v>0</v>
      </c>
      <c r="AV25">
        <v>1686.5</v>
      </c>
      <c r="AW25">
        <v>1440.7</v>
      </c>
      <c r="BB25">
        <v>3127.2</v>
      </c>
      <c r="BI25">
        <v>0</v>
      </c>
      <c r="BP25">
        <v>0</v>
      </c>
      <c r="BW25">
        <v>0</v>
      </c>
      <c r="CD25">
        <v>0</v>
      </c>
      <c r="CE25">
        <v>1686.5</v>
      </c>
      <c r="CF25">
        <v>1440.7</v>
      </c>
      <c r="CG25">
        <v>0</v>
      </c>
      <c r="CH25">
        <v>0</v>
      </c>
      <c r="CI25">
        <v>0</v>
      </c>
      <c r="CJ25">
        <v>0</v>
      </c>
      <c r="CK25">
        <v>3127.2</v>
      </c>
      <c r="CR25">
        <v>0</v>
      </c>
      <c r="CS25" s="2"/>
      <c r="CT25" s="2"/>
      <c r="CU25" s="2"/>
      <c r="CV25" s="2"/>
      <c r="CW25" s="2"/>
      <c r="CX25" s="2"/>
      <c r="CY25" s="2"/>
      <c r="DF25">
        <v>0</v>
      </c>
      <c r="DM25">
        <v>0</v>
      </c>
      <c r="DT25">
        <v>0</v>
      </c>
      <c r="EA25">
        <v>0</v>
      </c>
      <c r="EB25" s="2"/>
      <c r="EC25" s="2"/>
      <c r="ED25">
        <v>0</v>
      </c>
      <c r="EE25">
        <v>0</v>
      </c>
      <c r="EF25">
        <v>0</v>
      </c>
      <c r="EG25">
        <v>0</v>
      </c>
      <c r="EH25" s="2"/>
      <c r="EI25" t="s">
        <v>404</v>
      </c>
      <c r="EJ25" t="s">
        <v>404</v>
      </c>
      <c r="EK25" t="s">
        <v>404</v>
      </c>
      <c r="EL25" t="s">
        <v>404</v>
      </c>
      <c r="EM25" t="s">
        <v>404</v>
      </c>
      <c r="EN25" t="s">
        <v>404</v>
      </c>
      <c r="EO25" t="s">
        <v>405</v>
      </c>
      <c r="EP25" t="s">
        <v>405</v>
      </c>
      <c r="EQ25" t="s">
        <v>404</v>
      </c>
      <c r="ER25" t="s">
        <v>404</v>
      </c>
      <c r="ES25" t="s">
        <v>404</v>
      </c>
      <c r="ET25" t="s">
        <v>404</v>
      </c>
      <c r="EU25" t="s">
        <v>404</v>
      </c>
      <c r="EV25" t="s">
        <v>404</v>
      </c>
      <c r="EW25" t="s">
        <v>404</v>
      </c>
      <c r="EX25" t="s">
        <v>404</v>
      </c>
      <c r="EY25" t="s">
        <v>404</v>
      </c>
      <c r="EZ25" t="s">
        <v>404</v>
      </c>
      <c r="FA25" t="s">
        <v>404</v>
      </c>
      <c r="FB25" t="s">
        <v>404</v>
      </c>
      <c r="FC25" t="s">
        <v>404</v>
      </c>
      <c r="FD25" t="s">
        <v>404</v>
      </c>
      <c r="FE25" t="s">
        <v>404</v>
      </c>
      <c r="FF25" t="s">
        <v>404</v>
      </c>
      <c r="FG25" t="s">
        <v>404</v>
      </c>
      <c r="FH25" t="s">
        <v>404</v>
      </c>
      <c r="FI25" t="s">
        <v>404</v>
      </c>
      <c r="FJ25" t="s">
        <v>404</v>
      </c>
      <c r="FK25" t="s">
        <v>404</v>
      </c>
      <c r="FL25" t="s">
        <v>404</v>
      </c>
      <c r="FM25" t="s">
        <v>404</v>
      </c>
      <c r="FN25" t="s">
        <v>404</v>
      </c>
      <c r="FO25" t="s">
        <v>404</v>
      </c>
      <c r="FP25" t="s">
        <v>404</v>
      </c>
      <c r="FQ25" t="s">
        <v>404</v>
      </c>
      <c r="FR25" t="s">
        <v>404</v>
      </c>
      <c r="FS25">
        <v>289.39999999999998</v>
      </c>
      <c r="FT25">
        <v>565.79999999999995</v>
      </c>
      <c r="FY25">
        <v>855.2</v>
      </c>
      <c r="FZ25">
        <v>478.3</v>
      </c>
      <c r="GA25">
        <v>874.9</v>
      </c>
      <c r="GF25">
        <v>1353.2</v>
      </c>
      <c r="GM25">
        <v>0</v>
      </c>
      <c r="GT25">
        <v>0</v>
      </c>
      <c r="GU25">
        <v>30</v>
      </c>
      <c r="HA25">
        <v>30</v>
      </c>
      <c r="HH25">
        <v>0</v>
      </c>
      <c r="HI25">
        <v>506.3</v>
      </c>
      <c r="HO25">
        <v>506.3</v>
      </c>
      <c r="HP25" t="s">
        <v>593</v>
      </c>
      <c r="HQ25">
        <v>382.5</v>
      </c>
      <c r="HW25">
        <v>382.5</v>
      </c>
      <c r="HX25">
        <v>1686.5</v>
      </c>
      <c r="HY25">
        <v>1440.7</v>
      </c>
      <c r="HZ25">
        <v>0</v>
      </c>
      <c r="IA25">
        <v>0</v>
      </c>
      <c r="IB25">
        <v>0</v>
      </c>
      <c r="IC25">
        <v>0</v>
      </c>
      <c r="ID25">
        <v>3127.2</v>
      </c>
      <c r="IF25">
        <v>217</v>
      </c>
      <c r="IK25">
        <v>217</v>
      </c>
      <c r="IL25">
        <v>1685.5</v>
      </c>
      <c r="IM25">
        <v>1223.7</v>
      </c>
      <c r="IR25">
        <v>2909.2</v>
      </c>
      <c r="IY25">
        <v>0</v>
      </c>
      <c r="JF25">
        <v>0</v>
      </c>
      <c r="JG25">
        <v>1</v>
      </c>
      <c r="JM25">
        <v>1</v>
      </c>
      <c r="JN25">
        <v>1686.5</v>
      </c>
      <c r="JO25">
        <v>1440.7</v>
      </c>
      <c r="JP25">
        <v>0</v>
      </c>
      <c r="JQ25">
        <v>0</v>
      </c>
      <c r="JR25">
        <v>0</v>
      </c>
      <c r="JS25">
        <v>0</v>
      </c>
      <c r="JT25">
        <v>3127.2</v>
      </c>
      <c r="JW25">
        <v>100</v>
      </c>
      <c r="JZ25">
        <v>1</v>
      </c>
      <c r="KA25">
        <v>3</v>
      </c>
      <c r="KB25">
        <v>1</v>
      </c>
      <c r="KC25" t="s">
        <v>407</v>
      </c>
      <c r="OF25" t="s">
        <v>408</v>
      </c>
      <c r="SI25" t="s">
        <v>409</v>
      </c>
      <c r="WL25" t="s">
        <v>410</v>
      </c>
      <c r="AAO25" t="s">
        <v>411</v>
      </c>
      <c r="AER25" t="s">
        <v>412</v>
      </c>
    </row>
    <row r="26" spans="1:824" x14ac:dyDescent="0.2">
      <c r="A26" t="s">
        <v>594</v>
      </c>
      <c r="B26" t="s">
        <v>414</v>
      </c>
      <c r="C26" t="s">
        <v>595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>
        <v>694</v>
      </c>
      <c r="W26" s="3">
        <v>43501.131944444445</v>
      </c>
      <c r="X26" t="s">
        <v>596</v>
      </c>
      <c r="Y26">
        <v>2019</v>
      </c>
      <c r="Z26" t="s">
        <v>597</v>
      </c>
      <c r="AA26" t="s">
        <v>598</v>
      </c>
      <c r="AB26" t="s">
        <v>599</v>
      </c>
      <c r="AC26" t="s">
        <v>600</v>
      </c>
      <c r="AD26" t="s">
        <v>601</v>
      </c>
      <c r="AE26" t="s">
        <v>420</v>
      </c>
      <c r="AF26" t="s">
        <v>421</v>
      </c>
      <c r="AH26">
        <v>2</v>
      </c>
      <c r="AI26">
        <v>6</v>
      </c>
      <c r="AJ26" t="s">
        <v>602</v>
      </c>
      <c r="AU26">
        <v>0</v>
      </c>
      <c r="BB26">
        <v>0</v>
      </c>
      <c r="BI26">
        <v>0</v>
      </c>
      <c r="BP26">
        <v>0</v>
      </c>
      <c r="BW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R26">
        <v>0</v>
      </c>
      <c r="CY26">
        <v>0</v>
      </c>
      <c r="DF26">
        <v>0</v>
      </c>
      <c r="DM26">
        <v>0</v>
      </c>
      <c r="DT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 t="s">
        <v>404</v>
      </c>
      <c r="EJ26" t="s">
        <v>404</v>
      </c>
      <c r="EK26" t="s">
        <v>404</v>
      </c>
      <c r="EL26" t="s">
        <v>404</v>
      </c>
      <c r="EM26" t="s">
        <v>404</v>
      </c>
      <c r="EN26" t="s">
        <v>404</v>
      </c>
      <c r="EO26" t="s">
        <v>404</v>
      </c>
      <c r="EP26" t="s">
        <v>404</v>
      </c>
      <c r="EQ26" t="s">
        <v>404</v>
      </c>
      <c r="ER26" t="s">
        <v>404</v>
      </c>
      <c r="ES26" t="s">
        <v>404</v>
      </c>
      <c r="ET26" t="s">
        <v>404</v>
      </c>
      <c r="EU26" t="s">
        <v>404</v>
      </c>
      <c r="EV26" t="s">
        <v>404</v>
      </c>
      <c r="EW26" t="s">
        <v>404</v>
      </c>
      <c r="EX26" t="s">
        <v>404</v>
      </c>
      <c r="EY26" t="s">
        <v>404</v>
      </c>
      <c r="EZ26" t="s">
        <v>404</v>
      </c>
      <c r="FA26" t="s">
        <v>404</v>
      </c>
      <c r="FB26" t="s">
        <v>404</v>
      </c>
      <c r="FC26" t="s">
        <v>404</v>
      </c>
      <c r="FD26" t="s">
        <v>404</v>
      </c>
      <c r="FE26" t="s">
        <v>404</v>
      </c>
      <c r="FF26" t="s">
        <v>404</v>
      </c>
      <c r="FG26" t="s">
        <v>404</v>
      </c>
      <c r="FH26" t="s">
        <v>404</v>
      </c>
      <c r="FI26" t="s">
        <v>404</v>
      </c>
      <c r="FJ26" t="s">
        <v>404</v>
      </c>
      <c r="FK26" t="s">
        <v>404</v>
      </c>
      <c r="FL26" t="s">
        <v>404</v>
      </c>
      <c r="FM26" t="s">
        <v>404</v>
      </c>
      <c r="FN26" t="s">
        <v>404</v>
      </c>
      <c r="FO26" t="s">
        <v>404</v>
      </c>
      <c r="FP26" t="s">
        <v>404</v>
      </c>
      <c r="FQ26" t="s">
        <v>404</v>
      </c>
      <c r="FR26" t="s">
        <v>404</v>
      </c>
      <c r="FY26">
        <v>0</v>
      </c>
      <c r="GF26">
        <v>0</v>
      </c>
      <c r="GM26">
        <v>0</v>
      </c>
      <c r="GT26">
        <v>0</v>
      </c>
      <c r="HA26">
        <v>0</v>
      </c>
      <c r="HH26">
        <v>0</v>
      </c>
      <c r="HO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K26">
        <v>0</v>
      </c>
      <c r="IR26">
        <v>0</v>
      </c>
      <c r="IY26">
        <v>0</v>
      </c>
      <c r="JF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Z26">
        <v>1</v>
      </c>
      <c r="KA26">
        <v>3</v>
      </c>
      <c r="KB26">
        <v>1</v>
      </c>
      <c r="KC26" t="s">
        <v>407</v>
      </c>
      <c r="OF26" t="s">
        <v>408</v>
      </c>
      <c r="SI26" t="s">
        <v>409</v>
      </c>
      <c r="WL26" t="s">
        <v>410</v>
      </c>
      <c r="AAO26" t="s">
        <v>411</v>
      </c>
      <c r="AER26" t="s">
        <v>412</v>
      </c>
    </row>
    <row r="27" spans="1:824" x14ac:dyDescent="0.2">
      <c r="A27" t="s">
        <v>603</v>
      </c>
      <c r="B27" t="s">
        <v>396</v>
      </c>
      <c r="C27" t="s">
        <v>604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>
        <v>556</v>
      </c>
      <c r="W27" s="3">
        <v>43475.388194444444</v>
      </c>
      <c r="X27" t="s">
        <v>605</v>
      </c>
      <c r="Y27">
        <v>2019</v>
      </c>
      <c r="Z27" t="s">
        <v>606</v>
      </c>
      <c r="AA27" t="s">
        <v>607</v>
      </c>
      <c r="AB27" t="s">
        <v>608</v>
      </c>
      <c r="AC27" t="s">
        <v>609</v>
      </c>
      <c r="AD27" t="s">
        <v>610</v>
      </c>
      <c r="AE27" t="s">
        <v>611</v>
      </c>
      <c r="AF27" t="s">
        <v>403</v>
      </c>
      <c r="AH27">
        <v>2</v>
      </c>
      <c r="AI27">
        <v>6</v>
      </c>
      <c r="AJ27" t="s">
        <v>612</v>
      </c>
      <c r="AU27">
        <v>0</v>
      </c>
      <c r="BB27">
        <v>0</v>
      </c>
      <c r="BI27">
        <v>0</v>
      </c>
      <c r="BP27">
        <v>0</v>
      </c>
      <c r="BW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R27">
        <v>0</v>
      </c>
      <c r="CY27">
        <v>0</v>
      </c>
      <c r="DF27">
        <v>0</v>
      </c>
      <c r="DM27">
        <v>0</v>
      </c>
      <c r="DT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 t="s">
        <v>404</v>
      </c>
      <c r="EJ27" t="s">
        <v>404</v>
      </c>
      <c r="EK27" t="s">
        <v>404</v>
      </c>
      <c r="EL27" t="s">
        <v>404</v>
      </c>
      <c r="EM27" t="s">
        <v>404</v>
      </c>
      <c r="EN27" t="s">
        <v>404</v>
      </c>
      <c r="EO27" t="s">
        <v>404</v>
      </c>
      <c r="EP27" t="s">
        <v>404</v>
      </c>
      <c r="EQ27" t="s">
        <v>404</v>
      </c>
      <c r="ER27" t="s">
        <v>404</v>
      </c>
      <c r="ES27" t="s">
        <v>404</v>
      </c>
      <c r="ET27" t="s">
        <v>404</v>
      </c>
      <c r="EU27" t="s">
        <v>404</v>
      </c>
      <c r="EV27" t="s">
        <v>404</v>
      </c>
      <c r="EW27" t="s">
        <v>404</v>
      </c>
      <c r="EX27" t="s">
        <v>404</v>
      </c>
      <c r="EY27" t="s">
        <v>404</v>
      </c>
      <c r="EZ27" t="s">
        <v>404</v>
      </c>
      <c r="FA27" t="s">
        <v>404</v>
      </c>
      <c r="FB27" t="s">
        <v>404</v>
      </c>
      <c r="FC27" t="s">
        <v>404</v>
      </c>
      <c r="FD27" t="s">
        <v>404</v>
      </c>
      <c r="FE27" t="s">
        <v>404</v>
      </c>
      <c r="FF27" t="s">
        <v>404</v>
      </c>
      <c r="FG27" t="s">
        <v>404</v>
      </c>
      <c r="FH27" t="s">
        <v>404</v>
      </c>
      <c r="FI27" t="s">
        <v>404</v>
      </c>
      <c r="FJ27" t="s">
        <v>404</v>
      </c>
      <c r="FK27" t="s">
        <v>404</v>
      </c>
      <c r="FL27" t="s">
        <v>404</v>
      </c>
      <c r="FM27" t="s">
        <v>404</v>
      </c>
      <c r="FN27" t="s">
        <v>404</v>
      </c>
      <c r="FO27" t="s">
        <v>404</v>
      </c>
      <c r="FP27" t="s">
        <v>404</v>
      </c>
      <c r="FQ27" t="s">
        <v>404</v>
      </c>
      <c r="FR27" t="s">
        <v>404</v>
      </c>
      <c r="FY27">
        <v>0</v>
      </c>
      <c r="GF27">
        <v>0</v>
      </c>
      <c r="GM27">
        <v>0</v>
      </c>
      <c r="GT27">
        <v>0</v>
      </c>
      <c r="HA27">
        <v>0</v>
      </c>
      <c r="HH27">
        <v>0</v>
      </c>
      <c r="HO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K27">
        <v>0</v>
      </c>
      <c r="IR27">
        <v>0</v>
      </c>
      <c r="IY27">
        <v>0</v>
      </c>
      <c r="JF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Z27">
        <v>2</v>
      </c>
      <c r="KA27">
        <v>2</v>
      </c>
      <c r="KB27">
        <v>2</v>
      </c>
      <c r="KC27" t="s">
        <v>407</v>
      </c>
      <c r="OF27" t="s">
        <v>408</v>
      </c>
      <c r="SI27" t="s">
        <v>409</v>
      </c>
      <c r="WL27" t="s">
        <v>410</v>
      </c>
      <c r="AAO27" t="s">
        <v>411</v>
      </c>
      <c r="AER27" t="s">
        <v>412</v>
      </c>
    </row>
    <row r="28" spans="1:824" x14ac:dyDescent="0.2">
      <c r="A28" t="s">
        <v>613</v>
      </c>
      <c r="B28" t="s">
        <v>414</v>
      </c>
      <c r="C28" t="s">
        <v>614</v>
      </c>
      <c r="P28" t="b">
        <v>0</v>
      </c>
      <c r="Q28" t="b">
        <v>1</v>
      </c>
      <c r="R28" t="b">
        <v>0</v>
      </c>
      <c r="S28" t="b">
        <v>0</v>
      </c>
      <c r="T28" t="b">
        <v>0</v>
      </c>
      <c r="U28" t="b">
        <v>0</v>
      </c>
      <c r="V28">
        <v>727</v>
      </c>
      <c r="W28" s="3">
        <v>43524.320138888892</v>
      </c>
      <c r="X28" t="s">
        <v>615</v>
      </c>
      <c r="Y28">
        <v>2019</v>
      </c>
      <c r="Z28" t="s">
        <v>616</v>
      </c>
      <c r="AA28" t="s">
        <v>617</v>
      </c>
      <c r="AB28" t="s">
        <v>528</v>
      </c>
      <c r="AC28" t="s">
        <v>618</v>
      </c>
      <c r="AD28">
        <v>8615821564358</v>
      </c>
      <c r="AE28" t="s">
        <v>619</v>
      </c>
      <c r="AF28" t="s">
        <v>548</v>
      </c>
      <c r="AH28">
        <v>1</v>
      </c>
      <c r="AK28">
        <v>1074</v>
      </c>
      <c r="AL28">
        <v>1074</v>
      </c>
      <c r="AM28">
        <v>1074</v>
      </c>
      <c r="AN28">
        <v>1074</v>
      </c>
      <c r="AO28">
        <v>1074</v>
      </c>
      <c r="AU28">
        <v>1074</v>
      </c>
      <c r="BB28">
        <v>0</v>
      </c>
      <c r="BI28">
        <v>0</v>
      </c>
      <c r="BP28">
        <v>0</v>
      </c>
      <c r="BW28">
        <v>0</v>
      </c>
      <c r="CD28">
        <v>0</v>
      </c>
      <c r="CE28">
        <v>1074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1074</v>
      </c>
      <c r="CL28">
        <v>1</v>
      </c>
      <c r="CR28">
        <v>1</v>
      </c>
      <c r="CY28">
        <v>0</v>
      </c>
      <c r="DF28">
        <v>0</v>
      </c>
      <c r="DM28">
        <v>0</v>
      </c>
      <c r="DT28">
        <v>0</v>
      </c>
      <c r="EA28">
        <v>0</v>
      </c>
      <c r="EB28">
        <v>1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1</v>
      </c>
      <c r="EI28" t="s">
        <v>405</v>
      </c>
      <c r="EJ28" t="s">
        <v>404</v>
      </c>
      <c r="EK28" t="s">
        <v>404</v>
      </c>
      <c r="EL28" t="s">
        <v>404</v>
      </c>
      <c r="EM28" t="s">
        <v>404</v>
      </c>
      <c r="EN28" t="s">
        <v>404</v>
      </c>
      <c r="EO28" t="s">
        <v>404</v>
      </c>
      <c r="EP28" t="s">
        <v>404</v>
      </c>
      <c r="EQ28" t="s">
        <v>404</v>
      </c>
      <c r="ER28" t="s">
        <v>404</v>
      </c>
      <c r="ES28" t="s">
        <v>404</v>
      </c>
      <c r="ET28" t="s">
        <v>404</v>
      </c>
      <c r="EU28" t="s">
        <v>404</v>
      </c>
      <c r="EV28" t="s">
        <v>404</v>
      </c>
      <c r="EW28" t="s">
        <v>404</v>
      </c>
      <c r="EX28" t="s">
        <v>404</v>
      </c>
      <c r="EY28" t="s">
        <v>404</v>
      </c>
      <c r="EZ28" t="s">
        <v>404</v>
      </c>
      <c r="FA28" t="s">
        <v>404</v>
      </c>
      <c r="FB28" t="s">
        <v>404</v>
      </c>
      <c r="FC28" t="s">
        <v>404</v>
      </c>
      <c r="FD28" t="s">
        <v>404</v>
      </c>
      <c r="FE28" t="s">
        <v>404</v>
      </c>
      <c r="FF28" t="s">
        <v>404</v>
      </c>
      <c r="FG28" t="s">
        <v>404</v>
      </c>
      <c r="FH28" t="s">
        <v>404</v>
      </c>
      <c r="FI28" t="s">
        <v>404</v>
      </c>
      <c r="FJ28" t="s">
        <v>404</v>
      </c>
      <c r="FK28" t="s">
        <v>404</v>
      </c>
      <c r="FL28" t="s">
        <v>404</v>
      </c>
      <c r="FM28" t="s">
        <v>404</v>
      </c>
      <c r="FN28" t="s">
        <v>404</v>
      </c>
      <c r="FO28" t="s">
        <v>404</v>
      </c>
      <c r="FP28" t="s">
        <v>404</v>
      </c>
      <c r="FQ28" t="s">
        <v>404</v>
      </c>
      <c r="FR28" t="s">
        <v>404</v>
      </c>
      <c r="FS28">
        <v>1074</v>
      </c>
      <c r="FY28">
        <v>1074</v>
      </c>
      <c r="GF28">
        <v>0</v>
      </c>
      <c r="GM28">
        <v>0</v>
      </c>
      <c r="GT28">
        <v>0</v>
      </c>
      <c r="HA28">
        <v>0</v>
      </c>
      <c r="HH28">
        <v>0</v>
      </c>
      <c r="HO28">
        <v>0</v>
      </c>
      <c r="HW28">
        <v>0</v>
      </c>
      <c r="HX28">
        <v>1074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1074</v>
      </c>
      <c r="IK28">
        <v>0</v>
      </c>
      <c r="IL28">
        <v>1074</v>
      </c>
      <c r="IR28">
        <v>1074</v>
      </c>
      <c r="IY28">
        <v>0</v>
      </c>
      <c r="JF28">
        <v>0</v>
      </c>
      <c r="JM28">
        <v>0</v>
      </c>
      <c r="JN28">
        <v>1074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1074</v>
      </c>
      <c r="JW28">
        <v>100</v>
      </c>
      <c r="JZ28">
        <v>1</v>
      </c>
      <c r="KA28">
        <v>3</v>
      </c>
      <c r="KB28">
        <v>1</v>
      </c>
      <c r="KC28" t="s">
        <v>407</v>
      </c>
      <c r="OF28" t="s">
        <v>408</v>
      </c>
      <c r="SI28" t="s">
        <v>409</v>
      </c>
      <c r="WL28" t="s">
        <v>410</v>
      </c>
      <c r="AAO28" t="s">
        <v>411</v>
      </c>
      <c r="AER28" t="s">
        <v>412</v>
      </c>
    </row>
    <row r="29" spans="1:824" x14ac:dyDescent="0.2">
      <c r="A29" t="s">
        <v>620</v>
      </c>
      <c r="B29" t="s">
        <v>396</v>
      </c>
      <c r="C29" t="s">
        <v>621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>
        <v>571</v>
      </c>
      <c r="W29" s="3">
        <v>43510.706250000003</v>
      </c>
      <c r="X29" t="s">
        <v>622</v>
      </c>
      <c r="Y29">
        <v>2019</v>
      </c>
      <c r="Z29" t="s">
        <v>623</v>
      </c>
      <c r="AA29" t="s">
        <v>624</v>
      </c>
      <c r="AB29" t="s">
        <v>625</v>
      </c>
      <c r="AC29" t="s">
        <v>626</v>
      </c>
      <c r="AD29">
        <v>34917817302</v>
      </c>
      <c r="AE29" t="s">
        <v>627</v>
      </c>
      <c r="AF29" t="s">
        <v>403</v>
      </c>
      <c r="AH29">
        <v>1</v>
      </c>
      <c r="AK29">
        <v>766</v>
      </c>
      <c r="AL29">
        <v>766</v>
      </c>
      <c r="AM29">
        <v>716</v>
      </c>
      <c r="AN29">
        <v>716</v>
      </c>
      <c r="AU29">
        <v>0</v>
      </c>
      <c r="AY29">
        <v>766</v>
      </c>
      <c r="BB29">
        <v>766</v>
      </c>
      <c r="BI29">
        <v>0</v>
      </c>
      <c r="BP29">
        <v>0</v>
      </c>
      <c r="BW29">
        <v>0</v>
      </c>
      <c r="CD29">
        <v>0</v>
      </c>
      <c r="CF29">
        <v>0</v>
      </c>
      <c r="CG29">
        <v>0</v>
      </c>
      <c r="CH29">
        <v>766</v>
      </c>
      <c r="CI29">
        <v>0</v>
      </c>
      <c r="CJ29">
        <v>0</v>
      </c>
      <c r="CK29">
        <v>766</v>
      </c>
      <c r="CR29">
        <v>0</v>
      </c>
      <c r="CV29">
        <v>1</v>
      </c>
      <c r="CY29">
        <v>1</v>
      </c>
      <c r="DF29">
        <v>0</v>
      </c>
      <c r="DM29">
        <v>0</v>
      </c>
      <c r="DT29">
        <v>0</v>
      </c>
      <c r="EA29">
        <v>0</v>
      </c>
      <c r="EB29">
        <v>0</v>
      </c>
      <c r="EC29">
        <v>0</v>
      </c>
      <c r="ED29">
        <v>0</v>
      </c>
      <c r="EE29">
        <v>1</v>
      </c>
      <c r="EF29">
        <v>0</v>
      </c>
      <c r="EG29">
        <v>0</v>
      </c>
      <c r="EH29">
        <v>1</v>
      </c>
      <c r="EI29" t="s">
        <v>404</v>
      </c>
      <c r="EJ29" t="s">
        <v>404</v>
      </c>
      <c r="EK29" t="s">
        <v>404</v>
      </c>
      <c r="EL29" t="s">
        <v>404</v>
      </c>
      <c r="EM29" t="s">
        <v>404</v>
      </c>
      <c r="EN29" t="s">
        <v>404</v>
      </c>
      <c r="EO29" t="s">
        <v>404</v>
      </c>
      <c r="EP29" t="s">
        <v>404</v>
      </c>
      <c r="EQ29" t="s">
        <v>404</v>
      </c>
      <c r="ER29" t="s">
        <v>405</v>
      </c>
      <c r="ES29" t="s">
        <v>404</v>
      </c>
      <c r="ET29" t="s">
        <v>404</v>
      </c>
      <c r="EU29" t="s">
        <v>404</v>
      </c>
      <c r="EV29" t="s">
        <v>404</v>
      </c>
      <c r="EW29" t="s">
        <v>404</v>
      </c>
      <c r="EX29" t="s">
        <v>404</v>
      </c>
      <c r="EY29" t="s">
        <v>404</v>
      </c>
      <c r="EZ29" t="s">
        <v>404</v>
      </c>
      <c r="FA29" t="s">
        <v>404</v>
      </c>
      <c r="FB29" t="s">
        <v>404</v>
      </c>
      <c r="FC29" t="s">
        <v>404</v>
      </c>
      <c r="FD29" t="s">
        <v>404</v>
      </c>
      <c r="FE29" t="s">
        <v>404</v>
      </c>
      <c r="FF29" t="s">
        <v>404</v>
      </c>
      <c r="FG29" t="s">
        <v>404</v>
      </c>
      <c r="FH29" t="s">
        <v>404</v>
      </c>
      <c r="FI29" t="s">
        <v>404</v>
      </c>
      <c r="FJ29" t="s">
        <v>404</v>
      </c>
      <c r="FK29" t="s">
        <v>404</v>
      </c>
      <c r="FL29" t="s">
        <v>404</v>
      </c>
      <c r="FM29" t="s">
        <v>404</v>
      </c>
      <c r="FN29" t="s">
        <v>404</v>
      </c>
      <c r="FO29" t="s">
        <v>404</v>
      </c>
      <c r="FP29" t="s">
        <v>404</v>
      </c>
      <c r="FQ29" t="s">
        <v>404</v>
      </c>
      <c r="FR29" t="s">
        <v>404</v>
      </c>
      <c r="FY29">
        <v>0</v>
      </c>
      <c r="GC29">
        <v>169</v>
      </c>
      <c r="GF29">
        <v>169</v>
      </c>
      <c r="GM29">
        <v>0</v>
      </c>
      <c r="GT29">
        <v>0</v>
      </c>
      <c r="HA29">
        <v>0</v>
      </c>
      <c r="HH29">
        <v>0</v>
      </c>
      <c r="HO29">
        <v>0</v>
      </c>
      <c r="HP29" t="s">
        <v>628</v>
      </c>
      <c r="HT29">
        <v>597</v>
      </c>
      <c r="HW29">
        <v>597</v>
      </c>
      <c r="HX29">
        <v>0</v>
      </c>
      <c r="HY29">
        <v>0</v>
      </c>
      <c r="HZ29">
        <v>0</v>
      </c>
      <c r="IA29">
        <v>766</v>
      </c>
      <c r="IB29">
        <v>0</v>
      </c>
      <c r="IC29">
        <v>0</v>
      </c>
      <c r="ID29">
        <v>766</v>
      </c>
      <c r="IK29">
        <v>0</v>
      </c>
      <c r="IO29">
        <v>550</v>
      </c>
      <c r="IR29">
        <v>550</v>
      </c>
      <c r="IV29">
        <v>216</v>
      </c>
      <c r="IY29">
        <v>216</v>
      </c>
      <c r="JF29">
        <v>0</v>
      </c>
      <c r="JM29">
        <v>0</v>
      </c>
      <c r="JN29">
        <v>0</v>
      </c>
      <c r="JO29">
        <v>0</v>
      </c>
      <c r="JP29">
        <v>0</v>
      </c>
      <c r="JQ29">
        <v>766</v>
      </c>
      <c r="JR29">
        <v>0</v>
      </c>
      <c r="JS29">
        <v>0</v>
      </c>
      <c r="JT29">
        <v>766</v>
      </c>
      <c r="JU29">
        <v>100</v>
      </c>
      <c r="JZ29">
        <v>1</v>
      </c>
      <c r="KA29">
        <v>3</v>
      </c>
      <c r="KB29">
        <v>2</v>
      </c>
      <c r="KC29" t="s">
        <v>407</v>
      </c>
      <c r="OF29" t="s">
        <v>408</v>
      </c>
      <c r="SI29" t="s">
        <v>409</v>
      </c>
      <c r="WL29" t="s">
        <v>410</v>
      </c>
      <c r="AAO29" t="s">
        <v>411</v>
      </c>
      <c r="AER29" t="s">
        <v>412</v>
      </c>
    </row>
    <row r="30" spans="1:824" x14ac:dyDescent="0.2">
      <c r="A30" t="s">
        <v>629</v>
      </c>
      <c r="B30" t="s">
        <v>396</v>
      </c>
      <c r="C30" t="s">
        <v>630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>
        <v>679</v>
      </c>
      <c r="W30" s="3">
        <v>43523.59375</v>
      </c>
      <c r="X30" t="s">
        <v>631</v>
      </c>
      <c r="Y30">
        <v>2019</v>
      </c>
      <c r="Z30" t="s">
        <v>632</v>
      </c>
      <c r="AA30" t="s">
        <v>630</v>
      </c>
      <c r="AB30" t="s">
        <v>450</v>
      </c>
      <c r="AC30" t="s">
        <v>633</v>
      </c>
      <c r="AD30" t="s">
        <v>634</v>
      </c>
      <c r="AE30" t="s">
        <v>491</v>
      </c>
      <c r="AF30" t="s">
        <v>492</v>
      </c>
      <c r="AH30">
        <v>2</v>
      </c>
      <c r="AI30">
        <v>6</v>
      </c>
      <c r="AJ30" t="s">
        <v>635</v>
      </c>
      <c r="AU30">
        <v>0</v>
      </c>
      <c r="BB30">
        <v>0</v>
      </c>
      <c r="BI30">
        <v>0</v>
      </c>
      <c r="BP30">
        <v>0</v>
      </c>
      <c r="BW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R30">
        <v>0</v>
      </c>
      <c r="CY30">
        <v>0</v>
      </c>
      <c r="DF30">
        <v>0</v>
      </c>
      <c r="DM30">
        <v>0</v>
      </c>
      <c r="DT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 t="s">
        <v>404</v>
      </c>
      <c r="EJ30" t="s">
        <v>404</v>
      </c>
      <c r="EK30" t="s">
        <v>404</v>
      </c>
      <c r="EL30" t="s">
        <v>404</v>
      </c>
      <c r="EM30" t="s">
        <v>404</v>
      </c>
      <c r="EN30" t="s">
        <v>404</v>
      </c>
      <c r="EO30" t="s">
        <v>404</v>
      </c>
      <c r="EP30" t="s">
        <v>404</v>
      </c>
      <c r="EQ30" t="s">
        <v>404</v>
      </c>
      <c r="ER30" t="s">
        <v>404</v>
      </c>
      <c r="ES30" t="s">
        <v>404</v>
      </c>
      <c r="ET30" t="s">
        <v>404</v>
      </c>
      <c r="EU30" t="s">
        <v>404</v>
      </c>
      <c r="EV30" t="s">
        <v>404</v>
      </c>
      <c r="EW30" t="s">
        <v>404</v>
      </c>
      <c r="EX30" t="s">
        <v>404</v>
      </c>
      <c r="EY30" t="s">
        <v>404</v>
      </c>
      <c r="EZ30" t="s">
        <v>404</v>
      </c>
      <c r="FA30" t="s">
        <v>404</v>
      </c>
      <c r="FB30" t="s">
        <v>404</v>
      </c>
      <c r="FC30" t="s">
        <v>404</v>
      </c>
      <c r="FD30" t="s">
        <v>404</v>
      </c>
      <c r="FE30" t="s">
        <v>404</v>
      </c>
      <c r="FF30" t="s">
        <v>404</v>
      </c>
      <c r="FG30" t="s">
        <v>404</v>
      </c>
      <c r="FH30" t="s">
        <v>404</v>
      </c>
      <c r="FI30" t="s">
        <v>404</v>
      </c>
      <c r="FJ30" t="s">
        <v>404</v>
      </c>
      <c r="FK30" t="s">
        <v>404</v>
      </c>
      <c r="FL30" t="s">
        <v>404</v>
      </c>
      <c r="FM30" t="s">
        <v>404</v>
      </c>
      <c r="FN30" t="s">
        <v>404</v>
      </c>
      <c r="FO30" t="s">
        <v>404</v>
      </c>
      <c r="FP30" t="s">
        <v>404</v>
      </c>
      <c r="FQ30" t="s">
        <v>404</v>
      </c>
      <c r="FR30" t="s">
        <v>404</v>
      </c>
      <c r="FY30">
        <v>0</v>
      </c>
      <c r="GF30">
        <v>0</v>
      </c>
      <c r="GM30">
        <v>0</v>
      </c>
      <c r="GT30">
        <v>0</v>
      </c>
      <c r="HA30">
        <v>0</v>
      </c>
      <c r="HH30">
        <v>0</v>
      </c>
      <c r="HO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K30">
        <v>0</v>
      </c>
      <c r="IR30">
        <v>0</v>
      </c>
      <c r="IY30">
        <v>0</v>
      </c>
      <c r="JF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Z30">
        <v>1</v>
      </c>
      <c r="KA30">
        <v>2</v>
      </c>
      <c r="KB30">
        <v>2</v>
      </c>
      <c r="KC30" t="s">
        <v>407</v>
      </c>
      <c r="OF30" t="s">
        <v>408</v>
      </c>
      <c r="SI30" t="s">
        <v>409</v>
      </c>
      <c r="WL30" t="s">
        <v>410</v>
      </c>
      <c r="AAO30" t="s">
        <v>411</v>
      </c>
      <c r="AER30" t="s">
        <v>412</v>
      </c>
    </row>
    <row r="31" spans="1:824" x14ac:dyDescent="0.2">
      <c r="A31" t="s">
        <v>636</v>
      </c>
      <c r="B31" t="s">
        <v>563</v>
      </c>
      <c r="C31" t="s">
        <v>637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b">
        <v>0</v>
      </c>
      <c r="V31">
        <v>722</v>
      </c>
      <c r="W31" s="3">
        <v>43516.323611111111</v>
      </c>
      <c r="X31" t="s">
        <v>638</v>
      </c>
      <c r="Y31">
        <v>2019</v>
      </c>
      <c r="Z31" t="s">
        <v>639</v>
      </c>
      <c r="AA31" t="s">
        <v>640</v>
      </c>
      <c r="AB31" t="s">
        <v>641</v>
      </c>
      <c r="AC31" t="s">
        <v>642</v>
      </c>
      <c r="AD31">
        <v>6177790490</v>
      </c>
      <c r="AE31" t="s">
        <v>571</v>
      </c>
      <c r="AF31" t="s">
        <v>538</v>
      </c>
      <c r="AH31">
        <v>1</v>
      </c>
      <c r="AK31">
        <v>568.91636600000004</v>
      </c>
      <c r="AL31">
        <v>0</v>
      </c>
      <c r="AM31">
        <v>567.91636600000004</v>
      </c>
      <c r="AN31">
        <v>0</v>
      </c>
      <c r="AU31">
        <v>0</v>
      </c>
      <c r="BB31">
        <v>0</v>
      </c>
      <c r="BC31">
        <v>568.91637000000003</v>
      </c>
      <c r="BI31">
        <v>568.91999999999996</v>
      </c>
      <c r="BP31">
        <v>0</v>
      </c>
      <c r="BW31">
        <v>0</v>
      </c>
      <c r="CD31">
        <v>0</v>
      </c>
      <c r="CE31">
        <v>568.91999999999996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568.91999999999996</v>
      </c>
      <c r="CR31">
        <v>0</v>
      </c>
      <c r="CY31">
        <v>0</v>
      </c>
      <c r="CZ31">
        <v>1</v>
      </c>
      <c r="DF31">
        <v>1</v>
      </c>
      <c r="DM31">
        <v>0</v>
      </c>
      <c r="DT31">
        <v>0</v>
      </c>
      <c r="EA31">
        <v>0</v>
      </c>
      <c r="EB31">
        <v>1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1</v>
      </c>
      <c r="EI31" t="s">
        <v>404</v>
      </c>
      <c r="EJ31" t="s">
        <v>404</v>
      </c>
      <c r="EK31" t="s">
        <v>404</v>
      </c>
      <c r="EL31" t="s">
        <v>404</v>
      </c>
      <c r="EM31" t="s">
        <v>404</v>
      </c>
      <c r="EN31" t="s">
        <v>404</v>
      </c>
      <c r="EO31" t="s">
        <v>404</v>
      </c>
      <c r="EP31" t="s">
        <v>404</v>
      </c>
      <c r="EQ31" t="s">
        <v>404</v>
      </c>
      <c r="ER31" t="s">
        <v>404</v>
      </c>
      <c r="ES31" t="s">
        <v>404</v>
      </c>
      <c r="ET31" t="s">
        <v>404</v>
      </c>
      <c r="EU31" t="s">
        <v>405</v>
      </c>
      <c r="EV31" t="s">
        <v>404</v>
      </c>
      <c r="EW31" t="s">
        <v>404</v>
      </c>
      <c r="EX31" t="s">
        <v>404</v>
      </c>
      <c r="EY31" t="s">
        <v>404</v>
      </c>
      <c r="EZ31" t="s">
        <v>404</v>
      </c>
      <c r="FA31" t="s">
        <v>404</v>
      </c>
      <c r="FB31" t="s">
        <v>404</v>
      </c>
      <c r="FC31" t="s">
        <v>404</v>
      </c>
      <c r="FD31" t="s">
        <v>404</v>
      </c>
      <c r="FE31" t="s">
        <v>404</v>
      </c>
      <c r="FF31" t="s">
        <v>404</v>
      </c>
      <c r="FG31" t="s">
        <v>404</v>
      </c>
      <c r="FH31" t="s">
        <v>404</v>
      </c>
      <c r="FI31" t="s">
        <v>404</v>
      </c>
      <c r="FJ31" t="s">
        <v>404</v>
      </c>
      <c r="FK31" t="s">
        <v>404</v>
      </c>
      <c r="FL31" t="s">
        <v>404</v>
      </c>
      <c r="FM31" t="s">
        <v>404</v>
      </c>
      <c r="FN31" t="s">
        <v>404</v>
      </c>
      <c r="FO31" t="s">
        <v>404</v>
      </c>
      <c r="FP31" t="s">
        <v>404</v>
      </c>
      <c r="FQ31" t="s">
        <v>404</v>
      </c>
      <c r="FR31" t="s">
        <v>404</v>
      </c>
      <c r="FS31">
        <v>537.32299999999998</v>
      </c>
      <c r="FY31">
        <v>537.32000000000005</v>
      </c>
      <c r="GF31">
        <v>0</v>
      </c>
      <c r="GM31">
        <v>0</v>
      </c>
      <c r="GT31">
        <v>0</v>
      </c>
      <c r="GU31">
        <v>11.65056</v>
      </c>
      <c r="HA31">
        <v>11.65</v>
      </c>
      <c r="HH31">
        <v>0</v>
      </c>
      <c r="HI31">
        <v>1.3049569999999999</v>
      </c>
      <c r="HO31">
        <v>1.3</v>
      </c>
      <c r="HP31" t="s">
        <v>643</v>
      </c>
      <c r="HQ31">
        <v>18.637844999999999</v>
      </c>
      <c r="HW31">
        <v>18.64</v>
      </c>
      <c r="HX31">
        <v>568.91999999999996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568.91999999999996</v>
      </c>
      <c r="IK31">
        <v>0</v>
      </c>
      <c r="IR31">
        <v>0</v>
      </c>
      <c r="IS31">
        <v>568.91637000000003</v>
      </c>
      <c r="IY31">
        <v>568.91999999999996</v>
      </c>
      <c r="JF31">
        <v>0</v>
      </c>
      <c r="JM31">
        <v>0</v>
      </c>
      <c r="JN31">
        <v>568.91999999999996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568.91999999999996</v>
      </c>
      <c r="JW31">
        <v>100</v>
      </c>
      <c r="JZ31">
        <v>3</v>
      </c>
      <c r="KA31">
        <v>3</v>
      </c>
      <c r="KB31">
        <v>1</v>
      </c>
      <c r="KC31" t="s">
        <v>407</v>
      </c>
      <c r="OF31" t="s">
        <v>408</v>
      </c>
      <c r="SI31" t="s">
        <v>409</v>
      </c>
      <c r="WL31" t="s">
        <v>410</v>
      </c>
      <c r="AAO31" t="s">
        <v>411</v>
      </c>
      <c r="AER31" t="s">
        <v>412</v>
      </c>
    </row>
    <row r="32" spans="1:824" x14ac:dyDescent="0.2">
      <c r="A32" t="s">
        <v>644</v>
      </c>
      <c r="B32" t="s">
        <v>396</v>
      </c>
      <c r="C32" t="s">
        <v>645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>
        <v>766</v>
      </c>
      <c r="W32" s="3">
        <v>43516.418749999997</v>
      </c>
      <c r="X32" t="s">
        <v>646</v>
      </c>
      <c r="Y32">
        <v>2019</v>
      </c>
      <c r="Z32" t="s">
        <v>647</v>
      </c>
      <c r="AA32" t="s">
        <v>645</v>
      </c>
      <c r="AB32" t="s">
        <v>450</v>
      </c>
      <c r="AC32" t="s">
        <v>648</v>
      </c>
      <c r="AE32" t="s">
        <v>491</v>
      </c>
      <c r="AF32" t="s">
        <v>403</v>
      </c>
      <c r="AH32">
        <v>1</v>
      </c>
      <c r="AK32">
        <v>350</v>
      </c>
      <c r="AL32">
        <v>350</v>
      </c>
      <c r="AM32">
        <v>180</v>
      </c>
      <c r="AN32">
        <v>180</v>
      </c>
      <c r="AU32">
        <v>0</v>
      </c>
      <c r="AV32">
        <v>350</v>
      </c>
      <c r="BB32">
        <v>350</v>
      </c>
      <c r="BI32">
        <v>0</v>
      </c>
      <c r="BP32">
        <v>0</v>
      </c>
      <c r="BW32">
        <v>0</v>
      </c>
      <c r="CD32">
        <v>0</v>
      </c>
      <c r="CE32">
        <v>350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350</v>
      </c>
      <c r="CR32">
        <v>0</v>
      </c>
      <c r="CS32">
        <v>2</v>
      </c>
      <c r="CY32">
        <v>2</v>
      </c>
      <c r="DF32">
        <v>0</v>
      </c>
      <c r="DM32">
        <v>0</v>
      </c>
      <c r="DT32">
        <v>0</v>
      </c>
      <c r="EA32">
        <v>0</v>
      </c>
      <c r="EB32">
        <v>2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2</v>
      </c>
      <c r="EI32" t="s">
        <v>404</v>
      </c>
      <c r="EJ32" t="s">
        <v>404</v>
      </c>
      <c r="EK32" t="s">
        <v>404</v>
      </c>
      <c r="EL32" t="s">
        <v>404</v>
      </c>
      <c r="EM32" t="s">
        <v>404</v>
      </c>
      <c r="EN32" t="s">
        <v>404</v>
      </c>
      <c r="EO32" t="s">
        <v>405</v>
      </c>
      <c r="EP32" t="s">
        <v>404</v>
      </c>
      <c r="EQ32" t="s">
        <v>404</v>
      </c>
      <c r="ER32" t="s">
        <v>404</v>
      </c>
      <c r="ES32" t="s">
        <v>404</v>
      </c>
      <c r="ET32" t="s">
        <v>404</v>
      </c>
      <c r="EU32" t="s">
        <v>404</v>
      </c>
      <c r="EV32" t="s">
        <v>404</v>
      </c>
      <c r="EW32" t="s">
        <v>404</v>
      </c>
      <c r="EX32" t="s">
        <v>404</v>
      </c>
      <c r="EY32" t="s">
        <v>404</v>
      </c>
      <c r="EZ32" t="s">
        <v>404</v>
      </c>
      <c r="FA32" t="s">
        <v>404</v>
      </c>
      <c r="FB32" t="s">
        <v>404</v>
      </c>
      <c r="FC32" t="s">
        <v>404</v>
      </c>
      <c r="FD32" t="s">
        <v>404</v>
      </c>
      <c r="FE32" t="s">
        <v>404</v>
      </c>
      <c r="FF32" t="s">
        <v>404</v>
      </c>
      <c r="FG32" t="s">
        <v>404</v>
      </c>
      <c r="FH32" t="s">
        <v>404</v>
      </c>
      <c r="FI32" t="s">
        <v>404</v>
      </c>
      <c r="FJ32" t="s">
        <v>404</v>
      </c>
      <c r="FK32" t="s">
        <v>404</v>
      </c>
      <c r="FL32" t="s">
        <v>404</v>
      </c>
      <c r="FM32" t="s">
        <v>404</v>
      </c>
      <c r="FN32" t="s">
        <v>404</v>
      </c>
      <c r="FO32" t="s">
        <v>404</v>
      </c>
      <c r="FP32" t="s">
        <v>404</v>
      </c>
      <c r="FQ32" t="s">
        <v>404</v>
      </c>
      <c r="FR32" t="s">
        <v>404</v>
      </c>
      <c r="FS32">
        <v>300</v>
      </c>
      <c r="FY32">
        <v>300</v>
      </c>
      <c r="GF32">
        <v>0</v>
      </c>
      <c r="GM32">
        <v>0</v>
      </c>
      <c r="GT32">
        <v>0</v>
      </c>
      <c r="HA32">
        <v>0</v>
      </c>
      <c r="HH32">
        <v>0</v>
      </c>
      <c r="HI32">
        <v>50</v>
      </c>
      <c r="HO32">
        <v>50</v>
      </c>
      <c r="HW32">
        <v>0</v>
      </c>
      <c r="HX32">
        <v>350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350</v>
      </c>
      <c r="IE32">
        <v>50</v>
      </c>
      <c r="IK32">
        <v>50</v>
      </c>
      <c r="IR32">
        <v>0</v>
      </c>
      <c r="IY32">
        <v>0</v>
      </c>
      <c r="JF32">
        <v>0</v>
      </c>
      <c r="JG32">
        <v>300</v>
      </c>
      <c r="JM32">
        <v>300</v>
      </c>
      <c r="JN32">
        <v>350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350</v>
      </c>
      <c r="JU32">
        <v>85</v>
      </c>
      <c r="JW32">
        <v>15</v>
      </c>
      <c r="JZ32">
        <v>1</v>
      </c>
      <c r="KA32">
        <v>3</v>
      </c>
      <c r="KB32">
        <v>1</v>
      </c>
      <c r="KC32" t="s">
        <v>407</v>
      </c>
      <c r="OF32" t="s">
        <v>408</v>
      </c>
      <c r="SI32" t="s">
        <v>409</v>
      </c>
      <c r="WL32" t="s">
        <v>410</v>
      </c>
      <c r="AAO32" t="s">
        <v>411</v>
      </c>
      <c r="AER32" t="s">
        <v>412</v>
      </c>
    </row>
    <row r="33" spans="1:824" x14ac:dyDescent="0.2">
      <c r="A33" t="s">
        <v>649</v>
      </c>
      <c r="B33" t="s">
        <v>396</v>
      </c>
      <c r="C33" t="s">
        <v>650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>
        <v>704</v>
      </c>
      <c r="W33" s="3">
        <v>43504.59097222222</v>
      </c>
      <c r="X33" t="s">
        <v>651</v>
      </c>
      <c r="Y33">
        <v>2019</v>
      </c>
      <c r="Z33" t="s">
        <v>652</v>
      </c>
      <c r="AA33" t="s">
        <v>650</v>
      </c>
      <c r="AB33" t="s">
        <v>653</v>
      </c>
      <c r="AC33" t="s">
        <v>654</v>
      </c>
      <c r="AD33" t="s">
        <v>655</v>
      </c>
      <c r="AE33" t="s">
        <v>444</v>
      </c>
      <c r="AF33" t="s">
        <v>403</v>
      </c>
      <c r="AH33">
        <v>1</v>
      </c>
      <c r="AK33">
        <v>245</v>
      </c>
      <c r="AL33">
        <v>245</v>
      </c>
      <c r="AM33">
        <v>245</v>
      </c>
      <c r="AN33">
        <v>245</v>
      </c>
      <c r="AU33">
        <v>0</v>
      </c>
      <c r="AV33">
        <v>5</v>
      </c>
      <c r="AX33">
        <v>240</v>
      </c>
      <c r="BB33">
        <v>245</v>
      </c>
      <c r="BI33">
        <v>0</v>
      </c>
      <c r="BP33">
        <v>0</v>
      </c>
      <c r="BW33">
        <v>0</v>
      </c>
      <c r="CD33">
        <v>0</v>
      </c>
      <c r="CE33">
        <v>5</v>
      </c>
      <c r="CF33">
        <v>0</v>
      </c>
      <c r="CG33">
        <v>240</v>
      </c>
      <c r="CH33">
        <v>0</v>
      </c>
      <c r="CI33">
        <v>0</v>
      </c>
      <c r="CJ33">
        <v>0</v>
      </c>
      <c r="CK33">
        <v>245</v>
      </c>
      <c r="CR33">
        <v>0</v>
      </c>
      <c r="CS33">
        <v>1</v>
      </c>
      <c r="CU33">
        <v>1</v>
      </c>
      <c r="CY33">
        <v>2</v>
      </c>
      <c r="DF33">
        <v>0</v>
      </c>
      <c r="DM33">
        <v>0</v>
      </c>
      <c r="DT33">
        <v>0</v>
      </c>
      <c r="EA33">
        <v>0</v>
      </c>
      <c r="EB33">
        <v>1</v>
      </c>
      <c r="EC33">
        <v>0</v>
      </c>
      <c r="ED33">
        <v>1</v>
      </c>
      <c r="EE33">
        <v>0</v>
      </c>
      <c r="EF33">
        <v>0</v>
      </c>
      <c r="EG33">
        <v>0</v>
      </c>
      <c r="EH33">
        <v>2</v>
      </c>
      <c r="EI33" t="s">
        <v>404</v>
      </c>
      <c r="EJ33" t="s">
        <v>404</v>
      </c>
      <c r="EK33" t="s">
        <v>404</v>
      </c>
      <c r="EL33" t="s">
        <v>404</v>
      </c>
      <c r="EM33" t="s">
        <v>404</v>
      </c>
      <c r="EN33" t="s">
        <v>404</v>
      </c>
      <c r="EO33" t="s">
        <v>405</v>
      </c>
      <c r="EP33" t="s">
        <v>404</v>
      </c>
      <c r="EQ33" t="s">
        <v>405</v>
      </c>
      <c r="ER33" t="s">
        <v>404</v>
      </c>
      <c r="ES33" t="s">
        <v>404</v>
      </c>
      <c r="ET33" t="s">
        <v>404</v>
      </c>
      <c r="EU33" t="s">
        <v>404</v>
      </c>
      <c r="EV33" t="s">
        <v>404</v>
      </c>
      <c r="EW33" t="s">
        <v>404</v>
      </c>
      <c r="EX33" t="s">
        <v>404</v>
      </c>
      <c r="EY33" t="s">
        <v>404</v>
      </c>
      <c r="EZ33" t="s">
        <v>404</v>
      </c>
      <c r="FA33" t="s">
        <v>404</v>
      </c>
      <c r="FB33" t="s">
        <v>404</v>
      </c>
      <c r="FC33" t="s">
        <v>404</v>
      </c>
      <c r="FD33" t="s">
        <v>404</v>
      </c>
      <c r="FE33" t="s">
        <v>404</v>
      </c>
      <c r="FF33" t="s">
        <v>404</v>
      </c>
      <c r="FG33" t="s">
        <v>404</v>
      </c>
      <c r="FH33" t="s">
        <v>404</v>
      </c>
      <c r="FI33" t="s">
        <v>404</v>
      </c>
      <c r="FJ33" t="s">
        <v>404</v>
      </c>
      <c r="FK33" t="s">
        <v>404</v>
      </c>
      <c r="FL33" t="s">
        <v>404</v>
      </c>
      <c r="FM33" t="s">
        <v>404</v>
      </c>
      <c r="FN33" t="s">
        <v>404</v>
      </c>
      <c r="FO33" t="s">
        <v>404</v>
      </c>
      <c r="FP33" t="s">
        <v>404</v>
      </c>
      <c r="FQ33" t="s">
        <v>404</v>
      </c>
      <c r="FR33" t="s">
        <v>404</v>
      </c>
      <c r="FU33">
        <v>240</v>
      </c>
      <c r="FY33">
        <v>240</v>
      </c>
      <c r="GF33">
        <v>0</v>
      </c>
      <c r="GM33">
        <v>0</v>
      </c>
      <c r="GT33">
        <v>0</v>
      </c>
      <c r="HA33">
        <v>0</v>
      </c>
      <c r="HH33">
        <v>0</v>
      </c>
      <c r="HI33">
        <v>5</v>
      </c>
      <c r="HO33">
        <v>5</v>
      </c>
      <c r="HW33">
        <v>0</v>
      </c>
      <c r="HX33">
        <v>5</v>
      </c>
      <c r="HY33">
        <v>0</v>
      </c>
      <c r="HZ33">
        <v>240</v>
      </c>
      <c r="IA33">
        <v>0</v>
      </c>
      <c r="IB33">
        <v>0</v>
      </c>
      <c r="IC33">
        <v>0</v>
      </c>
      <c r="ID33">
        <v>245</v>
      </c>
      <c r="IK33">
        <v>0</v>
      </c>
      <c r="IL33">
        <v>5</v>
      </c>
      <c r="IN33">
        <v>240</v>
      </c>
      <c r="IR33">
        <v>245</v>
      </c>
      <c r="IY33">
        <v>0</v>
      </c>
      <c r="JF33">
        <v>0</v>
      </c>
      <c r="JM33">
        <v>0</v>
      </c>
      <c r="JN33">
        <v>5</v>
      </c>
      <c r="JO33">
        <v>0</v>
      </c>
      <c r="JP33">
        <v>240</v>
      </c>
      <c r="JQ33">
        <v>0</v>
      </c>
      <c r="JR33">
        <v>0</v>
      </c>
      <c r="JS33">
        <v>0</v>
      </c>
      <c r="JT33">
        <v>245</v>
      </c>
      <c r="JU33">
        <v>0</v>
      </c>
      <c r="JV33">
        <v>90</v>
      </c>
      <c r="JW33">
        <v>10</v>
      </c>
      <c r="JZ33">
        <v>1</v>
      </c>
      <c r="KA33">
        <v>3</v>
      </c>
      <c r="KB33">
        <v>1</v>
      </c>
      <c r="KC33" t="s">
        <v>407</v>
      </c>
      <c r="OF33" t="s">
        <v>408</v>
      </c>
      <c r="SI33" t="s">
        <v>409</v>
      </c>
      <c r="WL33" t="s">
        <v>410</v>
      </c>
      <c r="AAO33" t="s">
        <v>411</v>
      </c>
      <c r="AER33" t="s">
        <v>412</v>
      </c>
    </row>
    <row r="34" spans="1:824" x14ac:dyDescent="0.2">
      <c r="A34" t="s">
        <v>656</v>
      </c>
      <c r="B34" t="s">
        <v>414</v>
      </c>
      <c r="C34" t="s">
        <v>657</v>
      </c>
      <c r="P34" t="b">
        <v>1</v>
      </c>
      <c r="Q34" t="b">
        <v>1</v>
      </c>
      <c r="R34" t="b">
        <v>1</v>
      </c>
      <c r="S34" t="b">
        <v>0</v>
      </c>
      <c r="T34" t="b">
        <v>0</v>
      </c>
      <c r="U34" t="b">
        <v>0</v>
      </c>
      <c r="V34">
        <v>698</v>
      </c>
      <c r="W34" s="3">
        <v>43508.227083333331</v>
      </c>
      <c r="X34" t="s">
        <v>658</v>
      </c>
      <c r="Y34">
        <v>2019</v>
      </c>
      <c r="Z34" t="s">
        <v>659</v>
      </c>
      <c r="AA34" t="s">
        <v>660</v>
      </c>
      <c r="AB34" t="s">
        <v>661</v>
      </c>
      <c r="AC34" t="s">
        <v>662</v>
      </c>
      <c r="AD34">
        <v>61477309659</v>
      </c>
      <c r="AE34" t="s">
        <v>420</v>
      </c>
      <c r="AF34" t="s">
        <v>421</v>
      </c>
      <c r="AH34">
        <v>1</v>
      </c>
      <c r="AK34">
        <v>2389</v>
      </c>
      <c r="AL34">
        <v>2389</v>
      </c>
      <c r="AM34">
        <v>2075</v>
      </c>
      <c r="AN34">
        <v>2075</v>
      </c>
      <c r="AO34">
        <v>513</v>
      </c>
      <c r="AP34">
        <v>747</v>
      </c>
      <c r="AR34">
        <v>37.700000000000003</v>
      </c>
      <c r="AU34">
        <v>1297.7</v>
      </c>
      <c r="AY34">
        <v>618</v>
      </c>
      <c r="BB34">
        <v>618</v>
      </c>
      <c r="BF34">
        <v>474</v>
      </c>
      <c r="BI34">
        <v>474</v>
      </c>
      <c r="BP34">
        <v>0</v>
      </c>
      <c r="BW34">
        <v>0</v>
      </c>
      <c r="CD34">
        <v>0</v>
      </c>
      <c r="CE34">
        <v>513</v>
      </c>
      <c r="CF34">
        <v>747</v>
      </c>
      <c r="CG34">
        <v>0</v>
      </c>
      <c r="CH34">
        <v>1129.7</v>
      </c>
      <c r="CI34">
        <v>0</v>
      </c>
      <c r="CJ34">
        <v>0</v>
      </c>
      <c r="CK34">
        <v>2389.6999999999998</v>
      </c>
      <c r="CL34">
        <v>2</v>
      </c>
      <c r="CM34">
        <v>5</v>
      </c>
      <c r="CO34">
        <v>1</v>
      </c>
      <c r="CR34">
        <v>8</v>
      </c>
      <c r="CV34">
        <v>1</v>
      </c>
      <c r="CY34">
        <v>1</v>
      </c>
      <c r="DC34">
        <v>2</v>
      </c>
      <c r="DF34">
        <v>2</v>
      </c>
      <c r="DM34">
        <v>0</v>
      </c>
      <c r="DT34">
        <v>0</v>
      </c>
      <c r="EA34">
        <v>0</v>
      </c>
      <c r="EB34">
        <v>2</v>
      </c>
      <c r="EC34">
        <v>5</v>
      </c>
      <c r="ED34">
        <v>0</v>
      </c>
      <c r="EE34">
        <v>4</v>
      </c>
      <c r="EF34">
        <v>0</v>
      </c>
      <c r="EG34">
        <v>0</v>
      </c>
      <c r="EH34">
        <v>11</v>
      </c>
      <c r="EI34" t="s">
        <v>405</v>
      </c>
      <c r="EJ34" t="s">
        <v>405</v>
      </c>
      <c r="EK34" t="s">
        <v>404</v>
      </c>
      <c r="EL34" t="s">
        <v>405</v>
      </c>
      <c r="EM34" t="s">
        <v>404</v>
      </c>
      <c r="EN34" t="s">
        <v>404</v>
      </c>
      <c r="EO34" t="s">
        <v>404</v>
      </c>
      <c r="EP34" t="s">
        <v>404</v>
      </c>
      <c r="EQ34" t="s">
        <v>404</v>
      </c>
      <c r="ER34" t="s">
        <v>405</v>
      </c>
      <c r="ES34" t="s">
        <v>404</v>
      </c>
      <c r="ET34" t="s">
        <v>404</v>
      </c>
      <c r="EU34" t="s">
        <v>404</v>
      </c>
      <c r="EV34" t="s">
        <v>404</v>
      </c>
      <c r="EW34" t="s">
        <v>404</v>
      </c>
      <c r="EX34" t="s">
        <v>405</v>
      </c>
      <c r="EY34" t="s">
        <v>404</v>
      </c>
      <c r="EZ34" t="s">
        <v>404</v>
      </c>
      <c r="FA34" t="s">
        <v>404</v>
      </c>
      <c r="FB34" t="s">
        <v>404</v>
      </c>
      <c r="FC34" t="s">
        <v>404</v>
      </c>
      <c r="FD34" t="s">
        <v>404</v>
      </c>
      <c r="FE34" t="s">
        <v>404</v>
      </c>
      <c r="FF34" t="s">
        <v>404</v>
      </c>
      <c r="FG34" t="s">
        <v>404</v>
      </c>
      <c r="FH34" t="s">
        <v>404</v>
      </c>
      <c r="FI34" t="s">
        <v>404</v>
      </c>
      <c r="FJ34" t="s">
        <v>404</v>
      </c>
      <c r="FK34" t="s">
        <v>404</v>
      </c>
      <c r="FL34" t="s">
        <v>404</v>
      </c>
      <c r="FM34" t="s">
        <v>404</v>
      </c>
      <c r="FN34" t="s">
        <v>404</v>
      </c>
      <c r="FO34" t="s">
        <v>404</v>
      </c>
      <c r="FP34" t="s">
        <v>404</v>
      </c>
      <c r="FQ34" t="s">
        <v>404</v>
      </c>
      <c r="FR34" t="s">
        <v>404</v>
      </c>
      <c r="FS34">
        <v>203</v>
      </c>
      <c r="FT34">
        <v>332</v>
      </c>
      <c r="FV34">
        <v>832</v>
      </c>
      <c r="FY34">
        <v>1367</v>
      </c>
      <c r="GF34">
        <v>0</v>
      </c>
      <c r="GG34">
        <v>210</v>
      </c>
      <c r="GH34">
        <v>415</v>
      </c>
      <c r="GJ34">
        <v>37.700000000000003</v>
      </c>
      <c r="GM34">
        <v>662.7</v>
      </c>
      <c r="GN34">
        <v>100</v>
      </c>
      <c r="GT34">
        <v>100</v>
      </c>
      <c r="HA34">
        <v>0</v>
      </c>
      <c r="HH34">
        <v>0</v>
      </c>
      <c r="HO34">
        <v>0</v>
      </c>
      <c r="HP34" t="s">
        <v>663</v>
      </c>
      <c r="HT34">
        <v>260</v>
      </c>
      <c r="HW34">
        <v>260</v>
      </c>
      <c r="HX34">
        <v>513</v>
      </c>
      <c r="HY34">
        <v>747</v>
      </c>
      <c r="HZ34">
        <v>0</v>
      </c>
      <c r="IA34">
        <v>1129.7</v>
      </c>
      <c r="IB34">
        <v>0</v>
      </c>
      <c r="IC34">
        <v>0</v>
      </c>
      <c r="ID34">
        <v>2389.6999999999998</v>
      </c>
      <c r="IE34">
        <v>513</v>
      </c>
      <c r="IF34">
        <v>747</v>
      </c>
      <c r="IH34">
        <v>511.7</v>
      </c>
      <c r="IK34">
        <v>1771.7</v>
      </c>
      <c r="IR34">
        <v>0</v>
      </c>
      <c r="IV34">
        <v>618</v>
      </c>
      <c r="IY34">
        <v>618</v>
      </c>
      <c r="JF34">
        <v>0</v>
      </c>
      <c r="JM34">
        <v>0</v>
      </c>
      <c r="JN34">
        <v>513</v>
      </c>
      <c r="JO34">
        <v>747</v>
      </c>
      <c r="JP34">
        <v>0</v>
      </c>
      <c r="JQ34">
        <v>1129.7</v>
      </c>
      <c r="JR34">
        <v>0</v>
      </c>
      <c r="JS34">
        <v>0</v>
      </c>
      <c r="JT34">
        <v>2389.6999999999998</v>
      </c>
      <c r="JU34">
        <v>0</v>
      </c>
      <c r="JW34">
        <v>100</v>
      </c>
      <c r="JZ34">
        <v>1</v>
      </c>
      <c r="KA34">
        <v>3</v>
      </c>
      <c r="KB34">
        <v>1</v>
      </c>
      <c r="KC34" t="s">
        <v>407</v>
      </c>
      <c r="OF34" t="s">
        <v>408</v>
      </c>
      <c r="SI34" t="s">
        <v>409</v>
      </c>
      <c r="WL34" t="s">
        <v>410</v>
      </c>
      <c r="AAO34" t="s">
        <v>411</v>
      </c>
      <c r="AER34" t="s">
        <v>412</v>
      </c>
    </row>
    <row r="35" spans="1:824" x14ac:dyDescent="0.2">
      <c r="A35" t="s">
        <v>664</v>
      </c>
      <c r="B35" t="s">
        <v>414</v>
      </c>
      <c r="C35" t="s">
        <v>665</v>
      </c>
      <c r="P35" t="b">
        <v>0</v>
      </c>
      <c r="Q35" t="b">
        <v>1</v>
      </c>
      <c r="R35" t="b">
        <v>0</v>
      </c>
      <c r="S35" t="b">
        <v>0</v>
      </c>
      <c r="T35" t="b">
        <v>0</v>
      </c>
      <c r="U35" t="b">
        <v>0</v>
      </c>
      <c r="V35">
        <v>714</v>
      </c>
      <c r="W35" s="3">
        <v>43511.28125</v>
      </c>
      <c r="X35" t="s">
        <v>666</v>
      </c>
      <c r="Y35">
        <v>2019</v>
      </c>
      <c r="Z35" t="s">
        <v>667</v>
      </c>
      <c r="AA35" t="s">
        <v>668</v>
      </c>
      <c r="AB35" t="s">
        <v>669</v>
      </c>
      <c r="AC35" t="s">
        <v>670</v>
      </c>
      <c r="AD35" t="s">
        <v>671</v>
      </c>
      <c r="AE35" t="s">
        <v>537</v>
      </c>
      <c r="AF35" t="s">
        <v>538</v>
      </c>
      <c r="AH35">
        <v>1</v>
      </c>
      <c r="AL35">
        <v>1000</v>
      </c>
      <c r="AN35">
        <v>160</v>
      </c>
      <c r="AO35">
        <v>1000</v>
      </c>
      <c r="AU35">
        <v>1000</v>
      </c>
      <c r="BB35">
        <v>0</v>
      </c>
      <c r="BI35">
        <v>0</v>
      </c>
      <c r="BP35">
        <v>0</v>
      </c>
      <c r="BW35">
        <v>0</v>
      </c>
      <c r="CD35">
        <v>0</v>
      </c>
      <c r="CE35">
        <v>1000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1000</v>
      </c>
      <c r="CL35">
        <v>1</v>
      </c>
      <c r="CR35">
        <v>1</v>
      </c>
      <c r="CY35">
        <v>0</v>
      </c>
      <c r="DF35">
        <v>0</v>
      </c>
      <c r="DM35">
        <v>0</v>
      </c>
      <c r="DT35">
        <v>0</v>
      </c>
      <c r="EA35">
        <v>0</v>
      </c>
      <c r="EB35">
        <v>1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1</v>
      </c>
      <c r="EI35" t="s">
        <v>405</v>
      </c>
      <c r="EJ35" t="s">
        <v>404</v>
      </c>
      <c r="EK35" t="s">
        <v>404</v>
      </c>
      <c r="EL35" t="s">
        <v>404</v>
      </c>
      <c r="EM35" t="s">
        <v>404</v>
      </c>
      <c r="EN35" t="s">
        <v>404</v>
      </c>
      <c r="EO35" t="s">
        <v>404</v>
      </c>
      <c r="EP35" t="s">
        <v>404</v>
      </c>
      <c r="EQ35" t="s">
        <v>404</v>
      </c>
      <c r="ER35" t="s">
        <v>404</v>
      </c>
      <c r="ES35" t="s">
        <v>404</v>
      </c>
      <c r="ET35" t="s">
        <v>404</v>
      </c>
      <c r="EU35" t="s">
        <v>404</v>
      </c>
      <c r="EV35" t="s">
        <v>404</v>
      </c>
      <c r="EW35" t="s">
        <v>404</v>
      </c>
      <c r="EX35" t="s">
        <v>404</v>
      </c>
      <c r="EY35" t="s">
        <v>404</v>
      </c>
      <c r="EZ35" t="s">
        <v>404</v>
      </c>
      <c r="FA35" t="s">
        <v>404</v>
      </c>
      <c r="FB35" t="s">
        <v>404</v>
      </c>
      <c r="FC35" t="s">
        <v>404</v>
      </c>
      <c r="FD35" t="s">
        <v>404</v>
      </c>
      <c r="FE35" t="s">
        <v>404</v>
      </c>
      <c r="FF35" t="s">
        <v>404</v>
      </c>
      <c r="FG35" t="s">
        <v>404</v>
      </c>
      <c r="FH35" t="s">
        <v>404</v>
      </c>
      <c r="FI35" t="s">
        <v>404</v>
      </c>
      <c r="FJ35" t="s">
        <v>404</v>
      </c>
      <c r="FK35" t="s">
        <v>404</v>
      </c>
      <c r="FL35" t="s">
        <v>404</v>
      </c>
      <c r="FM35" t="s">
        <v>404</v>
      </c>
      <c r="FN35" t="s">
        <v>404</v>
      </c>
      <c r="FO35" t="s">
        <v>404</v>
      </c>
      <c r="FP35" t="s">
        <v>404</v>
      </c>
      <c r="FQ35" t="s">
        <v>404</v>
      </c>
      <c r="FR35" t="s">
        <v>404</v>
      </c>
      <c r="FY35">
        <v>0</v>
      </c>
      <c r="GF35">
        <v>0</v>
      </c>
      <c r="GM35">
        <v>0</v>
      </c>
      <c r="GT35">
        <v>0</v>
      </c>
      <c r="HA35">
        <v>0</v>
      </c>
      <c r="HH35">
        <v>0</v>
      </c>
      <c r="HO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K35">
        <v>0</v>
      </c>
      <c r="IR35">
        <v>0</v>
      </c>
      <c r="IY35">
        <v>0</v>
      </c>
      <c r="JF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Z35">
        <v>1</v>
      </c>
      <c r="KA35">
        <v>2</v>
      </c>
      <c r="KB35">
        <v>1</v>
      </c>
      <c r="KC35" t="s">
        <v>407</v>
      </c>
      <c r="OF35" t="s">
        <v>408</v>
      </c>
      <c r="SI35" t="s">
        <v>409</v>
      </c>
      <c r="WL35" t="s">
        <v>410</v>
      </c>
      <c r="AAO35" t="s">
        <v>411</v>
      </c>
      <c r="AER35" t="s">
        <v>412</v>
      </c>
    </row>
    <row r="36" spans="1:824" x14ac:dyDescent="0.2">
      <c r="A36" t="s">
        <v>672</v>
      </c>
      <c r="B36" t="s">
        <v>396</v>
      </c>
      <c r="C36" t="s">
        <v>673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>
        <v>782</v>
      </c>
      <c r="W36" s="3">
        <v>43528.575694444444</v>
      </c>
      <c r="X36" t="s">
        <v>674</v>
      </c>
      <c r="Y36">
        <v>2019</v>
      </c>
      <c r="Z36" t="s">
        <v>675</v>
      </c>
      <c r="AA36" t="s">
        <v>676</v>
      </c>
      <c r="AB36" t="s">
        <v>677</v>
      </c>
      <c r="AC36" t="s">
        <v>678</v>
      </c>
      <c r="AD36" t="s">
        <v>679</v>
      </c>
      <c r="AE36" t="s">
        <v>444</v>
      </c>
      <c r="AF36" t="s">
        <v>403</v>
      </c>
      <c r="AH36">
        <v>1</v>
      </c>
      <c r="AK36">
        <v>2283</v>
      </c>
      <c r="AL36">
        <v>2283</v>
      </c>
      <c r="AM36">
        <v>1619.2</v>
      </c>
      <c r="AN36">
        <v>1619.2</v>
      </c>
      <c r="AU36">
        <v>0</v>
      </c>
      <c r="AV36">
        <v>777</v>
      </c>
      <c r="AW36">
        <v>1463</v>
      </c>
      <c r="AY36">
        <v>43</v>
      </c>
      <c r="BB36">
        <v>2283</v>
      </c>
      <c r="BI36">
        <v>0</v>
      </c>
      <c r="BP36">
        <v>0</v>
      </c>
      <c r="BW36">
        <v>0</v>
      </c>
      <c r="CD36">
        <v>0</v>
      </c>
      <c r="CE36">
        <v>777</v>
      </c>
      <c r="CF36">
        <v>1463</v>
      </c>
      <c r="CG36">
        <v>0</v>
      </c>
      <c r="CH36">
        <v>43</v>
      </c>
      <c r="CI36">
        <v>0</v>
      </c>
      <c r="CJ36">
        <v>0</v>
      </c>
      <c r="CK36">
        <v>2283</v>
      </c>
      <c r="CR36">
        <v>0</v>
      </c>
      <c r="CS36">
        <v>11</v>
      </c>
      <c r="CT36">
        <v>15</v>
      </c>
      <c r="CV36">
        <v>2</v>
      </c>
      <c r="CY36">
        <v>28</v>
      </c>
      <c r="DF36">
        <v>0</v>
      </c>
      <c r="DM36">
        <v>0</v>
      </c>
      <c r="DT36">
        <v>0</v>
      </c>
      <c r="EA36">
        <v>0</v>
      </c>
      <c r="EB36">
        <v>11</v>
      </c>
      <c r="EC36">
        <v>15</v>
      </c>
      <c r="ED36">
        <v>0</v>
      </c>
      <c r="EE36">
        <v>2</v>
      </c>
      <c r="EF36">
        <v>0</v>
      </c>
      <c r="EG36">
        <v>0</v>
      </c>
      <c r="EH36">
        <v>28</v>
      </c>
      <c r="EI36" t="s">
        <v>404</v>
      </c>
      <c r="EJ36" t="s">
        <v>404</v>
      </c>
      <c r="EK36" t="s">
        <v>404</v>
      </c>
      <c r="EL36" t="s">
        <v>404</v>
      </c>
      <c r="EM36" t="s">
        <v>404</v>
      </c>
      <c r="EN36" t="s">
        <v>404</v>
      </c>
      <c r="EO36" t="s">
        <v>405</v>
      </c>
      <c r="EP36" t="s">
        <v>405</v>
      </c>
      <c r="EQ36" t="s">
        <v>404</v>
      </c>
      <c r="ER36" t="s">
        <v>405</v>
      </c>
      <c r="ES36" t="s">
        <v>404</v>
      </c>
      <c r="ET36" t="s">
        <v>404</v>
      </c>
      <c r="EU36" t="s">
        <v>404</v>
      </c>
      <c r="EV36" t="s">
        <v>404</v>
      </c>
      <c r="EW36" t="s">
        <v>404</v>
      </c>
      <c r="EX36" t="s">
        <v>404</v>
      </c>
      <c r="EY36" t="s">
        <v>404</v>
      </c>
      <c r="EZ36" t="s">
        <v>404</v>
      </c>
      <c r="FA36" t="s">
        <v>404</v>
      </c>
      <c r="FB36" t="s">
        <v>404</v>
      </c>
      <c r="FC36" t="s">
        <v>404</v>
      </c>
      <c r="FD36" t="s">
        <v>404</v>
      </c>
      <c r="FE36" t="s">
        <v>404</v>
      </c>
      <c r="FF36" t="s">
        <v>404</v>
      </c>
      <c r="FG36" t="s">
        <v>404</v>
      </c>
      <c r="FH36" t="s">
        <v>404</v>
      </c>
      <c r="FI36" t="s">
        <v>404</v>
      </c>
      <c r="FJ36" t="s">
        <v>404</v>
      </c>
      <c r="FK36" t="s">
        <v>404</v>
      </c>
      <c r="FL36" t="s">
        <v>404</v>
      </c>
      <c r="FM36" t="s">
        <v>404</v>
      </c>
      <c r="FN36" t="s">
        <v>404</v>
      </c>
      <c r="FO36" t="s">
        <v>404</v>
      </c>
      <c r="FP36" t="s">
        <v>404</v>
      </c>
      <c r="FQ36" t="s">
        <v>404</v>
      </c>
      <c r="FR36" t="s">
        <v>404</v>
      </c>
      <c r="FS36">
        <v>168</v>
      </c>
      <c r="FT36">
        <v>346</v>
      </c>
      <c r="FY36">
        <v>514</v>
      </c>
      <c r="FZ36">
        <v>45</v>
      </c>
      <c r="GA36">
        <v>530</v>
      </c>
      <c r="GC36">
        <v>43</v>
      </c>
      <c r="GF36">
        <v>618</v>
      </c>
      <c r="GG36">
        <v>75</v>
      </c>
      <c r="GH36">
        <v>200</v>
      </c>
      <c r="GM36">
        <v>275</v>
      </c>
      <c r="GT36">
        <v>0</v>
      </c>
      <c r="GU36">
        <v>1</v>
      </c>
      <c r="GV36">
        <v>57</v>
      </c>
      <c r="HA36">
        <v>58</v>
      </c>
      <c r="HH36">
        <v>0</v>
      </c>
      <c r="HO36">
        <v>0</v>
      </c>
      <c r="HP36" t="s">
        <v>680</v>
      </c>
      <c r="HQ36">
        <v>488</v>
      </c>
      <c r="HR36">
        <v>330</v>
      </c>
      <c r="HW36">
        <v>818</v>
      </c>
      <c r="HX36">
        <v>777</v>
      </c>
      <c r="HY36">
        <v>1463</v>
      </c>
      <c r="HZ36">
        <v>0</v>
      </c>
      <c r="IA36">
        <v>43</v>
      </c>
      <c r="IB36">
        <v>0</v>
      </c>
      <c r="IC36">
        <v>0</v>
      </c>
      <c r="ID36">
        <v>2283</v>
      </c>
      <c r="IE36">
        <v>75</v>
      </c>
      <c r="IF36">
        <v>890</v>
      </c>
      <c r="IK36">
        <v>965</v>
      </c>
      <c r="IL36">
        <v>700</v>
      </c>
      <c r="IM36">
        <v>573</v>
      </c>
      <c r="IO36">
        <v>43</v>
      </c>
      <c r="IR36">
        <v>1316</v>
      </c>
      <c r="IY36">
        <v>0</v>
      </c>
      <c r="IZ36">
        <v>2</v>
      </c>
      <c r="JF36">
        <v>2</v>
      </c>
      <c r="JM36">
        <v>0</v>
      </c>
      <c r="JN36">
        <v>777</v>
      </c>
      <c r="JO36">
        <v>1463</v>
      </c>
      <c r="JP36">
        <v>0</v>
      </c>
      <c r="JQ36">
        <v>43</v>
      </c>
      <c r="JR36">
        <v>0</v>
      </c>
      <c r="JS36">
        <v>0</v>
      </c>
      <c r="JT36">
        <v>2283</v>
      </c>
      <c r="JW36">
        <v>100</v>
      </c>
      <c r="JZ36">
        <v>1</v>
      </c>
      <c r="KA36">
        <v>3</v>
      </c>
      <c r="KB36">
        <v>1</v>
      </c>
      <c r="KC36" t="s">
        <v>407</v>
      </c>
      <c r="OF36" t="s">
        <v>408</v>
      </c>
      <c r="SI36" t="s">
        <v>409</v>
      </c>
      <c r="WL36" t="s">
        <v>410</v>
      </c>
      <c r="AAO36" t="s">
        <v>411</v>
      </c>
      <c r="AER36" t="s">
        <v>412</v>
      </c>
    </row>
    <row r="37" spans="1:824" x14ac:dyDescent="0.2">
      <c r="A37" t="s">
        <v>681</v>
      </c>
      <c r="B37" t="s">
        <v>563</v>
      </c>
      <c r="C37" t="s">
        <v>682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>
        <v>598</v>
      </c>
      <c r="W37" s="3">
        <v>43511.940972222219</v>
      </c>
      <c r="X37" t="s">
        <v>683</v>
      </c>
      <c r="Y37">
        <v>2019</v>
      </c>
      <c r="Z37" t="s">
        <v>684</v>
      </c>
      <c r="AA37" t="s">
        <v>682</v>
      </c>
      <c r="AB37" t="s">
        <v>685</v>
      </c>
      <c r="AC37" t="s">
        <v>686</v>
      </c>
      <c r="AD37">
        <v>9163793800</v>
      </c>
      <c r="AE37" t="s">
        <v>571</v>
      </c>
      <c r="AF37" t="s">
        <v>538</v>
      </c>
      <c r="AH37">
        <v>2</v>
      </c>
      <c r="AI37">
        <v>6</v>
      </c>
      <c r="AJ37" t="s">
        <v>687</v>
      </c>
      <c r="AU37">
        <v>0</v>
      </c>
      <c r="BB37">
        <v>0</v>
      </c>
      <c r="BI37">
        <v>0</v>
      </c>
      <c r="BP37">
        <v>0</v>
      </c>
      <c r="BW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R37">
        <v>0</v>
      </c>
      <c r="CY37">
        <v>0</v>
      </c>
      <c r="DF37">
        <v>0</v>
      </c>
      <c r="DM37">
        <v>0</v>
      </c>
      <c r="DT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 t="s">
        <v>404</v>
      </c>
      <c r="EJ37" t="s">
        <v>404</v>
      </c>
      <c r="EK37" t="s">
        <v>404</v>
      </c>
      <c r="EL37" t="s">
        <v>404</v>
      </c>
      <c r="EM37" t="s">
        <v>404</v>
      </c>
      <c r="EN37" t="s">
        <v>404</v>
      </c>
      <c r="EO37" t="s">
        <v>404</v>
      </c>
      <c r="EP37" t="s">
        <v>404</v>
      </c>
      <c r="EQ37" t="s">
        <v>404</v>
      </c>
      <c r="ER37" t="s">
        <v>404</v>
      </c>
      <c r="ES37" t="s">
        <v>404</v>
      </c>
      <c r="ET37" t="s">
        <v>404</v>
      </c>
      <c r="EU37" t="s">
        <v>404</v>
      </c>
      <c r="EV37" t="s">
        <v>404</v>
      </c>
      <c r="EW37" t="s">
        <v>404</v>
      </c>
      <c r="EX37" t="s">
        <v>404</v>
      </c>
      <c r="EY37" t="s">
        <v>404</v>
      </c>
      <c r="EZ37" t="s">
        <v>404</v>
      </c>
      <c r="FA37" t="s">
        <v>404</v>
      </c>
      <c r="FB37" t="s">
        <v>404</v>
      </c>
      <c r="FC37" t="s">
        <v>404</v>
      </c>
      <c r="FD37" t="s">
        <v>404</v>
      </c>
      <c r="FE37" t="s">
        <v>404</v>
      </c>
      <c r="FF37" t="s">
        <v>404</v>
      </c>
      <c r="FG37" t="s">
        <v>404</v>
      </c>
      <c r="FH37" t="s">
        <v>404</v>
      </c>
      <c r="FI37" t="s">
        <v>404</v>
      </c>
      <c r="FJ37" t="s">
        <v>404</v>
      </c>
      <c r="FK37" t="s">
        <v>404</v>
      </c>
      <c r="FL37" t="s">
        <v>404</v>
      </c>
      <c r="FM37" t="s">
        <v>404</v>
      </c>
      <c r="FN37" t="s">
        <v>404</v>
      </c>
      <c r="FO37" t="s">
        <v>404</v>
      </c>
      <c r="FP37" t="s">
        <v>404</v>
      </c>
      <c r="FQ37" t="s">
        <v>404</v>
      </c>
      <c r="FR37" t="s">
        <v>404</v>
      </c>
      <c r="FY37">
        <v>0</v>
      </c>
      <c r="GF37">
        <v>0</v>
      </c>
      <c r="GM37">
        <v>0</v>
      </c>
      <c r="GT37">
        <v>0</v>
      </c>
      <c r="HA37">
        <v>0</v>
      </c>
      <c r="HH37">
        <v>0</v>
      </c>
      <c r="HO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K37">
        <v>0</v>
      </c>
      <c r="IR37">
        <v>0</v>
      </c>
      <c r="IY37">
        <v>0</v>
      </c>
      <c r="JF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Z37">
        <v>1</v>
      </c>
      <c r="KA37">
        <v>3</v>
      </c>
      <c r="KB37">
        <v>1</v>
      </c>
      <c r="KC37" t="s">
        <v>407</v>
      </c>
      <c r="OF37" t="s">
        <v>408</v>
      </c>
      <c r="SI37" t="s">
        <v>409</v>
      </c>
      <c r="WL37" t="s">
        <v>410</v>
      </c>
      <c r="AAO37" t="s">
        <v>411</v>
      </c>
      <c r="AER37" t="s">
        <v>412</v>
      </c>
    </row>
    <row r="38" spans="1:824" x14ac:dyDescent="0.2">
      <c r="A38" t="s">
        <v>688</v>
      </c>
      <c r="B38" t="s">
        <v>396</v>
      </c>
      <c r="C38" t="s">
        <v>689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>
        <v>566</v>
      </c>
      <c r="W38" s="3">
        <v>43483.443749999999</v>
      </c>
      <c r="X38" t="s">
        <v>690</v>
      </c>
      <c r="Y38">
        <v>2019</v>
      </c>
      <c r="Z38" t="s">
        <v>691</v>
      </c>
      <c r="AA38" t="s">
        <v>692</v>
      </c>
      <c r="AB38" t="s">
        <v>693</v>
      </c>
      <c r="AC38" t="s">
        <v>694</v>
      </c>
      <c r="AD38">
        <v>2032017772</v>
      </c>
      <c r="AE38" t="s">
        <v>491</v>
      </c>
      <c r="AF38" t="s">
        <v>492</v>
      </c>
      <c r="AH38">
        <v>1</v>
      </c>
      <c r="AK38">
        <v>725.5</v>
      </c>
      <c r="AL38">
        <v>725.5</v>
      </c>
      <c r="AM38">
        <v>336</v>
      </c>
      <c r="AN38">
        <v>336</v>
      </c>
      <c r="AU38">
        <v>0</v>
      </c>
      <c r="BA38">
        <v>725.5</v>
      </c>
      <c r="BB38">
        <v>725.5</v>
      </c>
      <c r="BI38">
        <v>0</v>
      </c>
      <c r="BP38">
        <v>0</v>
      </c>
      <c r="BW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725.5</v>
      </c>
      <c r="CK38">
        <v>725.5</v>
      </c>
      <c r="CR38">
        <v>0</v>
      </c>
      <c r="CX38">
        <v>2</v>
      </c>
      <c r="CY38">
        <v>2</v>
      </c>
      <c r="DF38">
        <v>0</v>
      </c>
      <c r="DM38">
        <v>0</v>
      </c>
      <c r="DT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2</v>
      </c>
      <c r="EH38">
        <v>2</v>
      </c>
      <c r="EI38" t="s">
        <v>404</v>
      </c>
      <c r="EJ38" t="s">
        <v>404</v>
      </c>
      <c r="EK38" t="s">
        <v>404</v>
      </c>
      <c r="EL38" t="s">
        <v>404</v>
      </c>
      <c r="EM38" t="s">
        <v>404</v>
      </c>
      <c r="EN38" t="s">
        <v>404</v>
      </c>
      <c r="EO38" t="s">
        <v>404</v>
      </c>
      <c r="EP38" t="s">
        <v>404</v>
      </c>
      <c r="EQ38" t="s">
        <v>404</v>
      </c>
      <c r="ER38" t="s">
        <v>404</v>
      </c>
      <c r="ES38" t="s">
        <v>404</v>
      </c>
      <c r="ET38" t="s">
        <v>405</v>
      </c>
      <c r="EU38" t="s">
        <v>404</v>
      </c>
      <c r="EV38" t="s">
        <v>404</v>
      </c>
      <c r="EW38" t="s">
        <v>404</v>
      </c>
      <c r="EX38" t="s">
        <v>404</v>
      </c>
      <c r="EY38" t="s">
        <v>404</v>
      </c>
      <c r="EZ38" t="s">
        <v>404</v>
      </c>
      <c r="FA38" t="s">
        <v>404</v>
      </c>
      <c r="FB38" t="s">
        <v>404</v>
      </c>
      <c r="FC38" t="s">
        <v>404</v>
      </c>
      <c r="FD38" t="s">
        <v>404</v>
      </c>
      <c r="FE38" t="s">
        <v>404</v>
      </c>
      <c r="FF38" t="s">
        <v>404</v>
      </c>
      <c r="FG38" t="s">
        <v>404</v>
      </c>
      <c r="FH38" t="s">
        <v>404</v>
      </c>
      <c r="FI38" t="s">
        <v>404</v>
      </c>
      <c r="FJ38" t="s">
        <v>404</v>
      </c>
      <c r="FK38" t="s">
        <v>404</v>
      </c>
      <c r="FL38" t="s">
        <v>404</v>
      </c>
      <c r="FM38" t="s">
        <v>404</v>
      </c>
      <c r="FN38" t="s">
        <v>404</v>
      </c>
      <c r="FO38" t="s">
        <v>404</v>
      </c>
      <c r="FP38" t="s">
        <v>404</v>
      </c>
      <c r="FQ38" t="s">
        <v>404</v>
      </c>
      <c r="FR38" t="s">
        <v>404</v>
      </c>
      <c r="FX38">
        <v>396.5</v>
      </c>
      <c r="FY38">
        <v>396.5</v>
      </c>
      <c r="GE38">
        <v>143.5</v>
      </c>
      <c r="GF38">
        <v>143.5</v>
      </c>
      <c r="GL38">
        <v>100</v>
      </c>
      <c r="GM38">
        <v>100</v>
      </c>
      <c r="GT38">
        <v>0</v>
      </c>
      <c r="HA38">
        <v>0</v>
      </c>
      <c r="HG38">
        <v>78</v>
      </c>
      <c r="HH38">
        <v>78</v>
      </c>
      <c r="HO38">
        <v>0</v>
      </c>
      <c r="HV38">
        <v>7.5</v>
      </c>
      <c r="HW38">
        <v>7.5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725.5</v>
      </c>
      <c r="ID38">
        <v>725.5</v>
      </c>
      <c r="IJ38">
        <v>7.5</v>
      </c>
      <c r="IK38">
        <v>7.5</v>
      </c>
      <c r="IQ38">
        <v>718</v>
      </c>
      <c r="IR38">
        <v>718</v>
      </c>
      <c r="IY38">
        <v>0</v>
      </c>
      <c r="JF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725.5</v>
      </c>
      <c r="JT38">
        <v>725.5</v>
      </c>
      <c r="JW38">
        <v>100</v>
      </c>
      <c r="JZ38">
        <v>3</v>
      </c>
      <c r="KA38">
        <v>3</v>
      </c>
      <c r="KB38">
        <v>1</v>
      </c>
      <c r="KC38" t="s">
        <v>407</v>
      </c>
      <c r="OF38" t="s">
        <v>408</v>
      </c>
      <c r="SI38" t="s">
        <v>409</v>
      </c>
      <c r="WL38" t="s">
        <v>410</v>
      </c>
      <c r="AAO38" t="s">
        <v>411</v>
      </c>
      <c r="AER38" t="s">
        <v>412</v>
      </c>
    </row>
    <row r="39" spans="1:824" x14ac:dyDescent="0.2">
      <c r="A39" t="s">
        <v>695</v>
      </c>
      <c r="B39" t="s">
        <v>414</v>
      </c>
      <c r="C39" t="s">
        <v>696</v>
      </c>
      <c r="D39" t="s">
        <v>697</v>
      </c>
      <c r="E39" s="3">
        <v>43524.232638888891</v>
      </c>
      <c r="H39" t="s">
        <v>502</v>
      </c>
      <c r="I39" s="3">
        <v>43524.23333333333</v>
      </c>
      <c r="P39" t="b">
        <v>0</v>
      </c>
      <c r="Q39" t="b">
        <v>1</v>
      </c>
      <c r="R39" t="b">
        <v>1</v>
      </c>
      <c r="S39" t="b">
        <v>0</v>
      </c>
      <c r="T39" t="b">
        <v>0</v>
      </c>
      <c r="U39" t="b">
        <v>0</v>
      </c>
      <c r="V39">
        <v>818</v>
      </c>
      <c r="W39" s="3">
        <v>43524.230555555558</v>
      </c>
      <c r="X39" t="s">
        <v>698</v>
      </c>
      <c r="Y39">
        <v>2019</v>
      </c>
      <c r="Z39" t="s">
        <v>699</v>
      </c>
      <c r="AA39" t="s">
        <v>700</v>
      </c>
      <c r="AB39" t="s">
        <v>701</v>
      </c>
      <c r="AC39" t="s">
        <v>702</v>
      </c>
      <c r="AD39">
        <f>81-3-3246-3332</f>
        <v>-6500</v>
      </c>
      <c r="AE39" t="s">
        <v>703</v>
      </c>
      <c r="AF39" t="s">
        <v>704</v>
      </c>
      <c r="AH39">
        <v>1</v>
      </c>
      <c r="AK39">
        <v>23302</v>
      </c>
      <c r="AL39">
        <v>23302</v>
      </c>
      <c r="AM39">
        <v>23302</v>
      </c>
      <c r="AN39">
        <v>23302</v>
      </c>
      <c r="AO39">
        <v>0</v>
      </c>
      <c r="AP39">
        <v>14400</v>
      </c>
      <c r="AQ39">
        <v>0</v>
      </c>
      <c r="AR39">
        <v>0</v>
      </c>
      <c r="AS39">
        <v>0</v>
      </c>
      <c r="AT39">
        <v>0</v>
      </c>
      <c r="AU39">
        <v>14400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8902</v>
      </c>
      <c r="BG39">
        <v>0</v>
      </c>
      <c r="BH39">
        <v>0</v>
      </c>
      <c r="BI39">
        <v>8902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14400</v>
      </c>
      <c r="CG39">
        <v>0</v>
      </c>
      <c r="CH39">
        <v>8902</v>
      </c>
      <c r="CI39">
        <v>0</v>
      </c>
      <c r="CJ39">
        <v>0</v>
      </c>
      <c r="CK39">
        <v>23302</v>
      </c>
      <c r="CM39">
        <v>1</v>
      </c>
      <c r="CR39">
        <v>1</v>
      </c>
      <c r="CY39">
        <v>0</v>
      </c>
      <c r="DC39">
        <v>1</v>
      </c>
      <c r="DF39">
        <v>1</v>
      </c>
      <c r="DM39">
        <v>0</v>
      </c>
      <c r="DT39">
        <v>0</v>
      </c>
      <c r="EA39">
        <v>0</v>
      </c>
      <c r="EB39">
        <v>0</v>
      </c>
      <c r="EC39">
        <v>1</v>
      </c>
      <c r="ED39">
        <v>0</v>
      </c>
      <c r="EE39">
        <v>1</v>
      </c>
      <c r="EF39">
        <v>0</v>
      </c>
      <c r="EG39">
        <v>0</v>
      </c>
      <c r="EH39">
        <v>2</v>
      </c>
      <c r="EI39" t="s">
        <v>404</v>
      </c>
      <c r="EJ39" t="s">
        <v>405</v>
      </c>
      <c r="EK39" t="s">
        <v>404</v>
      </c>
      <c r="EL39" t="s">
        <v>404</v>
      </c>
      <c r="EM39" t="s">
        <v>404</v>
      </c>
      <c r="EN39" t="s">
        <v>404</v>
      </c>
      <c r="EO39" t="s">
        <v>404</v>
      </c>
      <c r="EP39" t="s">
        <v>404</v>
      </c>
      <c r="EQ39" t="s">
        <v>404</v>
      </c>
      <c r="ER39" t="s">
        <v>404</v>
      </c>
      <c r="ES39" t="s">
        <v>404</v>
      </c>
      <c r="ET39" t="s">
        <v>404</v>
      </c>
      <c r="EU39" t="s">
        <v>404</v>
      </c>
      <c r="EV39" t="s">
        <v>404</v>
      </c>
      <c r="EW39" t="s">
        <v>404</v>
      </c>
      <c r="EX39" t="s">
        <v>405</v>
      </c>
      <c r="EY39" t="s">
        <v>404</v>
      </c>
      <c r="EZ39" t="s">
        <v>404</v>
      </c>
      <c r="FA39" t="s">
        <v>404</v>
      </c>
      <c r="FB39" t="s">
        <v>404</v>
      </c>
      <c r="FC39" t="s">
        <v>404</v>
      </c>
      <c r="FD39" t="s">
        <v>404</v>
      </c>
      <c r="FE39" t="s">
        <v>404</v>
      </c>
      <c r="FF39" t="s">
        <v>404</v>
      </c>
      <c r="FG39" t="s">
        <v>404</v>
      </c>
      <c r="FH39" t="s">
        <v>404</v>
      </c>
      <c r="FI39" t="s">
        <v>404</v>
      </c>
      <c r="FJ39" t="s">
        <v>404</v>
      </c>
      <c r="FK39" t="s">
        <v>404</v>
      </c>
      <c r="FL39" t="s">
        <v>404</v>
      </c>
      <c r="FM39" t="s">
        <v>404</v>
      </c>
      <c r="FN39" t="s">
        <v>404</v>
      </c>
      <c r="FO39" t="s">
        <v>404</v>
      </c>
      <c r="FP39" t="s">
        <v>404</v>
      </c>
      <c r="FQ39" t="s">
        <v>404</v>
      </c>
      <c r="FR39" t="s">
        <v>404</v>
      </c>
      <c r="FY39">
        <v>0</v>
      </c>
      <c r="GF39">
        <v>0</v>
      </c>
      <c r="GM39">
        <v>0</v>
      </c>
      <c r="GT39">
        <v>0</v>
      </c>
      <c r="HA39">
        <v>0</v>
      </c>
      <c r="HH39">
        <v>0</v>
      </c>
      <c r="HO39">
        <v>0</v>
      </c>
      <c r="HP39" t="s">
        <v>705</v>
      </c>
      <c r="HR39">
        <v>14400</v>
      </c>
      <c r="HT39">
        <v>8902</v>
      </c>
      <c r="HW39">
        <v>23302</v>
      </c>
      <c r="HX39">
        <v>0</v>
      </c>
      <c r="HY39">
        <v>14400</v>
      </c>
      <c r="HZ39">
        <v>0</v>
      </c>
      <c r="IA39">
        <v>8902</v>
      </c>
      <c r="IB39">
        <v>0</v>
      </c>
      <c r="IC39">
        <v>0</v>
      </c>
      <c r="ID39">
        <v>23302</v>
      </c>
      <c r="IF39">
        <v>14400</v>
      </c>
      <c r="IH39">
        <v>8902</v>
      </c>
      <c r="IK39">
        <v>23302</v>
      </c>
      <c r="IR39">
        <v>0</v>
      </c>
      <c r="IY39">
        <v>0</v>
      </c>
      <c r="JF39">
        <v>0</v>
      </c>
      <c r="JM39">
        <v>0</v>
      </c>
      <c r="JN39">
        <v>0</v>
      </c>
      <c r="JO39">
        <v>14400</v>
      </c>
      <c r="JP39">
        <v>0</v>
      </c>
      <c r="JQ39">
        <v>8902</v>
      </c>
      <c r="JR39">
        <v>0</v>
      </c>
      <c r="JS39">
        <v>0</v>
      </c>
      <c r="JT39">
        <v>23302</v>
      </c>
      <c r="JW39">
        <v>100</v>
      </c>
      <c r="JZ39">
        <v>3</v>
      </c>
      <c r="KA39">
        <v>3</v>
      </c>
      <c r="KB39">
        <v>2</v>
      </c>
      <c r="KC39" t="s">
        <v>407</v>
      </c>
      <c r="KJ39">
        <v>0</v>
      </c>
      <c r="KQ39">
        <v>0</v>
      </c>
      <c r="KX39">
        <v>0</v>
      </c>
      <c r="LE39">
        <v>0</v>
      </c>
      <c r="LL39">
        <v>0</v>
      </c>
      <c r="LS39">
        <v>0</v>
      </c>
      <c r="LZ39">
        <v>0</v>
      </c>
      <c r="MA39" t="s">
        <v>706</v>
      </c>
      <c r="MC39">
        <v>14400</v>
      </c>
      <c r="MH39">
        <v>14400</v>
      </c>
      <c r="MI39">
        <v>0</v>
      </c>
      <c r="MJ39">
        <v>14400</v>
      </c>
      <c r="MK39">
        <v>0</v>
      </c>
      <c r="ML39">
        <v>0</v>
      </c>
      <c r="MM39">
        <v>0</v>
      </c>
      <c r="MN39">
        <v>0</v>
      </c>
      <c r="MO39">
        <v>14400</v>
      </c>
      <c r="MV39">
        <v>0</v>
      </c>
      <c r="MX39">
        <v>14400</v>
      </c>
      <c r="NC39">
        <v>14400</v>
      </c>
      <c r="NJ39">
        <v>0</v>
      </c>
      <c r="NQ39">
        <v>0</v>
      </c>
      <c r="NX39">
        <v>0</v>
      </c>
      <c r="NY39">
        <v>0</v>
      </c>
      <c r="NZ39">
        <v>14400</v>
      </c>
      <c r="OA39">
        <v>0</v>
      </c>
      <c r="OB39">
        <v>0</v>
      </c>
      <c r="OC39">
        <v>0</v>
      </c>
      <c r="OD39">
        <v>0</v>
      </c>
      <c r="OE39">
        <v>14400</v>
      </c>
      <c r="OF39" t="s">
        <v>408</v>
      </c>
      <c r="SI39" t="s">
        <v>409</v>
      </c>
      <c r="SP39">
        <v>0</v>
      </c>
      <c r="SW39">
        <v>0</v>
      </c>
      <c r="TD39">
        <v>0</v>
      </c>
      <c r="TK39">
        <v>0</v>
      </c>
      <c r="TR39">
        <v>0</v>
      </c>
      <c r="TY39">
        <v>0</v>
      </c>
      <c r="UF39">
        <v>0</v>
      </c>
      <c r="UG39" t="s">
        <v>705</v>
      </c>
      <c r="UK39">
        <v>8902</v>
      </c>
      <c r="UN39">
        <v>8902</v>
      </c>
      <c r="UO39">
        <v>0</v>
      </c>
      <c r="UP39">
        <v>0</v>
      </c>
      <c r="UQ39">
        <v>0</v>
      </c>
      <c r="UR39">
        <v>8902</v>
      </c>
      <c r="US39">
        <v>0</v>
      </c>
      <c r="UT39">
        <v>0</v>
      </c>
      <c r="UU39">
        <v>8902</v>
      </c>
      <c r="VB39">
        <v>0</v>
      </c>
      <c r="VF39">
        <v>8902</v>
      </c>
      <c r="VI39">
        <v>8902</v>
      </c>
      <c r="VP39">
        <v>0</v>
      </c>
      <c r="VW39">
        <v>0</v>
      </c>
      <c r="WD39">
        <v>0</v>
      </c>
      <c r="WE39">
        <v>0</v>
      </c>
      <c r="WF39">
        <v>0</v>
      </c>
      <c r="WG39">
        <v>0</v>
      </c>
      <c r="WH39">
        <v>8902</v>
      </c>
      <c r="WI39">
        <v>0</v>
      </c>
      <c r="WJ39">
        <v>0</v>
      </c>
      <c r="WK39">
        <v>8902</v>
      </c>
      <c r="WL39" t="s">
        <v>410</v>
      </c>
      <c r="AAO39" t="s">
        <v>411</v>
      </c>
      <c r="AER39" t="s">
        <v>412</v>
      </c>
    </row>
    <row r="40" spans="1:824" x14ac:dyDescent="0.2">
      <c r="A40" t="s">
        <v>707</v>
      </c>
      <c r="B40" t="s">
        <v>396</v>
      </c>
      <c r="C40" t="s">
        <v>708</v>
      </c>
      <c r="F40" t="s">
        <v>479</v>
      </c>
      <c r="G40" s="3">
        <v>43517.091666666667</v>
      </c>
      <c r="J40" t="s">
        <v>709</v>
      </c>
      <c r="K40" s="3">
        <v>43517.092361111114</v>
      </c>
      <c r="P40" t="b">
        <v>1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>
        <v>751</v>
      </c>
      <c r="W40" s="3">
        <v>43517.093055555553</v>
      </c>
      <c r="X40" t="s">
        <v>710</v>
      </c>
      <c r="Y40">
        <v>2019</v>
      </c>
      <c r="Z40" t="s">
        <v>711</v>
      </c>
      <c r="AA40" t="s">
        <v>712</v>
      </c>
      <c r="AB40" t="s">
        <v>713</v>
      </c>
      <c r="AC40" t="s">
        <v>714</v>
      </c>
      <c r="AD40">
        <v>61396529415</v>
      </c>
      <c r="AE40" t="s">
        <v>571</v>
      </c>
      <c r="AF40" t="s">
        <v>538</v>
      </c>
      <c r="AH40">
        <v>1</v>
      </c>
      <c r="AK40">
        <v>400</v>
      </c>
      <c r="AL40">
        <v>400</v>
      </c>
      <c r="AM40">
        <v>212</v>
      </c>
      <c r="AN40">
        <v>212</v>
      </c>
      <c r="AU40">
        <v>0</v>
      </c>
      <c r="AV40">
        <v>180</v>
      </c>
      <c r="BB40">
        <v>180</v>
      </c>
      <c r="BI40">
        <v>0</v>
      </c>
      <c r="BJ40">
        <v>67</v>
      </c>
      <c r="BN40">
        <v>153</v>
      </c>
      <c r="BP40">
        <v>220</v>
      </c>
      <c r="BW40">
        <v>0</v>
      </c>
      <c r="CD40">
        <v>0</v>
      </c>
      <c r="CE40">
        <v>247</v>
      </c>
      <c r="CF40">
        <v>0</v>
      </c>
      <c r="CG40">
        <v>0</v>
      </c>
      <c r="CH40">
        <v>0</v>
      </c>
      <c r="CI40">
        <v>153</v>
      </c>
      <c r="CJ40">
        <v>0</v>
      </c>
      <c r="CK40">
        <v>400</v>
      </c>
      <c r="CR40">
        <v>0</v>
      </c>
      <c r="CS40">
        <v>1</v>
      </c>
      <c r="CY40">
        <v>1</v>
      </c>
      <c r="DF40">
        <v>0</v>
      </c>
      <c r="DG40">
        <v>1</v>
      </c>
      <c r="DK40">
        <v>1</v>
      </c>
      <c r="DM40">
        <v>2</v>
      </c>
      <c r="DT40">
        <v>0</v>
      </c>
      <c r="EA40">
        <v>0</v>
      </c>
      <c r="EB40">
        <v>2</v>
      </c>
      <c r="EC40">
        <v>0</v>
      </c>
      <c r="ED40">
        <v>0</v>
      </c>
      <c r="EE40">
        <v>0</v>
      </c>
      <c r="EF40">
        <v>1</v>
      </c>
      <c r="EG40">
        <v>0</v>
      </c>
      <c r="EH40">
        <v>3</v>
      </c>
      <c r="EI40" t="s">
        <v>404</v>
      </c>
      <c r="EJ40" t="s">
        <v>404</v>
      </c>
      <c r="EK40" t="s">
        <v>404</v>
      </c>
      <c r="EL40" t="s">
        <v>404</v>
      </c>
      <c r="EM40" t="s">
        <v>404</v>
      </c>
      <c r="EN40" t="s">
        <v>404</v>
      </c>
      <c r="EO40" t="s">
        <v>405</v>
      </c>
      <c r="EP40" t="s">
        <v>404</v>
      </c>
      <c r="EQ40" t="s">
        <v>404</v>
      </c>
      <c r="ER40" t="s">
        <v>404</v>
      </c>
      <c r="ES40" t="s">
        <v>404</v>
      </c>
      <c r="ET40" t="s">
        <v>404</v>
      </c>
      <c r="EU40" t="s">
        <v>404</v>
      </c>
      <c r="EV40" t="s">
        <v>404</v>
      </c>
      <c r="EW40" t="s">
        <v>404</v>
      </c>
      <c r="EX40" t="s">
        <v>404</v>
      </c>
      <c r="EY40" t="s">
        <v>404</v>
      </c>
      <c r="EZ40" t="s">
        <v>404</v>
      </c>
      <c r="FA40" t="s">
        <v>405</v>
      </c>
      <c r="FB40" t="s">
        <v>404</v>
      </c>
      <c r="FC40" t="s">
        <v>404</v>
      </c>
      <c r="FD40" t="s">
        <v>404</v>
      </c>
      <c r="FE40" t="s">
        <v>405</v>
      </c>
      <c r="FF40" t="s">
        <v>404</v>
      </c>
      <c r="FG40" t="s">
        <v>404</v>
      </c>
      <c r="FH40" t="s">
        <v>404</v>
      </c>
      <c r="FI40" t="s">
        <v>404</v>
      </c>
      <c r="FJ40" t="s">
        <v>404</v>
      </c>
      <c r="FK40" t="s">
        <v>404</v>
      </c>
      <c r="FL40" t="s">
        <v>404</v>
      </c>
      <c r="FM40" t="s">
        <v>404</v>
      </c>
      <c r="FN40" t="s">
        <v>404</v>
      </c>
      <c r="FO40" t="s">
        <v>404</v>
      </c>
      <c r="FP40" t="s">
        <v>404</v>
      </c>
      <c r="FQ40" t="s">
        <v>404</v>
      </c>
      <c r="FR40" t="s">
        <v>404</v>
      </c>
      <c r="FS40">
        <v>216</v>
      </c>
      <c r="FW40">
        <v>102</v>
      </c>
      <c r="FY40">
        <v>318</v>
      </c>
      <c r="GF40">
        <v>0</v>
      </c>
      <c r="GM40">
        <v>0</v>
      </c>
      <c r="GT40">
        <v>0</v>
      </c>
      <c r="HA40">
        <v>0</v>
      </c>
      <c r="HH40">
        <v>0</v>
      </c>
      <c r="HI40">
        <v>31</v>
      </c>
      <c r="HM40">
        <v>51</v>
      </c>
      <c r="HO40">
        <v>82</v>
      </c>
      <c r="HW40">
        <v>0</v>
      </c>
      <c r="HX40">
        <v>247</v>
      </c>
      <c r="HY40">
        <v>0</v>
      </c>
      <c r="HZ40">
        <v>0</v>
      </c>
      <c r="IA40">
        <v>0</v>
      </c>
      <c r="IB40">
        <v>153</v>
      </c>
      <c r="IC40">
        <v>0</v>
      </c>
      <c r="ID40">
        <v>400</v>
      </c>
      <c r="IK40">
        <v>0</v>
      </c>
      <c r="IL40">
        <v>178</v>
      </c>
      <c r="IR40">
        <v>178</v>
      </c>
      <c r="IS40">
        <v>70</v>
      </c>
      <c r="IW40">
        <v>152</v>
      </c>
      <c r="IY40">
        <v>222</v>
      </c>
      <c r="JF40">
        <v>0</v>
      </c>
      <c r="JM40">
        <v>0</v>
      </c>
      <c r="JN40">
        <v>248</v>
      </c>
      <c r="JO40">
        <v>0</v>
      </c>
      <c r="JP40">
        <v>0</v>
      </c>
      <c r="JQ40">
        <v>0</v>
      </c>
      <c r="JR40">
        <v>152</v>
      </c>
      <c r="JS40">
        <v>0</v>
      </c>
      <c r="JT40">
        <v>400</v>
      </c>
      <c r="JW40">
        <v>100</v>
      </c>
      <c r="JZ40">
        <v>1</v>
      </c>
      <c r="KA40">
        <v>3</v>
      </c>
      <c r="KB40">
        <v>1</v>
      </c>
      <c r="KC40" t="s">
        <v>407</v>
      </c>
      <c r="OF40" t="s">
        <v>408</v>
      </c>
      <c r="OG40">
        <v>180</v>
      </c>
      <c r="OM40">
        <v>180</v>
      </c>
      <c r="OT40">
        <v>0</v>
      </c>
      <c r="PA40">
        <v>0</v>
      </c>
      <c r="PH40">
        <v>0</v>
      </c>
      <c r="PO40">
        <v>0</v>
      </c>
      <c r="PV40">
        <v>0</v>
      </c>
      <c r="QC40">
        <v>0</v>
      </c>
      <c r="QK40">
        <v>0</v>
      </c>
      <c r="QL40">
        <v>180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180</v>
      </c>
      <c r="QS40">
        <v>167</v>
      </c>
      <c r="QY40">
        <v>167</v>
      </c>
      <c r="RF40">
        <v>0</v>
      </c>
      <c r="RG40">
        <v>13</v>
      </c>
      <c r="RM40">
        <v>13</v>
      </c>
      <c r="RT40">
        <v>0</v>
      </c>
      <c r="SA40">
        <v>0</v>
      </c>
      <c r="SB40">
        <v>180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180</v>
      </c>
      <c r="SI40" t="s">
        <v>409</v>
      </c>
      <c r="WL40" t="s">
        <v>410</v>
      </c>
      <c r="WM40">
        <v>137</v>
      </c>
      <c r="WS40">
        <v>137</v>
      </c>
      <c r="WZ40">
        <v>0</v>
      </c>
      <c r="XG40">
        <v>0</v>
      </c>
      <c r="XN40">
        <v>0</v>
      </c>
      <c r="XU40">
        <v>0</v>
      </c>
      <c r="YB40">
        <v>0</v>
      </c>
      <c r="YC40">
        <v>83</v>
      </c>
      <c r="YI40">
        <v>83</v>
      </c>
      <c r="YQ40">
        <v>0</v>
      </c>
      <c r="YR40">
        <v>220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220</v>
      </c>
      <c r="ZE40">
        <v>0</v>
      </c>
      <c r="ZL40">
        <v>0</v>
      </c>
      <c r="ZM40">
        <v>220</v>
      </c>
      <c r="ZS40">
        <v>220</v>
      </c>
      <c r="ZZ40">
        <v>0</v>
      </c>
      <c r="AAG40">
        <v>0</v>
      </c>
      <c r="AAH40">
        <v>220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220</v>
      </c>
      <c r="AAO40" t="s">
        <v>411</v>
      </c>
      <c r="AER40" t="s">
        <v>412</v>
      </c>
    </row>
    <row r="41" spans="1:824" x14ac:dyDescent="0.2">
      <c r="A41" t="s">
        <v>715</v>
      </c>
      <c r="B41" t="s">
        <v>396</v>
      </c>
      <c r="C41" t="s">
        <v>716</v>
      </c>
      <c r="P41" t="b">
        <v>1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>
        <v>822</v>
      </c>
      <c r="W41" s="3">
        <v>43532.622916666667</v>
      </c>
      <c r="X41" t="s">
        <v>717</v>
      </c>
      <c r="Y41">
        <v>2019</v>
      </c>
      <c r="Z41" t="s">
        <v>718</v>
      </c>
      <c r="AA41" t="s">
        <v>719</v>
      </c>
      <c r="AB41" t="s">
        <v>720</v>
      </c>
      <c r="AC41" t="s">
        <v>721</v>
      </c>
      <c r="AE41" t="s">
        <v>491</v>
      </c>
      <c r="AF41" t="s">
        <v>403</v>
      </c>
      <c r="AH41">
        <v>1</v>
      </c>
      <c r="AK41">
        <v>1022.476211</v>
      </c>
      <c r="AL41">
        <v>1022.476211</v>
      </c>
      <c r="AM41">
        <v>17.102387</v>
      </c>
      <c r="AN41">
        <v>17.102387</v>
      </c>
      <c r="AU41">
        <v>0</v>
      </c>
      <c r="AZ41">
        <v>135.36313000000001</v>
      </c>
      <c r="BB41">
        <v>135.36313000000001</v>
      </c>
      <c r="BI41">
        <v>0</v>
      </c>
      <c r="BN41">
        <v>887.11308099999997</v>
      </c>
      <c r="BP41">
        <v>887.11308099999997</v>
      </c>
      <c r="BW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1022.476211</v>
      </c>
      <c r="CJ41">
        <v>0</v>
      </c>
      <c r="CK41">
        <v>1022.476211</v>
      </c>
      <c r="CR41">
        <v>0</v>
      </c>
      <c r="CW41">
        <v>2</v>
      </c>
      <c r="CY41">
        <v>2</v>
      </c>
      <c r="DF41">
        <v>0</v>
      </c>
      <c r="DK41">
        <v>1</v>
      </c>
      <c r="DM41">
        <v>1</v>
      </c>
      <c r="DT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3</v>
      </c>
      <c r="EG41">
        <v>0</v>
      </c>
      <c r="EH41">
        <v>3</v>
      </c>
      <c r="EI41" t="s">
        <v>404</v>
      </c>
      <c r="EJ41" t="s">
        <v>404</v>
      </c>
      <c r="EK41" t="s">
        <v>404</v>
      </c>
      <c r="EL41" t="s">
        <v>404</v>
      </c>
      <c r="EM41" t="s">
        <v>404</v>
      </c>
      <c r="EN41" t="s">
        <v>404</v>
      </c>
      <c r="EO41" t="s">
        <v>404</v>
      </c>
      <c r="EP41" t="s">
        <v>404</v>
      </c>
      <c r="EQ41" t="s">
        <v>404</v>
      </c>
      <c r="ER41" t="s">
        <v>404</v>
      </c>
      <c r="ES41" t="s">
        <v>405</v>
      </c>
      <c r="ET41" t="s">
        <v>404</v>
      </c>
      <c r="EU41" t="s">
        <v>404</v>
      </c>
      <c r="EV41" t="s">
        <v>404</v>
      </c>
      <c r="EW41" t="s">
        <v>404</v>
      </c>
      <c r="EX41" t="s">
        <v>404</v>
      </c>
      <c r="EY41" t="s">
        <v>404</v>
      </c>
      <c r="EZ41" t="s">
        <v>404</v>
      </c>
      <c r="FA41" t="s">
        <v>404</v>
      </c>
      <c r="FB41" t="s">
        <v>404</v>
      </c>
      <c r="FC41" t="s">
        <v>404</v>
      </c>
      <c r="FD41" t="s">
        <v>404</v>
      </c>
      <c r="FE41" t="s">
        <v>405</v>
      </c>
      <c r="FF41" t="s">
        <v>404</v>
      </c>
      <c r="FG41" t="s">
        <v>404</v>
      </c>
      <c r="FH41" t="s">
        <v>404</v>
      </c>
      <c r="FI41" t="s">
        <v>404</v>
      </c>
      <c r="FJ41" t="s">
        <v>404</v>
      </c>
      <c r="FK41" t="s">
        <v>404</v>
      </c>
      <c r="FL41" t="s">
        <v>404</v>
      </c>
      <c r="FM41" t="s">
        <v>404</v>
      </c>
      <c r="FN41" t="s">
        <v>404</v>
      </c>
      <c r="FO41" t="s">
        <v>404</v>
      </c>
      <c r="FP41" t="s">
        <v>404</v>
      </c>
      <c r="FQ41" t="s">
        <v>404</v>
      </c>
      <c r="FR41" t="s">
        <v>404</v>
      </c>
      <c r="FY41">
        <v>0</v>
      </c>
      <c r="GF41">
        <v>0</v>
      </c>
      <c r="GM41">
        <v>0</v>
      </c>
      <c r="GT41">
        <v>0</v>
      </c>
      <c r="HA41">
        <v>0</v>
      </c>
      <c r="HF41">
        <v>1022.47621</v>
      </c>
      <c r="HH41">
        <v>1022.47621</v>
      </c>
      <c r="HO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1022.47621</v>
      </c>
      <c r="IC41">
        <v>0</v>
      </c>
      <c r="ID41">
        <v>1022.47621</v>
      </c>
      <c r="II41">
        <v>887.11308099999997</v>
      </c>
      <c r="IK41">
        <v>887.11308099999997</v>
      </c>
      <c r="IP41">
        <v>135.36313000000001</v>
      </c>
      <c r="IR41">
        <v>135.36313000000001</v>
      </c>
      <c r="IY41">
        <v>0</v>
      </c>
      <c r="JF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1022.476211</v>
      </c>
      <c r="JS41">
        <v>0</v>
      </c>
      <c r="JT41">
        <v>1022.476211</v>
      </c>
      <c r="JW41">
        <v>100</v>
      </c>
      <c r="JZ41">
        <v>2</v>
      </c>
      <c r="KA41">
        <v>2</v>
      </c>
      <c r="KB41">
        <v>2</v>
      </c>
      <c r="KC41" t="s">
        <v>407</v>
      </c>
      <c r="OF41" t="s">
        <v>408</v>
      </c>
      <c r="SI41" t="s">
        <v>409</v>
      </c>
      <c r="WL41" t="s">
        <v>410</v>
      </c>
      <c r="AAO41" t="s">
        <v>411</v>
      </c>
      <c r="AER41" t="s">
        <v>412</v>
      </c>
    </row>
    <row r="42" spans="1:824" x14ac:dyDescent="0.2">
      <c r="A42" t="s">
        <v>722</v>
      </c>
      <c r="B42" t="s">
        <v>396</v>
      </c>
      <c r="C42" t="s">
        <v>723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>
        <v>569</v>
      </c>
      <c r="W42" s="3">
        <v>43475.543055555558</v>
      </c>
      <c r="X42" t="s">
        <v>724</v>
      </c>
      <c r="Y42">
        <v>2019</v>
      </c>
      <c r="Z42" t="s">
        <v>725</v>
      </c>
      <c r="AA42" t="s">
        <v>723</v>
      </c>
      <c r="AB42" t="s">
        <v>726</v>
      </c>
      <c r="AC42" t="s">
        <v>727</v>
      </c>
      <c r="AE42" t="s">
        <v>728</v>
      </c>
      <c r="AF42" t="s">
        <v>403</v>
      </c>
      <c r="AH42">
        <v>1</v>
      </c>
      <c r="AK42">
        <v>350</v>
      </c>
      <c r="AL42">
        <v>350</v>
      </c>
      <c r="AM42">
        <v>180</v>
      </c>
      <c r="AN42">
        <v>180</v>
      </c>
      <c r="AU42">
        <v>0</v>
      </c>
      <c r="AV42">
        <v>350</v>
      </c>
      <c r="BB42">
        <v>350</v>
      </c>
      <c r="BI42">
        <v>0</v>
      </c>
      <c r="BP42">
        <v>0</v>
      </c>
      <c r="BW42">
        <v>0</v>
      </c>
      <c r="CD42">
        <v>0</v>
      </c>
      <c r="CE42">
        <v>350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350</v>
      </c>
      <c r="CR42">
        <v>0</v>
      </c>
      <c r="CS42">
        <v>1</v>
      </c>
      <c r="CY42">
        <v>1</v>
      </c>
      <c r="DF42">
        <v>0</v>
      </c>
      <c r="DM42">
        <v>0</v>
      </c>
      <c r="DT42">
        <v>0</v>
      </c>
      <c r="EA42">
        <v>0</v>
      </c>
      <c r="EB42">
        <v>1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1</v>
      </c>
      <c r="EI42" t="s">
        <v>404</v>
      </c>
      <c r="EJ42" t="s">
        <v>404</v>
      </c>
      <c r="EK42" t="s">
        <v>404</v>
      </c>
      <c r="EL42" t="s">
        <v>404</v>
      </c>
      <c r="EM42" t="s">
        <v>404</v>
      </c>
      <c r="EN42" t="s">
        <v>404</v>
      </c>
      <c r="EO42" t="s">
        <v>405</v>
      </c>
      <c r="EP42" t="s">
        <v>404</v>
      </c>
      <c r="EQ42" t="s">
        <v>404</v>
      </c>
      <c r="ER42" t="s">
        <v>404</v>
      </c>
      <c r="ES42" t="s">
        <v>404</v>
      </c>
      <c r="ET42" t="s">
        <v>404</v>
      </c>
      <c r="EU42" t="s">
        <v>404</v>
      </c>
      <c r="EV42" t="s">
        <v>404</v>
      </c>
      <c r="EW42" t="s">
        <v>404</v>
      </c>
      <c r="EX42" t="s">
        <v>404</v>
      </c>
      <c r="EY42" t="s">
        <v>404</v>
      </c>
      <c r="EZ42" t="s">
        <v>404</v>
      </c>
      <c r="FA42" t="s">
        <v>404</v>
      </c>
      <c r="FB42" t="s">
        <v>404</v>
      </c>
      <c r="FC42" t="s">
        <v>404</v>
      </c>
      <c r="FD42" t="s">
        <v>404</v>
      </c>
      <c r="FE42" t="s">
        <v>404</v>
      </c>
      <c r="FF42" t="s">
        <v>404</v>
      </c>
      <c r="FG42" t="s">
        <v>404</v>
      </c>
      <c r="FH42" t="s">
        <v>404</v>
      </c>
      <c r="FI42" t="s">
        <v>404</v>
      </c>
      <c r="FJ42" t="s">
        <v>404</v>
      </c>
      <c r="FK42" t="s">
        <v>404</v>
      </c>
      <c r="FL42" t="s">
        <v>404</v>
      </c>
      <c r="FM42" t="s">
        <v>404</v>
      </c>
      <c r="FN42" t="s">
        <v>404</v>
      </c>
      <c r="FO42" t="s">
        <v>404</v>
      </c>
      <c r="FP42" t="s">
        <v>404</v>
      </c>
      <c r="FQ42" t="s">
        <v>404</v>
      </c>
      <c r="FR42" t="s">
        <v>404</v>
      </c>
      <c r="FS42">
        <v>50</v>
      </c>
      <c r="FY42">
        <v>50</v>
      </c>
      <c r="FZ42">
        <v>300</v>
      </c>
      <c r="GF42">
        <v>300</v>
      </c>
      <c r="GM42">
        <v>0</v>
      </c>
      <c r="GT42">
        <v>0</v>
      </c>
      <c r="HA42">
        <v>0</v>
      </c>
      <c r="HH42">
        <v>0</v>
      </c>
      <c r="HO42">
        <v>0</v>
      </c>
      <c r="HW42">
        <v>0</v>
      </c>
      <c r="HX42">
        <v>350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350</v>
      </c>
      <c r="IE42">
        <v>30</v>
      </c>
      <c r="IK42">
        <v>30</v>
      </c>
      <c r="IL42">
        <v>320</v>
      </c>
      <c r="IR42">
        <v>320</v>
      </c>
      <c r="IY42">
        <v>0</v>
      </c>
      <c r="JF42">
        <v>0</v>
      </c>
      <c r="JM42">
        <v>0</v>
      </c>
      <c r="JN42">
        <v>350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350</v>
      </c>
      <c r="JW42">
        <v>100</v>
      </c>
      <c r="JZ42">
        <v>2</v>
      </c>
      <c r="KA42">
        <v>3</v>
      </c>
      <c r="KB42">
        <v>1</v>
      </c>
      <c r="KC42" t="s">
        <v>407</v>
      </c>
      <c r="OF42" t="s">
        <v>408</v>
      </c>
      <c r="SI42" t="s">
        <v>409</v>
      </c>
      <c r="WL42" t="s">
        <v>410</v>
      </c>
      <c r="AAO42" t="s">
        <v>411</v>
      </c>
      <c r="AER42" t="s">
        <v>412</v>
      </c>
    </row>
    <row r="43" spans="1:824" x14ac:dyDescent="0.2">
      <c r="A43" t="s">
        <v>729</v>
      </c>
      <c r="B43" t="s">
        <v>396</v>
      </c>
      <c r="C43" t="s">
        <v>730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>
        <v>737</v>
      </c>
      <c r="W43" s="3">
        <v>43514.416666666664</v>
      </c>
      <c r="X43" t="s">
        <v>731</v>
      </c>
      <c r="Y43">
        <v>2019</v>
      </c>
      <c r="Z43" t="s">
        <v>732</v>
      </c>
      <c r="AA43" t="s">
        <v>733</v>
      </c>
      <c r="AB43" t="s">
        <v>734</v>
      </c>
      <c r="AC43" t="s">
        <v>735</v>
      </c>
      <c r="AD43">
        <v>442070420617</v>
      </c>
      <c r="AE43" t="s">
        <v>491</v>
      </c>
      <c r="AF43" t="s">
        <v>492</v>
      </c>
      <c r="AH43">
        <v>1</v>
      </c>
      <c r="AK43">
        <v>488</v>
      </c>
      <c r="AL43">
        <v>488</v>
      </c>
      <c r="AM43">
        <v>135</v>
      </c>
      <c r="AN43">
        <v>135</v>
      </c>
      <c r="AU43">
        <v>0</v>
      </c>
      <c r="BA43">
        <v>488</v>
      </c>
      <c r="BB43">
        <v>488</v>
      </c>
      <c r="BI43">
        <v>0</v>
      </c>
      <c r="BP43">
        <v>0</v>
      </c>
      <c r="BW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488</v>
      </c>
      <c r="CK43">
        <v>488</v>
      </c>
      <c r="CR43">
        <v>0</v>
      </c>
      <c r="CX43">
        <v>1</v>
      </c>
      <c r="CY43">
        <v>1</v>
      </c>
      <c r="DF43">
        <v>0</v>
      </c>
      <c r="DM43">
        <v>0</v>
      </c>
      <c r="DT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1</v>
      </c>
      <c r="EH43">
        <v>1</v>
      </c>
      <c r="EI43" t="s">
        <v>404</v>
      </c>
      <c r="EJ43" t="s">
        <v>404</v>
      </c>
      <c r="EK43" t="s">
        <v>404</v>
      </c>
      <c r="EL43" t="s">
        <v>404</v>
      </c>
      <c r="EM43" t="s">
        <v>404</v>
      </c>
      <c r="EN43" t="s">
        <v>404</v>
      </c>
      <c r="EO43" t="s">
        <v>404</v>
      </c>
      <c r="EP43" t="s">
        <v>404</v>
      </c>
      <c r="EQ43" t="s">
        <v>404</v>
      </c>
      <c r="ER43" t="s">
        <v>404</v>
      </c>
      <c r="ES43" t="s">
        <v>404</v>
      </c>
      <c r="ET43" t="s">
        <v>405</v>
      </c>
      <c r="EU43" t="s">
        <v>404</v>
      </c>
      <c r="EV43" t="s">
        <v>404</v>
      </c>
      <c r="EW43" t="s">
        <v>404</v>
      </c>
      <c r="EX43" t="s">
        <v>404</v>
      </c>
      <c r="EY43" t="s">
        <v>404</v>
      </c>
      <c r="EZ43" t="s">
        <v>404</v>
      </c>
      <c r="FA43" t="s">
        <v>404</v>
      </c>
      <c r="FB43" t="s">
        <v>404</v>
      </c>
      <c r="FC43" t="s">
        <v>404</v>
      </c>
      <c r="FD43" t="s">
        <v>404</v>
      </c>
      <c r="FE43" t="s">
        <v>404</v>
      </c>
      <c r="FF43" t="s">
        <v>404</v>
      </c>
      <c r="FG43" t="s">
        <v>404</v>
      </c>
      <c r="FH43" t="s">
        <v>404</v>
      </c>
      <c r="FI43" t="s">
        <v>404</v>
      </c>
      <c r="FJ43" t="s">
        <v>404</v>
      </c>
      <c r="FK43" t="s">
        <v>404</v>
      </c>
      <c r="FL43" t="s">
        <v>404</v>
      </c>
      <c r="FM43" t="s">
        <v>404</v>
      </c>
      <c r="FN43" t="s">
        <v>404</v>
      </c>
      <c r="FO43" t="s">
        <v>404</v>
      </c>
      <c r="FP43" t="s">
        <v>404</v>
      </c>
      <c r="FQ43" t="s">
        <v>404</v>
      </c>
      <c r="FR43" t="s">
        <v>404</v>
      </c>
      <c r="FX43">
        <v>488</v>
      </c>
      <c r="FY43">
        <v>488</v>
      </c>
      <c r="GF43">
        <v>0</v>
      </c>
      <c r="GM43">
        <v>0</v>
      </c>
      <c r="GT43">
        <v>0</v>
      </c>
      <c r="HA43">
        <v>0</v>
      </c>
      <c r="HH43">
        <v>0</v>
      </c>
      <c r="HO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488</v>
      </c>
      <c r="ID43">
        <v>488</v>
      </c>
      <c r="IK43">
        <v>0</v>
      </c>
      <c r="IQ43">
        <v>488</v>
      </c>
      <c r="IR43">
        <v>488</v>
      </c>
      <c r="IY43">
        <v>0</v>
      </c>
      <c r="JF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488</v>
      </c>
      <c r="JT43">
        <v>488</v>
      </c>
      <c r="JW43">
        <v>100</v>
      </c>
      <c r="JZ43">
        <v>1</v>
      </c>
      <c r="KA43">
        <v>3</v>
      </c>
      <c r="KB43">
        <v>1</v>
      </c>
      <c r="KC43" t="s">
        <v>407</v>
      </c>
      <c r="OF43" t="s">
        <v>408</v>
      </c>
      <c r="SI43" t="s">
        <v>409</v>
      </c>
      <c r="WL43" t="s">
        <v>410</v>
      </c>
      <c r="AAO43" t="s">
        <v>411</v>
      </c>
      <c r="AER43" t="s">
        <v>412</v>
      </c>
    </row>
    <row r="44" spans="1:824" x14ac:dyDescent="0.2">
      <c r="A44" t="s">
        <v>736</v>
      </c>
      <c r="B44" t="s">
        <v>563</v>
      </c>
      <c r="C44" t="s">
        <v>737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b">
        <v>0</v>
      </c>
      <c r="V44">
        <v>596</v>
      </c>
      <c r="W44" s="3">
        <v>43516.104166666664</v>
      </c>
      <c r="X44" t="s">
        <v>738</v>
      </c>
      <c r="Y44">
        <v>2019</v>
      </c>
      <c r="Z44" t="s">
        <v>739</v>
      </c>
      <c r="AA44" t="s">
        <v>737</v>
      </c>
      <c r="AB44" t="s">
        <v>740</v>
      </c>
      <c r="AC44" t="s">
        <v>741</v>
      </c>
      <c r="AD44">
        <v>3033176464</v>
      </c>
      <c r="AE44" t="s">
        <v>571</v>
      </c>
      <c r="AF44" t="s">
        <v>538</v>
      </c>
      <c r="AH44">
        <v>1</v>
      </c>
      <c r="AK44">
        <v>221.4</v>
      </c>
      <c r="AL44">
        <v>221.4</v>
      </c>
      <c r="AM44">
        <v>171.4</v>
      </c>
      <c r="AN44">
        <v>171.4</v>
      </c>
      <c r="AU44">
        <v>0</v>
      </c>
      <c r="BB44">
        <v>0</v>
      </c>
      <c r="BC44">
        <v>50</v>
      </c>
      <c r="BD44">
        <v>171.4</v>
      </c>
      <c r="BI44">
        <v>221.4</v>
      </c>
      <c r="BP44">
        <v>0</v>
      </c>
      <c r="BW44">
        <v>0</v>
      </c>
      <c r="CD44">
        <v>0</v>
      </c>
      <c r="CE44">
        <v>50</v>
      </c>
      <c r="CF44">
        <v>171.4</v>
      </c>
      <c r="CG44">
        <v>0</v>
      </c>
      <c r="CH44">
        <v>0</v>
      </c>
      <c r="CI44">
        <v>0</v>
      </c>
      <c r="CJ44">
        <v>0</v>
      </c>
      <c r="CK44">
        <v>221.4</v>
      </c>
      <c r="CR44">
        <v>0</v>
      </c>
      <c r="CY44">
        <v>0</v>
      </c>
      <c r="CZ44">
        <v>1</v>
      </c>
      <c r="DA44">
        <v>2</v>
      </c>
      <c r="DF44">
        <v>3</v>
      </c>
      <c r="DM44">
        <v>0</v>
      </c>
      <c r="DT44">
        <v>0</v>
      </c>
      <c r="EA44">
        <v>0</v>
      </c>
      <c r="EB44">
        <v>1</v>
      </c>
      <c r="EC44">
        <v>2</v>
      </c>
      <c r="ED44">
        <v>0</v>
      </c>
      <c r="EE44">
        <v>0</v>
      </c>
      <c r="EF44">
        <v>0</v>
      </c>
      <c r="EG44">
        <v>0</v>
      </c>
      <c r="EH44">
        <v>3</v>
      </c>
      <c r="EI44" t="s">
        <v>404</v>
      </c>
      <c r="EJ44" t="s">
        <v>404</v>
      </c>
      <c r="EK44" t="s">
        <v>404</v>
      </c>
      <c r="EL44" t="s">
        <v>404</v>
      </c>
      <c r="EM44" t="s">
        <v>404</v>
      </c>
      <c r="EN44" t="s">
        <v>404</v>
      </c>
      <c r="EO44" t="s">
        <v>404</v>
      </c>
      <c r="EP44" t="s">
        <v>404</v>
      </c>
      <c r="EQ44" t="s">
        <v>404</v>
      </c>
      <c r="ER44" t="s">
        <v>404</v>
      </c>
      <c r="ES44" t="s">
        <v>404</v>
      </c>
      <c r="ET44" t="s">
        <v>404</v>
      </c>
      <c r="EU44" t="s">
        <v>405</v>
      </c>
      <c r="EV44" t="s">
        <v>405</v>
      </c>
      <c r="EW44" t="s">
        <v>404</v>
      </c>
      <c r="EX44" t="s">
        <v>404</v>
      </c>
      <c r="EY44" t="s">
        <v>404</v>
      </c>
      <c r="EZ44" t="s">
        <v>404</v>
      </c>
      <c r="FA44" t="s">
        <v>404</v>
      </c>
      <c r="FB44" t="s">
        <v>404</v>
      </c>
      <c r="FC44" t="s">
        <v>404</v>
      </c>
      <c r="FD44" t="s">
        <v>404</v>
      </c>
      <c r="FE44" t="s">
        <v>404</v>
      </c>
      <c r="FF44" t="s">
        <v>404</v>
      </c>
      <c r="FG44" t="s">
        <v>404</v>
      </c>
      <c r="FH44" t="s">
        <v>404</v>
      </c>
      <c r="FI44" t="s">
        <v>404</v>
      </c>
      <c r="FJ44" t="s">
        <v>404</v>
      </c>
      <c r="FK44" t="s">
        <v>404</v>
      </c>
      <c r="FL44" t="s">
        <v>404</v>
      </c>
      <c r="FM44" t="s">
        <v>404</v>
      </c>
      <c r="FN44" t="s">
        <v>404</v>
      </c>
      <c r="FO44" t="s">
        <v>404</v>
      </c>
      <c r="FP44" t="s">
        <v>404</v>
      </c>
      <c r="FQ44" t="s">
        <v>404</v>
      </c>
      <c r="FR44" t="s">
        <v>404</v>
      </c>
      <c r="FS44">
        <v>50</v>
      </c>
      <c r="FT44">
        <v>171.4</v>
      </c>
      <c r="FY44">
        <v>221.4</v>
      </c>
      <c r="GF44">
        <v>0</v>
      </c>
      <c r="GM44">
        <v>0</v>
      </c>
      <c r="GT44">
        <v>0</v>
      </c>
      <c r="HA44">
        <v>0</v>
      </c>
      <c r="HH44">
        <v>0</v>
      </c>
      <c r="HO44">
        <v>0</v>
      </c>
      <c r="HW44">
        <v>0</v>
      </c>
      <c r="HX44">
        <v>50</v>
      </c>
      <c r="HY44">
        <v>171.4</v>
      </c>
      <c r="HZ44">
        <v>0</v>
      </c>
      <c r="IA44">
        <v>0</v>
      </c>
      <c r="IB44">
        <v>0</v>
      </c>
      <c r="IC44">
        <v>0</v>
      </c>
      <c r="ID44">
        <v>221.4</v>
      </c>
      <c r="IK44">
        <v>0</v>
      </c>
      <c r="IR44">
        <v>0</v>
      </c>
      <c r="IS44">
        <v>50</v>
      </c>
      <c r="IT44">
        <v>171.4</v>
      </c>
      <c r="IY44">
        <v>221.4</v>
      </c>
      <c r="JF44">
        <v>0</v>
      </c>
      <c r="JM44">
        <v>0</v>
      </c>
      <c r="JN44">
        <v>50</v>
      </c>
      <c r="JO44">
        <v>171.4</v>
      </c>
      <c r="JP44">
        <v>0</v>
      </c>
      <c r="JQ44">
        <v>0</v>
      </c>
      <c r="JR44">
        <v>0</v>
      </c>
      <c r="JS44">
        <v>0</v>
      </c>
      <c r="JT44">
        <v>221.4</v>
      </c>
      <c r="JW44">
        <v>100</v>
      </c>
      <c r="JZ44">
        <v>1</v>
      </c>
      <c r="KA44">
        <v>3</v>
      </c>
      <c r="KB44">
        <v>1</v>
      </c>
      <c r="KC44" t="s">
        <v>407</v>
      </c>
      <c r="OF44" t="s">
        <v>408</v>
      </c>
      <c r="SI44" t="s">
        <v>409</v>
      </c>
      <c r="WL44" t="s">
        <v>410</v>
      </c>
      <c r="AAO44" t="s">
        <v>411</v>
      </c>
      <c r="AER44" t="s">
        <v>412</v>
      </c>
    </row>
    <row r="45" spans="1:824" x14ac:dyDescent="0.2">
      <c r="A45" t="s">
        <v>742</v>
      </c>
      <c r="B45" t="s">
        <v>396</v>
      </c>
      <c r="C45" t="s">
        <v>743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>
        <v>621</v>
      </c>
      <c r="W45" s="3">
        <v>43514.932638888888</v>
      </c>
      <c r="X45" t="s">
        <v>744</v>
      </c>
      <c r="Y45">
        <v>2019</v>
      </c>
      <c r="Z45" t="s">
        <v>745</v>
      </c>
      <c r="AA45" t="s">
        <v>743</v>
      </c>
      <c r="AB45" t="s">
        <v>685</v>
      </c>
      <c r="AC45" t="s">
        <v>746</v>
      </c>
      <c r="AD45">
        <v>7745045077</v>
      </c>
      <c r="AE45" t="s">
        <v>491</v>
      </c>
      <c r="AF45" t="s">
        <v>492</v>
      </c>
      <c r="AH45">
        <v>1</v>
      </c>
      <c r="AK45">
        <v>242</v>
      </c>
      <c r="AL45">
        <v>242</v>
      </c>
      <c r="AM45">
        <v>100</v>
      </c>
      <c r="AN45">
        <v>100</v>
      </c>
      <c r="AU45">
        <v>0</v>
      </c>
      <c r="AW45">
        <v>242</v>
      </c>
      <c r="BB45">
        <v>242</v>
      </c>
      <c r="BI45">
        <v>0</v>
      </c>
      <c r="BP45">
        <v>0</v>
      </c>
      <c r="BW45">
        <v>0</v>
      </c>
      <c r="CD45">
        <v>0</v>
      </c>
      <c r="CE45">
        <v>0</v>
      </c>
      <c r="CF45">
        <v>242</v>
      </c>
      <c r="CG45">
        <v>0</v>
      </c>
      <c r="CH45">
        <v>0</v>
      </c>
      <c r="CI45">
        <v>0</v>
      </c>
      <c r="CJ45">
        <v>0</v>
      </c>
      <c r="CK45">
        <v>242</v>
      </c>
      <c r="CR45">
        <v>0</v>
      </c>
      <c r="CT45">
        <v>2</v>
      </c>
      <c r="CY45">
        <v>2</v>
      </c>
      <c r="DF45">
        <v>0</v>
      </c>
      <c r="DM45">
        <v>0</v>
      </c>
      <c r="DT45">
        <v>0</v>
      </c>
      <c r="EA45">
        <v>0</v>
      </c>
      <c r="EB45">
        <v>0</v>
      </c>
      <c r="EC45">
        <v>2</v>
      </c>
      <c r="ED45">
        <v>0</v>
      </c>
      <c r="EE45">
        <v>0</v>
      </c>
      <c r="EF45">
        <v>0</v>
      </c>
      <c r="EG45">
        <v>0</v>
      </c>
      <c r="EH45">
        <v>2</v>
      </c>
      <c r="EI45" t="s">
        <v>404</v>
      </c>
      <c r="EJ45" t="s">
        <v>404</v>
      </c>
      <c r="EK45" t="s">
        <v>404</v>
      </c>
      <c r="EL45" t="s">
        <v>404</v>
      </c>
      <c r="EM45" t="s">
        <v>404</v>
      </c>
      <c r="EN45" t="s">
        <v>404</v>
      </c>
      <c r="EO45" t="s">
        <v>404</v>
      </c>
      <c r="EP45" t="s">
        <v>405</v>
      </c>
      <c r="EQ45" t="s">
        <v>404</v>
      </c>
      <c r="ER45" t="s">
        <v>404</v>
      </c>
      <c r="ES45" t="s">
        <v>404</v>
      </c>
      <c r="ET45" t="s">
        <v>404</v>
      </c>
      <c r="EU45" t="s">
        <v>404</v>
      </c>
      <c r="EV45" t="s">
        <v>404</v>
      </c>
      <c r="EW45" t="s">
        <v>404</v>
      </c>
      <c r="EX45" t="s">
        <v>404</v>
      </c>
      <c r="EY45" t="s">
        <v>404</v>
      </c>
      <c r="EZ45" t="s">
        <v>404</v>
      </c>
      <c r="FA45" t="s">
        <v>404</v>
      </c>
      <c r="FB45" t="s">
        <v>404</v>
      </c>
      <c r="FC45" t="s">
        <v>404</v>
      </c>
      <c r="FD45" t="s">
        <v>404</v>
      </c>
      <c r="FE45" t="s">
        <v>404</v>
      </c>
      <c r="FF45" t="s">
        <v>404</v>
      </c>
      <c r="FG45" t="s">
        <v>404</v>
      </c>
      <c r="FH45" t="s">
        <v>404</v>
      </c>
      <c r="FI45" t="s">
        <v>404</v>
      </c>
      <c r="FJ45" t="s">
        <v>404</v>
      </c>
      <c r="FK45" t="s">
        <v>404</v>
      </c>
      <c r="FL45" t="s">
        <v>404</v>
      </c>
      <c r="FM45" t="s">
        <v>404</v>
      </c>
      <c r="FN45" t="s">
        <v>404</v>
      </c>
      <c r="FO45" t="s">
        <v>404</v>
      </c>
      <c r="FP45" t="s">
        <v>404</v>
      </c>
      <c r="FQ45" t="s">
        <v>404</v>
      </c>
      <c r="FR45" t="s">
        <v>404</v>
      </c>
      <c r="FT45">
        <v>220</v>
      </c>
      <c r="FY45">
        <v>220</v>
      </c>
      <c r="GF45">
        <v>0</v>
      </c>
      <c r="GM45">
        <v>0</v>
      </c>
      <c r="GT45">
        <v>0</v>
      </c>
      <c r="HA45">
        <v>0</v>
      </c>
      <c r="HH45">
        <v>0</v>
      </c>
      <c r="HJ45">
        <v>22</v>
      </c>
      <c r="HO45">
        <v>22</v>
      </c>
      <c r="HW45">
        <v>0</v>
      </c>
      <c r="HX45">
        <v>0</v>
      </c>
      <c r="HY45">
        <v>242</v>
      </c>
      <c r="HZ45">
        <v>0</v>
      </c>
      <c r="IA45">
        <v>0</v>
      </c>
      <c r="IB45">
        <v>0</v>
      </c>
      <c r="IC45">
        <v>0</v>
      </c>
      <c r="ID45">
        <v>242</v>
      </c>
      <c r="IF45">
        <v>22</v>
      </c>
      <c r="IK45">
        <v>22</v>
      </c>
      <c r="IR45">
        <v>0</v>
      </c>
      <c r="IT45">
        <v>220</v>
      </c>
      <c r="IY45">
        <v>220</v>
      </c>
      <c r="JF45">
        <v>0</v>
      </c>
      <c r="JM45">
        <v>0</v>
      </c>
      <c r="JN45">
        <v>0</v>
      </c>
      <c r="JO45">
        <v>242</v>
      </c>
      <c r="JP45">
        <v>0</v>
      </c>
      <c r="JQ45">
        <v>0</v>
      </c>
      <c r="JR45">
        <v>0</v>
      </c>
      <c r="JS45">
        <v>0</v>
      </c>
      <c r="JT45">
        <v>242</v>
      </c>
      <c r="JW45">
        <v>100</v>
      </c>
      <c r="JZ45">
        <v>1</v>
      </c>
      <c r="KA45">
        <v>3</v>
      </c>
      <c r="KB45">
        <v>1</v>
      </c>
      <c r="KC45" t="s">
        <v>407</v>
      </c>
      <c r="OF45" t="s">
        <v>408</v>
      </c>
      <c r="SI45" t="s">
        <v>409</v>
      </c>
      <c r="WL45" t="s">
        <v>410</v>
      </c>
      <c r="AAO45" t="s">
        <v>411</v>
      </c>
      <c r="AER45" t="s">
        <v>412</v>
      </c>
    </row>
    <row r="46" spans="1:824" x14ac:dyDescent="0.2">
      <c r="A46" t="s">
        <v>747</v>
      </c>
      <c r="B46" t="s">
        <v>396</v>
      </c>
      <c r="C46" t="s">
        <v>748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>
        <v>805</v>
      </c>
      <c r="W46" s="3">
        <v>43531.674305555556</v>
      </c>
      <c r="X46" t="s">
        <v>749</v>
      </c>
      <c r="Y46">
        <v>2019</v>
      </c>
      <c r="Z46" t="s">
        <v>750</v>
      </c>
      <c r="AA46" t="s">
        <v>751</v>
      </c>
      <c r="AB46" t="s">
        <v>752</v>
      </c>
      <c r="AC46" t="s">
        <v>753</v>
      </c>
      <c r="AE46" t="s">
        <v>444</v>
      </c>
      <c r="AF46" t="s">
        <v>403</v>
      </c>
      <c r="AH46">
        <v>1</v>
      </c>
      <c r="AK46">
        <v>120</v>
      </c>
      <c r="AL46">
        <v>120</v>
      </c>
      <c r="AM46">
        <v>100</v>
      </c>
      <c r="AN46">
        <v>100</v>
      </c>
      <c r="AU46">
        <v>0</v>
      </c>
      <c r="AV46">
        <v>30</v>
      </c>
      <c r="AY46">
        <v>90</v>
      </c>
      <c r="BB46">
        <v>120</v>
      </c>
      <c r="BI46">
        <v>0</v>
      </c>
      <c r="BP46">
        <v>0</v>
      </c>
      <c r="BW46">
        <v>0</v>
      </c>
      <c r="CD46">
        <v>0</v>
      </c>
      <c r="CE46">
        <v>30</v>
      </c>
      <c r="CF46">
        <v>0</v>
      </c>
      <c r="CG46">
        <v>0</v>
      </c>
      <c r="CH46">
        <v>90</v>
      </c>
      <c r="CI46">
        <v>0</v>
      </c>
      <c r="CJ46">
        <v>0</v>
      </c>
      <c r="CK46">
        <v>120</v>
      </c>
      <c r="CR46">
        <v>0</v>
      </c>
      <c r="CS46">
        <v>1</v>
      </c>
      <c r="CV46">
        <v>1</v>
      </c>
      <c r="CY46">
        <v>2</v>
      </c>
      <c r="DF46">
        <v>0</v>
      </c>
      <c r="DM46">
        <v>0</v>
      </c>
      <c r="DT46">
        <v>0</v>
      </c>
      <c r="EA46">
        <v>0</v>
      </c>
      <c r="EB46">
        <v>1</v>
      </c>
      <c r="EC46">
        <v>0</v>
      </c>
      <c r="ED46">
        <v>0</v>
      </c>
      <c r="EE46">
        <v>1</v>
      </c>
      <c r="EF46">
        <v>0</v>
      </c>
      <c r="EG46">
        <v>0</v>
      </c>
      <c r="EH46">
        <v>2</v>
      </c>
      <c r="EI46" t="s">
        <v>404</v>
      </c>
      <c r="EJ46" t="s">
        <v>404</v>
      </c>
      <c r="EK46" t="s">
        <v>404</v>
      </c>
      <c r="EL46" t="s">
        <v>404</v>
      </c>
      <c r="EM46" t="s">
        <v>404</v>
      </c>
      <c r="EN46" t="s">
        <v>404</v>
      </c>
      <c r="EO46" t="s">
        <v>405</v>
      </c>
      <c r="EP46" t="s">
        <v>404</v>
      </c>
      <c r="EQ46" t="s">
        <v>404</v>
      </c>
      <c r="ER46" t="s">
        <v>405</v>
      </c>
      <c r="ES46" t="s">
        <v>404</v>
      </c>
      <c r="ET46" t="s">
        <v>404</v>
      </c>
      <c r="EU46" t="s">
        <v>404</v>
      </c>
      <c r="EV46" t="s">
        <v>404</v>
      </c>
      <c r="EW46" t="s">
        <v>404</v>
      </c>
      <c r="EX46" t="s">
        <v>404</v>
      </c>
      <c r="EY46" t="s">
        <v>404</v>
      </c>
      <c r="EZ46" t="s">
        <v>404</v>
      </c>
      <c r="FA46" t="s">
        <v>404</v>
      </c>
      <c r="FB46" t="s">
        <v>404</v>
      </c>
      <c r="FC46" t="s">
        <v>404</v>
      </c>
      <c r="FD46" t="s">
        <v>404</v>
      </c>
      <c r="FE46" t="s">
        <v>404</v>
      </c>
      <c r="FF46" t="s">
        <v>404</v>
      </c>
      <c r="FG46" t="s">
        <v>404</v>
      </c>
      <c r="FH46" t="s">
        <v>404</v>
      </c>
      <c r="FI46" t="s">
        <v>404</v>
      </c>
      <c r="FJ46" t="s">
        <v>404</v>
      </c>
      <c r="FK46" t="s">
        <v>404</v>
      </c>
      <c r="FL46" t="s">
        <v>404</v>
      </c>
      <c r="FM46" t="s">
        <v>404</v>
      </c>
      <c r="FN46" t="s">
        <v>404</v>
      </c>
      <c r="FO46" t="s">
        <v>404</v>
      </c>
      <c r="FP46" t="s">
        <v>404</v>
      </c>
      <c r="FQ46" t="s">
        <v>404</v>
      </c>
      <c r="FR46" t="s">
        <v>404</v>
      </c>
      <c r="FS46">
        <v>30</v>
      </c>
      <c r="FY46">
        <v>30</v>
      </c>
      <c r="GF46">
        <v>0</v>
      </c>
      <c r="GM46">
        <v>0</v>
      </c>
      <c r="GT46">
        <v>0</v>
      </c>
      <c r="HA46">
        <v>0</v>
      </c>
      <c r="HH46">
        <v>0</v>
      </c>
      <c r="HO46">
        <v>0</v>
      </c>
      <c r="HP46" t="s">
        <v>754</v>
      </c>
      <c r="HT46">
        <v>90</v>
      </c>
      <c r="HW46">
        <v>90</v>
      </c>
      <c r="HX46">
        <v>30</v>
      </c>
      <c r="HY46">
        <v>0</v>
      </c>
      <c r="HZ46">
        <v>0</v>
      </c>
      <c r="IA46">
        <v>90</v>
      </c>
      <c r="IB46">
        <v>0</v>
      </c>
      <c r="IC46">
        <v>0</v>
      </c>
      <c r="ID46">
        <v>120</v>
      </c>
      <c r="IK46">
        <v>0</v>
      </c>
      <c r="IL46">
        <v>30</v>
      </c>
      <c r="IO46">
        <v>90</v>
      </c>
      <c r="IR46">
        <v>120</v>
      </c>
      <c r="IY46">
        <v>0</v>
      </c>
      <c r="JF46">
        <v>0</v>
      </c>
      <c r="JM46">
        <v>0</v>
      </c>
      <c r="JN46">
        <v>30</v>
      </c>
      <c r="JO46">
        <v>0</v>
      </c>
      <c r="JP46">
        <v>0</v>
      </c>
      <c r="JQ46">
        <v>90</v>
      </c>
      <c r="JR46">
        <v>0</v>
      </c>
      <c r="JS46">
        <v>0</v>
      </c>
      <c r="JT46">
        <v>120</v>
      </c>
      <c r="JU46">
        <v>10</v>
      </c>
      <c r="JW46">
        <v>90</v>
      </c>
      <c r="JZ46">
        <v>1</v>
      </c>
      <c r="KA46">
        <v>2</v>
      </c>
      <c r="KB46">
        <v>1</v>
      </c>
      <c r="KC46" t="s">
        <v>407</v>
      </c>
      <c r="OF46" t="s">
        <v>408</v>
      </c>
      <c r="SI46" t="s">
        <v>409</v>
      </c>
      <c r="WL46" t="s">
        <v>410</v>
      </c>
      <c r="AAO46" t="s">
        <v>411</v>
      </c>
      <c r="AER46" t="s">
        <v>412</v>
      </c>
    </row>
    <row r="47" spans="1:824" x14ac:dyDescent="0.2">
      <c r="A47" t="s">
        <v>755</v>
      </c>
      <c r="B47" t="s">
        <v>563</v>
      </c>
      <c r="C47" t="s">
        <v>756</v>
      </c>
      <c r="P47" t="b">
        <v>1</v>
      </c>
      <c r="Q47" t="b">
        <v>1</v>
      </c>
      <c r="R47" t="b">
        <v>1</v>
      </c>
      <c r="S47" t="b">
        <v>0</v>
      </c>
      <c r="T47" t="b">
        <v>1</v>
      </c>
      <c r="U47" t="b">
        <v>0</v>
      </c>
      <c r="V47">
        <v>612</v>
      </c>
      <c r="W47" s="3">
        <v>43525.885416666664</v>
      </c>
      <c r="X47" t="s">
        <v>757</v>
      </c>
      <c r="Y47">
        <v>2019</v>
      </c>
      <c r="Z47" t="s">
        <v>758</v>
      </c>
      <c r="AA47" t="s">
        <v>759</v>
      </c>
      <c r="AC47" t="s">
        <v>760</v>
      </c>
      <c r="AD47">
        <v>9733554979</v>
      </c>
      <c r="AE47" t="s">
        <v>571</v>
      </c>
      <c r="AF47" t="s">
        <v>538</v>
      </c>
      <c r="AH47">
        <v>1</v>
      </c>
      <c r="AK47">
        <v>12125</v>
      </c>
      <c r="AM47">
        <v>12125</v>
      </c>
      <c r="AP47">
        <v>500</v>
      </c>
      <c r="AT47">
        <v>811.7</v>
      </c>
      <c r="AU47">
        <v>1311.7</v>
      </c>
      <c r="BA47">
        <v>32.4</v>
      </c>
      <c r="BB47">
        <v>32.4</v>
      </c>
      <c r="BC47">
        <v>694.8</v>
      </c>
      <c r="BD47">
        <v>493.2</v>
      </c>
      <c r="BF47">
        <v>562.1</v>
      </c>
      <c r="BH47">
        <v>8700</v>
      </c>
      <c r="BI47">
        <v>10450.1</v>
      </c>
      <c r="BP47">
        <v>0</v>
      </c>
      <c r="BV47">
        <v>330.4</v>
      </c>
      <c r="BW47">
        <v>330.4</v>
      </c>
      <c r="CD47">
        <v>0</v>
      </c>
      <c r="CE47">
        <v>694.8</v>
      </c>
      <c r="CF47">
        <v>993.2</v>
      </c>
      <c r="CG47">
        <v>0</v>
      </c>
      <c r="CH47">
        <v>562.1</v>
      </c>
      <c r="CI47">
        <v>0</v>
      </c>
      <c r="CJ47">
        <v>9874.5</v>
      </c>
      <c r="CK47">
        <v>12124.6</v>
      </c>
      <c r="CM47">
        <v>1</v>
      </c>
      <c r="CQ47">
        <v>1</v>
      </c>
      <c r="CR47">
        <v>2</v>
      </c>
      <c r="CX47">
        <v>1</v>
      </c>
      <c r="CY47">
        <v>1</v>
      </c>
      <c r="CZ47">
        <v>2</v>
      </c>
      <c r="DA47">
        <v>2</v>
      </c>
      <c r="DC47">
        <v>7</v>
      </c>
      <c r="DE47">
        <v>3</v>
      </c>
      <c r="DF47">
        <v>14</v>
      </c>
      <c r="DM47">
        <v>0</v>
      </c>
      <c r="DS47">
        <v>1</v>
      </c>
      <c r="DT47">
        <v>1</v>
      </c>
      <c r="EA47">
        <v>0</v>
      </c>
      <c r="EB47">
        <v>2</v>
      </c>
      <c r="EC47">
        <v>3</v>
      </c>
      <c r="ED47">
        <v>0</v>
      </c>
      <c r="EE47">
        <v>7</v>
      </c>
      <c r="EF47">
        <v>0</v>
      </c>
      <c r="EG47">
        <v>6</v>
      </c>
      <c r="EH47">
        <v>18</v>
      </c>
      <c r="EI47" t="s">
        <v>404</v>
      </c>
      <c r="EJ47" t="s">
        <v>405</v>
      </c>
      <c r="EK47" t="s">
        <v>404</v>
      </c>
      <c r="EL47" t="s">
        <v>404</v>
      </c>
      <c r="EM47" t="s">
        <v>404</v>
      </c>
      <c r="EN47" t="s">
        <v>405</v>
      </c>
      <c r="EO47" t="s">
        <v>404</v>
      </c>
      <c r="EP47" t="s">
        <v>404</v>
      </c>
      <c r="EQ47" t="s">
        <v>404</v>
      </c>
      <c r="ER47" t="s">
        <v>404</v>
      </c>
      <c r="ES47" t="s">
        <v>404</v>
      </c>
      <c r="ET47" t="s">
        <v>405</v>
      </c>
      <c r="EU47" t="s">
        <v>405</v>
      </c>
      <c r="EV47" t="s">
        <v>405</v>
      </c>
      <c r="EW47" t="s">
        <v>404</v>
      </c>
      <c r="EX47" t="s">
        <v>405</v>
      </c>
      <c r="EY47" t="s">
        <v>404</v>
      </c>
      <c r="EZ47" t="s">
        <v>405</v>
      </c>
      <c r="FA47" t="s">
        <v>404</v>
      </c>
      <c r="FB47" t="s">
        <v>404</v>
      </c>
      <c r="FC47" t="s">
        <v>404</v>
      </c>
      <c r="FD47" t="s">
        <v>404</v>
      </c>
      <c r="FE47" t="s">
        <v>404</v>
      </c>
      <c r="FF47" t="s">
        <v>404</v>
      </c>
      <c r="FG47" t="s">
        <v>404</v>
      </c>
      <c r="FH47" t="s">
        <v>404</v>
      </c>
      <c r="FI47" t="s">
        <v>404</v>
      </c>
      <c r="FJ47" t="s">
        <v>404</v>
      </c>
      <c r="FK47" t="s">
        <v>404</v>
      </c>
      <c r="FL47" t="s">
        <v>405</v>
      </c>
      <c r="FM47" t="s">
        <v>404</v>
      </c>
      <c r="FN47" t="s">
        <v>404</v>
      </c>
      <c r="FO47" t="s">
        <v>404</v>
      </c>
      <c r="FP47" t="s">
        <v>404</v>
      </c>
      <c r="FQ47" t="s">
        <v>404</v>
      </c>
      <c r="FR47" t="s">
        <v>404</v>
      </c>
      <c r="FS47">
        <v>25.1</v>
      </c>
      <c r="FY47">
        <v>25.1</v>
      </c>
      <c r="FZ47">
        <v>550.5</v>
      </c>
      <c r="GA47">
        <v>960</v>
      </c>
      <c r="GC47">
        <v>43.9</v>
      </c>
      <c r="GE47">
        <v>9874.5</v>
      </c>
      <c r="GF47">
        <v>11428.9</v>
      </c>
      <c r="GJ47">
        <v>314.39999999999998</v>
      </c>
      <c r="GM47">
        <v>314.39999999999998</v>
      </c>
      <c r="GN47">
        <v>90.9</v>
      </c>
      <c r="GO47">
        <v>33.1</v>
      </c>
      <c r="GQ47">
        <v>203.9</v>
      </c>
      <c r="GT47">
        <v>327.9</v>
      </c>
      <c r="HA47">
        <v>0</v>
      </c>
      <c r="HB47">
        <v>5.2</v>
      </c>
      <c r="HH47">
        <v>5.2</v>
      </c>
      <c r="HO47">
        <v>0</v>
      </c>
      <c r="HP47" t="s">
        <v>761</v>
      </c>
      <c r="HQ47">
        <v>23.1</v>
      </c>
      <c r="HW47">
        <v>23.1</v>
      </c>
      <c r="HX47">
        <v>694.8</v>
      </c>
      <c r="HY47">
        <v>993.1</v>
      </c>
      <c r="HZ47">
        <v>0</v>
      </c>
      <c r="IA47">
        <v>562.20000000000005</v>
      </c>
      <c r="IB47">
        <v>0</v>
      </c>
      <c r="IC47">
        <v>9874.5</v>
      </c>
      <c r="ID47">
        <v>12124.6</v>
      </c>
      <c r="IE47">
        <v>185.13</v>
      </c>
      <c r="IK47">
        <v>185.13</v>
      </c>
      <c r="IL47">
        <v>15.1</v>
      </c>
      <c r="IO47">
        <v>60.89</v>
      </c>
      <c r="IR47">
        <v>75.989999999999995</v>
      </c>
      <c r="IS47">
        <v>494.6</v>
      </c>
      <c r="IT47">
        <v>993.2</v>
      </c>
      <c r="IV47">
        <v>247.77</v>
      </c>
      <c r="IX47">
        <v>9874.5</v>
      </c>
      <c r="IY47">
        <v>11610.07</v>
      </c>
      <c r="JF47">
        <v>0</v>
      </c>
      <c r="JJ47">
        <v>253.41</v>
      </c>
      <c r="JM47">
        <v>253.41</v>
      </c>
      <c r="JN47">
        <v>694.83</v>
      </c>
      <c r="JO47">
        <v>993.2</v>
      </c>
      <c r="JP47">
        <v>0</v>
      </c>
      <c r="JQ47">
        <v>562.07000000000005</v>
      </c>
      <c r="JR47">
        <v>0</v>
      </c>
      <c r="JS47">
        <v>9874.5</v>
      </c>
      <c r="JT47">
        <v>12124.6</v>
      </c>
      <c r="JW47">
        <v>100</v>
      </c>
      <c r="JZ47">
        <v>1</v>
      </c>
      <c r="KA47">
        <v>1</v>
      </c>
      <c r="KB47">
        <v>1</v>
      </c>
      <c r="KC47" t="s">
        <v>407</v>
      </c>
      <c r="OF47" t="s">
        <v>408</v>
      </c>
      <c r="SI47" t="s">
        <v>409</v>
      </c>
      <c r="WL47" t="s">
        <v>410</v>
      </c>
      <c r="AAO47" t="s">
        <v>411</v>
      </c>
      <c r="AER47" t="s">
        <v>412</v>
      </c>
    </row>
    <row r="48" spans="1:824" x14ac:dyDescent="0.2">
      <c r="A48" t="s">
        <v>762</v>
      </c>
      <c r="B48" t="s">
        <v>396</v>
      </c>
      <c r="C48" t="s">
        <v>763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>
        <v>628</v>
      </c>
      <c r="W48" s="3">
        <v>43522.581944444442</v>
      </c>
      <c r="X48" t="s">
        <v>764</v>
      </c>
      <c r="Y48">
        <v>2019</v>
      </c>
      <c r="Z48" t="s">
        <v>765</v>
      </c>
      <c r="AA48" t="s">
        <v>766</v>
      </c>
      <c r="AB48" t="s">
        <v>767</v>
      </c>
      <c r="AC48" t="s">
        <v>768</v>
      </c>
      <c r="AD48">
        <v>1725255909</v>
      </c>
      <c r="AE48" t="s">
        <v>444</v>
      </c>
      <c r="AF48" t="s">
        <v>403</v>
      </c>
      <c r="AH48">
        <v>1</v>
      </c>
      <c r="AK48">
        <v>350</v>
      </c>
      <c r="AL48">
        <v>350</v>
      </c>
      <c r="AM48">
        <v>210</v>
      </c>
      <c r="AN48">
        <v>210</v>
      </c>
      <c r="AU48">
        <v>0</v>
      </c>
      <c r="AV48">
        <v>350</v>
      </c>
      <c r="BB48">
        <v>350</v>
      </c>
      <c r="BI48">
        <v>0</v>
      </c>
      <c r="BP48">
        <v>0</v>
      </c>
      <c r="BW48">
        <v>0</v>
      </c>
      <c r="CD48">
        <v>0</v>
      </c>
      <c r="CE48">
        <v>350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350</v>
      </c>
      <c r="CR48">
        <v>0</v>
      </c>
      <c r="CS48">
        <v>4</v>
      </c>
      <c r="CY48">
        <v>4</v>
      </c>
      <c r="DF48">
        <v>0</v>
      </c>
      <c r="DM48">
        <v>0</v>
      </c>
      <c r="DT48">
        <v>0</v>
      </c>
      <c r="EA48">
        <v>0</v>
      </c>
      <c r="EB48">
        <v>4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4</v>
      </c>
      <c r="EI48" t="s">
        <v>404</v>
      </c>
      <c r="EJ48" t="s">
        <v>404</v>
      </c>
      <c r="EK48" t="s">
        <v>404</v>
      </c>
      <c r="EL48" t="s">
        <v>404</v>
      </c>
      <c r="EM48" t="s">
        <v>404</v>
      </c>
      <c r="EN48" t="s">
        <v>404</v>
      </c>
      <c r="EO48" t="s">
        <v>405</v>
      </c>
      <c r="EP48" t="s">
        <v>404</v>
      </c>
      <c r="EQ48" t="s">
        <v>404</v>
      </c>
      <c r="ER48" t="s">
        <v>404</v>
      </c>
      <c r="ES48" t="s">
        <v>404</v>
      </c>
      <c r="ET48" t="s">
        <v>404</v>
      </c>
      <c r="EU48" t="s">
        <v>404</v>
      </c>
      <c r="EV48" t="s">
        <v>404</v>
      </c>
      <c r="EW48" t="s">
        <v>404</v>
      </c>
      <c r="EX48" t="s">
        <v>404</v>
      </c>
      <c r="EY48" t="s">
        <v>404</v>
      </c>
      <c r="EZ48" t="s">
        <v>404</v>
      </c>
      <c r="FA48" t="s">
        <v>404</v>
      </c>
      <c r="FB48" t="s">
        <v>404</v>
      </c>
      <c r="FC48" t="s">
        <v>404</v>
      </c>
      <c r="FD48" t="s">
        <v>404</v>
      </c>
      <c r="FE48" t="s">
        <v>404</v>
      </c>
      <c r="FF48" t="s">
        <v>404</v>
      </c>
      <c r="FG48" t="s">
        <v>404</v>
      </c>
      <c r="FH48" t="s">
        <v>404</v>
      </c>
      <c r="FI48" t="s">
        <v>404</v>
      </c>
      <c r="FJ48" t="s">
        <v>404</v>
      </c>
      <c r="FK48" t="s">
        <v>404</v>
      </c>
      <c r="FL48" t="s">
        <v>404</v>
      </c>
      <c r="FM48" t="s">
        <v>404</v>
      </c>
      <c r="FN48" t="s">
        <v>404</v>
      </c>
      <c r="FO48" t="s">
        <v>404</v>
      </c>
      <c r="FP48" t="s">
        <v>404</v>
      </c>
      <c r="FQ48" t="s">
        <v>404</v>
      </c>
      <c r="FR48" t="s">
        <v>404</v>
      </c>
      <c r="FS48">
        <v>140</v>
      </c>
      <c r="FY48">
        <v>140</v>
      </c>
      <c r="FZ48">
        <v>105</v>
      </c>
      <c r="GF48">
        <v>105</v>
      </c>
      <c r="GM48">
        <v>0</v>
      </c>
      <c r="GT48">
        <v>0</v>
      </c>
      <c r="GU48">
        <v>105</v>
      </c>
      <c r="HA48">
        <v>105</v>
      </c>
      <c r="HH48">
        <v>0</v>
      </c>
      <c r="HO48">
        <v>0</v>
      </c>
      <c r="HW48">
        <v>0</v>
      </c>
      <c r="HX48">
        <v>350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350</v>
      </c>
      <c r="IK48">
        <v>0</v>
      </c>
      <c r="IL48">
        <v>350</v>
      </c>
      <c r="IR48">
        <v>350</v>
      </c>
      <c r="IY48">
        <v>0</v>
      </c>
      <c r="JF48">
        <v>0</v>
      </c>
      <c r="JM48">
        <v>0</v>
      </c>
      <c r="JN48">
        <v>350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350</v>
      </c>
      <c r="JU48">
        <v>10</v>
      </c>
      <c r="JV48">
        <v>10</v>
      </c>
      <c r="JW48">
        <v>80</v>
      </c>
      <c r="JZ48">
        <v>1</v>
      </c>
      <c r="KA48">
        <v>2</v>
      </c>
      <c r="KB48">
        <v>1</v>
      </c>
      <c r="KC48" t="s">
        <v>407</v>
      </c>
      <c r="OF48" t="s">
        <v>408</v>
      </c>
      <c r="SI48" t="s">
        <v>409</v>
      </c>
      <c r="WL48" t="s">
        <v>410</v>
      </c>
      <c r="AAO48" t="s">
        <v>411</v>
      </c>
      <c r="AER48" t="s">
        <v>412</v>
      </c>
    </row>
    <row r="49" spans="1:824" x14ac:dyDescent="0.2">
      <c r="A49" t="s">
        <v>769</v>
      </c>
      <c r="B49" t="s">
        <v>396</v>
      </c>
      <c r="C49" t="s">
        <v>770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>
        <v>630</v>
      </c>
      <c r="W49" s="3">
        <v>43488.647916666669</v>
      </c>
      <c r="X49" t="s">
        <v>771</v>
      </c>
      <c r="Y49">
        <v>2019</v>
      </c>
      <c r="Z49" t="s">
        <v>772</v>
      </c>
      <c r="AA49" t="s">
        <v>773</v>
      </c>
      <c r="AB49" t="s">
        <v>774</v>
      </c>
      <c r="AC49" t="s">
        <v>775</v>
      </c>
      <c r="AD49">
        <v>491721085920</v>
      </c>
      <c r="AE49" t="s">
        <v>444</v>
      </c>
      <c r="AF49" t="s">
        <v>403</v>
      </c>
      <c r="AH49">
        <v>1</v>
      </c>
      <c r="AK49">
        <v>574</v>
      </c>
      <c r="AL49">
        <v>574</v>
      </c>
      <c r="AN49">
        <v>440</v>
      </c>
      <c r="AU49">
        <v>0</v>
      </c>
      <c r="AV49">
        <v>391</v>
      </c>
      <c r="AW49">
        <v>93</v>
      </c>
      <c r="AY49">
        <v>90</v>
      </c>
      <c r="BB49">
        <v>574</v>
      </c>
      <c r="BI49">
        <v>0</v>
      </c>
      <c r="BP49">
        <v>0</v>
      </c>
      <c r="BW49">
        <v>0</v>
      </c>
      <c r="CD49">
        <v>0</v>
      </c>
      <c r="CE49">
        <v>391</v>
      </c>
      <c r="CF49">
        <v>93</v>
      </c>
      <c r="CG49">
        <v>0</v>
      </c>
      <c r="CH49">
        <v>90</v>
      </c>
      <c r="CI49">
        <v>0</v>
      </c>
      <c r="CJ49">
        <v>0</v>
      </c>
      <c r="CK49">
        <v>574</v>
      </c>
      <c r="CR49">
        <v>0</v>
      </c>
      <c r="CS49">
        <v>3</v>
      </c>
      <c r="CT49">
        <v>1</v>
      </c>
      <c r="CV49">
        <v>3</v>
      </c>
      <c r="CY49">
        <v>7</v>
      </c>
      <c r="DF49">
        <v>0</v>
      </c>
      <c r="DM49">
        <v>0</v>
      </c>
      <c r="DT49">
        <v>0</v>
      </c>
      <c r="EA49">
        <v>0</v>
      </c>
      <c r="EB49">
        <v>3</v>
      </c>
      <c r="EC49">
        <v>1</v>
      </c>
      <c r="ED49">
        <v>0</v>
      </c>
      <c r="EE49">
        <v>3</v>
      </c>
      <c r="EF49">
        <v>0</v>
      </c>
      <c r="EG49">
        <v>0</v>
      </c>
      <c r="EH49">
        <v>7</v>
      </c>
      <c r="EI49" t="s">
        <v>404</v>
      </c>
      <c r="EJ49" t="s">
        <v>404</v>
      </c>
      <c r="EK49" t="s">
        <v>404</v>
      </c>
      <c r="EL49" t="s">
        <v>404</v>
      </c>
      <c r="EM49" t="s">
        <v>404</v>
      </c>
      <c r="EN49" t="s">
        <v>404</v>
      </c>
      <c r="EO49" t="s">
        <v>405</v>
      </c>
      <c r="EP49" t="s">
        <v>405</v>
      </c>
      <c r="EQ49" t="s">
        <v>404</v>
      </c>
      <c r="ER49" t="s">
        <v>405</v>
      </c>
      <c r="ES49" t="s">
        <v>404</v>
      </c>
      <c r="ET49" t="s">
        <v>404</v>
      </c>
      <c r="EU49" t="s">
        <v>404</v>
      </c>
      <c r="EV49" t="s">
        <v>404</v>
      </c>
      <c r="EW49" t="s">
        <v>404</v>
      </c>
      <c r="EX49" t="s">
        <v>404</v>
      </c>
      <c r="EY49" t="s">
        <v>404</v>
      </c>
      <c r="EZ49" t="s">
        <v>404</v>
      </c>
      <c r="FA49" t="s">
        <v>404</v>
      </c>
      <c r="FB49" t="s">
        <v>404</v>
      </c>
      <c r="FC49" t="s">
        <v>404</v>
      </c>
      <c r="FD49" t="s">
        <v>404</v>
      </c>
      <c r="FE49" t="s">
        <v>404</v>
      </c>
      <c r="FF49" t="s">
        <v>404</v>
      </c>
      <c r="FG49" t="s">
        <v>404</v>
      </c>
      <c r="FH49" t="s">
        <v>404</v>
      </c>
      <c r="FI49" t="s">
        <v>404</v>
      </c>
      <c r="FJ49" t="s">
        <v>404</v>
      </c>
      <c r="FK49" t="s">
        <v>404</v>
      </c>
      <c r="FL49" t="s">
        <v>404</v>
      </c>
      <c r="FM49" t="s">
        <v>404</v>
      </c>
      <c r="FN49" t="s">
        <v>404</v>
      </c>
      <c r="FO49" t="s">
        <v>404</v>
      </c>
      <c r="FP49" t="s">
        <v>404</v>
      </c>
      <c r="FQ49" t="s">
        <v>404</v>
      </c>
      <c r="FR49" t="s">
        <v>404</v>
      </c>
      <c r="FS49">
        <v>232</v>
      </c>
      <c r="FT49">
        <v>93</v>
      </c>
      <c r="FV49">
        <v>90</v>
      </c>
      <c r="FY49">
        <v>415</v>
      </c>
      <c r="FZ49">
        <v>159</v>
      </c>
      <c r="GF49">
        <v>159</v>
      </c>
      <c r="GM49">
        <v>0</v>
      </c>
      <c r="GT49">
        <v>0</v>
      </c>
      <c r="HA49">
        <v>0</v>
      </c>
      <c r="HH49">
        <v>0</v>
      </c>
      <c r="HO49">
        <v>0</v>
      </c>
      <c r="HW49">
        <v>0</v>
      </c>
      <c r="HX49">
        <v>391</v>
      </c>
      <c r="HY49">
        <v>93</v>
      </c>
      <c r="HZ49">
        <v>0</v>
      </c>
      <c r="IA49">
        <v>90</v>
      </c>
      <c r="IB49">
        <v>0</v>
      </c>
      <c r="IC49">
        <v>0</v>
      </c>
      <c r="ID49">
        <v>574</v>
      </c>
      <c r="IK49">
        <v>0</v>
      </c>
      <c r="IL49">
        <v>391</v>
      </c>
      <c r="IM49">
        <v>93</v>
      </c>
      <c r="IO49">
        <v>90</v>
      </c>
      <c r="IR49">
        <v>574</v>
      </c>
      <c r="IY49">
        <v>0</v>
      </c>
      <c r="JF49">
        <v>0</v>
      </c>
      <c r="JM49">
        <v>0</v>
      </c>
      <c r="JN49">
        <v>391</v>
      </c>
      <c r="JO49">
        <v>93</v>
      </c>
      <c r="JP49">
        <v>0</v>
      </c>
      <c r="JQ49">
        <v>90</v>
      </c>
      <c r="JR49">
        <v>0</v>
      </c>
      <c r="JS49">
        <v>0</v>
      </c>
      <c r="JT49">
        <v>574</v>
      </c>
      <c r="JW49">
        <v>100</v>
      </c>
      <c r="JZ49">
        <v>3</v>
      </c>
      <c r="KA49">
        <v>3</v>
      </c>
      <c r="KB49">
        <v>1</v>
      </c>
      <c r="KC49" t="s">
        <v>407</v>
      </c>
      <c r="OF49" t="s">
        <v>408</v>
      </c>
      <c r="SI49" t="s">
        <v>409</v>
      </c>
      <c r="WL49" t="s">
        <v>410</v>
      </c>
      <c r="AAO49" t="s">
        <v>411</v>
      </c>
      <c r="AER49" t="s">
        <v>412</v>
      </c>
    </row>
    <row r="50" spans="1:824" x14ac:dyDescent="0.2">
      <c r="A50" t="s">
        <v>776</v>
      </c>
      <c r="B50" t="s">
        <v>396</v>
      </c>
      <c r="C50" t="s">
        <v>777</v>
      </c>
      <c r="P50" t="b">
        <v>1</v>
      </c>
      <c r="Q50" t="b">
        <v>0</v>
      </c>
      <c r="R50" t="b">
        <v>1</v>
      </c>
      <c r="S50" t="b">
        <v>0</v>
      </c>
      <c r="T50" t="b">
        <v>0</v>
      </c>
      <c r="U50" t="b">
        <v>0</v>
      </c>
      <c r="V50">
        <v>757</v>
      </c>
      <c r="W50" s="3">
        <v>43525.472222222219</v>
      </c>
      <c r="X50" t="s">
        <v>778</v>
      </c>
      <c r="Y50">
        <v>2019</v>
      </c>
      <c r="Z50" t="s">
        <v>779</v>
      </c>
      <c r="AA50" t="s">
        <v>777</v>
      </c>
      <c r="AB50" t="s">
        <v>774</v>
      </c>
      <c r="AC50" t="s">
        <v>780</v>
      </c>
      <c r="AD50">
        <v>2039280785</v>
      </c>
      <c r="AE50" t="s">
        <v>491</v>
      </c>
      <c r="AF50" t="s">
        <v>538</v>
      </c>
      <c r="AH50">
        <v>1</v>
      </c>
      <c r="AK50">
        <v>1329</v>
      </c>
      <c r="AL50">
        <v>1329</v>
      </c>
      <c r="AM50">
        <v>340</v>
      </c>
      <c r="AN50">
        <v>340</v>
      </c>
      <c r="AU50">
        <v>0</v>
      </c>
      <c r="AW50">
        <v>1115</v>
      </c>
      <c r="AY50">
        <v>150</v>
      </c>
      <c r="BB50">
        <v>1265</v>
      </c>
      <c r="BC50">
        <v>64</v>
      </c>
      <c r="BI50">
        <v>64</v>
      </c>
      <c r="BP50">
        <v>0</v>
      </c>
      <c r="BW50">
        <v>0</v>
      </c>
      <c r="CD50">
        <v>0</v>
      </c>
      <c r="CE50">
        <v>64</v>
      </c>
      <c r="CF50">
        <v>1115</v>
      </c>
      <c r="CG50">
        <v>0</v>
      </c>
      <c r="CH50">
        <v>150</v>
      </c>
      <c r="CI50">
        <v>0</v>
      </c>
      <c r="CJ50">
        <v>0</v>
      </c>
      <c r="CK50">
        <v>1329</v>
      </c>
      <c r="CR50">
        <v>0</v>
      </c>
      <c r="CT50">
        <v>8</v>
      </c>
      <c r="CV50">
        <v>1</v>
      </c>
      <c r="CY50">
        <v>9</v>
      </c>
      <c r="CZ50">
        <v>1</v>
      </c>
      <c r="DF50">
        <v>1</v>
      </c>
      <c r="DM50">
        <v>0</v>
      </c>
      <c r="DT50">
        <v>0</v>
      </c>
      <c r="EA50">
        <v>0</v>
      </c>
      <c r="EB50">
        <v>1</v>
      </c>
      <c r="EC50">
        <v>8</v>
      </c>
      <c r="ED50">
        <v>0</v>
      </c>
      <c r="EE50">
        <v>1</v>
      </c>
      <c r="EF50">
        <v>0</v>
      </c>
      <c r="EG50">
        <v>0</v>
      </c>
      <c r="EH50">
        <v>10</v>
      </c>
      <c r="EI50" t="s">
        <v>404</v>
      </c>
      <c r="EJ50" t="s">
        <v>404</v>
      </c>
      <c r="EK50" t="s">
        <v>404</v>
      </c>
      <c r="EL50" t="s">
        <v>404</v>
      </c>
      <c r="EM50" t="s">
        <v>404</v>
      </c>
      <c r="EN50" t="s">
        <v>404</v>
      </c>
      <c r="EO50" t="s">
        <v>404</v>
      </c>
      <c r="EP50" t="s">
        <v>405</v>
      </c>
      <c r="EQ50" t="s">
        <v>404</v>
      </c>
      <c r="ER50" t="s">
        <v>405</v>
      </c>
      <c r="ES50" t="s">
        <v>404</v>
      </c>
      <c r="ET50" t="s">
        <v>404</v>
      </c>
      <c r="EU50" t="s">
        <v>405</v>
      </c>
      <c r="EV50" t="s">
        <v>404</v>
      </c>
      <c r="EW50" t="s">
        <v>404</v>
      </c>
      <c r="EX50" t="s">
        <v>404</v>
      </c>
      <c r="EY50" t="s">
        <v>404</v>
      </c>
      <c r="EZ50" t="s">
        <v>404</v>
      </c>
      <c r="FA50" t="s">
        <v>404</v>
      </c>
      <c r="FB50" t="s">
        <v>404</v>
      </c>
      <c r="FC50" t="s">
        <v>404</v>
      </c>
      <c r="FD50" t="s">
        <v>404</v>
      </c>
      <c r="FE50" t="s">
        <v>404</v>
      </c>
      <c r="FF50" t="s">
        <v>404</v>
      </c>
      <c r="FG50" t="s">
        <v>404</v>
      </c>
      <c r="FH50" t="s">
        <v>404</v>
      </c>
      <c r="FI50" t="s">
        <v>404</v>
      </c>
      <c r="FJ50" t="s">
        <v>404</v>
      </c>
      <c r="FK50" t="s">
        <v>404</v>
      </c>
      <c r="FL50" t="s">
        <v>404</v>
      </c>
      <c r="FM50" t="s">
        <v>404</v>
      </c>
      <c r="FN50" t="s">
        <v>404</v>
      </c>
      <c r="FO50" t="s">
        <v>404</v>
      </c>
      <c r="FP50" t="s">
        <v>404</v>
      </c>
      <c r="FQ50" t="s">
        <v>404</v>
      </c>
      <c r="FR50" t="s">
        <v>404</v>
      </c>
      <c r="FS50">
        <v>34</v>
      </c>
      <c r="FY50">
        <v>34</v>
      </c>
      <c r="GF50">
        <v>0</v>
      </c>
      <c r="GM50">
        <v>0</v>
      </c>
      <c r="GT50">
        <v>0</v>
      </c>
      <c r="HA50">
        <v>0</v>
      </c>
      <c r="HH50">
        <v>0</v>
      </c>
      <c r="HI50">
        <v>30</v>
      </c>
      <c r="HO50">
        <v>30</v>
      </c>
      <c r="HP50" t="s">
        <v>781</v>
      </c>
      <c r="HR50">
        <v>1115</v>
      </c>
      <c r="HT50">
        <v>150</v>
      </c>
      <c r="HW50">
        <v>1265</v>
      </c>
      <c r="HX50">
        <v>64</v>
      </c>
      <c r="HY50">
        <v>1115</v>
      </c>
      <c r="HZ50">
        <v>0</v>
      </c>
      <c r="IA50">
        <v>150</v>
      </c>
      <c r="IB50">
        <v>0</v>
      </c>
      <c r="IC50">
        <v>0</v>
      </c>
      <c r="ID50">
        <v>1329</v>
      </c>
      <c r="IK50">
        <v>0</v>
      </c>
      <c r="IL50">
        <v>34</v>
      </c>
      <c r="IR50">
        <v>34</v>
      </c>
      <c r="IS50">
        <v>30</v>
      </c>
      <c r="IT50">
        <v>1115</v>
      </c>
      <c r="IV50">
        <v>150</v>
      </c>
      <c r="IY50">
        <v>1295</v>
      </c>
      <c r="JF50">
        <v>0</v>
      </c>
      <c r="JM50">
        <v>0</v>
      </c>
      <c r="JN50">
        <v>64</v>
      </c>
      <c r="JO50">
        <v>1115</v>
      </c>
      <c r="JP50">
        <v>0</v>
      </c>
      <c r="JQ50">
        <v>150</v>
      </c>
      <c r="JR50">
        <v>0</v>
      </c>
      <c r="JS50">
        <v>0</v>
      </c>
      <c r="JT50">
        <v>1329</v>
      </c>
      <c r="JZ50">
        <v>1</v>
      </c>
      <c r="KA50">
        <v>3</v>
      </c>
      <c r="KB50">
        <v>2</v>
      </c>
      <c r="KC50" t="s">
        <v>407</v>
      </c>
      <c r="OF50" t="s">
        <v>408</v>
      </c>
      <c r="SI50" t="s">
        <v>409</v>
      </c>
      <c r="WL50" t="s">
        <v>410</v>
      </c>
      <c r="AAO50" t="s">
        <v>411</v>
      </c>
      <c r="AER50" t="s">
        <v>412</v>
      </c>
    </row>
    <row r="51" spans="1:824" x14ac:dyDescent="0.2">
      <c r="A51" t="s">
        <v>782</v>
      </c>
      <c r="B51" t="s">
        <v>396</v>
      </c>
      <c r="C51" t="s">
        <v>783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>
        <v>767</v>
      </c>
      <c r="W51" s="3">
        <v>43516.486111111109</v>
      </c>
      <c r="X51" t="s">
        <v>784</v>
      </c>
      <c r="Y51">
        <v>2019</v>
      </c>
      <c r="Z51" t="s">
        <v>785</v>
      </c>
      <c r="AA51" t="s">
        <v>783</v>
      </c>
      <c r="AB51" t="s">
        <v>786</v>
      </c>
      <c r="AC51" t="s">
        <v>787</v>
      </c>
      <c r="AD51">
        <v>7976103926</v>
      </c>
      <c r="AE51" t="s">
        <v>491</v>
      </c>
      <c r="AF51" t="s">
        <v>492</v>
      </c>
      <c r="AH51">
        <v>1</v>
      </c>
      <c r="AK51">
        <v>21</v>
      </c>
      <c r="AL51">
        <v>21</v>
      </c>
      <c r="AM51">
        <v>7</v>
      </c>
      <c r="AN51">
        <v>7</v>
      </c>
      <c r="AU51">
        <v>0</v>
      </c>
      <c r="AW51">
        <v>1</v>
      </c>
      <c r="AX51">
        <v>20</v>
      </c>
      <c r="BB51">
        <v>21</v>
      </c>
      <c r="BI51">
        <v>0</v>
      </c>
      <c r="BP51">
        <v>0</v>
      </c>
      <c r="BW51">
        <v>0</v>
      </c>
      <c r="CD51">
        <v>0</v>
      </c>
      <c r="CE51">
        <v>0</v>
      </c>
      <c r="CF51">
        <v>1</v>
      </c>
      <c r="CG51">
        <v>20</v>
      </c>
      <c r="CH51">
        <v>0</v>
      </c>
      <c r="CI51">
        <v>0</v>
      </c>
      <c r="CJ51">
        <v>0</v>
      </c>
      <c r="CK51">
        <v>21</v>
      </c>
      <c r="CR51">
        <v>0</v>
      </c>
      <c r="CT51">
        <v>1</v>
      </c>
      <c r="CU51">
        <v>1</v>
      </c>
      <c r="CY51">
        <v>2</v>
      </c>
      <c r="DF51">
        <v>0</v>
      </c>
      <c r="DM51">
        <v>0</v>
      </c>
      <c r="DT51">
        <v>0</v>
      </c>
      <c r="EA51">
        <v>0</v>
      </c>
      <c r="EB51">
        <v>0</v>
      </c>
      <c r="EC51">
        <v>1</v>
      </c>
      <c r="ED51">
        <v>1</v>
      </c>
      <c r="EE51">
        <v>0</v>
      </c>
      <c r="EF51">
        <v>0</v>
      </c>
      <c r="EG51">
        <v>0</v>
      </c>
      <c r="EH51">
        <v>2</v>
      </c>
      <c r="EI51" t="s">
        <v>404</v>
      </c>
      <c r="EJ51" t="s">
        <v>404</v>
      </c>
      <c r="EK51" t="s">
        <v>404</v>
      </c>
      <c r="EL51" t="s">
        <v>404</v>
      </c>
      <c r="EM51" t="s">
        <v>404</v>
      </c>
      <c r="EN51" t="s">
        <v>404</v>
      </c>
      <c r="EO51" t="s">
        <v>404</v>
      </c>
      <c r="EP51" t="s">
        <v>405</v>
      </c>
      <c r="EQ51" t="s">
        <v>405</v>
      </c>
      <c r="ER51" t="s">
        <v>404</v>
      </c>
      <c r="ES51" t="s">
        <v>404</v>
      </c>
      <c r="ET51" t="s">
        <v>404</v>
      </c>
      <c r="EU51" t="s">
        <v>404</v>
      </c>
      <c r="EV51" t="s">
        <v>404</v>
      </c>
      <c r="EW51" t="s">
        <v>404</v>
      </c>
      <c r="EX51" t="s">
        <v>404</v>
      </c>
      <c r="EY51" t="s">
        <v>404</v>
      </c>
      <c r="EZ51" t="s">
        <v>404</v>
      </c>
      <c r="FA51" t="s">
        <v>404</v>
      </c>
      <c r="FB51" t="s">
        <v>404</v>
      </c>
      <c r="FC51" t="s">
        <v>404</v>
      </c>
      <c r="FD51" t="s">
        <v>404</v>
      </c>
      <c r="FE51" t="s">
        <v>404</v>
      </c>
      <c r="FF51" t="s">
        <v>404</v>
      </c>
      <c r="FG51" t="s">
        <v>404</v>
      </c>
      <c r="FH51" t="s">
        <v>404</v>
      </c>
      <c r="FI51" t="s">
        <v>404</v>
      </c>
      <c r="FJ51" t="s">
        <v>404</v>
      </c>
      <c r="FK51" t="s">
        <v>404</v>
      </c>
      <c r="FL51" t="s">
        <v>404</v>
      </c>
      <c r="FM51" t="s">
        <v>404</v>
      </c>
      <c r="FN51" t="s">
        <v>404</v>
      </c>
      <c r="FO51" t="s">
        <v>404</v>
      </c>
      <c r="FP51" t="s">
        <v>404</v>
      </c>
      <c r="FQ51" t="s">
        <v>404</v>
      </c>
      <c r="FR51" t="s">
        <v>404</v>
      </c>
      <c r="FU51">
        <v>20</v>
      </c>
      <c r="FY51">
        <v>20</v>
      </c>
      <c r="GF51">
        <v>0</v>
      </c>
      <c r="GM51">
        <v>0</v>
      </c>
      <c r="GT51">
        <v>0</v>
      </c>
      <c r="HA51">
        <v>0</v>
      </c>
      <c r="HH51">
        <v>0</v>
      </c>
      <c r="HJ51">
        <v>1</v>
      </c>
      <c r="HO51">
        <v>1</v>
      </c>
      <c r="HW51">
        <v>0</v>
      </c>
      <c r="HX51">
        <v>0</v>
      </c>
      <c r="HY51">
        <v>1</v>
      </c>
      <c r="HZ51">
        <v>20</v>
      </c>
      <c r="IA51">
        <v>0</v>
      </c>
      <c r="IB51">
        <v>0</v>
      </c>
      <c r="IC51">
        <v>0</v>
      </c>
      <c r="ID51">
        <v>21</v>
      </c>
      <c r="IK51">
        <v>0</v>
      </c>
      <c r="IM51">
        <v>1</v>
      </c>
      <c r="IN51">
        <v>20</v>
      </c>
      <c r="IR51">
        <v>21</v>
      </c>
      <c r="IY51">
        <v>0</v>
      </c>
      <c r="JF51">
        <v>0</v>
      </c>
      <c r="JM51">
        <v>0</v>
      </c>
      <c r="JN51">
        <v>0</v>
      </c>
      <c r="JO51">
        <v>1</v>
      </c>
      <c r="JP51">
        <v>20</v>
      </c>
      <c r="JQ51">
        <v>0</v>
      </c>
      <c r="JR51">
        <v>0</v>
      </c>
      <c r="JS51">
        <v>0</v>
      </c>
      <c r="JT51">
        <v>21</v>
      </c>
      <c r="JU51">
        <v>0</v>
      </c>
      <c r="JW51">
        <v>100</v>
      </c>
      <c r="JZ51">
        <v>1</v>
      </c>
      <c r="KA51">
        <v>3</v>
      </c>
      <c r="KB51">
        <v>1</v>
      </c>
      <c r="KC51" t="s">
        <v>407</v>
      </c>
      <c r="OF51" t="s">
        <v>408</v>
      </c>
      <c r="SI51" t="s">
        <v>409</v>
      </c>
      <c r="WL51" t="s">
        <v>410</v>
      </c>
      <c r="AAO51" t="s">
        <v>411</v>
      </c>
      <c r="AER51" t="s">
        <v>412</v>
      </c>
    </row>
    <row r="52" spans="1:824" x14ac:dyDescent="0.2">
      <c r="A52" t="s">
        <v>788</v>
      </c>
      <c r="B52" t="s">
        <v>396</v>
      </c>
      <c r="C52" t="s">
        <v>789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>
        <v>807</v>
      </c>
      <c r="W52" s="3">
        <v>43524.502083333333</v>
      </c>
      <c r="X52" t="s">
        <v>790</v>
      </c>
      <c r="Y52">
        <v>2019</v>
      </c>
      <c r="Z52" t="s">
        <v>791</v>
      </c>
      <c r="AA52" t="s">
        <v>789</v>
      </c>
      <c r="AC52" t="s">
        <v>792</v>
      </c>
      <c r="AE52" t="s">
        <v>491</v>
      </c>
      <c r="AF52" t="s">
        <v>492</v>
      </c>
      <c r="AH52">
        <v>2</v>
      </c>
      <c r="AU52">
        <v>0</v>
      </c>
      <c r="BB52">
        <v>0</v>
      </c>
      <c r="BI52">
        <v>0</v>
      </c>
      <c r="BP52">
        <v>0</v>
      </c>
      <c r="BW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R52">
        <v>0</v>
      </c>
      <c r="CY52">
        <v>0</v>
      </c>
      <c r="DF52">
        <v>0</v>
      </c>
      <c r="DM52">
        <v>0</v>
      </c>
      <c r="DT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 t="s">
        <v>404</v>
      </c>
      <c r="EJ52" t="s">
        <v>404</v>
      </c>
      <c r="EK52" t="s">
        <v>404</v>
      </c>
      <c r="EL52" t="s">
        <v>404</v>
      </c>
      <c r="EM52" t="s">
        <v>404</v>
      </c>
      <c r="EN52" t="s">
        <v>404</v>
      </c>
      <c r="EO52" t="s">
        <v>404</v>
      </c>
      <c r="EP52" t="s">
        <v>404</v>
      </c>
      <c r="EQ52" t="s">
        <v>404</v>
      </c>
      <c r="ER52" t="s">
        <v>404</v>
      </c>
      <c r="ES52" t="s">
        <v>404</v>
      </c>
      <c r="ET52" t="s">
        <v>404</v>
      </c>
      <c r="EU52" t="s">
        <v>404</v>
      </c>
      <c r="EV52" t="s">
        <v>404</v>
      </c>
      <c r="EW52" t="s">
        <v>404</v>
      </c>
      <c r="EX52" t="s">
        <v>404</v>
      </c>
      <c r="EY52" t="s">
        <v>404</v>
      </c>
      <c r="EZ52" t="s">
        <v>404</v>
      </c>
      <c r="FA52" t="s">
        <v>404</v>
      </c>
      <c r="FB52" t="s">
        <v>404</v>
      </c>
      <c r="FC52" t="s">
        <v>404</v>
      </c>
      <c r="FD52" t="s">
        <v>404</v>
      </c>
      <c r="FE52" t="s">
        <v>404</v>
      </c>
      <c r="FF52" t="s">
        <v>404</v>
      </c>
      <c r="FG52" t="s">
        <v>404</v>
      </c>
      <c r="FH52" t="s">
        <v>404</v>
      </c>
      <c r="FI52" t="s">
        <v>404</v>
      </c>
      <c r="FJ52" t="s">
        <v>404</v>
      </c>
      <c r="FK52" t="s">
        <v>404</v>
      </c>
      <c r="FL52" t="s">
        <v>404</v>
      </c>
      <c r="FM52" t="s">
        <v>404</v>
      </c>
      <c r="FN52" t="s">
        <v>404</v>
      </c>
      <c r="FO52" t="s">
        <v>404</v>
      </c>
      <c r="FP52" t="s">
        <v>404</v>
      </c>
      <c r="FQ52" t="s">
        <v>404</v>
      </c>
      <c r="FR52" t="s">
        <v>404</v>
      </c>
      <c r="FY52">
        <v>0</v>
      </c>
      <c r="GF52">
        <v>0</v>
      </c>
      <c r="GM52">
        <v>0</v>
      </c>
      <c r="GT52">
        <v>0</v>
      </c>
      <c r="HA52">
        <v>0</v>
      </c>
      <c r="HH52">
        <v>0</v>
      </c>
      <c r="HO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K52">
        <v>0</v>
      </c>
      <c r="IR52">
        <v>0</v>
      </c>
      <c r="IY52">
        <v>0</v>
      </c>
      <c r="JF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KB52">
        <v>2</v>
      </c>
      <c r="KC52" t="s">
        <v>407</v>
      </c>
      <c r="OF52" t="s">
        <v>408</v>
      </c>
      <c r="SI52" t="s">
        <v>409</v>
      </c>
      <c r="WL52" t="s">
        <v>410</v>
      </c>
      <c r="AAO52" t="s">
        <v>411</v>
      </c>
      <c r="AER52" t="s">
        <v>412</v>
      </c>
    </row>
    <row r="53" spans="1:824" x14ac:dyDescent="0.2">
      <c r="A53" t="s">
        <v>793</v>
      </c>
      <c r="B53" t="s">
        <v>396</v>
      </c>
      <c r="C53" t="s">
        <v>794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>
        <v>804</v>
      </c>
      <c r="W53" s="3">
        <v>43522.436111111114</v>
      </c>
      <c r="X53" t="s">
        <v>795</v>
      </c>
      <c r="Y53">
        <v>2019</v>
      </c>
      <c r="Z53" t="s">
        <v>796</v>
      </c>
      <c r="AA53" t="s">
        <v>797</v>
      </c>
      <c r="AC53" t="s">
        <v>798</v>
      </c>
      <c r="AD53">
        <v>2078943482</v>
      </c>
      <c r="AE53" t="s">
        <v>491</v>
      </c>
      <c r="AF53" t="s">
        <v>403</v>
      </c>
      <c r="AH53">
        <v>1</v>
      </c>
      <c r="AK53">
        <v>568</v>
      </c>
      <c r="AM53">
        <v>130</v>
      </c>
      <c r="AU53">
        <v>0</v>
      </c>
      <c r="AV53">
        <v>550</v>
      </c>
      <c r="AY53">
        <v>18</v>
      </c>
      <c r="BB53">
        <v>568</v>
      </c>
      <c r="BI53">
        <v>0</v>
      </c>
      <c r="BP53">
        <v>0</v>
      </c>
      <c r="BW53">
        <v>0</v>
      </c>
      <c r="CD53">
        <v>0</v>
      </c>
      <c r="CE53">
        <v>550</v>
      </c>
      <c r="CF53">
        <v>0</v>
      </c>
      <c r="CG53">
        <v>0</v>
      </c>
      <c r="CH53">
        <v>18</v>
      </c>
      <c r="CI53">
        <v>0</v>
      </c>
      <c r="CJ53">
        <v>0</v>
      </c>
      <c r="CK53">
        <v>568</v>
      </c>
      <c r="CR53">
        <v>0</v>
      </c>
      <c r="CS53">
        <v>1</v>
      </c>
      <c r="CV53">
        <v>1</v>
      </c>
      <c r="CY53">
        <v>2</v>
      </c>
      <c r="DF53">
        <v>0</v>
      </c>
      <c r="DM53">
        <v>0</v>
      </c>
      <c r="DT53">
        <v>0</v>
      </c>
      <c r="EA53">
        <v>0</v>
      </c>
      <c r="EB53">
        <v>1</v>
      </c>
      <c r="EC53">
        <v>0</v>
      </c>
      <c r="ED53">
        <v>0</v>
      </c>
      <c r="EE53">
        <v>1</v>
      </c>
      <c r="EF53">
        <v>0</v>
      </c>
      <c r="EG53">
        <v>0</v>
      </c>
      <c r="EH53">
        <v>2</v>
      </c>
      <c r="EI53" t="s">
        <v>404</v>
      </c>
      <c r="EJ53" t="s">
        <v>404</v>
      </c>
      <c r="EK53" t="s">
        <v>404</v>
      </c>
      <c r="EL53" t="s">
        <v>404</v>
      </c>
      <c r="EM53" t="s">
        <v>404</v>
      </c>
      <c r="EN53" t="s">
        <v>404</v>
      </c>
      <c r="EO53" t="s">
        <v>405</v>
      </c>
      <c r="EP53" t="s">
        <v>404</v>
      </c>
      <c r="EQ53" t="s">
        <v>404</v>
      </c>
      <c r="ER53" t="s">
        <v>405</v>
      </c>
      <c r="ES53" t="s">
        <v>404</v>
      </c>
      <c r="ET53" t="s">
        <v>404</v>
      </c>
      <c r="EU53" t="s">
        <v>404</v>
      </c>
      <c r="EV53" t="s">
        <v>404</v>
      </c>
      <c r="EW53" t="s">
        <v>404</v>
      </c>
      <c r="EX53" t="s">
        <v>404</v>
      </c>
      <c r="EY53" t="s">
        <v>404</v>
      </c>
      <c r="EZ53" t="s">
        <v>404</v>
      </c>
      <c r="FA53" t="s">
        <v>404</v>
      </c>
      <c r="FB53" t="s">
        <v>404</v>
      </c>
      <c r="FC53" t="s">
        <v>404</v>
      </c>
      <c r="FD53" t="s">
        <v>404</v>
      </c>
      <c r="FE53" t="s">
        <v>404</v>
      </c>
      <c r="FF53" t="s">
        <v>404</v>
      </c>
      <c r="FG53" t="s">
        <v>404</v>
      </c>
      <c r="FH53" t="s">
        <v>404</v>
      </c>
      <c r="FI53" t="s">
        <v>404</v>
      </c>
      <c r="FJ53" t="s">
        <v>404</v>
      </c>
      <c r="FK53" t="s">
        <v>404</v>
      </c>
      <c r="FL53" t="s">
        <v>404</v>
      </c>
      <c r="FM53" t="s">
        <v>404</v>
      </c>
      <c r="FN53" t="s">
        <v>404</v>
      </c>
      <c r="FO53" t="s">
        <v>404</v>
      </c>
      <c r="FP53" t="s">
        <v>404</v>
      </c>
      <c r="FQ53" t="s">
        <v>404</v>
      </c>
      <c r="FR53" t="s">
        <v>404</v>
      </c>
      <c r="FS53">
        <v>350</v>
      </c>
      <c r="FV53">
        <v>18</v>
      </c>
      <c r="FY53">
        <v>368</v>
      </c>
      <c r="FZ53">
        <v>50</v>
      </c>
      <c r="GF53">
        <v>50</v>
      </c>
      <c r="GM53">
        <v>0</v>
      </c>
      <c r="GN53">
        <v>20</v>
      </c>
      <c r="GT53">
        <v>20</v>
      </c>
      <c r="GU53">
        <v>20</v>
      </c>
      <c r="HA53">
        <v>20</v>
      </c>
      <c r="HB53">
        <v>25</v>
      </c>
      <c r="HH53">
        <v>25</v>
      </c>
      <c r="HI53">
        <v>35</v>
      </c>
      <c r="HO53">
        <v>35</v>
      </c>
      <c r="HP53" t="s">
        <v>799</v>
      </c>
      <c r="HQ53">
        <v>50</v>
      </c>
      <c r="HW53">
        <v>50</v>
      </c>
      <c r="HX53">
        <v>550</v>
      </c>
      <c r="HY53">
        <v>0</v>
      </c>
      <c r="HZ53">
        <v>0</v>
      </c>
      <c r="IA53">
        <v>18</v>
      </c>
      <c r="IB53">
        <v>0</v>
      </c>
      <c r="IC53">
        <v>0</v>
      </c>
      <c r="ID53">
        <v>568</v>
      </c>
      <c r="IK53">
        <v>0</v>
      </c>
      <c r="IL53">
        <v>390</v>
      </c>
      <c r="IO53">
        <v>18</v>
      </c>
      <c r="IR53">
        <v>408</v>
      </c>
      <c r="IS53">
        <v>135</v>
      </c>
      <c r="IY53">
        <v>135</v>
      </c>
      <c r="IZ53">
        <v>25</v>
      </c>
      <c r="JF53">
        <v>25</v>
      </c>
      <c r="JM53">
        <v>0</v>
      </c>
      <c r="JN53">
        <v>550</v>
      </c>
      <c r="JO53">
        <v>0</v>
      </c>
      <c r="JP53">
        <v>0</v>
      </c>
      <c r="JQ53">
        <v>18</v>
      </c>
      <c r="JR53">
        <v>0</v>
      </c>
      <c r="JS53">
        <v>0</v>
      </c>
      <c r="JT53">
        <v>568</v>
      </c>
      <c r="JU53">
        <v>0</v>
      </c>
      <c r="JW53">
        <v>100</v>
      </c>
      <c r="JZ53">
        <v>3</v>
      </c>
      <c r="KA53">
        <v>3</v>
      </c>
      <c r="KB53">
        <v>2</v>
      </c>
      <c r="KC53" t="s">
        <v>407</v>
      </c>
      <c r="OF53" t="s">
        <v>408</v>
      </c>
      <c r="SI53" t="s">
        <v>409</v>
      </c>
      <c r="WL53" t="s">
        <v>410</v>
      </c>
      <c r="AAO53" t="s">
        <v>411</v>
      </c>
      <c r="AER53" t="s">
        <v>412</v>
      </c>
    </row>
    <row r="54" spans="1:824" x14ac:dyDescent="0.2">
      <c r="A54" t="s">
        <v>800</v>
      </c>
      <c r="B54" t="s">
        <v>414</v>
      </c>
      <c r="C54" t="s">
        <v>801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>
        <v>715</v>
      </c>
      <c r="W54" s="3">
        <v>43515.268750000003</v>
      </c>
      <c r="X54" t="s">
        <v>802</v>
      </c>
      <c r="Y54">
        <v>2019</v>
      </c>
      <c r="Z54" t="s">
        <v>803</v>
      </c>
      <c r="AA54" t="s">
        <v>801</v>
      </c>
      <c r="AB54" t="s">
        <v>804</v>
      </c>
      <c r="AC54" t="s">
        <v>805</v>
      </c>
      <c r="AD54">
        <v>408638841</v>
      </c>
      <c r="AE54" t="s">
        <v>420</v>
      </c>
      <c r="AF54" t="s">
        <v>421</v>
      </c>
      <c r="AH54">
        <v>2</v>
      </c>
      <c r="AI54">
        <v>6</v>
      </c>
      <c r="AJ54" t="s">
        <v>806</v>
      </c>
      <c r="AU54">
        <v>0</v>
      </c>
      <c r="BB54">
        <v>0</v>
      </c>
      <c r="BI54">
        <v>0</v>
      </c>
      <c r="BP54">
        <v>0</v>
      </c>
      <c r="BW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R54">
        <v>0</v>
      </c>
      <c r="CY54">
        <v>0</v>
      </c>
      <c r="DF54">
        <v>0</v>
      </c>
      <c r="DM54">
        <v>0</v>
      </c>
      <c r="DT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 t="s">
        <v>404</v>
      </c>
      <c r="EJ54" t="s">
        <v>404</v>
      </c>
      <c r="EK54" t="s">
        <v>404</v>
      </c>
      <c r="EL54" t="s">
        <v>404</v>
      </c>
      <c r="EM54" t="s">
        <v>404</v>
      </c>
      <c r="EN54" t="s">
        <v>404</v>
      </c>
      <c r="EO54" t="s">
        <v>404</v>
      </c>
      <c r="EP54" t="s">
        <v>404</v>
      </c>
      <c r="EQ54" t="s">
        <v>404</v>
      </c>
      <c r="ER54" t="s">
        <v>404</v>
      </c>
      <c r="ES54" t="s">
        <v>404</v>
      </c>
      <c r="ET54" t="s">
        <v>404</v>
      </c>
      <c r="EU54" t="s">
        <v>404</v>
      </c>
      <c r="EV54" t="s">
        <v>404</v>
      </c>
      <c r="EW54" t="s">
        <v>404</v>
      </c>
      <c r="EX54" t="s">
        <v>404</v>
      </c>
      <c r="EY54" t="s">
        <v>404</v>
      </c>
      <c r="EZ54" t="s">
        <v>404</v>
      </c>
      <c r="FA54" t="s">
        <v>404</v>
      </c>
      <c r="FB54" t="s">
        <v>404</v>
      </c>
      <c r="FC54" t="s">
        <v>404</v>
      </c>
      <c r="FD54" t="s">
        <v>404</v>
      </c>
      <c r="FE54" t="s">
        <v>404</v>
      </c>
      <c r="FF54" t="s">
        <v>404</v>
      </c>
      <c r="FG54" t="s">
        <v>404</v>
      </c>
      <c r="FH54" t="s">
        <v>404</v>
      </c>
      <c r="FI54" t="s">
        <v>404</v>
      </c>
      <c r="FJ54" t="s">
        <v>404</v>
      </c>
      <c r="FK54" t="s">
        <v>404</v>
      </c>
      <c r="FL54" t="s">
        <v>404</v>
      </c>
      <c r="FM54" t="s">
        <v>404</v>
      </c>
      <c r="FN54" t="s">
        <v>404</v>
      </c>
      <c r="FO54" t="s">
        <v>404</v>
      </c>
      <c r="FP54" t="s">
        <v>404</v>
      </c>
      <c r="FQ54" t="s">
        <v>404</v>
      </c>
      <c r="FR54" t="s">
        <v>404</v>
      </c>
      <c r="FY54">
        <v>0</v>
      </c>
      <c r="GF54">
        <v>0</v>
      </c>
      <c r="GM54">
        <v>0</v>
      </c>
      <c r="GT54">
        <v>0</v>
      </c>
      <c r="HA54">
        <v>0</v>
      </c>
      <c r="HH54">
        <v>0</v>
      </c>
      <c r="HO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K54">
        <v>0</v>
      </c>
      <c r="IR54">
        <v>0</v>
      </c>
      <c r="IY54">
        <v>0</v>
      </c>
      <c r="JF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Z54">
        <v>1</v>
      </c>
      <c r="KA54">
        <v>3</v>
      </c>
      <c r="KB54">
        <v>1</v>
      </c>
      <c r="KC54" t="s">
        <v>407</v>
      </c>
      <c r="OF54" t="s">
        <v>408</v>
      </c>
      <c r="SI54" t="s">
        <v>409</v>
      </c>
      <c r="WL54" t="s">
        <v>410</v>
      </c>
      <c r="AAO54" t="s">
        <v>411</v>
      </c>
      <c r="AER54" t="s">
        <v>412</v>
      </c>
    </row>
    <row r="55" spans="1:824" x14ac:dyDescent="0.2">
      <c r="A55" t="s">
        <v>807</v>
      </c>
      <c r="B55" t="s">
        <v>396</v>
      </c>
      <c r="C55" t="s">
        <v>808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>
        <v>775</v>
      </c>
      <c r="W55" s="3">
        <v>43516.661111111112</v>
      </c>
      <c r="X55" t="s">
        <v>809</v>
      </c>
      <c r="Y55">
        <v>2019</v>
      </c>
      <c r="Z55" t="s">
        <v>810</v>
      </c>
      <c r="AA55" t="s">
        <v>811</v>
      </c>
      <c r="AB55" t="s">
        <v>812</v>
      </c>
      <c r="AC55" t="s">
        <v>813</v>
      </c>
      <c r="AD55">
        <v>2073991936</v>
      </c>
      <c r="AE55" t="s">
        <v>491</v>
      </c>
      <c r="AF55" t="s">
        <v>492</v>
      </c>
      <c r="AH55">
        <v>1</v>
      </c>
      <c r="AK55">
        <v>220</v>
      </c>
      <c r="AL55">
        <v>220</v>
      </c>
      <c r="AM55">
        <v>50</v>
      </c>
      <c r="AN55">
        <v>50</v>
      </c>
      <c r="AU55">
        <v>0</v>
      </c>
      <c r="AV55">
        <v>220</v>
      </c>
      <c r="BB55">
        <v>220</v>
      </c>
      <c r="BI55">
        <v>0</v>
      </c>
      <c r="BP55">
        <v>0</v>
      </c>
      <c r="BW55">
        <v>0</v>
      </c>
      <c r="CD55">
        <v>0</v>
      </c>
      <c r="CE55">
        <v>220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220</v>
      </c>
      <c r="CR55">
        <v>0</v>
      </c>
      <c r="CS55">
        <v>1</v>
      </c>
      <c r="CY55">
        <v>1</v>
      </c>
      <c r="DF55">
        <v>0</v>
      </c>
      <c r="DM55">
        <v>0</v>
      </c>
      <c r="DT55">
        <v>0</v>
      </c>
      <c r="EA55">
        <v>0</v>
      </c>
      <c r="EB55">
        <v>1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1</v>
      </c>
      <c r="EI55" t="s">
        <v>404</v>
      </c>
      <c r="EJ55" t="s">
        <v>404</v>
      </c>
      <c r="EK55" t="s">
        <v>404</v>
      </c>
      <c r="EL55" t="s">
        <v>404</v>
      </c>
      <c r="EM55" t="s">
        <v>404</v>
      </c>
      <c r="EN55" t="s">
        <v>404</v>
      </c>
      <c r="EO55" t="s">
        <v>405</v>
      </c>
      <c r="EP55" t="s">
        <v>404</v>
      </c>
      <c r="EQ55" t="s">
        <v>404</v>
      </c>
      <c r="ER55" t="s">
        <v>404</v>
      </c>
      <c r="ES55" t="s">
        <v>404</v>
      </c>
      <c r="ET55" t="s">
        <v>404</v>
      </c>
      <c r="EU55" t="s">
        <v>404</v>
      </c>
      <c r="EV55" t="s">
        <v>404</v>
      </c>
      <c r="EW55" t="s">
        <v>404</v>
      </c>
      <c r="EX55" t="s">
        <v>404</v>
      </c>
      <c r="EY55" t="s">
        <v>404</v>
      </c>
      <c r="EZ55" t="s">
        <v>404</v>
      </c>
      <c r="FA55" t="s">
        <v>404</v>
      </c>
      <c r="FB55" t="s">
        <v>404</v>
      </c>
      <c r="FC55" t="s">
        <v>404</v>
      </c>
      <c r="FD55" t="s">
        <v>404</v>
      </c>
      <c r="FE55" t="s">
        <v>404</v>
      </c>
      <c r="FF55" t="s">
        <v>404</v>
      </c>
      <c r="FG55" t="s">
        <v>404</v>
      </c>
      <c r="FH55" t="s">
        <v>404</v>
      </c>
      <c r="FI55" t="s">
        <v>404</v>
      </c>
      <c r="FJ55" t="s">
        <v>404</v>
      </c>
      <c r="FK55" t="s">
        <v>404</v>
      </c>
      <c r="FL55" t="s">
        <v>404</v>
      </c>
      <c r="FM55" t="s">
        <v>404</v>
      </c>
      <c r="FN55" t="s">
        <v>404</v>
      </c>
      <c r="FO55" t="s">
        <v>404</v>
      </c>
      <c r="FP55" t="s">
        <v>404</v>
      </c>
      <c r="FQ55" t="s">
        <v>404</v>
      </c>
      <c r="FR55" t="s">
        <v>404</v>
      </c>
      <c r="FS55">
        <v>95</v>
      </c>
      <c r="FY55">
        <v>95</v>
      </c>
      <c r="GF55">
        <v>0</v>
      </c>
      <c r="GG55">
        <v>38</v>
      </c>
      <c r="GM55">
        <v>38</v>
      </c>
      <c r="GT55">
        <v>0</v>
      </c>
      <c r="GU55">
        <v>87</v>
      </c>
      <c r="HA55">
        <v>87</v>
      </c>
      <c r="HH55">
        <v>0</v>
      </c>
      <c r="HO55">
        <v>0</v>
      </c>
      <c r="HW55">
        <v>0</v>
      </c>
      <c r="HX55">
        <v>220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220</v>
      </c>
      <c r="IE55">
        <v>44</v>
      </c>
      <c r="IK55">
        <v>44</v>
      </c>
      <c r="IL55">
        <v>102</v>
      </c>
      <c r="IR55">
        <v>102</v>
      </c>
      <c r="IS55">
        <v>74</v>
      </c>
      <c r="IY55">
        <v>74</v>
      </c>
      <c r="JF55">
        <v>0</v>
      </c>
      <c r="JM55">
        <v>0</v>
      </c>
      <c r="JN55">
        <v>220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220</v>
      </c>
      <c r="JU55">
        <v>42</v>
      </c>
      <c r="JW55">
        <v>58</v>
      </c>
      <c r="JZ55">
        <v>1</v>
      </c>
      <c r="KA55">
        <v>2</v>
      </c>
      <c r="KB55">
        <v>1</v>
      </c>
      <c r="KC55" t="s">
        <v>407</v>
      </c>
      <c r="OF55" t="s">
        <v>408</v>
      </c>
      <c r="SI55" t="s">
        <v>409</v>
      </c>
      <c r="WL55" t="s">
        <v>410</v>
      </c>
      <c r="AAO55" t="s">
        <v>411</v>
      </c>
      <c r="AER55" t="s">
        <v>412</v>
      </c>
    </row>
    <row r="56" spans="1:824" x14ac:dyDescent="0.2">
      <c r="A56" t="s">
        <v>814</v>
      </c>
      <c r="B56" t="s">
        <v>563</v>
      </c>
      <c r="C56" t="s">
        <v>815</v>
      </c>
      <c r="D56" t="s">
        <v>478</v>
      </c>
      <c r="E56" s="3">
        <v>43518.92291666667</v>
      </c>
      <c r="H56" t="s">
        <v>502</v>
      </c>
      <c r="I56" s="3">
        <v>43518.925694444442</v>
      </c>
      <c r="P56" t="b">
        <v>0</v>
      </c>
      <c r="Q56" t="b">
        <v>1</v>
      </c>
      <c r="R56" t="b">
        <v>1</v>
      </c>
      <c r="S56" t="b">
        <v>0</v>
      </c>
      <c r="T56" t="b">
        <v>0</v>
      </c>
      <c r="U56" t="b">
        <v>0</v>
      </c>
      <c r="V56">
        <v>703</v>
      </c>
      <c r="W56" s="3">
        <v>43518.919444444444</v>
      </c>
      <c r="X56" t="s">
        <v>816</v>
      </c>
      <c r="Y56">
        <v>2019</v>
      </c>
      <c r="Z56" t="s">
        <v>817</v>
      </c>
      <c r="AA56" t="s">
        <v>815</v>
      </c>
      <c r="AB56" t="s">
        <v>818</v>
      </c>
      <c r="AC56" t="s">
        <v>819</v>
      </c>
      <c r="AD56" t="s">
        <v>820</v>
      </c>
      <c r="AE56" t="s">
        <v>571</v>
      </c>
      <c r="AF56" t="s">
        <v>538</v>
      </c>
      <c r="AH56">
        <v>1</v>
      </c>
      <c r="AK56">
        <v>5202</v>
      </c>
      <c r="AL56">
        <v>3514</v>
      </c>
      <c r="AM56">
        <v>3471</v>
      </c>
      <c r="AN56">
        <v>1782</v>
      </c>
      <c r="AO56">
        <v>155</v>
      </c>
      <c r="AP56">
        <v>28</v>
      </c>
      <c r="AU56">
        <v>183</v>
      </c>
      <c r="BB56">
        <v>0</v>
      </c>
      <c r="BC56">
        <v>1805</v>
      </c>
      <c r="BD56">
        <v>550</v>
      </c>
      <c r="BH56">
        <v>976</v>
      </c>
      <c r="BI56">
        <v>3331</v>
      </c>
      <c r="BP56">
        <v>0</v>
      </c>
      <c r="BW56">
        <v>0</v>
      </c>
      <c r="CD56">
        <v>0</v>
      </c>
      <c r="CE56">
        <v>1960</v>
      </c>
      <c r="CF56">
        <v>578</v>
      </c>
      <c r="CG56">
        <v>0</v>
      </c>
      <c r="CH56">
        <v>0</v>
      </c>
      <c r="CI56">
        <v>0</v>
      </c>
      <c r="CJ56">
        <v>976</v>
      </c>
      <c r="CK56">
        <v>3514</v>
      </c>
      <c r="CL56">
        <v>1</v>
      </c>
      <c r="CM56">
        <v>1</v>
      </c>
      <c r="CR56">
        <v>2</v>
      </c>
      <c r="CY56">
        <v>0</v>
      </c>
      <c r="CZ56">
        <v>2</v>
      </c>
      <c r="DA56">
        <v>1</v>
      </c>
      <c r="DE56">
        <v>4</v>
      </c>
      <c r="DF56">
        <v>7</v>
      </c>
      <c r="DM56">
        <v>0</v>
      </c>
      <c r="DT56">
        <v>0</v>
      </c>
      <c r="EA56">
        <v>0</v>
      </c>
      <c r="EB56">
        <v>3</v>
      </c>
      <c r="EC56">
        <v>2</v>
      </c>
      <c r="ED56">
        <v>0</v>
      </c>
      <c r="EE56">
        <v>0</v>
      </c>
      <c r="EF56">
        <v>0</v>
      </c>
      <c r="EG56">
        <v>4</v>
      </c>
      <c r="EH56">
        <v>9</v>
      </c>
      <c r="EI56" t="s">
        <v>405</v>
      </c>
      <c r="EJ56" t="s">
        <v>405</v>
      </c>
      <c r="EK56" t="s">
        <v>404</v>
      </c>
      <c r="EL56" t="s">
        <v>404</v>
      </c>
      <c r="EM56" t="s">
        <v>404</v>
      </c>
      <c r="EN56" t="s">
        <v>404</v>
      </c>
      <c r="EO56" t="s">
        <v>404</v>
      </c>
      <c r="EP56" t="s">
        <v>404</v>
      </c>
      <c r="EQ56" t="s">
        <v>404</v>
      </c>
      <c r="ER56" t="s">
        <v>404</v>
      </c>
      <c r="ES56" t="s">
        <v>404</v>
      </c>
      <c r="ET56" t="s">
        <v>404</v>
      </c>
      <c r="EU56" t="s">
        <v>405</v>
      </c>
      <c r="EV56" t="s">
        <v>405</v>
      </c>
      <c r="EW56" t="s">
        <v>404</v>
      </c>
      <c r="EX56" t="s">
        <v>404</v>
      </c>
      <c r="EY56" t="s">
        <v>404</v>
      </c>
      <c r="EZ56" t="s">
        <v>405</v>
      </c>
      <c r="FA56" t="s">
        <v>404</v>
      </c>
      <c r="FB56" t="s">
        <v>404</v>
      </c>
      <c r="FC56" t="s">
        <v>404</v>
      </c>
      <c r="FD56" t="s">
        <v>404</v>
      </c>
      <c r="FE56" t="s">
        <v>404</v>
      </c>
      <c r="FF56" t="s">
        <v>404</v>
      </c>
      <c r="FG56" t="s">
        <v>404</v>
      </c>
      <c r="FH56" t="s">
        <v>404</v>
      </c>
      <c r="FI56" t="s">
        <v>404</v>
      </c>
      <c r="FJ56" t="s">
        <v>404</v>
      </c>
      <c r="FK56" t="s">
        <v>404</v>
      </c>
      <c r="FL56" t="s">
        <v>404</v>
      </c>
      <c r="FM56" t="s">
        <v>404</v>
      </c>
      <c r="FN56" t="s">
        <v>404</v>
      </c>
      <c r="FO56" t="s">
        <v>404</v>
      </c>
      <c r="FP56" t="s">
        <v>404</v>
      </c>
      <c r="FQ56" t="s">
        <v>404</v>
      </c>
      <c r="FR56" t="s">
        <v>404</v>
      </c>
      <c r="FS56">
        <v>117</v>
      </c>
      <c r="FT56">
        <v>0</v>
      </c>
      <c r="FX56">
        <v>0</v>
      </c>
      <c r="FY56">
        <v>117</v>
      </c>
      <c r="FZ56">
        <v>0</v>
      </c>
      <c r="GA56">
        <v>0</v>
      </c>
      <c r="GE56">
        <v>0</v>
      </c>
      <c r="GF56">
        <v>0</v>
      </c>
      <c r="GG56">
        <v>0</v>
      </c>
      <c r="GH56">
        <v>28</v>
      </c>
      <c r="GL56">
        <v>0</v>
      </c>
      <c r="GM56">
        <v>28</v>
      </c>
      <c r="GN56">
        <v>1333</v>
      </c>
      <c r="GO56">
        <v>550</v>
      </c>
      <c r="GS56">
        <v>916</v>
      </c>
      <c r="GT56">
        <v>2799</v>
      </c>
      <c r="GU56">
        <v>21</v>
      </c>
      <c r="GV56">
        <v>0</v>
      </c>
      <c r="GZ56">
        <v>0</v>
      </c>
      <c r="HA56">
        <v>21</v>
      </c>
      <c r="HB56">
        <v>77</v>
      </c>
      <c r="HC56">
        <v>0</v>
      </c>
      <c r="HG56">
        <v>0</v>
      </c>
      <c r="HH56">
        <v>77</v>
      </c>
      <c r="HI56">
        <v>0</v>
      </c>
      <c r="HJ56">
        <v>0</v>
      </c>
      <c r="HN56">
        <v>0</v>
      </c>
      <c r="HO56">
        <v>0</v>
      </c>
      <c r="HP56" t="s">
        <v>821</v>
      </c>
      <c r="HQ56">
        <v>411</v>
      </c>
      <c r="HR56">
        <v>0</v>
      </c>
      <c r="HV56">
        <v>61</v>
      </c>
      <c r="HW56">
        <v>472</v>
      </c>
      <c r="HX56">
        <v>1959</v>
      </c>
      <c r="HY56">
        <v>578</v>
      </c>
      <c r="HZ56">
        <v>0</v>
      </c>
      <c r="IA56">
        <v>0</v>
      </c>
      <c r="IB56">
        <v>0</v>
      </c>
      <c r="IC56">
        <v>977</v>
      </c>
      <c r="ID56">
        <v>3514</v>
      </c>
      <c r="IE56">
        <v>180</v>
      </c>
      <c r="IF56">
        <v>28</v>
      </c>
      <c r="IJ56">
        <v>428</v>
      </c>
      <c r="IK56">
        <v>636</v>
      </c>
      <c r="IL56">
        <v>94</v>
      </c>
      <c r="IR56">
        <v>94</v>
      </c>
      <c r="IS56">
        <v>1686</v>
      </c>
      <c r="IT56">
        <v>550</v>
      </c>
      <c r="IX56">
        <v>548</v>
      </c>
      <c r="IY56">
        <v>2784</v>
      </c>
      <c r="JF56">
        <v>0</v>
      </c>
      <c r="JM56">
        <v>0</v>
      </c>
      <c r="JN56">
        <v>1960</v>
      </c>
      <c r="JO56">
        <v>578</v>
      </c>
      <c r="JP56">
        <v>0</v>
      </c>
      <c r="JQ56">
        <v>0</v>
      </c>
      <c r="JR56">
        <v>0</v>
      </c>
      <c r="JS56">
        <v>976</v>
      </c>
      <c r="JT56">
        <v>3514</v>
      </c>
      <c r="JV56">
        <v>5</v>
      </c>
      <c r="JW56">
        <v>50</v>
      </c>
      <c r="JX56" t="s">
        <v>822</v>
      </c>
      <c r="JY56">
        <v>45</v>
      </c>
      <c r="JZ56">
        <v>3</v>
      </c>
      <c r="KA56">
        <v>1</v>
      </c>
      <c r="KB56">
        <v>1</v>
      </c>
      <c r="KC56" t="s">
        <v>407</v>
      </c>
      <c r="KD56">
        <v>18</v>
      </c>
      <c r="KJ56">
        <v>18</v>
      </c>
      <c r="KQ56">
        <v>0</v>
      </c>
      <c r="KS56">
        <v>28</v>
      </c>
      <c r="KX56">
        <v>28</v>
      </c>
      <c r="KY56">
        <v>132</v>
      </c>
      <c r="LE56">
        <v>132</v>
      </c>
      <c r="LL56">
        <v>0</v>
      </c>
      <c r="LS56">
        <v>0</v>
      </c>
      <c r="LZ56">
        <v>0</v>
      </c>
      <c r="MA56" t="s">
        <v>823</v>
      </c>
      <c r="MB56">
        <v>5</v>
      </c>
      <c r="MH56">
        <v>5</v>
      </c>
      <c r="MI56">
        <v>155</v>
      </c>
      <c r="MJ56">
        <v>28</v>
      </c>
      <c r="MK56">
        <v>0</v>
      </c>
      <c r="ML56">
        <v>0</v>
      </c>
      <c r="MM56">
        <v>0</v>
      </c>
      <c r="MN56">
        <v>0</v>
      </c>
      <c r="MO56">
        <v>183</v>
      </c>
      <c r="MP56">
        <v>17</v>
      </c>
      <c r="MV56">
        <v>17</v>
      </c>
      <c r="MX56">
        <v>28</v>
      </c>
      <c r="NC56">
        <v>28</v>
      </c>
      <c r="ND56">
        <v>138</v>
      </c>
      <c r="NJ56">
        <v>138</v>
      </c>
      <c r="NQ56">
        <v>0</v>
      </c>
      <c r="NX56">
        <v>0</v>
      </c>
      <c r="NY56">
        <v>155</v>
      </c>
      <c r="NZ56">
        <v>28</v>
      </c>
      <c r="OA56">
        <v>0</v>
      </c>
      <c r="OB56">
        <v>0</v>
      </c>
      <c r="OC56">
        <v>0</v>
      </c>
      <c r="OD56">
        <v>0</v>
      </c>
      <c r="OE56">
        <v>183</v>
      </c>
      <c r="OF56" t="s">
        <v>408</v>
      </c>
      <c r="SI56" t="s">
        <v>409</v>
      </c>
      <c r="SJ56">
        <v>99</v>
      </c>
      <c r="SP56">
        <v>99</v>
      </c>
      <c r="SW56">
        <v>0</v>
      </c>
      <c r="TD56">
        <v>0</v>
      </c>
      <c r="TE56">
        <v>1202</v>
      </c>
      <c r="TF56">
        <v>550</v>
      </c>
      <c r="TJ56">
        <v>915</v>
      </c>
      <c r="TK56">
        <v>2667</v>
      </c>
      <c r="TL56">
        <v>21</v>
      </c>
      <c r="TR56">
        <v>21</v>
      </c>
      <c r="TS56">
        <v>77</v>
      </c>
      <c r="TY56">
        <v>77</v>
      </c>
      <c r="UF56">
        <v>0</v>
      </c>
      <c r="UG56" t="s">
        <v>821</v>
      </c>
      <c r="UH56">
        <v>406</v>
      </c>
      <c r="UM56">
        <v>61</v>
      </c>
      <c r="UN56">
        <v>467</v>
      </c>
      <c r="UO56">
        <v>1805</v>
      </c>
      <c r="UP56">
        <v>550</v>
      </c>
      <c r="UQ56">
        <v>0</v>
      </c>
      <c r="UR56">
        <v>0</v>
      </c>
      <c r="US56">
        <v>0</v>
      </c>
      <c r="UT56">
        <v>976</v>
      </c>
      <c r="UU56">
        <v>3331</v>
      </c>
      <c r="UV56">
        <v>77</v>
      </c>
      <c r="VB56">
        <v>77</v>
      </c>
      <c r="VC56">
        <v>180</v>
      </c>
      <c r="VH56">
        <v>428</v>
      </c>
      <c r="VI56">
        <v>608</v>
      </c>
      <c r="VJ56">
        <v>1548</v>
      </c>
      <c r="VK56">
        <v>550</v>
      </c>
      <c r="VO56">
        <v>548</v>
      </c>
      <c r="VP56">
        <v>2646</v>
      </c>
      <c r="VW56">
        <v>0</v>
      </c>
      <c r="WD56">
        <v>0</v>
      </c>
      <c r="WE56">
        <v>1805</v>
      </c>
      <c r="WF56">
        <v>550</v>
      </c>
      <c r="WG56">
        <v>0</v>
      </c>
      <c r="WH56">
        <v>0</v>
      </c>
      <c r="WI56">
        <v>0</v>
      </c>
      <c r="WJ56">
        <v>976</v>
      </c>
      <c r="WK56">
        <v>3331</v>
      </c>
      <c r="WL56" t="s">
        <v>410</v>
      </c>
      <c r="AAO56" t="s">
        <v>411</v>
      </c>
      <c r="AER56" t="s">
        <v>412</v>
      </c>
    </row>
    <row r="57" spans="1:824" x14ac:dyDescent="0.2">
      <c r="A57" t="s">
        <v>824</v>
      </c>
      <c r="B57" t="s">
        <v>563</v>
      </c>
      <c r="C57" t="s">
        <v>825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b">
        <v>0</v>
      </c>
      <c r="V57">
        <v>721</v>
      </c>
      <c r="W57" s="3">
        <v>43514.571527777778</v>
      </c>
      <c r="X57" t="s">
        <v>826</v>
      </c>
      <c r="Y57">
        <v>2019</v>
      </c>
      <c r="Z57" t="s">
        <v>827</v>
      </c>
      <c r="AA57" t="s">
        <v>828</v>
      </c>
      <c r="AB57" t="s">
        <v>713</v>
      </c>
      <c r="AC57" t="s">
        <v>829</v>
      </c>
      <c r="AD57" t="s">
        <v>830</v>
      </c>
      <c r="AE57" t="s">
        <v>571</v>
      </c>
      <c r="AF57" t="s">
        <v>538</v>
      </c>
      <c r="AH57">
        <v>1</v>
      </c>
      <c r="AK57">
        <v>7400</v>
      </c>
      <c r="AL57">
        <v>7400</v>
      </c>
      <c r="AM57">
        <v>7400</v>
      </c>
      <c r="AN57">
        <v>7400</v>
      </c>
      <c r="AU57">
        <v>0</v>
      </c>
      <c r="BB57">
        <v>0</v>
      </c>
      <c r="BD57">
        <v>1700</v>
      </c>
      <c r="BH57">
        <v>5700</v>
      </c>
      <c r="BI57">
        <v>7400</v>
      </c>
      <c r="BP57">
        <v>0</v>
      </c>
      <c r="BW57">
        <v>0</v>
      </c>
      <c r="CD57">
        <v>0</v>
      </c>
      <c r="CE57">
        <v>0</v>
      </c>
      <c r="CF57">
        <v>1700</v>
      </c>
      <c r="CG57">
        <v>0</v>
      </c>
      <c r="CH57">
        <v>0</v>
      </c>
      <c r="CI57">
        <v>0</v>
      </c>
      <c r="CJ57">
        <v>5700</v>
      </c>
      <c r="CK57">
        <v>7400</v>
      </c>
      <c r="CR57">
        <v>0</v>
      </c>
      <c r="CY57">
        <v>0</v>
      </c>
      <c r="DA57">
        <v>1</v>
      </c>
      <c r="DE57">
        <v>1</v>
      </c>
      <c r="DF57">
        <v>2</v>
      </c>
      <c r="DM57">
        <v>0</v>
      </c>
      <c r="DT57">
        <v>0</v>
      </c>
      <c r="EA57">
        <v>0</v>
      </c>
      <c r="EB57">
        <v>0</v>
      </c>
      <c r="EC57">
        <v>1</v>
      </c>
      <c r="ED57">
        <v>0</v>
      </c>
      <c r="EE57">
        <v>0</v>
      </c>
      <c r="EF57">
        <v>0</v>
      </c>
      <c r="EG57">
        <v>1</v>
      </c>
      <c r="EH57">
        <v>2</v>
      </c>
      <c r="EI57" t="s">
        <v>404</v>
      </c>
      <c r="EJ57" t="s">
        <v>404</v>
      </c>
      <c r="EK57" t="s">
        <v>404</v>
      </c>
      <c r="EL57" t="s">
        <v>404</v>
      </c>
      <c r="EM57" t="s">
        <v>404</v>
      </c>
      <c r="EN57" t="s">
        <v>404</v>
      </c>
      <c r="EO57" t="s">
        <v>404</v>
      </c>
      <c r="EP57" t="s">
        <v>404</v>
      </c>
      <c r="EQ57" t="s">
        <v>404</v>
      </c>
      <c r="ER57" t="s">
        <v>404</v>
      </c>
      <c r="ES57" t="s">
        <v>404</v>
      </c>
      <c r="ET57" t="s">
        <v>404</v>
      </c>
      <c r="EU57" t="s">
        <v>404</v>
      </c>
      <c r="EV57" t="s">
        <v>405</v>
      </c>
      <c r="EW57" t="s">
        <v>404</v>
      </c>
      <c r="EX57" t="s">
        <v>404</v>
      </c>
      <c r="EY57" t="s">
        <v>404</v>
      </c>
      <c r="EZ57" t="s">
        <v>405</v>
      </c>
      <c r="FA57" t="s">
        <v>404</v>
      </c>
      <c r="FB57" t="s">
        <v>404</v>
      </c>
      <c r="FC57" t="s">
        <v>404</v>
      </c>
      <c r="FD57" t="s">
        <v>404</v>
      </c>
      <c r="FE57" t="s">
        <v>404</v>
      </c>
      <c r="FF57" t="s">
        <v>404</v>
      </c>
      <c r="FG57" t="s">
        <v>404</v>
      </c>
      <c r="FH57" t="s">
        <v>404</v>
      </c>
      <c r="FI57" t="s">
        <v>404</v>
      </c>
      <c r="FJ57" t="s">
        <v>404</v>
      </c>
      <c r="FK57" t="s">
        <v>404</v>
      </c>
      <c r="FL57" t="s">
        <v>404</v>
      </c>
      <c r="FM57" t="s">
        <v>404</v>
      </c>
      <c r="FN57" t="s">
        <v>404</v>
      </c>
      <c r="FO57" t="s">
        <v>404</v>
      </c>
      <c r="FP57" t="s">
        <v>404</v>
      </c>
      <c r="FQ57" t="s">
        <v>404</v>
      </c>
      <c r="FR57" t="s">
        <v>404</v>
      </c>
      <c r="FY57">
        <v>0</v>
      </c>
      <c r="GA57">
        <v>1700</v>
      </c>
      <c r="GE57">
        <v>5700</v>
      </c>
      <c r="GF57">
        <v>7400</v>
      </c>
      <c r="GM57">
        <v>0</v>
      </c>
      <c r="GT57">
        <v>0</v>
      </c>
      <c r="HA57">
        <v>0</v>
      </c>
      <c r="HH57">
        <v>0</v>
      </c>
      <c r="HO57">
        <v>0</v>
      </c>
      <c r="HW57">
        <v>0</v>
      </c>
      <c r="HX57">
        <v>0</v>
      </c>
      <c r="HY57">
        <v>1700</v>
      </c>
      <c r="HZ57">
        <v>0</v>
      </c>
      <c r="IA57">
        <v>0</v>
      </c>
      <c r="IB57">
        <v>0</v>
      </c>
      <c r="IC57">
        <v>5700</v>
      </c>
      <c r="ID57">
        <v>7400</v>
      </c>
      <c r="IK57">
        <v>0</v>
      </c>
      <c r="IR57">
        <v>0</v>
      </c>
      <c r="IT57">
        <v>1700</v>
      </c>
      <c r="IX57">
        <v>5700</v>
      </c>
      <c r="IY57">
        <v>7400</v>
      </c>
      <c r="JF57">
        <v>0</v>
      </c>
      <c r="JM57">
        <v>0</v>
      </c>
      <c r="JN57">
        <v>0</v>
      </c>
      <c r="JO57">
        <v>1700</v>
      </c>
      <c r="JP57">
        <v>0</v>
      </c>
      <c r="JQ57">
        <v>0</v>
      </c>
      <c r="JR57">
        <v>0</v>
      </c>
      <c r="JS57">
        <v>5700</v>
      </c>
      <c r="JT57">
        <v>7400</v>
      </c>
      <c r="JX57" t="s">
        <v>831</v>
      </c>
      <c r="JY57">
        <v>100</v>
      </c>
      <c r="JZ57">
        <v>2</v>
      </c>
      <c r="KA57">
        <v>3</v>
      </c>
      <c r="KB57">
        <v>2</v>
      </c>
      <c r="KC57" t="s">
        <v>407</v>
      </c>
      <c r="OF57" t="s">
        <v>408</v>
      </c>
      <c r="SI57" t="s">
        <v>409</v>
      </c>
      <c r="WL57" t="s">
        <v>410</v>
      </c>
      <c r="AAO57" t="s">
        <v>411</v>
      </c>
      <c r="AER57" t="s">
        <v>412</v>
      </c>
    </row>
    <row r="58" spans="1:824" x14ac:dyDescent="0.2">
      <c r="A58" t="s">
        <v>832</v>
      </c>
      <c r="B58" t="s">
        <v>396</v>
      </c>
      <c r="C58" t="s">
        <v>833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>
        <v>576</v>
      </c>
      <c r="W58" s="3">
        <v>43486.443749999999</v>
      </c>
      <c r="X58" t="s">
        <v>834</v>
      </c>
      <c r="Y58">
        <v>2019</v>
      </c>
      <c r="Z58" t="s">
        <v>835</v>
      </c>
      <c r="AA58" t="s">
        <v>833</v>
      </c>
      <c r="AB58" t="s">
        <v>836</v>
      </c>
      <c r="AC58" t="s">
        <v>837</v>
      </c>
      <c r="AE58" t="s">
        <v>444</v>
      </c>
      <c r="AF58" t="s">
        <v>403</v>
      </c>
      <c r="AH58">
        <v>1</v>
      </c>
      <c r="AK58">
        <v>182</v>
      </c>
      <c r="AL58">
        <v>182</v>
      </c>
      <c r="AM58">
        <v>182</v>
      </c>
      <c r="AN58">
        <v>182</v>
      </c>
      <c r="AU58">
        <v>0</v>
      </c>
      <c r="AV58">
        <v>182</v>
      </c>
      <c r="BB58">
        <v>182</v>
      </c>
      <c r="BI58">
        <v>0</v>
      </c>
      <c r="BP58">
        <v>0</v>
      </c>
      <c r="BW58">
        <v>0</v>
      </c>
      <c r="CD58">
        <v>0</v>
      </c>
      <c r="CE58">
        <v>182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182</v>
      </c>
      <c r="CR58">
        <v>0</v>
      </c>
      <c r="CS58">
        <v>2</v>
      </c>
      <c r="CY58">
        <v>2</v>
      </c>
      <c r="DF58">
        <v>0</v>
      </c>
      <c r="DM58">
        <v>0</v>
      </c>
      <c r="DT58">
        <v>0</v>
      </c>
      <c r="EA58">
        <v>0</v>
      </c>
      <c r="EB58">
        <v>2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2</v>
      </c>
      <c r="EI58" t="s">
        <v>404</v>
      </c>
      <c r="EJ58" t="s">
        <v>404</v>
      </c>
      <c r="EK58" t="s">
        <v>404</v>
      </c>
      <c r="EL58" t="s">
        <v>404</v>
      </c>
      <c r="EM58" t="s">
        <v>404</v>
      </c>
      <c r="EN58" t="s">
        <v>404</v>
      </c>
      <c r="EO58" t="s">
        <v>405</v>
      </c>
      <c r="EP58" t="s">
        <v>404</v>
      </c>
      <c r="EQ58" t="s">
        <v>404</v>
      </c>
      <c r="ER58" t="s">
        <v>404</v>
      </c>
      <c r="ES58" t="s">
        <v>404</v>
      </c>
      <c r="ET58" t="s">
        <v>404</v>
      </c>
      <c r="EU58" t="s">
        <v>404</v>
      </c>
      <c r="EV58" t="s">
        <v>404</v>
      </c>
      <c r="EW58" t="s">
        <v>404</v>
      </c>
      <c r="EX58" t="s">
        <v>404</v>
      </c>
      <c r="EY58" t="s">
        <v>404</v>
      </c>
      <c r="EZ58" t="s">
        <v>404</v>
      </c>
      <c r="FA58" t="s">
        <v>404</v>
      </c>
      <c r="FB58" t="s">
        <v>404</v>
      </c>
      <c r="FC58" t="s">
        <v>404</v>
      </c>
      <c r="FD58" t="s">
        <v>404</v>
      </c>
      <c r="FE58" t="s">
        <v>404</v>
      </c>
      <c r="FF58" t="s">
        <v>404</v>
      </c>
      <c r="FG58" t="s">
        <v>404</v>
      </c>
      <c r="FH58" t="s">
        <v>404</v>
      </c>
      <c r="FI58" t="s">
        <v>404</v>
      </c>
      <c r="FJ58" t="s">
        <v>404</v>
      </c>
      <c r="FK58" t="s">
        <v>404</v>
      </c>
      <c r="FL58" t="s">
        <v>404</v>
      </c>
      <c r="FM58" t="s">
        <v>404</v>
      </c>
      <c r="FN58" t="s">
        <v>404</v>
      </c>
      <c r="FO58" t="s">
        <v>404</v>
      </c>
      <c r="FP58" t="s">
        <v>404</v>
      </c>
      <c r="FQ58" t="s">
        <v>404</v>
      </c>
      <c r="FR58" t="s">
        <v>404</v>
      </c>
      <c r="FS58">
        <v>35.299999999999997</v>
      </c>
      <c r="FY58">
        <v>35.299999999999997</v>
      </c>
      <c r="FZ58">
        <v>11.3</v>
      </c>
      <c r="GF58">
        <v>11.3</v>
      </c>
      <c r="GM58">
        <v>0</v>
      </c>
      <c r="GT58">
        <v>0</v>
      </c>
      <c r="GU58">
        <v>1.3</v>
      </c>
      <c r="HA58">
        <v>1.3</v>
      </c>
      <c r="HB58">
        <v>118.7</v>
      </c>
      <c r="HH58">
        <v>118.7</v>
      </c>
      <c r="HO58">
        <v>0</v>
      </c>
      <c r="HP58" t="s">
        <v>838</v>
      </c>
      <c r="HQ58">
        <v>15.4</v>
      </c>
      <c r="HW58">
        <v>15.4</v>
      </c>
      <c r="HX58">
        <v>182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182</v>
      </c>
      <c r="IK58">
        <v>0</v>
      </c>
      <c r="IL58">
        <v>182</v>
      </c>
      <c r="IR58">
        <v>182</v>
      </c>
      <c r="IY58">
        <v>0</v>
      </c>
      <c r="JF58">
        <v>0</v>
      </c>
      <c r="JM58">
        <v>0</v>
      </c>
      <c r="JN58">
        <v>182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182</v>
      </c>
      <c r="JW58">
        <v>100</v>
      </c>
      <c r="JZ58">
        <v>1</v>
      </c>
      <c r="KA58">
        <v>3</v>
      </c>
      <c r="KB58">
        <v>1</v>
      </c>
      <c r="KC58" t="s">
        <v>407</v>
      </c>
      <c r="OF58" t="s">
        <v>408</v>
      </c>
      <c r="SI58" t="s">
        <v>409</v>
      </c>
      <c r="WL58" t="s">
        <v>410</v>
      </c>
      <c r="AAO58" t="s">
        <v>411</v>
      </c>
      <c r="AER58" t="s">
        <v>412</v>
      </c>
    </row>
    <row r="59" spans="1:824" x14ac:dyDescent="0.2">
      <c r="A59" t="s">
        <v>839</v>
      </c>
      <c r="B59" t="s">
        <v>396</v>
      </c>
      <c r="C59" t="s">
        <v>840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>
        <v>620</v>
      </c>
      <c r="W59" s="3">
        <v>43490.441666666666</v>
      </c>
      <c r="X59" t="s">
        <v>841</v>
      </c>
      <c r="Y59">
        <v>2019</v>
      </c>
      <c r="Z59" t="s">
        <v>842</v>
      </c>
      <c r="AA59" t="s">
        <v>843</v>
      </c>
      <c r="AB59" t="s">
        <v>844</v>
      </c>
      <c r="AC59" t="s">
        <v>845</v>
      </c>
      <c r="AD59" t="s">
        <v>846</v>
      </c>
      <c r="AE59" t="s">
        <v>444</v>
      </c>
      <c r="AF59" t="s">
        <v>403</v>
      </c>
      <c r="AH59">
        <v>1</v>
      </c>
      <c r="AL59">
        <v>100</v>
      </c>
      <c r="AN59">
        <v>92.3</v>
      </c>
      <c r="AU59">
        <v>0</v>
      </c>
      <c r="AV59">
        <v>100</v>
      </c>
      <c r="BB59">
        <v>100</v>
      </c>
      <c r="BI59">
        <v>0</v>
      </c>
      <c r="BP59">
        <v>0</v>
      </c>
      <c r="BW59">
        <v>0</v>
      </c>
      <c r="CD59">
        <v>0</v>
      </c>
      <c r="CE59">
        <v>100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100</v>
      </c>
      <c r="CR59">
        <v>0</v>
      </c>
      <c r="CS59">
        <v>1</v>
      </c>
      <c r="CY59">
        <v>1</v>
      </c>
      <c r="DF59">
        <v>0</v>
      </c>
      <c r="DM59">
        <v>0</v>
      </c>
      <c r="DT59">
        <v>0</v>
      </c>
      <c r="EA59">
        <v>0</v>
      </c>
      <c r="EB59">
        <v>1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1</v>
      </c>
      <c r="EI59" t="s">
        <v>404</v>
      </c>
      <c r="EJ59" t="s">
        <v>404</v>
      </c>
      <c r="EK59" t="s">
        <v>404</v>
      </c>
      <c r="EL59" t="s">
        <v>404</v>
      </c>
      <c r="EM59" t="s">
        <v>404</v>
      </c>
      <c r="EN59" t="s">
        <v>404</v>
      </c>
      <c r="EO59" t="s">
        <v>405</v>
      </c>
      <c r="EP59" t="s">
        <v>404</v>
      </c>
      <c r="EQ59" t="s">
        <v>404</v>
      </c>
      <c r="ER59" t="s">
        <v>404</v>
      </c>
      <c r="ES59" t="s">
        <v>404</v>
      </c>
      <c r="ET59" t="s">
        <v>404</v>
      </c>
      <c r="EU59" t="s">
        <v>404</v>
      </c>
      <c r="EV59" t="s">
        <v>404</v>
      </c>
      <c r="EW59" t="s">
        <v>404</v>
      </c>
      <c r="EX59" t="s">
        <v>404</v>
      </c>
      <c r="EY59" t="s">
        <v>404</v>
      </c>
      <c r="EZ59" t="s">
        <v>404</v>
      </c>
      <c r="FA59" t="s">
        <v>404</v>
      </c>
      <c r="FB59" t="s">
        <v>404</v>
      </c>
      <c r="FC59" t="s">
        <v>404</v>
      </c>
      <c r="FD59" t="s">
        <v>404</v>
      </c>
      <c r="FE59" t="s">
        <v>404</v>
      </c>
      <c r="FF59" t="s">
        <v>404</v>
      </c>
      <c r="FG59" t="s">
        <v>404</v>
      </c>
      <c r="FH59" t="s">
        <v>404</v>
      </c>
      <c r="FI59" t="s">
        <v>404</v>
      </c>
      <c r="FJ59" t="s">
        <v>404</v>
      </c>
      <c r="FK59" t="s">
        <v>404</v>
      </c>
      <c r="FL59" t="s">
        <v>404</v>
      </c>
      <c r="FM59" t="s">
        <v>404</v>
      </c>
      <c r="FN59" t="s">
        <v>404</v>
      </c>
      <c r="FO59" t="s">
        <v>404</v>
      </c>
      <c r="FP59" t="s">
        <v>404</v>
      </c>
      <c r="FQ59" t="s">
        <v>404</v>
      </c>
      <c r="FR59" t="s">
        <v>404</v>
      </c>
      <c r="FY59">
        <v>0</v>
      </c>
      <c r="GF59">
        <v>0</v>
      </c>
      <c r="GM59">
        <v>0</v>
      </c>
      <c r="GT59">
        <v>0</v>
      </c>
      <c r="HA59">
        <v>0</v>
      </c>
      <c r="HH59">
        <v>0</v>
      </c>
      <c r="HO59">
        <v>0</v>
      </c>
      <c r="HP59" t="s">
        <v>847</v>
      </c>
      <c r="HQ59">
        <v>100</v>
      </c>
      <c r="HW59">
        <v>100</v>
      </c>
      <c r="HX59">
        <v>100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100</v>
      </c>
      <c r="IK59">
        <v>0</v>
      </c>
      <c r="IL59">
        <v>100</v>
      </c>
      <c r="IR59">
        <v>100</v>
      </c>
      <c r="IY59">
        <v>0</v>
      </c>
      <c r="JF59">
        <v>0</v>
      </c>
      <c r="JM59">
        <v>0</v>
      </c>
      <c r="JN59">
        <v>100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100</v>
      </c>
      <c r="JW59">
        <v>100</v>
      </c>
      <c r="JZ59">
        <v>1</v>
      </c>
      <c r="KA59">
        <v>3</v>
      </c>
      <c r="KB59">
        <v>1</v>
      </c>
      <c r="KC59" t="s">
        <v>407</v>
      </c>
      <c r="OF59" t="s">
        <v>408</v>
      </c>
      <c r="SI59" t="s">
        <v>409</v>
      </c>
      <c r="WL59" t="s">
        <v>410</v>
      </c>
      <c r="AAO59" t="s">
        <v>411</v>
      </c>
      <c r="AER59" t="s">
        <v>412</v>
      </c>
    </row>
    <row r="60" spans="1:824" x14ac:dyDescent="0.2">
      <c r="A60" t="s">
        <v>848</v>
      </c>
      <c r="B60" t="s">
        <v>396</v>
      </c>
      <c r="C60" t="s">
        <v>849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>
        <v>640</v>
      </c>
      <c r="W60" s="3">
        <v>43509.538888888892</v>
      </c>
      <c r="X60" t="s">
        <v>850</v>
      </c>
      <c r="Y60">
        <v>2019</v>
      </c>
      <c r="Z60" t="s">
        <v>851</v>
      </c>
      <c r="AA60" t="s">
        <v>849</v>
      </c>
      <c r="AB60" t="s">
        <v>852</v>
      </c>
      <c r="AC60" t="s">
        <v>853</v>
      </c>
      <c r="AD60" t="s">
        <v>854</v>
      </c>
      <c r="AE60" t="s">
        <v>402</v>
      </c>
      <c r="AF60" t="s">
        <v>403</v>
      </c>
      <c r="AH60">
        <v>1</v>
      </c>
      <c r="AK60">
        <v>675</v>
      </c>
      <c r="AL60">
        <v>675</v>
      </c>
      <c r="AM60">
        <v>307</v>
      </c>
      <c r="AN60">
        <v>307</v>
      </c>
      <c r="AU60">
        <v>0</v>
      </c>
      <c r="AV60">
        <v>675</v>
      </c>
      <c r="BB60">
        <v>675</v>
      </c>
      <c r="BI60">
        <v>0</v>
      </c>
      <c r="BP60">
        <v>0</v>
      </c>
      <c r="BW60">
        <v>0</v>
      </c>
      <c r="CD60">
        <v>0</v>
      </c>
      <c r="CE60">
        <v>675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675</v>
      </c>
      <c r="CR60">
        <v>0</v>
      </c>
      <c r="CS60">
        <v>1</v>
      </c>
      <c r="CY60">
        <v>1</v>
      </c>
      <c r="DF60">
        <v>0</v>
      </c>
      <c r="DM60">
        <v>0</v>
      </c>
      <c r="DT60">
        <v>0</v>
      </c>
      <c r="EA60">
        <v>0</v>
      </c>
      <c r="EB60">
        <v>1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1</v>
      </c>
      <c r="EI60" t="s">
        <v>404</v>
      </c>
      <c r="EJ60" t="s">
        <v>404</v>
      </c>
      <c r="EK60" t="s">
        <v>404</v>
      </c>
      <c r="EL60" t="s">
        <v>404</v>
      </c>
      <c r="EM60" t="s">
        <v>404</v>
      </c>
      <c r="EN60" t="s">
        <v>404</v>
      </c>
      <c r="EO60" t="s">
        <v>405</v>
      </c>
      <c r="EP60" t="s">
        <v>404</v>
      </c>
      <c r="EQ60" t="s">
        <v>404</v>
      </c>
      <c r="ER60" t="s">
        <v>404</v>
      </c>
      <c r="ES60" t="s">
        <v>404</v>
      </c>
      <c r="ET60" t="s">
        <v>404</v>
      </c>
      <c r="EU60" t="s">
        <v>404</v>
      </c>
      <c r="EV60" t="s">
        <v>404</v>
      </c>
      <c r="EW60" t="s">
        <v>404</v>
      </c>
      <c r="EX60" t="s">
        <v>404</v>
      </c>
      <c r="EY60" t="s">
        <v>404</v>
      </c>
      <c r="EZ60" t="s">
        <v>404</v>
      </c>
      <c r="FA60" t="s">
        <v>404</v>
      </c>
      <c r="FB60" t="s">
        <v>404</v>
      </c>
      <c r="FC60" t="s">
        <v>404</v>
      </c>
      <c r="FD60" t="s">
        <v>404</v>
      </c>
      <c r="FE60" t="s">
        <v>404</v>
      </c>
      <c r="FF60" t="s">
        <v>404</v>
      </c>
      <c r="FG60" t="s">
        <v>404</v>
      </c>
      <c r="FH60" t="s">
        <v>404</v>
      </c>
      <c r="FI60" t="s">
        <v>404</v>
      </c>
      <c r="FJ60" t="s">
        <v>404</v>
      </c>
      <c r="FK60" t="s">
        <v>404</v>
      </c>
      <c r="FL60" t="s">
        <v>404</v>
      </c>
      <c r="FM60" t="s">
        <v>404</v>
      </c>
      <c r="FN60" t="s">
        <v>404</v>
      </c>
      <c r="FO60" t="s">
        <v>404</v>
      </c>
      <c r="FP60" t="s">
        <v>404</v>
      </c>
      <c r="FQ60" t="s">
        <v>404</v>
      </c>
      <c r="FR60" t="s">
        <v>404</v>
      </c>
      <c r="FS60">
        <v>212</v>
      </c>
      <c r="FY60">
        <v>212</v>
      </c>
      <c r="FZ60">
        <v>153</v>
      </c>
      <c r="GF60">
        <v>153</v>
      </c>
      <c r="GG60">
        <v>0</v>
      </c>
      <c r="GM60">
        <v>0</v>
      </c>
      <c r="GN60">
        <v>0</v>
      </c>
      <c r="GT60">
        <v>0</v>
      </c>
      <c r="GU60">
        <v>90</v>
      </c>
      <c r="HA60">
        <v>90</v>
      </c>
      <c r="HB60">
        <v>0</v>
      </c>
      <c r="HH60">
        <v>0</v>
      </c>
      <c r="HI60">
        <v>14</v>
      </c>
      <c r="HO60">
        <v>14</v>
      </c>
      <c r="HP60" t="s">
        <v>855</v>
      </c>
      <c r="HQ60">
        <v>206</v>
      </c>
      <c r="HW60">
        <v>206</v>
      </c>
      <c r="HX60">
        <v>675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675</v>
      </c>
      <c r="IE60">
        <v>120</v>
      </c>
      <c r="IK60">
        <v>120</v>
      </c>
      <c r="IL60">
        <v>390</v>
      </c>
      <c r="IR60">
        <v>390</v>
      </c>
      <c r="IS60">
        <v>165</v>
      </c>
      <c r="IY60">
        <v>165</v>
      </c>
      <c r="JF60">
        <v>0</v>
      </c>
      <c r="JM60">
        <v>0</v>
      </c>
      <c r="JN60">
        <v>675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675</v>
      </c>
      <c r="JU60">
        <v>0</v>
      </c>
      <c r="JV60">
        <v>25</v>
      </c>
      <c r="JW60">
        <v>75</v>
      </c>
      <c r="JZ60">
        <v>1</v>
      </c>
      <c r="KA60">
        <v>3</v>
      </c>
      <c r="KB60">
        <v>2</v>
      </c>
      <c r="KC60" t="s">
        <v>407</v>
      </c>
      <c r="OF60" t="s">
        <v>408</v>
      </c>
      <c r="SI60" t="s">
        <v>409</v>
      </c>
      <c r="WL60" t="s">
        <v>410</v>
      </c>
      <c r="AAO60" t="s">
        <v>411</v>
      </c>
      <c r="AER60" t="s">
        <v>412</v>
      </c>
    </row>
    <row r="61" spans="1:824" x14ac:dyDescent="0.2">
      <c r="A61" t="s">
        <v>856</v>
      </c>
      <c r="B61" t="s">
        <v>563</v>
      </c>
      <c r="C61" t="s">
        <v>857</v>
      </c>
      <c r="P61" t="b">
        <v>0</v>
      </c>
      <c r="Q61" t="b">
        <v>0</v>
      </c>
      <c r="R61" t="b">
        <v>1</v>
      </c>
      <c r="S61" t="b">
        <v>0</v>
      </c>
      <c r="T61" t="b">
        <v>0</v>
      </c>
      <c r="U61" t="b">
        <v>0</v>
      </c>
      <c r="V61">
        <v>693</v>
      </c>
      <c r="W61" s="3">
        <v>43500.869444444441</v>
      </c>
      <c r="X61" t="s">
        <v>858</v>
      </c>
      <c r="Y61">
        <v>2019</v>
      </c>
      <c r="Z61" t="s">
        <v>859</v>
      </c>
      <c r="AA61" t="s">
        <v>857</v>
      </c>
      <c r="AB61" t="s">
        <v>860</v>
      </c>
      <c r="AC61" t="s">
        <v>861</v>
      </c>
      <c r="AE61" t="s">
        <v>571</v>
      </c>
      <c r="AF61" t="s">
        <v>538</v>
      </c>
      <c r="AH61">
        <v>1</v>
      </c>
      <c r="AK61">
        <v>220</v>
      </c>
      <c r="AL61">
        <v>220</v>
      </c>
      <c r="AM61">
        <v>175</v>
      </c>
      <c r="AN61">
        <v>175</v>
      </c>
      <c r="AU61">
        <v>0</v>
      </c>
      <c r="BB61">
        <v>0</v>
      </c>
      <c r="BD61">
        <v>220</v>
      </c>
      <c r="BI61">
        <v>220</v>
      </c>
      <c r="BP61">
        <v>0</v>
      </c>
      <c r="BW61">
        <v>0</v>
      </c>
      <c r="CD61">
        <v>0</v>
      </c>
      <c r="CE61">
        <v>0</v>
      </c>
      <c r="CF61">
        <v>220</v>
      </c>
      <c r="CG61">
        <v>0</v>
      </c>
      <c r="CH61">
        <v>0</v>
      </c>
      <c r="CI61">
        <v>0</v>
      </c>
      <c r="CJ61">
        <v>0</v>
      </c>
      <c r="CK61">
        <v>220</v>
      </c>
      <c r="CR61">
        <v>0</v>
      </c>
      <c r="CY61">
        <v>0</v>
      </c>
      <c r="DA61">
        <v>2</v>
      </c>
      <c r="DF61">
        <v>2</v>
      </c>
      <c r="DM61">
        <v>0</v>
      </c>
      <c r="DT61">
        <v>0</v>
      </c>
      <c r="EA61">
        <v>0</v>
      </c>
      <c r="EB61">
        <v>0</v>
      </c>
      <c r="EC61">
        <v>2</v>
      </c>
      <c r="ED61">
        <v>0</v>
      </c>
      <c r="EE61">
        <v>0</v>
      </c>
      <c r="EF61">
        <v>0</v>
      </c>
      <c r="EG61">
        <v>0</v>
      </c>
      <c r="EH61">
        <v>2</v>
      </c>
      <c r="EI61" t="s">
        <v>404</v>
      </c>
      <c r="EJ61" t="s">
        <v>404</v>
      </c>
      <c r="EK61" t="s">
        <v>404</v>
      </c>
      <c r="EL61" t="s">
        <v>404</v>
      </c>
      <c r="EM61" t="s">
        <v>404</v>
      </c>
      <c r="EN61" t="s">
        <v>404</v>
      </c>
      <c r="EO61" t="s">
        <v>404</v>
      </c>
      <c r="EP61" t="s">
        <v>404</v>
      </c>
      <c r="EQ61" t="s">
        <v>404</v>
      </c>
      <c r="ER61" t="s">
        <v>404</v>
      </c>
      <c r="ES61" t="s">
        <v>404</v>
      </c>
      <c r="ET61" t="s">
        <v>404</v>
      </c>
      <c r="EU61" t="s">
        <v>404</v>
      </c>
      <c r="EV61" t="s">
        <v>405</v>
      </c>
      <c r="EW61" t="s">
        <v>404</v>
      </c>
      <c r="EX61" t="s">
        <v>404</v>
      </c>
      <c r="EY61" t="s">
        <v>404</v>
      </c>
      <c r="EZ61" t="s">
        <v>404</v>
      </c>
      <c r="FA61" t="s">
        <v>404</v>
      </c>
      <c r="FB61" t="s">
        <v>404</v>
      </c>
      <c r="FC61" t="s">
        <v>404</v>
      </c>
      <c r="FD61" t="s">
        <v>404</v>
      </c>
      <c r="FE61" t="s">
        <v>404</v>
      </c>
      <c r="FF61" t="s">
        <v>404</v>
      </c>
      <c r="FG61" t="s">
        <v>404</v>
      </c>
      <c r="FH61" t="s">
        <v>404</v>
      </c>
      <c r="FI61" t="s">
        <v>404</v>
      </c>
      <c r="FJ61" t="s">
        <v>404</v>
      </c>
      <c r="FK61" t="s">
        <v>404</v>
      </c>
      <c r="FL61" t="s">
        <v>404</v>
      </c>
      <c r="FM61" t="s">
        <v>404</v>
      </c>
      <c r="FN61" t="s">
        <v>404</v>
      </c>
      <c r="FO61" t="s">
        <v>404</v>
      </c>
      <c r="FP61" t="s">
        <v>404</v>
      </c>
      <c r="FQ61" t="s">
        <v>404</v>
      </c>
      <c r="FR61" t="s">
        <v>404</v>
      </c>
      <c r="FT61">
        <v>220</v>
      </c>
      <c r="FY61">
        <v>220</v>
      </c>
      <c r="GF61">
        <v>0</v>
      </c>
      <c r="GM61">
        <v>0</v>
      </c>
      <c r="GT61">
        <v>0</v>
      </c>
      <c r="HA61">
        <v>0</v>
      </c>
      <c r="HH61">
        <v>0</v>
      </c>
      <c r="HO61">
        <v>0</v>
      </c>
      <c r="HW61">
        <v>0</v>
      </c>
      <c r="HX61">
        <v>0</v>
      </c>
      <c r="HY61">
        <v>220</v>
      </c>
      <c r="HZ61">
        <v>0</v>
      </c>
      <c r="IA61">
        <v>0</v>
      </c>
      <c r="IB61">
        <v>0</v>
      </c>
      <c r="IC61">
        <v>0</v>
      </c>
      <c r="ID61">
        <v>220</v>
      </c>
      <c r="IK61">
        <v>0</v>
      </c>
      <c r="IR61">
        <v>0</v>
      </c>
      <c r="IT61">
        <v>220</v>
      </c>
      <c r="IY61">
        <v>220</v>
      </c>
      <c r="JF61">
        <v>0</v>
      </c>
      <c r="JM61">
        <v>0</v>
      </c>
      <c r="JN61">
        <v>0</v>
      </c>
      <c r="JO61">
        <v>220</v>
      </c>
      <c r="JP61">
        <v>0</v>
      </c>
      <c r="JQ61">
        <v>0</v>
      </c>
      <c r="JR61">
        <v>0</v>
      </c>
      <c r="JS61">
        <v>0</v>
      </c>
      <c r="JT61">
        <v>220</v>
      </c>
      <c r="JW61">
        <v>100</v>
      </c>
      <c r="JZ61">
        <v>1</v>
      </c>
      <c r="KA61">
        <v>3</v>
      </c>
      <c r="KB61">
        <v>2</v>
      </c>
      <c r="KC61" t="s">
        <v>407</v>
      </c>
      <c r="OF61" t="s">
        <v>408</v>
      </c>
      <c r="SI61" t="s">
        <v>409</v>
      </c>
      <c r="WL61" t="s">
        <v>410</v>
      </c>
      <c r="AAO61" t="s">
        <v>411</v>
      </c>
      <c r="AER61" t="s">
        <v>412</v>
      </c>
    </row>
    <row r="62" spans="1:824" x14ac:dyDescent="0.2">
      <c r="A62" t="s">
        <v>862</v>
      </c>
      <c r="B62" t="s">
        <v>414</v>
      </c>
      <c r="C62" t="s">
        <v>863</v>
      </c>
      <c r="P62" t="b">
        <v>0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>
        <v>541</v>
      </c>
      <c r="W62" s="3">
        <v>43517.325694444444</v>
      </c>
      <c r="X62" t="s">
        <v>864</v>
      </c>
      <c r="Y62">
        <v>2019</v>
      </c>
      <c r="Z62" t="s">
        <v>865</v>
      </c>
      <c r="AA62" t="s">
        <v>866</v>
      </c>
      <c r="AB62" t="s">
        <v>867</v>
      </c>
      <c r="AC62" t="s">
        <v>868</v>
      </c>
      <c r="AD62" t="s">
        <v>869</v>
      </c>
      <c r="AE62" t="s">
        <v>703</v>
      </c>
      <c r="AF62" t="s">
        <v>704</v>
      </c>
      <c r="AH62">
        <v>1</v>
      </c>
      <c r="AK62">
        <v>100000</v>
      </c>
      <c r="AL62">
        <v>50000</v>
      </c>
      <c r="AM62">
        <v>40000</v>
      </c>
      <c r="AN62">
        <v>40000</v>
      </c>
      <c r="AP62">
        <v>50000</v>
      </c>
      <c r="AU62">
        <v>50000</v>
      </c>
      <c r="BB62">
        <v>0</v>
      </c>
      <c r="BI62">
        <v>0</v>
      </c>
      <c r="BP62">
        <v>0</v>
      </c>
      <c r="BW62">
        <v>0</v>
      </c>
      <c r="CD62">
        <v>0</v>
      </c>
      <c r="CE62">
        <v>0</v>
      </c>
      <c r="CF62">
        <v>50000</v>
      </c>
      <c r="CG62">
        <v>0</v>
      </c>
      <c r="CH62">
        <v>0</v>
      </c>
      <c r="CI62">
        <v>0</v>
      </c>
      <c r="CJ62">
        <v>0</v>
      </c>
      <c r="CK62">
        <v>50000</v>
      </c>
      <c r="CM62">
        <v>60</v>
      </c>
      <c r="CR62">
        <v>60</v>
      </c>
      <c r="CY62">
        <v>0</v>
      </c>
      <c r="DF62">
        <v>0</v>
      </c>
      <c r="DM62">
        <v>0</v>
      </c>
      <c r="DT62">
        <v>0</v>
      </c>
      <c r="EA62">
        <v>0</v>
      </c>
      <c r="EB62">
        <v>0</v>
      </c>
      <c r="EC62">
        <v>60</v>
      </c>
      <c r="ED62">
        <v>0</v>
      </c>
      <c r="EE62">
        <v>0</v>
      </c>
      <c r="EF62">
        <v>0</v>
      </c>
      <c r="EG62">
        <v>0</v>
      </c>
      <c r="EH62">
        <v>60</v>
      </c>
      <c r="EI62" t="s">
        <v>404</v>
      </c>
      <c r="EJ62" t="s">
        <v>405</v>
      </c>
      <c r="EK62" t="s">
        <v>404</v>
      </c>
      <c r="EL62" t="s">
        <v>404</v>
      </c>
      <c r="EM62" t="s">
        <v>404</v>
      </c>
      <c r="EN62" t="s">
        <v>404</v>
      </c>
      <c r="EO62" t="s">
        <v>404</v>
      </c>
      <c r="EP62" t="s">
        <v>404</v>
      </c>
      <c r="EQ62" t="s">
        <v>404</v>
      </c>
      <c r="ER62" t="s">
        <v>404</v>
      </c>
      <c r="ES62" t="s">
        <v>404</v>
      </c>
      <c r="ET62" t="s">
        <v>404</v>
      </c>
      <c r="EU62" t="s">
        <v>404</v>
      </c>
      <c r="EV62" t="s">
        <v>404</v>
      </c>
      <c r="EW62" t="s">
        <v>404</v>
      </c>
      <c r="EX62" t="s">
        <v>404</v>
      </c>
      <c r="EY62" t="s">
        <v>404</v>
      </c>
      <c r="EZ62" t="s">
        <v>404</v>
      </c>
      <c r="FA62" t="s">
        <v>404</v>
      </c>
      <c r="FB62" t="s">
        <v>404</v>
      </c>
      <c r="FC62" t="s">
        <v>404</v>
      </c>
      <c r="FD62" t="s">
        <v>404</v>
      </c>
      <c r="FE62" t="s">
        <v>404</v>
      </c>
      <c r="FF62" t="s">
        <v>404</v>
      </c>
      <c r="FG62" t="s">
        <v>404</v>
      </c>
      <c r="FH62" t="s">
        <v>404</v>
      </c>
      <c r="FI62" t="s">
        <v>404</v>
      </c>
      <c r="FJ62" t="s">
        <v>404</v>
      </c>
      <c r="FK62" t="s">
        <v>404</v>
      </c>
      <c r="FL62" t="s">
        <v>404</v>
      </c>
      <c r="FM62" t="s">
        <v>404</v>
      </c>
      <c r="FN62" t="s">
        <v>404</v>
      </c>
      <c r="FO62" t="s">
        <v>404</v>
      </c>
      <c r="FP62" t="s">
        <v>404</v>
      </c>
      <c r="FQ62" t="s">
        <v>404</v>
      </c>
      <c r="FR62" t="s">
        <v>404</v>
      </c>
      <c r="FT62">
        <v>25000</v>
      </c>
      <c r="FY62">
        <v>25000</v>
      </c>
      <c r="GA62">
        <v>25000</v>
      </c>
      <c r="GF62">
        <v>25000</v>
      </c>
      <c r="GM62">
        <v>0</v>
      </c>
      <c r="GT62">
        <v>0</v>
      </c>
      <c r="HA62">
        <v>0</v>
      </c>
      <c r="HH62">
        <v>0</v>
      </c>
      <c r="HO62">
        <v>0</v>
      </c>
      <c r="HW62">
        <v>0</v>
      </c>
      <c r="HX62">
        <v>0</v>
      </c>
      <c r="HY62">
        <v>50000</v>
      </c>
      <c r="HZ62">
        <v>0</v>
      </c>
      <c r="IA62">
        <v>0</v>
      </c>
      <c r="IB62">
        <v>0</v>
      </c>
      <c r="IC62">
        <v>0</v>
      </c>
      <c r="ID62">
        <v>50000</v>
      </c>
      <c r="IF62">
        <v>50000</v>
      </c>
      <c r="IK62">
        <v>50000</v>
      </c>
      <c r="IR62">
        <v>0</v>
      </c>
      <c r="IY62">
        <v>0</v>
      </c>
      <c r="JF62">
        <v>0</v>
      </c>
      <c r="JM62">
        <v>0</v>
      </c>
      <c r="JN62">
        <v>0</v>
      </c>
      <c r="JO62">
        <v>50000</v>
      </c>
      <c r="JP62">
        <v>0</v>
      </c>
      <c r="JQ62">
        <v>0</v>
      </c>
      <c r="JR62">
        <v>0</v>
      </c>
      <c r="JS62">
        <v>0</v>
      </c>
      <c r="JT62">
        <v>50000</v>
      </c>
      <c r="JV62">
        <v>100</v>
      </c>
      <c r="JZ62">
        <v>3</v>
      </c>
      <c r="KA62">
        <v>3</v>
      </c>
      <c r="KB62">
        <v>2</v>
      </c>
      <c r="KC62" t="s">
        <v>407</v>
      </c>
      <c r="OF62" t="s">
        <v>408</v>
      </c>
      <c r="SI62" t="s">
        <v>409</v>
      </c>
      <c r="WL62" t="s">
        <v>410</v>
      </c>
      <c r="AAO62" t="s">
        <v>411</v>
      </c>
      <c r="AER62" t="s">
        <v>412</v>
      </c>
    </row>
    <row r="63" spans="1:824" x14ac:dyDescent="0.2">
      <c r="A63" t="s">
        <v>870</v>
      </c>
      <c r="B63" t="s">
        <v>563</v>
      </c>
      <c r="C63" t="s">
        <v>871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b">
        <v>0</v>
      </c>
      <c r="V63">
        <v>604</v>
      </c>
      <c r="W63" s="3">
        <v>43518.063194444447</v>
      </c>
      <c r="X63" t="s">
        <v>872</v>
      </c>
      <c r="Y63">
        <v>2019</v>
      </c>
      <c r="Z63" t="s">
        <v>873</v>
      </c>
      <c r="AA63" t="s">
        <v>874</v>
      </c>
      <c r="AB63" t="s">
        <v>774</v>
      </c>
      <c r="AC63" t="s">
        <v>875</v>
      </c>
      <c r="AD63" t="s">
        <v>876</v>
      </c>
      <c r="AE63" t="s">
        <v>571</v>
      </c>
      <c r="AF63" t="s">
        <v>538</v>
      </c>
      <c r="AH63">
        <v>1</v>
      </c>
      <c r="AK63">
        <v>2594</v>
      </c>
      <c r="AL63">
        <v>2594</v>
      </c>
      <c r="AM63">
        <v>1053</v>
      </c>
      <c r="AN63">
        <v>1053</v>
      </c>
      <c r="AU63">
        <v>0</v>
      </c>
      <c r="BB63">
        <v>0</v>
      </c>
      <c r="BC63">
        <v>627</v>
      </c>
      <c r="BD63">
        <v>115</v>
      </c>
      <c r="BE63">
        <v>0</v>
      </c>
      <c r="BF63">
        <v>850</v>
      </c>
      <c r="BG63">
        <v>0</v>
      </c>
      <c r="BH63">
        <v>1002</v>
      </c>
      <c r="BI63">
        <v>2594</v>
      </c>
      <c r="BP63">
        <v>0</v>
      </c>
      <c r="BW63">
        <v>0</v>
      </c>
      <c r="CD63">
        <v>0</v>
      </c>
      <c r="CE63">
        <v>627</v>
      </c>
      <c r="CF63">
        <v>115</v>
      </c>
      <c r="CG63">
        <v>0</v>
      </c>
      <c r="CH63">
        <v>850</v>
      </c>
      <c r="CI63">
        <v>0</v>
      </c>
      <c r="CJ63">
        <v>1002</v>
      </c>
      <c r="CK63">
        <v>2594</v>
      </c>
      <c r="CR63">
        <v>0</v>
      </c>
      <c r="CY63">
        <v>0</v>
      </c>
      <c r="CZ63">
        <v>2</v>
      </c>
      <c r="DA63">
        <v>1</v>
      </c>
      <c r="DC63">
        <v>3</v>
      </c>
      <c r="DE63">
        <v>1</v>
      </c>
      <c r="DF63">
        <v>7</v>
      </c>
      <c r="DM63">
        <v>0</v>
      </c>
      <c r="DT63">
        <v>0</v>
      </c>
      <c r="EA63">
        <v>0</v>
      </c>
      <c r="EB63">
        <v>2</v>
      </c>
      <c r="EC63">
        <v>1</v>
      </c>
      <c r="ED63">
        <v>0</v>
      </c>
      <c r="EE63">
        <v>3</v>
      </c>
      <c r="EF63">
        <v>0</v>
      </c>
      <c r="EG63">
        <v>1</v>
      </c>
      <c r="EH63">
        <v>7</v>
      </c>
      <c r="EI63" t="s">
        <v>404</v>
      </c>
      <c r="EJ63" t="s">
        <v>404</v>
      </c>
      <c r="EK63" t="s">
        <v>404</v>
      </c>
      <c r="EL63" t="s">
        <v>404</v>
      </c>
      <c r="EM63" t="s">
        <v>404</v>
      </c>
      <c r="EN63" t="s">
        <v>404</v>
      </c>
      <c r="EO63" t="s">
        <v>404</v>
      </c>
      <c r="EP63" t="s">
        <v>404</v>
      </c>
      <c r="EQ63" t="s">
        <v>404</v>
      </c>
      <c r="ER63" t="s">
        <v>404</v>
      </c>
      <c r="ES63" t="s">
        <v>404</v>
      </c>
      <c r="ET63" t="s">
        <v>404</v>
      </c>
      <c r="EU63" t="s">
        <v>405</v>
      </c>
      <c r="EV63" t="s">
        <v>405</v>
      </c>
      <c r="EW63" t="s">
        <v>404</v>
      </c>
      <c r="EX63" t="s">
        <v>405</v>
      </c>
      <c r="EY63" t="s">
        <v>404</v>
      </c>
      <c r="EZ63" t="s">
        <v>405</v>
      </c>
      <c r="FA63" t="s">
        <v>404</v>
      </c>
      <c r="FB63" t="s">
        <v>404</v>
      </c>
      <c r="FC63" t="s">
        <v>404</v>
      </c>
      <c r="FD63" t="s">
        <v>404</v>
      </c>
      <c r="FE63" t="s">
        <v>404</v>
      </c>
      <c r="FF63" t="s">
        <v>404</v>
      </c>
      <c r="FG63" t="s">
        <v>404</v>
      </c>
      <c r="FH63" t="s">
        <v>404</v>
      </c>
      <c r="FI63" t="s">
        <v>404</v>
      </c>
      <c r="FJ63" t="s">
        <v>404</v>
      </c>
      <c r="FK63" t="s">
        <v>404</v>
      </c>
      <c r="FL63" t="s">
        <v>404</v>
      </c>
      <c r="FM63" t="s">
        <v>404</v>
      </c>
      <c r="FN63" t="s">
        <v>404</v>
      </c>
      <c r="FO63" t="s">
        <v>404</v>
      </c>
      <c r="FP63" t="s">
        <v>404</v>
      </c>
      <c r="FQ63" t="s">
        <v>404</v>
      </c>
      <c r="FR63" t="s">
        <v>404</v>
      </c>
      <c r="FS63">
        <v>365</v>
      </c>
      <c r="FT63">
        <v>115</v>
      </c>
      <c r="FV63">
        <v>840</v>
      </c>
      <c r="FX63">
        <v>364</v>
      </c>
      <c r="FY63">
        <v>1684</v>
      </c>
      <c r="FZ63">
        <v>110</v>
      </c>
      <c r="GE63">
        <v>275</v>
      </c>
      <c r="GF63">
        <v>385</v>
      </c>
      <c r="GL63">
        <v>100</v>
      </c>
      <c r="GM63">
        <v>100</v>
      </c>
      <c r="GS63">
        <v>4</v>
      </c>
      <c r="GT63">
        <v>4</v>
      </c>
      <c r="GU63">
        <v>10</v>
      </c>
      <c r="HA63">
        <v>10</v>
      </c>
      <c r="HG63">
        <v>20</v>
      </c>
      <c r="HH63">
        <v>20</v>
      </c>
      <c r="HN63">
        <v>10</v>
      </c>
      <c r="HO63">
        <v>10</v>
      </c>
      <c r="HP63" t="s">
        <v>877</v>
      </c>
      <c r="HQ63">
        <v>142</v>
      </c>
      <c r="HT63">
        <v>10</v>
      </c>
      <c r="HV63">
        <v>229</v>
      </c>
      <c r="HW63">
        <v>381</v>
      </c>
      <c r="HX63">
        <v>627</v>
      </c>
      <c r="HY63">
        <v>115</v>
      </c>
      <c r="HZ63">
        <v>0</v>
      </c>
      <c r="IA63">
        <v>850</v>
      </c>
      <c r="IB63">
        <v>0</v>
      </c>
      <c r="IC63">
        <v>1002</v>
      </c>
      <c r="ID63">
        <v>2594</v>
      </c>
      <c r="IK63">
        <v>0</v>
      </c>
      <c r="IR63">
        <v>0</v>
      </c>
      <c r="IS63">
        <v>627</v>
      </c>
      <c r="IT63">
        <v>115</v>
      </c>
      <c r="IV63">
        <v>850</v>
      </c>
      <c r="IX63" s="2">
        <f>1002</f>
        <v>1002</v>
      </c>
      <c r="IY63">
        <f>2594</f>
        <v>2594</v>
      </c>
      <c r="JF63">
        <v>0</v>
      </c>
      <c r="JM63">
        <v>0</v>
      </c>
      <c r="JN63">
        <v>627</v>
      </c>
      <c r="JO63">
        <v>115</v>
      </c>
      <c r="JP63">
        <v>0</v>
      </c>
      <c r="JQ63">
        <v>850</v>
      </c>
      <c r="JR63">
        <v>0</v>
      </c>
      <c r="JS63">
        <v>1002</v>
      </c>
      <c r="JT63">
        <v>2594</v>
      </c>
      <c r="JZ63">
        <v>1</v>
      </c>
      <c r="KA63">
        <v>3</v>
      </c>
      <c r="KB63">
        <v>2</v>
      </c>
      <c r="KC63" t="s">
        <v>407</v>
      </c>
      <c r="OF63" t="s">
        <v>408</v>
      </c>
      <c r="SI63" t="s">
        <v>409</v>
      </c>
      <c r="WL63" t="s">
        <v>410</v>
      </c>
      <c r="AAO63" t="s">
        <v>411</v>
      </c>
      <c r="AER63" t="s">
        <v>412</v>
      </c>
    </row>
    <row r="64" spans="1:824" x14ac:dyDescent="0.2">
      <c r="A64" t="s">
        <v>878</v>
      </c>
      <c r="B64" t="s">
        <v>414</v>
      </c>
      <c r="C64" t="s">
        <v>879</v>
      </c>
      <c r="D64" t="s">
        <v>478</v>
      </c>
      <c r="E64" s="3">
        <v>43521.151388888888</v>
      </c>
      <c r="F64" t="s">
        <v>479</v>
      </c>
      <c r="G64" s="3">
        <v>43521.152083333334</v>
      </c>
      <c r="P64" t="b">
        <v>1</v>
      </c>
      <c r="Q64" t="b">
        <v>1</v>
      </c>
      <c r="R64" t="b">
        <v>0</v>
      </c>
      <c r="S64" t="b">
        <v>0</v>
      </c>
      <c r="T64" t="b">
        <v>0</v>
      </c>
      <c r="U64" t="b">
        <v>0</v>
      </c>
      <c r="V64">
        <v>534</v>
      </c>
      <c r="W64" s="3">
        <v>43521.150694444441</v>
      </c>
      <c r="X64" t="s">
        <v>425</v>
      </c>
      <c r="Y64">
        <v>2019</v>
      </c>
      <c r="Z64" t="s">
        <v>880</v>
      </c>
      <c r="AA64" t="s">
        <v>881</v>
      </c>
      <c r="AB64" t="s">
        <v>882</v>
      </c>
      <c r="AC64" t="s">
        <v>883</v>
      </c>
      <c r="AD64">
        <v>65572220</v>
      </c>
      <c r="AE64" t="s">
        <v>884</v>
      </c>
      <c r="AF64" t="s">
        <v>538</v>
      </c>
      <c r="AH64">
        <v>1</v>
      </c>
      <c r="AK64">
        <v>57</v>
      </c>
      <c r="AO64">
        <v>28.5</v>
      </c>
      <c r="AU64">
        <v>28.5</v>
      </c>
      <c r="AV64">
        <v>28.5</v>
      </c>
      <c r="BB64">
        <v>28.5</v>
      </c>
      <c r="BI64">
        <v>0</v>
      </c>
      <c r="BP64">
        <v>0</v>
      </c>
      <c r="BW64">
        <v>0</v>
      </c>
      <c r="CD64">
        <v>0</v>
      </c>
      <c r="CE64">
        <v>57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57</v>
      </c>
      <c r="CL64">
        <v>1</v>
      </c>
      <c r="CR64">
        <v>1</v>
      </c>
      <c r="CS64">
        <v>1</v>
      </c>
      <c r="CY64">
        <v>1</v>
      </c>
      <c r="DF64">
        <v>0</v>
      </c>
      <c r="DM64">
        <v>0</v>
      </c>
      <c r="DT64">
        <v>0</v>
      </c>
      <c r="EA64">
        <v>0</v>
      </c>
      <c r="EB64">
        <v>2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2</v>
      </c>
      <c r="EI64" t="s">
        <v>405</v>
      </c>
      <c r="EJ64" t="s">
        <v>404</v>
      </c>
      <c r="EK64" t="s">
        <v>404</v>
      </c>
      <c r="EL64" t="s">
        <v>404</v>
      </c>
      <c r="EM64" t="s">
        <v>404</v>
      </c>
      <c r="EN64" t="s">
        <v>404</v>
      </c>
      <c r="EO64" t="s">
        <v>405</v>
      </c>
      <c r="EP64" t="s">
        <v>404</v>
      </c>
      <c r="EQ64" t="s">
        <v>404</v>
      </c>
      <c r="ER64" t="s">
        <v>404</v>
      </c>
      <c r="ES64" t="s">
        <v>404</v>
      </c>
      <c r="ET64" t="s">
        <v>404</v>
      </c>
      <c r="EU64" t="s">
        <v>404</v>
      </c>
      <c r="EV64" t="s">
        <v>404</v>
      </c>
      <c r="EW64" t="s">
        <v>404</v>
      </c>
      <c r="EX64" t="s">
        <v>404</v>
      </c>
      <c r="EY64" t="s">
        <v>404</v>
      </c>
      <c r="EZ64" t="s">
        <v>404</v>
      </c>
      <c r="FA64" t="s">
        <v>404</v>
      </c>
      <c r="FB64" t="s">
        <v>404</v>
      </c>
      <c r="FC64" t="s">
        <v>404</v>
      </c>
      <c r="FD64" t="s">
        <v>404</v>
      </c>
      <c r="FE64" t="s">
        <v>404</v>
      </c>
      <c r="FF64" t="s">
        <v>404</v>
      </c>
      <c r="FG64" t="s">
        <v>404</v>
      </c>
      <c r="FH64" t="s">
        <v>404</v>
      </c>
      <c r="FI64" t="s">
        <v>404</v>
      </c>
      <c r="FJ64" t="s">
        <v>404</v>
      </c>
      <c r="FK64" t="s">
        <v>404</v>
      </c>
      <c r="FL64" t="s">
        <v>404</v>
      </c>
      <c r="FM64" t="s">
        <v>404</v>
      </c>
      <c r="FN64" t="s">
        <v>404</v>
      </c>
      <c r="FO64" t="s">
        <v>404</v>
      </c>
      <c r="FP64" t="s">
        <v>404</v>
      </c>
      <c r="FQ64" t="s">
        <v>404</v>
      </c>
      <c r="FR64" t="s">
        <v>404</v>
      </c>
      <c r="FY64">
        <v>0</v>
      </c>
      <c r="FZ64">
        <v>4</v>
      </c>
      <c r="GF64">
        <v>4</v>
      </c>
      <c r="GM64">
        <v>0</v>
      </c>
      <c r="GN64">
        <v>24.5</v>
      </c>
      <c r="GT64">
        <v>24.5</v>
      </c>
      <c r="HA64">
        <v>0</v>
      </c>
      <c r="HH64">
        <v>0</v>
      </c>
      <c r="HI64">
        <v>28.5</v>
      </c>
      <c r="HO64">
        <v>28.5</v>
      </c>
      <c r="HW64">
        <v>0</v>
      </c>
      <c r="HX64">
        <v>57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57</v>
      </c>
      <c r="IE64">
        <v>28.5</v>
      </c>
      <c r="IK64">
        <v>28.5</v>
      </c>
      <c r="IR64">
        <v>0</v>
      </c>
      <c r="IY64">
        <v>0</v>
      </c>
      <c r="JF64">
        <v>0</v>
      </c>
      <c r="JG64">
        <v>28.5</v>
      </c>
      <c r="JM64">
        <v>28.5</v>
      </c>
      <c r="JN64">
        <v>57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57</v>
      </c>
      <c r="JW64">
        <v>100</v>
      </c>
      <c r="JZ64">
        <v>1</v>
      </c>
      <c r="KA64">
        <v>3</v>
      </c>
      <c r="KB64">
        <v>1</v>
      </c>
      <c r="KC64" t="s">
        <v>407</v>
      </c>
      <c r="KJ64">
        <v>0</v>
      </c>
      <c r="KK64">
        <v>2</v>
      </c>
      <c r="KQ64">
        <v>2</v>
      </c>
      <c r="KX64">
        <v>0</v>
      </c>
      <c r="KY64">
        <v>12.25</v>
      </c>
      <c r="LE64">
        <v>12.25</v>
      </c>
      <c r="LL64">
        <v>0</v>
      </c>
      <c r="LS64">
        <v>0</v>
      </c>
      <c r="LT64">
        <v>14.25</v>
      </c>
      <c r="LZ64">
        <v>14.25</v>
      </c>
      <c r="MH64">
        <v>0</v>
      </c>
      <c r="MI64">
        <v>28.5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28.5</v>
      </c>
      <c r="MV64">
        <v>0</v>
      </c>
      <c r="MW64">
        <v>14.25</v>
      </c>
      <c r="NC64">
        <v>14.25</v>
      </c>
      <c r="NJ64">
        <v>0</v>
      </c>
      <c r="NQ64">
        <v>0</v>
      </c>
      <c r="NR64">
        <v>14.25</v>
      </c>
      <c r="NX64">
        <v>14.25</v>
      </c>
      <c r="NY64">
        <v>28.5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28.5</v>
      </c>
      <c r="OF64" t="s">
        <v>408</v>
      </c>
      <c r="OM64">
        <v>0</v>
      </c>
      <c r="ON64">
        <v>2</v>
      </c>
      <c r="OT64">
        <v>2</v>
      </c>
      <c r="PA64">
        <v>0</v>
      </c>
      <c r="PB64">
        <v>12.25</v>
      </c>
      <c r="PH64">
        <v>12.25</v>
      </c>
      <c r="PO64">
        <v>0</v>
      </c>
      <c r="PV64">
        <v>0</v>
      </c>
      <c r="PW64">
        <v>14.25</v>
      </c>
      <c r="QC64">
        <v>14.25</v>
      </c>
      <c r="QK64">
        <v>0</v>
      </c>
      <c r="QL64">
        <v>28.5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28.5</v>
      </c>
      <c r="QY64">
        <v>0</v>
      </c>
      <c r="QZ64">
        <v>14.25</v>
      </c>
      <c r="RF64">
        <v>14.25</v>
      </c>
      <c r="RM64">
        <v>0</v>
      </c>
      <c r="RT64">
        <v>0</v>
      </c>
      <c r="RU64">
        <v>14.25</v>
      </c>
      <c r="SA64">
        <v>14.25</v>
      </c>
      <c r="SB64">
        <v>28.5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28.5</v>
      </c>
      <c r="SI64" t="s">
        <v>409</v>
      </c>
      <c r="WL64" t="s">
        <v>410</v>
      </c>
      <c r="AAO64" t="s">
        <v>411</v>
      </c>
      <c r="AER64" t="s">
        <v>412</v>
      </c>
    </row>
    <row r="65" spans="1:824" x14ac:dyDescent="0.2">
      <c r="A65" t="s">
        <v>885</v>
      </c>
      <c r="B65" t="s">
        <v>396</v>
      </c>
      <c r="C65" t="s">
        <v>886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>
        <v>574</v>
      </c>
      <c r="W65" s="3">
        <v>43529.662499999999</v>
      </c>
      <c r="X65" t="s">
        <v>887</v>
      </c>
      <c r="Y65">
        <v>2019</v>
      </c>
      <c r="Z65" t="s">
        <v>396</v>
      </c>
      <c r="AA65" t="s">
        <v>886</v>
      </c>
      <c r="AC65" t="s">
        <v>888</v>
      </c>
      <c r="AE65" t="s">
        <v>571</v>
      </c>
      <c r="AF65" t="s">
        <v>538</v>
      </c>
      <c r="AH65">
        <v>1</v>
      </c>
      <c r="AK65">
        <v>2283</v>
      </c>
      <c r="AU65">
        <v>0</v>
      </c>
      <c r="BB65">
        <v>0</v>
      </c>
      <c r="BI65">
        <v>0</v>
      </c>
      <c r="BP65">
        <v>0</v>
      </c>
      <c r="BW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R65">
        <v>0</v>
      </c>
      <c r="CY65">
        <v>0</v>
      </c>
      <c r="DF65">
        <v>0</v>
      </c>
      <c r="DM65">
        <v>0</v>
      </c>
      <c r="DT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 t="s">
        <v>404</v>
      </c>
      <c r="EJ65" t="s">
        <v>404</v>
      </c>
      <c r="EK65" t="s">
        <v>404</v>
      </c>
      <c r="EL65" t="s">
        <v>404</v>
      </c>
      <c r="EM65" t="s">
        <v>404</v>
      </c>
      <c r="EN65" t="s">
        <v>404</v>
      </c>
      <c r="EO65" t="s">
        <v>404</v>
      </c>
      <c r="EP65" t="s">
        <v>404</v>
      </c>
      <c r="EQ65" t="s">
        <v>404</v>
      </c>
      <c r="ER65" t="s">
        <v>404</v>
      </c>
      <c r="ES65" t="s">
        <v>404</v>
      </c>
      <c r="ET65" t="s">
        <v>404</v>
      </c>
      <c r="EU65" t="s">
        <v>404</v>
      </c>
      <c r="EV65" t="s">
        <v>404</v>
      </c>
      <c r="EW65" t="s">
        <v>404</v>
      </c>
      <c r="EX65" t="s">
        <v>404</v>
      </c>
      <c r="EY65" t="s">
        <v>404</v>
      </c>
      <c r="EZ65" t="s">
        <v>404</v>
      </c>
      <c r="FA65" t="s">
        <v>404</v>
      </c>
      <c r="FB65" t="s">
        <v>404</v>
      </c>
      <c r="FC65" t="s">
        <v>404</v>
      </c>
      <c r="FD65" t="s">
        <v>404</v>
      </c>
      <c r="FE65" t="s">
        <v>404</v>
      </c>
      <c r="FF65" t="s">
        <v>404</v>
      </c>
      <c r="FG65" t="s">
        <v>404</v>
      </c>
      <c r="FH65" t="s">
        <v>404</v>
      </c>
      <c r="FI65" t="s">
        <v>404</v>
      </c>
      <c r="FJ65" t="s">
        <v>404</v>
      </c>
      <c r="FK65" t="s">
        <v>404</v>
      </c>
      <c r="FL65" t="s">
        <v>404</v>
      </c>
      <c r="FM65" t="s">
        <v>404</v>
      </c>
      <c r="FN65" t="s">
        <v>404</v>
      </c>
      <c r="FO65" t="s">
        <v>404</v>
      </c>
      <c r="FP65" t="s">
        <v>404</v>
      </c>
      <c r="FQ65" t="s">
        <v>404</v>
      </c>
      <c r="FR65" t="s">
        <v>404</v>
      </c>
      <c r="FY65">
        <v>0</v>
      </c>
      <c r="GF65">
        <v>0</v>
      </c>
      <c r="GM65">
        <v>0</v>
      </c>
      <c r="GT65">
        <v>0</v>
      </c>
      <c r="HA65">
        <v>0</v>
      </c>
      <c r="HH65">
        <v>0</v>
      </c>
      <c r="HO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K65">
        <v>0</v>
      </c>
      <c r="IR65">
        <v>0</v>
      </c>
      <c r="IY65">
        <v>0</v>
      </c>
      <c r="JF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KB65">
        <v>1</v>
      </c>
      <c r="KC65" t="s">
        <v>407</v>
      </c>
      <c r="OF65" t="s">
        <v>408</v>
      </c>
      <c r="SI65" t="s">
        <v>409</v>
      </c>
      <c r="WL65" t="s">
        <v>410</v>
      </c>
      <c r="AAO65" t="s">
        <v>411</v>
      </c>
      <c r="AER65" t="s">
        <v>412</v>
      </c>
    </row>
    <row r="66" spans="1:824" x14ac:dyDescent="0.2">
      <c r="A66" t="s">
        <v>889</v>
      </c>
      <c r="B66" t="s">
        <v>396</v>
      </c>
      <c r="C66" t="s">
        <v>890</v>
      </c>
      <c r="D66" t="s">
        <v>697</v>
      </c>
      <c r="E66" s="3">
        <v>43529.64166666667</v>
      </c>
      <c r="F66" t="s">
        <v>479</v>
      </c>
      <c r="G66" s="3">
        <v>43529.647916666669</v>
      </c>
      <c r="H66" t="s">
        <v>502</v>
      </c>
      <c r="I66" s="3">
        <v>43529.64166666667</v>
      </c>
      <c r="P66" t="b">
        <v>1</v>
      </c>
      <c r="Q66" t="b">
        <v>1</v>
      </c>
      <c r="R66" t="b">
        <v>1</v>
      </c>
      <c r="S66" t="b">
        <v>0</v>
      </c>
      <c r="T66" t="b">
        <v>0</v>
      </c>
      <c r="U66" t="b">
        <v>0</v>
      </c>
      <c r="V66">
        <v>585</v>
      </c>
      <c r="W66" s="3">
        <v>43531.674305555556</v>
      </c>
      <c r="X66" t="s">
        <v>891</v>
      </c>
      <c r="Y66">
        <v>2019</v>
      </c>
      <c r="Z66" t="s">
        <v>892</v>
      </c>
      <c r="AA66" t="s">
        <v>893</v>
      </c>
      <c r="AB66" t="s">
        <v>894</v>
      </c>
      <c r="AC66" t="s">
        <v>895</v>
      </c>
      <c r="AD66" t="s">
        <v>896</v>
      </c>
      <c r="AE66" t="s">
        <v>611</v>
      </c>
      <c r="AF66" t="s">
        <v>403</v>
      </c>
      <c r="AH66">
        <v>1</v>
      </c>
      <c r="AK66">
        <v>1952</v>
      </c>
      <c r="AL66">
        <v>272</v>
      </c>
      <c r="AO66">
        <v>0</v>
      </c>
      <c r="AP66">
        <v>0</v>
      </c>
      <c r="AQ66">
        <v>16</v>
      </c>
      <c r="AS66">
        <v>0</v>
      </c>
      <c r="AT66">
        <v>0</v>
      </c>
      <c r="AU66">
        <v>16</v>
      </c>
      <c r="AV66">
        <v>272.10000000000002</v>
      </c>
      <c r="AW66">
        <v>816</v>
      </c>
      <c r="AX66">
        <v>24</v>
      </c>
      <c r="AZ66">
        <v>0</v>
      </c>
      <c r="BA66">
        <v>799.9</v>
      </c>
      <c r="BB66">
        <v>1912</v>
      </c>
      <c r="BC66">
        <v>0</v>
      </c>
      <c r="BD66">
        <v>0</v>
      </c>
      <c r="BE66">
        <v>24</v>
      </c>
      <c r="BG66">
        <v>0</v>
      </c>
      <c r="BH66">
        <v>0</v>
      </c>
      <c r="BI66">
        <v>24</v>
      </c>
      <c r="BP66">
        <v>0</v>
      </c>
      <c r="BW66">
        <v>0</v>
      </c>
      <c r="CD66">
        <v>0</v>
      </c>
      <c r="CE66">
        <v>272.10000000000002</v>
      </c>
      <c r="CF66">
        <v>816</v>
      </c>
      <c r="CG66">
        <v>64</v>
      </c>
      <c r="CH66">
        <v>0</v>
      </c>
      <c r="CI66">
        <v>0</v>
      </c>
      <c r="CJ66">
        <v>799.9</v>
      </c>
      <c r="CK66">
        <v>1952</v>
      </c>
      <c r="CN66">
        <v>1</v>
      </c>
      <c r="CR66">
        <v>1</v>
      </c>
      <c r="CS66">
        <v>6</v>
      </c>
      <c r="CT66">
        <v>5</v>
      </c>
      <c r="CU66">
        <v>0</v>
      </c>
      <c r="CX66">
        <v>3</v>
      </c>
      <c r="CY66">
        <v>14</v>
      </c>
      <c r="DB66">
        <v>1</v>
      </c>
      <c r="DF66">
        <v>1</v>
      </c>
      <c r="DM66">
        <v>0</v>
      </c>
      <c r="DT66">
        <v>0</v>
      </c>
      <c r="EA66">
        <v>0</v>
      </c>
      <c r="EB66">
        <v>6</v>
      </c>
      <c r="EC66">
        <v>5</v>
      </c>
      <c r="ED66">
        <v>2</v>
      </c>
      <c r="EE66">
        <v>0</v>
      </c>
      <c r="EF66">
        <v>0</v>
      </c>
      <c r="EG66">
        <v>3</v>
      </c>
      <c r="EH66">
        <v>16</v>
      </c>
      <c r="EI66" t="s">
        <v>404</v>
      </c>
      <c r="EJ66" t="s">
        <v>404</v>
      </c>
      <c r="EK66" t="s">
        <v>405</v>
      </c>
      <c r="EL66" t="s">
        <v>404</v>
      </c>
      <c r="EM66" t="s">
        <v>404</v>
      </c>
      <c r="EN66" t="s">
        <v>404</v>
      </c>
      <c r="EO66" t="s">
        <v>405</v>
      </c>
      <c r="EP66" t="s">
        <v>405</v>
      </c>
      <c r="EQ66" t="s">
        <v>405</v>
      </c>
      <c r="ER66" t="s">
        <v>404</v>
      </c>
      <c r="ES66" t="s">
        <v>404</v>
      </c>
      <c r="ET66" t="s">
        <v>405</v>
      </c>
      <c r="EU66" t="s">
        <v>404</v>
      </c>
      <c r="EV66" t="s">
        <v>404</v>
      </c>
      <c r="EW66" t="s">
        <v>405</v>
      </c>
      <c r="EX66" t="s">
        <v>404</v>
      </c>
      <c r="EY66" t="s">
        <v>404</v>
      </c>
      <c r="EZ66" t="s">
        <v>404</v>
      </c>
      <c r="FA66" t="s">
        <v>404</v>
      </c>
      <c r="FB66" t="s">
        <v>404</v>
      </c>
      <c r="FC66" t="s">
        <v>404</v>
      </c>
      <c r="FD66" t="s">
        <v>404</v>
      </c>
      <c r="FE66" t="s">
        <v>404</v>
      </c>
      <c r="FF66" t="s">
        <v>404</v>
      </c>
      <c r="FG66" t="s">
        <v>404</v>
      </c>
      <c r="FH66" t="s">
        <v>404</v>
      </c>
      <c r="FI66" t="s">
        <v>404</v>
      </c>
      <c r="FJ66" t="s">
        <v>404</v>
      </c>
      <c r="FK66" t="s">
        <v>404</v>
      </c>
      <c r="FL66" t="s">
        <v>404</v>
      </c>
      <c r="FM66" t="s">
        <v>404</v>
      </c>
      <c r="FN66" t="s">
        <v>404</v>
      </c>
      <c r="FO66" t="s">
        <v>404</v>
      </c>
      <c r="FP66" t="s">
        <v>404</v>
      </c>
      <c r="FQ66" t="s">
        <v>404</v>
      </c>
      <c r="FR66" t="s">
        <v>404</v>
      </c>
      <c r="FS66">
        <v>110.6</v>
      </c>
      <c r="FT66">
        <v>816</v>
      </c>
      <c r="FU66">
        <v>64</v>
      </c>
      <c r="FX66">
        <v>713.8</v>
      </c>
      <c r="FY66">
        <v>1704.4</v>
      </c>
      <c r="FZ66">
        <v>136.5</v>
      </c>
      <c r="GA66">
        <v>0</v>
      </c>
      <c r="GB66">
        <v>0</v>
      </c>
      <c r="GE66">
        <v>86.1</v>
      </c>
      <c r="GF66">
        <v>222.6</v>
      </c>
      <c r="GM66">
        <v>0</v>
      </c>
      <c r="GT66">
        <v>0</v>
      </c>
      <c r="HA66">
        <v>0</v>
      </c>
      <c r="HH66">
        <v>0</v>
      </c>
      <c r="HO66">
        <v>0</v>
      </c>
      <c r="HP66" t="s">
        <v>897</v>
      </c>
      <c r="HQ66">
        <v>25</v>
      </c>
      <c r="HW66">
        <v>25</v>
      </c>
      <c r="HX66">
        <v>272.10000000000002</v>
      </c>
      <c r="HY66">
        <v>816</v>
      </c>
      <c r="HZ66">
        <v>64</v>
      </c>
      <c r="IA66">
        <v>0</v>
      </c>
      <c r="IB66">
        <v>0</v>
      </c>
      <c r="IC66">
        <v>799.9</v>
      </c>
      <c r="ID66">
        <v>1952</v>
      </c>
      <c r="IE66">
        <v>0</v>
      </c>
      <c r="IF66">
        <v>0</v>
      </c>
      <c r="IG66">
        <v>0</v>
      </c>
      <c r="IJ66">
        <v>0</v>
      </c>
      <c r="IK66">
        <v>0</v>
      </c>
      <c r="IL66">
        <v>272.10000000000002</v>
      </c>
      <c r="IM66">
        <v>816</v>
      </c>
      <c r="IN66">
        <v>64</v>
      </c>
      <c r="IQ66">
        <v>799.9</v>
      </c>
      <c r="IR66">
        <v>1952</v>
      </c>
      <c r="IS66">
        <v>0</v>
      </c>
      <c r="IT66">
        <v>0</v>
      </c>
      <c r="IU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L66">
        <v>0</v>
      </c>
      <c r="JM66">
        <v>0</v>
      </c>
      <c r="JN66">
        <v>272.10000000000002</v>
      </c>
      <c r="JO66">
        <v>816</v>
      </c>
      <c r="JP66">
        <v>64</v>
      </c>
      <c r="JQ66">
        <v>0</v>
      </c>
      <c r="JR66">
        <v>0</v>
      </c>
      <c r="JS66">
        <v>799.9</v>
      </c>
      <c r="JT66">
        <v>1952</v>
      </c>
      <c r="JU66">
        <v>0</v>
      </c>
      <c r="JV66">
        <v>0</v>
      </c>
      <c r="JW66">
        <v>100</v>
      </c>
      <c r="JY66">
        <v>0</v>
      </c>
      <c r="JZ66">
        <v>1</v>
      </c>
      <c r="KA66">
        <v>3</v>
      </c>
      <c r="KB66">
        <v>1</v>
      </c>
      <c r="KC66" t="s">
        <v>407</v>
      </c>
      <c r="KD66">
        <v>0</v>
      </c>
      <c r="KE66">
        <v>0</v>
      </c>
      <c r="KF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K66">
        <v>0</v>
      </c>
      <c r="LL66">
        <v>0</v>
      </c>
      <c r="LM66">
        <v>0</v>
      </c>
      <c r="LN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Y66">
        <v>0</v>
      </c>
      <c r="LZ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U66">
        <v>0</v>
      </c>
      <c r="MV66">
        <v>0</v>
      </c>
      <c r="MW66">
        <v>0</v>
      </c>
      <c r="MX66">
        <v>0</v>
      </c>
      <c r="MY66">
        <v>16</v>
      </c>
      <c r="NB66">
        <v>0</v>
      </c>
      <c r="NC66">
        <v>16</v>
      </c>
      <c r="ND66">
        <v>0</v>
      </c>
      <c r="NE66">
        <v>0</v>
      </c>
      <c r="NF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W66">
        <v>0</v>
      </c>
      <c r="NX66">
        <v>0</v>
      </c>
      <c r="NY66">
        <v>0</v>
      </c>
      <c r="NZ66">
        <v>0</v>
      </c>
      <c r="OA66">
        <v>16</v>
      </c>
      <c r="OB66">
        <v>0</v>
      </c>
      <c r="OC66">
        <v>0</v>
      </c>
      <c r="OD66">
        <v>0</v>
      </c>
      <c r="OE66">
        <v>16</v>
      </c>
      <c r="OF66" t="s">
        <v>408</v>
      </c>
      <c r="OM66">
        <v>0</v>
      </c>
      <c r="OT66">
        <v>0</v>
      </c>
      <c r="PA66">
        <v>0</v>
      </c>
      <c r="PH66">
        <v>0</v>
      </c>
      <c r="PO66">
        <v>0</v>
      </c>
      <c r="PV66">
        <v>0</v>
      </c>
      <c r="QC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U66">
        <v>24</v>
      </c>
      <c r="QY66">
        <v>24</v>
      </c>
      <c r="RF66">
        <v>0</v>
      </c>
      <c r="RM66">
        <v>0</v>
      </c>
      <c r="RT66">
        <v>0</v>
      </c>
      <c r="SA66">
        <v>0</v>
      </c>
      <c r="SB66">
        <v>0</v>
      </c>
      <c r="SC66">
        <v>0</v>
      </c>
      <c r="SD66">
        <v>24</v>
      </c>
      <c r="SE66">
        <v>0</v>
      </c>
      <c r="SF66">
        <v>0</v>
      </c>
      <c r="SG66">
        <v>0</v>
      </c>
      <c r="SH66">
        <v>24</v>
      </c>
      <c r="SI66" t="s">
        <v>409</v>
      </c>
      <c r="SP66">
        <v>0</v>
      </c>
      <c r="SW66">
        <v>0</v>
      </c>
      <c r="TD66">
        <v>0</v>
      </c>
      <c r="TK66">
        <v>0</v>
      </c>
      <c r="TR66">
        <v>0</v>
      </c>
      <c r="TY66">
        <v>0</v>
      </c>
      <c r="UF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VB66">
        <v>0</v>
      </c>
      <c r="VI66">
        <v>0</v>
      </c>
      <c r="VL66">
        <v>24</v>
      </c>
      <c r="VP66">
        <v>24</v>
      </c>
      <c r="VW66">
        <v>0</v>
      </c>
      <c r="WD66">
        <v>0</v>
      </c>
      <c r="WE66">
        <v>0</v>
      </c>
      <c r="WF66">
        <v>0</v>
      </c>
      <c r="WG66">
        <v>24</v>
      </c>
      <c r="WH66">
        <v>0</v>
      </c>
      <c r="WI66">
        <v>0</v>
      </c>
      <c r="WJ66">
        <v>0</v>
      </c>
      <c r="WK66">
        <v>24</v>
      </c>
      <c r="WL66" t="s">
        <v>410</v>
      </c>
      <c r="AAO66" t="s">
        <v>411</v>
      </c>
      <c r="AER66" t="s">
        <v>412</v>
      </c>
    </row>
    <row r="67" spans="1:824" x14ac:dyDescent="0.2">
      <c r="A67" t="s">
        <v>898</v>
      </c>
      <c r="B67" t="s">
        <v>396</v>
      </c>
      <c r="C67" t="s">
        <v>899</v>
      </c>
      <c r="P67" t="b">
        <v>1</v>
      </c>
      <c r="Q67" t="b">
        <v>1</v>
      </c>
      <c r="R67" t="b">
        <v>1</v>
      </c>
      <c r="S67" t="b">
        <v>0</v>
      </c>
      <c r="T67" t="b">
        <v>0</v>
      </c>
      <c r="U67" t="b">
        <v>0</v>
      </c>
      <c r="V67">
        <v>639</v>
      </c>
      <c r="W67" s="3">
        <v>43528.554166666669</v>
      </c>
      <c r="X67" t="s">
        <v>891</v>
      </c>
      <c r="Y67">
        <v>2019</v>
      </c>
      <c r="Z67" t="s">
        <v>900</v>
      </c>
      <c r="AA67" t="s">
        <v>893</v>
      </c>
      <c r="AB67" t="s">
        <v>894</v>
      </c>
      <c r="AC67" t="s">
        <v>901</v>
      </c>
      <c r="AD67" t="s">
        <v>902</v>
      </c>
      <c r="AE67" t="s">
        <v>611</v>
      </c>
      <c r="AF67" t="s">
        <v>403</v>
      </c>
      <c r="AH67">
        <v>1</v>
      </c>
      <c r="AK67">
        <v>179</v>
      </c>
      <c r="AS67">
        <v>26</v>
      </c>
      <c r="AU67">
        <v>26</v>
      </c>
      <c r="AZ67">
        <v>110</v>
      </c>
      <c r="BB67">
        <v>110</v>
      </c>
      <c r="BG67">
        <v>43</v>
      </c>
      <c r="BI67">
        <v>43</v>
      </c>
      <c r="BP67">
        <v>0</v>
      </c>
      <c r="BW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179</v>
      </c>
      <c r="CJ67">
        <v>0</v>
      </c>
      <c r="CK67">
        <v>179</v>
      </c>
      <c r="CP67">
        <v>1</v>
      </c>
      <c r="CR67">
        <v>1</v>
      </c>
      <c r="CW67">
        <v>1</v>
      </c>
      <c r="CY67">
        <v>1</v>
      </c>
      <c r="DD67">
        <v>1</v>
      </c>
      <c r="DF67">
        <v>1</v>
      </c>
      <c r="DM67">
        <v>0</v>
      </c>
      <c r="DT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3</v>
      </c>
      <c r="EG67">
        <v>0</v>
      </c>
      <c r="EH67">
        <v>3</v>
      </c>
      <c r="EI67" t="s">
        <v>404</v>
      </c>
      <c r="EJ67" t="s">
        <v>404</v>
      </c>
      <c r="EK67" t="s">
        <v>404</v>
      </c>
      <c r="EL67" t="s">
        <v>404</v>
      </c>
      <c r="EM67" t="s">
        <v>405</v>
      </c>
      <c r="EN67" t="s">
        <v>404</v>
      </c>
      <c r="EO67" t="s">
        <v>404</v>
      </c>
      <c r="EP67" t="s">
        <v>404</v>
      </c>
      <c r="EQ67" t="s">
        <v>404</v>
      </c>
      <c r="ER67" t="s">
        <v>404</v>
      </c>
      <c r="ES67" t="s">
        <v>405</v>
      </c>
      <c r="ET67" t="s">
        <v>404</v>
      </c>
      <c r="EU67" t="s">
        <v>404</v>
      </c>
      <c r="EV67" t="s">
        <v>404</v>
      </c>
      <c r="EW67" t="s">
        <v>404</v>
      </c>
      <c r="EX67" t="s">
        <v>404</v>
      </c>
      <c r="EY67" t="s">
        <v>405</v>
      </c>
      <c r="EZ67" t="s">
        <v>404</v>
      </c>
      <c r="FA67" t="s">
        <v>404</v>
      </c>
      <c r="FB67" t="s">
        <v>404</v>
      </c>
      <c r="FC67" t="s">
        <v>404</v>
      </c>
      <c r="FD67" t="s">
        <v>404</v>
      </c>
      <c r="FE67" t="s">
        <v>404</v>
      </c>
      <c r="FF67" t="s">
        <v>404</v>
      </c>
      <c r="FG67" t="s">
        <v>404</v>
      </c>
      <c r="FH67" t="s">
        <v>404</v>
      </c>
      <c r="FI67" t="s">
        <v>404</v>
      </c>
      <c r="FJ67" t="s">
        <v>404</v>
      </c>
      <c r="FK67" t="s">
        <v>404</v>
      </c>
      <c r="FL67" t="s">
        <v>404</v>
      </c>
      <c r="FM67" t="s">
        <v>404</v>
      </c>
      <c r="FN67" t="s">
        <v>404</v>
      </c>
      <c r="FO67" t="s">
        <v>404</v>
      </c>
      <c r="FP67" t="s">
        <v>404</v>
      </c>
      <c r="FQ67" t="s">
        <v>404</v>
      </c>
      <c r="FR67" t="s">
        <v>404</v>
      </c>
      <c r="FY67">
        <v>0</v>
      </c>
      <c r="GF67">
        <v>0</v>
      </c>
      <c r="GM67">
        <v>0</v>
      </c>
      <c r="GT67">
        <v>0</v>
      </c>
      <c r="HA67">
        <v>0</v>
      </c>
      <c r="HH67">
        <v>0</v>
      </c>
      <c r="HO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K67">
        <v>0</v>
      </c>
      <c r="IR67">
        <v>0</v>
      </c>
      <c r="IY67">
        <v>0</v>
      </c>
      <c r="JF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W67">
        <v>100</v>
      </c>
      <c r="JZ67">
        <v>1</v>
      </c>
      <c r="KA67">
        <v>3</v>
      </c>
      <c r="KB67">
        <v>1</v>
      </c>
      <c r="KC67" t="s">
        <v>407</v>
      </c>
      <c r="OF67" t="s">
        <v>408</v>
      </c>
      <c r="SI67" t="s">
        <v>409</v>
      </c>
      <c r="WL67" t="s">
        <v>410</v>
      </c>
      <c r="AAO67" t="s">
        <v>411</v>
      </c>
      <c r="AER67" t="s">
        <v>412</v>
      </c>
    </row>
    <row r="68" spans="1:824" x14ac:dyDescent="0.2">
      <c r="A68" t="s">
        <v>903</v>
      </c>
      <c r="B68" t="s">
        <v>563</v>
      </c>
      <c r="C68" t="s">
        <v>904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b">
        <v>0</v>
      </c>
      <c r="V68">
        <v>777</v>
      </c>
      <c r="W68" s="3">
        <v>43516.829861111109</v>
      </c>
      <c r="X68" t="s">
        <v>905</v>
      </c>
      <c r="Y68">
        <v>2019</v>
      </c>
      <c r="Z68" t="s">
        <v>906</v>
      </c>
      <c r="AA68" t="s">
        <v>907</v>
      </c>
      <c r="AB68" t="s">
        <v>908</v>
      </c>
      <c r="AC68" t="s">
        <v>909</v>
      </c>
      <c r="AD68" t="s">
        <v>910</v>
      </c>
      <c r="AE68" t="s">
        <v>571</v>
      </c>
      <c r="AF68" t="s">
        <v>538</v>
      </c>
      <c r="AH68">
        <v>1</v>
      </c>
      <c r="AK68">
        <v>350</v>
      </c>
      <c r="AL68">
        <v>350</v>
      </c>
      <c r="AM68">
        <v>10.6</v>
      </c>
      <c r="AN68">
        <v>10.6</v>
      </c>
      <c r="AU68">
        <v>0</v>
      </c>
      <c r="BB68">
        <v>0</v>
      </c>
      <c r="BD68">
        <v>350</v>
      </c>
      <c r="BI68">
        <v>350</v>
      </c>
      <c r="BP68">
        <v>0</v>
      </c>
      <c r="BW68">
        <v>0</v>
      </c>
      <c r="CD68">
        <v>0</v>
      </c>
      <c r="CE68">
        <v>0</v>
      </c>
      <c r="CF68">
        <v>350</v>
      </c>
      <c r="CG68">
        <v>0</v>
      </c>
      <c r="CH68">
        <v>0</v>
      </c>
      <c r="CI68">
        <v>0</v>
      </c>
      <c r="CJ68">
        <v>0</v>
      </c>
      <c r="CK68">
        <v>350</v>
      </c>
      <c r="CR68">
        <v>0</v>
      </c>
      <c r="CY68">
        <v>0</v>
      </c>
      <c r="DA68">
        <v>2</v>
      </c>
      <c r="DF68">
        <v>2</v>
      </c>
      <c r="DM68">
        <v>0</v>
      </c>
      <c r="DT68">
        <v>0</v>
      </c>
      <c r="EA68">
        <v>0</v>
      </c>
      <c r="EB68">
        <v>0</v>
      </c>
      <c r="EC68">
        <v>2</v>
      </c>
      <c r="ED68">
        <v>0</v>
      </c>
      <c r="EE68">
        <v>0</v>
      </c>
      <c r="EF68">
        <v>0</v>
      </c>
      <c r="EG68">
        <v>0</v>
      </c>
      <c r="EH68">
        <v>2</v>
      </c>
      <c r="EI68" t="s">
        <v>404</v>
      </c>
      <c r="EJ68" t="s">
        <v>404</v>
      </c>
      <c r="EK68" t="s">
        <v>404</v>
      </c>
      <c r="EL68" t="s">
        <v>404</v>
      </c>
      <c r="EM68" t="s">
        <v>404</v>
      </c>
      <c r="EN68" t="s">
        <v>404</v>
      </c>
      <c r="EO68" t="s">
        <v>404</v>
      </c>
      <c r="EP68" t="s">
        <v>404</v>
      </c>
      <c r="EQ68" t="s">
        <v>404</v>
      </c>
      <c r="ER68" t="s">
        <v>404</v>
      </c>
      <c r="ES68" t="s">
        <v>404</v>
      </c>
      <c r="ET68" t="s">
        <v>404</v>
      </c>
      <c r="EU68" t="s">
        <v>404</v>
      </c>
      <c r="EV68" t="s">
        <v>405</v>
      </c>
      <c r="EW68" t="s">
        <v>404</v>
      </c>
      <c r="EX68" t="s">
        <v>404</v>
      </c>
      <c r="EY68" t="s">
        <v>404</v>
      </c>
      <c r="EZ68" t="s">
        <v>404</v>
      </c>
      <c r="FA68" t="s">
        <v>404</v>
      </c>
      <c r="FB68" t="s">
        <v>404</v>
      </c>
      <c r="FC68" t="s">
        <v>404</v>
      </c>
      <c r="FD68" t="s">
        <v>404</v>
      </c>
      <c r="FE68" t="s">
        <v>404</v>
      </c>
      <c r="FF68" t="s">
        <v>404</v>
      </c>
      <c r="FG68" t="s">
        <v>404</v>
      </c>
      <c r="FH68" t="s">
        <v>404</v>
      </c>
      <c r="FI68" t="s">
        <v>404</v>
      </c>
      <c r="FJ68" t="s">
        <v>404</v>
      </c>
      <c r="FK68" t="s">
        <v>404</v>
      </c>
      <c r="FL68" t="s">
        <v>404</v>
      </c>
      <c r="FM68" t="s">
        <v>404</v>
      </c>
      <c r="FN68" t="s">
        <v>404</v>
      </c>
      <c r="FO68" t="s">
        <v>404</v>
      </c>
      <c r="FP68" t="s">
        <v>404</v>
      </c>
      <c r="FQ68" t="s">
        <v>404</v>
      </c>
      <c r="FR68" t="s">
        <v>404</v>
      </c>
      <c r="FT68">
        <v>100</v>
      </c>
      <c r="FY68">
        <v>100</v>
      </c>
      <c r="GF68">
        <v>0</v>
      </c>
      <c r="GM68">
        <v>0</v>
      </c>
      <c r="GO68">
        <v>250</v>
      </c>
      <c r="GT68">
        <v>250</v>
      </c>
      <c r="HA68">
        <v>0</v>
      </c>
      <c r="HH68">
        <v>0</v>
      </c>
      <c r="HO68">
        <v>0</v>
      </c>
      <c r="HW68">
        <v>0</v>
      </c>
      <c r="HX68">
        <v>0</v>
      </c>
      <c r="HY68">
        <v>350</v>
      </c>
      <c r="HZ68">
        <v>0</v>
      </c>
      <c r="IA68">
        <v>0</v>
      </c>
      <c r="IB68">
        <v>0</v>
      </c>
      <c r="IC68">
        <v>0</v>
      </c>
      <c r="ID68">
        <v>350</v>
      </c>
      <c r="IK68">
        <v>0</v>
      </c>
      <c r="IR68">
        <v>0</v>
      </c>
      <c r="IT68">
        <v>350</v>
      </c>
      <c r="IY68">
        <v>350</v>
      </c>
      <c r="JF68">
        <v>0</v>
      </c>
      <c r="JM68">
        <v>0</v>
      </c>
      <c r="JN68">
        <v>0</v>
      </c>
      <c r="JO68">
        <v>350</v>
      </c>
      <c r="JP68">
        <v>0</v>
      </c>
      <c r="JQ68">
        <v>0</v>
      </c>
      <c r="JR68">
        <v>0</v>
      </c>
      <c r="JS68">
        <v>0</v>
      </c>
      <c r="JT68">
        <v>350</v>
      </c>
      <c r="JW68">
        <v>100</v>
      </c>
      <c r="JZ68">
        <v>1</v>
      </c>
      <c r="KA68">
        <v>3</v>
      </c>
      <c r="KB68">
        <v>1</v>
      </c>
      <c r="KC68" t="s">
        <v>407</v>
      </c>
      <c r="OF68" t="s">
        <v>408</v>
      </c>
      <c r="SI68" t="s">
        <v>409</v>
      </c>
      <c r="WL68" t="s">
        <v>410</v>
      </c>
      <c r="AAO68" t="s">
        <v>411</v>
      </c>
      <c r="AER68" t="s">
        <v>412</v>
      </c>
    </row>
    <row r="69" spans="1:824" x14ac:dyDescent="0.2">
      <c r="A69" t="s">
        <v>911</v>
      </c>
      <c r="B69" t="s">
        <v>414</v>
      </c>
      <c r="C69" t="s">
        <v>912</v>
      </c>
      <c r="P69" t="b">
        <v>0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>
        <v>646</v>
      </c>
      <c r="W69" s="3">
        <v>43489.978472222225</v>
      </c>
      <c r="X69" t="s">
        <v>913</v>
      </c>
      <c r="Y69">
        <v>2019</v>
      </c>
      <c r="Z69" t="s">
        <v>914</v>
      </c>
      <c r="AA69" t="s">
        <v>915</v>
      </c>
      <c r="AC69" t="s">
        <v>916</v>
      </c>
      <c r="AD69" t="s">
        <v>917</v>
      </c>
      <c r="AE69" t="s">
        <v>703</v>
      </c>
      <c r="AF69" t="s">
        <v>704</v>
      </c>
      <c r="AH69">
        <v>1</v>
      </c>
      <c r="AK69">
        <v>10000</v>
      </c>
      <c r="AL69">
        <v>10000</v>
      </c>
      <c r="AM69">
        <v>10000</v>
      </c>
      <c r="AN69">
        <v>10000</v>
      </c>
      <c r="AP69">
        <v>10000</v>
      </c>
      <c r="AU69">
        <v>10000</v>
      </c>
      <c r="BB69">
        <v>0</v>
      </c>
      <c r="BI69">
        <v>0</v>
      </c>
      <c r="BP69">
        <v>0</v>
      </c>
      <c r="BW69">
        <v>0</v>
      </c>
      <c r="CD69">
        <v>0</v>
      </c>
      <c r="CE69">
        <v>0</v>
      </c>
      <c r="CF69">
        <v>10000</v>
      </c>
      <c r="CG69">
        <v>0</v>
      </c>
      <c r="CH69">
        <v>0</v>
      </c>
      <c r="CI69">
        <v>0</v>
      </c>
      <c r="CJ69">
        <v>0</v>
      </c>
      <c r="CK69">
        <v>10000</v>
      </c>
      <c r="CM69">
        <v>3</v>
      </c>
      <c r="CR69">
        <v>3</v>
      </c>
      <c r="CY69">
        <v>0</v>
      </c>
      <c r="DF69">
        <v>0</v>
      </c>
      <c r="DM69">
        <v>0</v>
      </c>
      <c r="DT69">
        <v>0</v>
      </c>
      <c r="EA69">
        <v>0</v>
      </c>
      <c r="EB69">
        <v>0</v>
      </c>
      <c r="EC69">
        <v>3</v>
      </c>
      <c r="ED69">
        <v>0</v>
      </c>
      <c r="EE69">
        <v>0</v>
      </c>
      <c r="EF69">
        <v>0</v>
      </c>
      <c r="EG69">
        <v>0</v>
      </c>
      <c r="EH69">
        <v>3</v>
      </c>
      <c r="EI69" t="s">
        <v>404</v>
      </c>
      <c r="EJ69" t="s">
        <v>405</v>
      </c>
      <c r="EK69" t="s">
        <v>404</v>
      </c>
      <c r="EL69" t="s">
        <v>404</v>
      </c>
      <c r="EM69" t="s">
        <v>404</v>
      </c>
      <c r="EN69" t="s">
        <v>404</v>
      </c>
      <c r="EO69" t="s">
        <v>404</v>
      </c>
      <c r="EP69" t="s">
        <v>404</v>
      </c>
      <c r="EQ69" t="s">
        <v>404</v>
      </c>
      <c r="ER69" t="s">
        <v>404</v>
      </c>
      <c r="ES69" t="s">
        <v>404</v>
      </c>
      <c r="ET69" t="s">
        <v>404</v>
      </c>
      <c r="EU69" t="s">
        <v>404</v>
      </c>
      <c r="EV69" t="s">
        <v>404</v>
      </c>
      <c r="EW69" t="s">
        <v>404</v>
      </c>
      <c r="EX69" t="s">
        <v>404</v>
      </c>
      <c r="EY69" t="s">
        <v>404</v>
      </c>
      <c r="EZ69" t="s">
        <v>404</v>
      </c>
      <c r="FA69" t="s">
        <v>404</v>
      </c>
      <c r="FB69" t="s">
        <v>404</v>
      </c>
      <c r="FC69" t="s">
        <v>404</v>
      </c>
      <c r="FD69" t="s">
        <v>404</v>
      </c>
      <c r="FE69" t="s">
        <v>404</v>
      </c>
      <c r="FF69" t="s">
        <v>404</v>
      </c>
      <c r="FG69" t="s">
        <v>404</v>
      </c>
      <c r="FH69" t="s">
        <v>404</v>
      </c>
      <c r="FI69" t="s">
        <v>404</v>
      </c>
      <c r="FJ69" t="s">
        <v>404</v>
      </c>
      <c r="FK69" t="s">
        <v>404</v>
      </c>
      <c r="FL69" t="s">
        <v>404</v>
      </c>
      <c r="FM69" t="s">
        <v>404</v>
      </c>
      <c r="FN69" t="s">
        <v>404</v>
      </c>
      <c r="FO69" t="s">
        <v>404</v>
      </c>
      <c r="FP69" t="s">
        <v>404</v>
      </c>
      <c r="FQ69" t="s">
        <v>404</v>
      </c>
      <c r="FR69" t="s">
        <v>404</v>
      </c>
      <c r="FY69">
        <v>0</v>
      </c>
      <c r="GF69">
        <v>0</v>
      </c>
      <c r="GM69">
        <v>0</v>
      </c>
      <c r="GT69">
        <v>0</v>
      </c>
      <c r="HA69">
        <v>0</v>
      </c>
      <c r="HC69">
        <v>10000</v>
      </c>
      <c r="HH69">
        <v>10000</v>
      </c>
      <c r="HO69">
        <v>0</v>
      </c>
      <c r="HW69">
        <v>0</v>
      </c>
      <c r="HX69">
        <v>0</v>
      </c>
      <c r="HY69">
        <v>10000</v>
      </c>
      <c r="HZ69">
        <v>0</v>
      </c>
      <c r="IA69">
        <v>0</v>
      </c>
      <c r="IB69">
        <v>0</v>
      </c>
      <c r="IC69">
        <v>0</v>
      </c>
      <c r="ID69">
        <v>10000</v>
      </c>
      <c r="IF69">
        <v>10000</v>
      </c>
      <c r="IK69">
        <v>10000</v>
      </c>
      <c r="IR69">
        <v>0</v>
      </c>
      <c r="IY69">
        <v>0</v>
      </c>
      <c r="JF69">
        <v>0</v>
      </c>
      <c r="JM69">
        <v>0</v>
      </c>
      <c r="JN69">
        <v>0</v>
      </c>
      <c r="JO69">
        <v>10000</v>
      </c>
      <c r="JP69">
        <v>0</v>
      </c>
      <c r="JQ69">
        <v>0</v>
      </c>
      <c r="JR69">
        <v>0</v>
      </c>
      <c r="JS69">
        <v>0</v>
      </c>
      <c r="JT69">
        <v>10000</v>
      </c>
      <c r="JW69">
        <v>100</v>
      </c>
      <c r="JZ69">
        <v>1</v>
      </c>
      <c r="KA69">
        <v>3</v>
      </c>
      <c r="KB69">
        <v>2</v>
      </c>
      <c r="KC69" t="s">
        <v>407</v>
      </c>
      <c r="OF69" t="s">
        <v>408</v>
      </c>
      <c r="SI69" t="s">
        <v>409</v>
      </c>
      <c r="WL69" t="s">
        <v>410</v>
      </c>
      <c r="AAO69" t="s">
        <v>411</v>
      </c>
      <c r="AER69" t="s">
        <v>412</v>
      </c>
    </row>
    <row r="70" spans="1:824" x14ac:dyDescent="0.2">
      <c r="A70" t="s">
        <v>918</v>
      </c>
      <c r="B70" t="s">
        <v>396</v>
      </c>
      <c r="C70" t="s">
        <v>919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>
        <v>589</v>
      </c>
      <c r="W70" s="3">
        <v>43517.594444444447</v>
      </c>
      <c r="X70" t="s">
        <v>920</v>
      </c>
      <c r="Y70">
        <v>2019</v>
      </c>
      <c r="Z70" t="s">
        <v>921</v>
      </c>
      <c r="AA70" t="s">
        <v>919</v>
      </c>
      <c r="AB70" t="s">
        <v>922</v>
      </c>
      <c r="AC70" t="s">
        <v>923</v>
      </c>
      <c r="AD70" t="s">
        <v>924</v>
      </c>
      <c r="AE70" t="s">
        <v>611</v>
      </c>
      <c r="AF70" t="s">
        <v>403</v>
      </c>
      <c r="AH70">
        <v>1</v>
      </c>
      <c r="AK70">
        <v>759</v>
      </c>
      <c r="AL70">
        <v>759</v>
      </c>
      <c r="AM70">
        <v>469</v>
      </c>
      <c r="AN70">
        <v>469</v>
      </c>
      <c r="AU70">
        <v>0</v>
      </c>
      <c r="BB70">
        <v>0</v>
      </c>
      <c r="BI70">
        <v>0</v>
      </c>
      <c r="BJ70">
        <v>561</v>
      </c>
      <c r="BK70">
        <v>198</v>
      </c>
      <c r="BP70">
        <v>759</v>
      </c>
      <c r="BW70">
        <v>0</v>
      </c>
      <c r="CD70">
        <v>0</v>
      </c>
      <c r="CE70">
        <v>561</v>
      </c>
      <c r="CF70">
        <v>198</v>
      </c>
      <c r="CG70">
        <v>0</v>
      </c>
      <c r="CH70">
        <v>0</v>
      </c>
      <c r="CI70">
        <v>0</v>
      </c>
      <c r="CJ70">
        <v>0</v>
      </c>
      <c r="CK70">
        <v>759</v>
      </c>
      <c r="CR70">
        <v>0</v>
      </c>
      <c r="CY70">
        <v>0</v>
      </c>
      <c r="DF70">
        <v>0</v>
      </c>
      <c r="DG70">
        <v>3</v>
      </c>
      <c r="DH70">
        <v>1</v>
      </c>
      <c r="DM70">
        <v>4</v>
      </c>
      <c r="DT70">
        <v>0</v>
      </c>
      <c r="EA70">
        <v>0</v>
      </c>
      <c r="EB70">
        <v>3</v>
      </c>
      <c r="EC70">
        <v>1</v>
      </c>
      <c r="ED70">
        <v>0</v>
      </c>
      <c r="EE70">
        <v>0</v>
      </c>
      <c r="EF70">
        <v>0</v>
      </c>
      <c r="EG70">
        <v>0</v>
      </c>
      <c r="EH70">
        <v>4</v>
      </c>
      <c r="EI70" t="s">
        <v>404</v>
      </c>
      <c r="EJ70" t="s">
        <v>404</v>
      </c>
      <c r="EK70" t="s">
        <v>404</v>
      </c>
      <c r="EL70" t="s">
        <v>404</v>
      </c>
      <c r="EM70" t="s">
        <v>404</v>
      </c>
      <c r="EN70" t="s">
        <v>404</v>
      </c>
      <c r="EO70" t="s">
        <v>404</v>
      </c>
      <c r="EP70" t="s">
        <v>404</v>
      </c>
      <c r="EQ70" t="s">
        <v>404</v>
      </c>
      <c r="ER70" t="s">
        <v>404</v>
      </c>
      <c r="ES70" t="s">
        <v>404</v>
      </c>
      <c r="ET70" t="s">
        <v>404</v>
      </c>
      <c r="EU70" t="s">
        <v>404</v>
      </c>
      <c r="EV70" t="s">
        <v>404</v>
      </c>
      <c r="EW70" t="s">
        <v>404</v>
      </c>
      <c r="EX70" t="s">
        <v>404</v>
      </c>
      <c r="EY70" t="s">
        <v>404</v>
      </c>
      <c r="EZ70" t="s">
        <v>404</v>
      </c>
      <c r="FA70" t="s">
        <v>405</v>
      </c>
      <c r="FB70" t="s">
        <v>405</v>
      </c>
      <c r="FC70" t="s">
        <v>404</v>
      </c>
      <c r="FD70" t="s">
        <v>404</v>
      </c>
      <c r="FE70" t="s">
        <v>404</v>
      </c>
      <c r="FF70" t="s">
        <v>404</v>
      </c>
      <c r="FG70" t="s">
        <v>404</v>
      </c>
      <c r="FH70" t="s">
        <v>404</v>
      </c>
      <c r="FI70" t="s">
        <v>404</v>
      </c>
      <c r="FJ70" t="s">
        <v>404</v>
      </c>
      <c r="FK70" t="s">
        <v>404</v>
      </c>
      <c r="FL70" t="s">
        <v>404</v>
      </c>
      <c r="FM70" t="s">
        <v>404</v>
      </c>
      <c r="FN70" t="s">
        <v>404</v>
      </c>
      <c r="FO70" t="s">
        <v>404</v>
      </c>
      <c r="FP70" t="s">
        <v>404</v>
      </c>
      <c r="FQ70" t="s">
        <v>404</v>
      </c>
      <c r="FR70" t="s">
        <v>404</v>
      </c>
      <c r="FS70">
        <v>536</v>
      </c>
      <c r="FT70">
        <v>198</v>
      </c>
      <c r="FY70">
        <v>734</v>
      </c>
      <c r="FZ70">
        <v>25</v>
      </c>
      <c r="GF70">
        <v>25</v>
      </c>
      <c r="GM70">
        <v>0</v>
      </c>
      <c r="GT70">
        <v>0</v>
      </c>
      <c r="HA70">
        <v>0</v>
      </c>
      <c r="HH70">
        <v>0</v>
      </c>
      <c r="HO70">
        <v>0</v>
      </c>
      <c r="HW70">
        <v>0</v>
      </c>
      <c r="HX70">
        <v>561</v>
      </c>
      <c r="HY70">
        <v>198</v>
      </c>
      <c r="HZ70">
        <v>0</v>
      </c>
      <c r="IA70">
        <v>0</v>
      </c>
      <c r="IB70">
        <v>0</v>
      </c>
      <c r="IC70">
        <v>0</v>
      </c>
      <c r="ID70">
        <v>759</v>
      </c>
      <c r="IK70">
        <v>0</v>
      </c>
      <c r="IL70">
        <v>561</v>
      </c>
      <c r="IM70">
        <v>198</v>
      </c>
      <c r="IR70">
        <v>759</v>
      </c>
      <c r="IY70">
        <v>0</v>
      </c>
      <c r="JF70">
        <v>0</v>
      </c>
      <c r="JM70">
        <v>0</v>
      </c>
      <c r="JN70">
        <v>561</v>
      </c>
      <c r="JO70">
        <v>198</v>
      </c>
      <c r="JP70">
        <v>0</v>
      </c>
      <c r="JQ70">
        <v>0</v>
      </c>
      <c r="JR70">
        <v>0</v>
      </c>
      <c r="JS70">
        <v>0</v>
      </c>
      <c r="JT70">
        <v>759</v>
      </c>
      <c r="JW70">
        <v>100</v>
      </c>
      <c r="JZ70">
        <v>2</v>
      </c>
      <c r="KA70">
        <v>3</v>
      </c>
      <c r="KB70">
        <v>1</v>
      </c>
      <c r="KC70" t="s">
        <v>407</v>
      </c>
      <c r="OF70" t="s">
        <v>408</v>
      </c>
      <c r="SI70" t="s">
        <v>409</v>
      </c>
      <c r="WL70" t="s">
        <v>410</v>
      </c>
      <c r="AAO70" t="s">
        <v>411</v>
      </c>
      <c r="AER70" t="s">
        <v>412</v>
      </c>
    </row>
    <row r="71" spans="1:824" x14ac:dyDescent="0.2">
      <c r="A71" t="s">
        <v>925</v>
      </c>
      <c r="B71" t="s">
        <v>396</v>
      </c>
      <c r="C71" t="s">
        <v>926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>
        <v>821</v>
      </c>
      <c r="W71" s="3">
        <v>43531.402777777781</v>
      </c>
      <c r="X71" t="s">
        <v>927</v>
      </c>
      <c r="Y71">
        <v>2019</v>
      </c>
      <c r="Z71" t="s">
        <v>928</v>
      </c>
      <c r="AA71" t="s">
        <v>929</v>
      </c>
      <c r="AB71" t="s">
        <v>930</v>
      </c>
      <c r="AC71" t="s">
        <v>931</v>
      </c>
      <c r="AE71" t="s">
        <v>491</v>
      </c>
      <c r="AF71" t="s">
        <v>492</v>
      </c>
      <c r="AH71">
        <v>1</v>
      </c>
      <c r="AK71">
        <v>7.6</v>
      </c>
      <c r="AL71">
        <v>7.6</v>
      </c>
      <c r="AM71">
        <v>7.6</v>
      </c>
      <c r="AN71">
        <v>7.6</v>
      </c>
      <c r="AU71">
        <v>0</v>
      </c>
      <c r="AV71">
        <v>7.6</v>
      </c>
      <c r="BB71">
        <v>7.6</v>
      </c>
      <c r="BI71">
        <v>0</v>
      </c>
      <c r="BP71">
        <v>0</v>
      </c>
      <c r="BW71">
        <v>0</v>
      </c>
      <c r="CD71">
        <v>0</v>
      </c>
      <c r="CE71">
        <v>7.6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7.6</v>
      </c>
      <c r="CR71">
        <v>0</v>
      </c>
      <c r="CS71">
        <v>1</v>
      </c>
      <c r="CY71">
        <v>1</v>
      </c>
      <c r="DF71">
        <v>0</v>
      </c>
      <c r="DM71">
        <v>0</v>
      </c>
      <c r="DT71">
        <v>0</v>
      </c>
      <c r="EA71">
        <v>0</v>
      </c>
      <c r="EB71">
        <v>1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1</v>
      </c>
      <c r="EI71" t="s">
        <v>404</v>
      </c>
      <c r="EJ71" t="s">
        <v>404</v>
      </c>
      <c r="EK71" t="s">
        <v>404</v>
      </c>
      <c r="EL71" t="s">
        <v>404</v>
      </c>
      <c r="EM71" t="s">
        <v>404</v>
      </c>
      <c r="EN71" t="s">
        <v>404</v>
      </c>
      <c r="EO71" t="s">
        <v>405</v>
      </c>
      <c r="EP71" t="s">
        <v>404</v>
      </c>
      <c r="EQ71" t="s">
        <v>404</v>
      </c>
      <c r="ER71" t="s">
        <v>404</v>
      </c>
      <c r="ES71" t="s">
        <v>404</v>
      </c>
      <c r="ET71" t="s">
        <v>404</v>
      </c>
      <c r="EU71" t="s">
        <v>404</v>
      </c>
      <c r="EV71" t="s">
        <v>404</v>
      </c>
      <c r="EW71" t="s">
        <v>404</v>
      </c>
      <c r="EX71" t="s">
        <v>404</v>
      </c>
      <c r="EY71" t="s">
        <v>404</v>
      </c>
      <c r="EZ71" t="s">
        <v>404</v>
      </c>
      <c r="FA71" t="s">
        <v>404</v>
      </c>
      <c r="FB71" t="s">
        <v>404</v>
      </c>
      <c r="FC71" t="s">
        <v>404</v>
      </c>
      <c r="FD71" t="s">
        <v>404</v>
      </c>
      <c r="FE71" t="s">
        <v>404</v>
      </c>
      <c r="FF71" t="s">
        <v>404</v>
      </c>
      <c r="FG71" t="s">
        <v>404</v>
      </c>
      <c r="FH71" t="s">
        <v>404</v>
      </c>
      <c r="FI71" t="s">
        <v>404</v>
      </c>
      <c r="FJ71" t="s">
        <v>404</v>
      </c>
      <c r="FK71" t="s">
        <v>404</v>
      </c>
      <c r="FL71" t="s">
        <v>404</v>
      </c>
      <c r="FM71" t="s">
        <v>404</v>
      </c>
      <c r="FN71" t="s">
        <v>404</v>
      </c>
      <c r="FO71" t="s">
        <v>404</v>
      </c>
      <c r="FP71" t="s">
        <v>404</v>
      </c>
      <c r="FQ71" t="s">
        <v>404</v>
      </c>
      <c r="FR71" t="s">
        <v>404</v>
      </c>
      <c r="FS71">
        <v>7.6</v>
      </c>
      <c r="FY71">
        <v>7.6</v>
      </c>
      <c r="GF71">
        <v>0</v>
      </c>
      <c r="GM71">
        <v>0</v>
      </c>
      <c r="GT71">
        <v>0</v>
      </c>
      <c r="HA71">
        <v>0</v>
      </c>
      <c r="HH71">
        <v>0</v>
      </c>
      <c r="HO71">
        <v>0</v>
      </c>
      <c r="HW71">
        <v>0</v>
      </c>
      <c r="HX71">
        <v>7.6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7.6</v>
      </c>
      <c r="IK71">
        <v>0</v>
      </c>
      <c r="IL71">
        <v>7.6</v>
      </c>
      <c r="IR71">
        <v>7.6</v>
      </c>
      <c r="IY71">
        <v>0</v>
      </c>
      <c r="JF71">
        <v>0</v>
      </c>
      <c r="JM71">
        <v>0</v>
      </c>
      <c r="JN71">
        <v>7.6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7.6</v>
      </c>
      <c r="JW71">
        <v>60</v>
      </c>
      <c r="JX71" t="s">
        <v>932</v>
      </c>
      <c r="JY71">
        <v>40</v>
      </c>
      <c r="JZ71">
        <v>3</v>
      </c>
      <c r="KA71">
        <v>3</v>
      </c>
      <c r="KB71">
        <v>2</v>
      </c>
      <c r="KC71" t="s">
        <v>407</v>
      </c>
      <c r="OF71" t="s">
        <v>408</v>
      </c>
      <c r="SI71" t="s">
        <v>409</v>
      </c>
      <c r="WL71" t="s">
        <v>410</v>
      </c>
      <c r="AAO71" t="s">
        <v>411</v>
      </c>
      <c r="AER71" t="s">
        <v>412</v>
      </c>
    </row>
    <row r="72" spans="1:824" x14ac:dyDescent="0.2">
      <c r="A72" t="s">
        <v>933</v>
      </c>
      <c r="B72" t="s">
        <v>414</v>
      </c>
      <c r="C72" t="s">
        <v>934</v>
      </c>
      <c r="P72" t="b">
        <v>0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>
        <v>536</v>
      </c>
      <c r="W72" s="3">
        <v>43510.068749999999</v>
      </c>
      <c r="X72" t="s">
        <v>935</v>
      </c>
      <c r="Y72">
        <v>2019</v>
      </c>
      <c r="Z72" t="s">
        <v>936</v>
      </c>
      <c r="AA72" t="s">
        <v>937</v>
      </c>
      <c r="AB72" t="s">
        <v>938</v>
      </c>
      <c r="AC72" t="s">
        <v>939</v>
      </c>
      <c r="AD72">
        <f>81-3-3548-3351</f>
        <v>-6821</v>
      </c>
      <c r="AE72" t="s">
        <v>703</v>
      </c>
      <c r="AF72" t="s">
        <v>704</v>
      </c>
      <c r="AH72">
        <v>1</v>
      </c>
      <c r="AL72">
        <v>3413</v>
      </c>
      <c r="AN72">
        <v>3413</v>
      </c>
      <c r="AO72">
        <v>3413</v>
      </c>
      <c r="AU72">
        <v>3413</v>
      </c>
      <c r="BB72">
        <v>0</v>
      </c>
      <c r="BI72">
        <v>0</v>
      </c>
      <c r="BP72">
        <v>0</v>
      </c>
      <c r="BW72">
        <v>0</v>
      </c>
      <c r="CD72">
        <v>0</v>
      </c>
      <c r="CE72">
        <v>3413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3413</v>
      </c>
      <c r="CL72">
        <v>1</v>
      </c>
      <c r="CR72">
        <v>1</v>
      </c>
      <c r="CY72">
        <v>0</v>
      </c>
      <c r="DF72">
        <v>0</v>
      </c>
      <c r="DM72">
        <v>0</v>
      </c>
      <c r="DT72">
        <v>0</v>
      </c>
      <c r="EA72">
        <v>0</v>
      </c>
      <c r="EB72">
        <v>1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1</v>
      </c>
      <c r="EI72" t="s">
        <v>405</v>
      </c>
      <c r="EJ72" t="s">
        <v>404</v>
      </c>
      <c r="EK72" t="s">
        <v>404</v>
      </c>
      <c r="EL72" t="s">
        <v>404</v>
      </c>
      <c r="EM72" t="s">
        <v>404</v>
      </c>
      <c r="EN72" t="s">
        <v>404</v>
      </c>
      <c r="EO72" t="s">
        <v>404</v>
      </c>
      <c r="EP72" t="s">
        <v>404</v>
      </c>
      <c r="EQ72" t="s">
        <v>404</v>
      </c>
      <c r="ER72" t="s">
        <v>404</v>
      </c>
      <c r="ES72" t="s">
        <v>404</v>
      </c>
      <c r="ET72" t="s">
        <v>404</v>
      </c>
      <c r="EU72" t="s">
        <v>404</v>
      </c>
      <c r="EV72" t="s">
        <v>404</v>
      </c>
      <c r="EW72" t="s">
        <v>404</v>
      </c>
      <c r="EX72" t="s">
        <v>404</v>
      </c>
      <c r="EY72" t="s">
        <v>404</v>
      </c>
      <c r="EZ72" t="s">
        <v>404</v>
      </c>
      <c r="FA72" t="s">
        <v>404</v>
      </c>
      <c r="FB72" t="s">
        <v>404</v>
      </c>
      <c r="FC72" t="s">
        <v>404</v>
      </c>
      <c r="FD72" t="s">
        <v>404</v>
      </c>
      <c r="FE72" t="s">
        <v>404</v>
      </c>
      <c r="FF72" t="s">
        <v>404</v>
      </c>
      <c r="FG72" t="s">
        <v>404</v>
      </c>
      <c r="FH72" t="s">
        <v>404</v>
      </c>
      <c r="FI72" t="s">
        <v>404</v>
      </c>
      <c r="FJ72" t="s">
        <v>404</v>
      </c>
      <c r="FK72" t="s">
        <v>404</v>
      </c>
      <c r="FL72" t="s">
        <v>404</v>
      </c>
      <c r="FM72" t="s">
        <v>404</v>
      </c>
      <c r="FN72" t="s">
        <v>404</v>
      </c>
      <c r="FO72" t="s">
        <v>404</v>
      </c>
      <c r="FP72" t="s">
        <v>404</v>
      </c>
      <c r="FQ72" t="s">
        <v>404</v>
      </c>
      <c r="FR72" t="s">
        <v>404</v>
      </c>
      <c r="FS72">
        <v>519</v>
      </c>
      <c r="FY72">
        <v>519</v>
      </c>
      <c r="GF72">
        <v>0</v>
      </c>
      <c r="GM72">
        <v>0</v>
      </c>
      <c r="GT72">
        <v>0</v>
      </c>
      <c r="HA72">
        <v>0</v>
      </c>
      <c r="HH72">
        <v>0</v>
      </c>
      <c r="HO72">
        <v>0</v>
      </c>
      <c r="HP72" t="s">
        <v>940</v>
      </c>
      <c r="HQ72">
        <v>2894</v>
      </c>
      <c r="HW72">
        <v>2894</v>
      </c>
      <c r="HX72">
        <v>3413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3413</v>
      </c>
      <c r="IE72">
        <v>3413</v>
      </c>
      <c r="IK72">
        <v>3413</v>
      </c>
      <c r="IR72">
        <v>0</v>
      </c>
      <c r="IY72">
        <v>0</v>
      </c>
      <c r="JF72">
        <v>0</v>
      </c>
      <c r="JM72">
        <v>0</v>
      </c>
      <c r="JN72">
        <v>3413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3413</v>
      </c>
      <c r="JU72">
        <v>100</v>
      </c>
      <c r="JZ72">
        <v>1</v>
      </c>
      <c r="KA72">
        <v>1</v>
      </c>
      <c r="KB72">
        <v>2</v>
      </c>
      <c r="KC72" t="s">
        <v>407</v>
      </c>
      <c r="OF72" t="s">
        <v>408</v>
      </c>
      <c r="SI72" t="s">
        <v>409</v>
      </c>
      <c r="WL72" t="s">
        <v>410</v>
      </c>
      <c r="AAO72" t="s">
        <v>411</v>
      </c>
      <c r="AER72" t="s">
        <v>412</v>
      </c>
    </row>
    <row r="73" spans="1:824" x14ac:dyDescent="0.2">
      <c r="A73" t="s">
        <v>941</v>
      </c>
      <c r="B73" t="s">
        <v>396</v>
      </c>
      <c r="C73" t="s">
        <v>942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>
        <v>824</v>
      </c>
      <c r="W73" s="3">
        <v>43529.736111111109</v>
      </c>
      <c r="X73" t="s">
        <v>943</v>
      </c>
      <c r="Y73">
        <v>2019</v>
      </c>
      <c r="Z73" t="s">
        <v>944</v>
      </c>
      <c r="AA73" t="s">
        <v>945</v>
      </c>
      <c r="AB73" t="s">
        <v>450</v>
      </c>
      <c r="AC73" t="s">
        <v>946</v>
      </c>
      <c r="AD73">
        <v>7796853569</v>
      </c>
      <c r="AE73" t="s">
        <v>516</v>
      </c>
      <c r="AF73" t="s">
        <v>403</v>
      </c>
      <c r="AH73">
        <v>1</v>
      </c>
      <c r="AK73">
        <v>260</v>
      </c>
      <c r="AL73">
        <v>260</v>
      </c>
      <c r="AM73">
        <v>240</v>
      </c>
      <c r="AN73">
        <v>240</v>
      </c>
      <c r="AU73">
        <v>0</v>
      </c>
      <c r="AV73">
        <v>50</v>
      </c>
      <c r="AW73">
        <v>210</v>
      </c>
      <c r="BB73">
        <v>260</v>
      </c>
      <c r="BI73">
        <v>0</v>
      </c>
      <c r="BP73">
        <v>0</v>
      </c>
      <c r="BW73">
        <v>0</v>
      </c>
      <c r="CD73">
        <v>0</v>
      </c>
      <c r="CE73">
        <v>50</v>
      </c>
      <c r="CF73">
        <v>210</v>
      </c>
      <c r="CG73">
        <v>0</v>
      </c>
      <c r="CH73">
        <v>0</v>
      </c>
      <c r="CI73">
        <v>0</v>
      </c>
      <c r="CJ73">
        <v>0</v>
      </c>
      <c r="CK73">
        <v>260</v>
      </c>
      <c r="CR73">
        <v>0</v>
      </c>
      <c r="CS73">
        <v>1</v>
      </c>
      <c r="CT73">
        <v>1</v>
      </c>
      <c r="CY73">
        <v>2</v>
      </c>
      <c r="DF73">
        <v>0</v>
      </c>
      <c r="DM73">
        <v>0</v>
      </c>
      <c r="DT73">
        <v>0</v>
      </c>
      <c r="EA73">
        <v>0</v>
      </c>
      <c r="EB73">
        <v>1</v>
      </c>
      <c r="EC73">
        <v>1</v>
      </c>
      <c r="ED73">
        <v>0</v>
      </c>
      <c r="EE73">
        <v>0</v>
      </c>
      <c r="EF73">
        <v>0</v>
      </c>
      <c r="EG73">
        <v>0</v>
      </c>
      <c r="EH73">
        <v>2</v>
      </c>
      <c r="EI73" t="s">
        <v>404</v>
      </c>
      <c r="EJ73" t="s">
        <v>404</v>
      </c>
      <c r="EK73" t="s">
        <v>404</v>
      </c>
      <c r="EL73" t="s">
        <v>404</v>
      </c>
      <c r="EM73" t="s">
        <v>404</v>
      </c>
      <c r="EN73" t="s">
        <v>404</v>
      </c>
      <c r="EO73" t="s">
        <v>405</v>
      </c>
      <c r="EP73" t="s">
        <v>405</v>
      </c>
      <c r="EQ73" t="s">
        <v>404</v>
      </c>
      <c r="ER73" t="s">
        <v>404</v>
      </c>
      <c r="ES73" t="s">
        <v>404</v>
      </c>
      <c r="ET73" t="s">
        <v>404</v>
      </c>
      <c r="EU73" t="s">
        <v>404</v>
      </c>
      <c r="EV73" t="s">
        <v>404</v>
      </c>
      <c r="EW73" t="s">
        <v>404</v>
      </c>
      <c r="EX73" t="s">
        <v>404</v>
      </c>
      <c r="EY73" t="s">
        <v>404</v>
      </c>
      <c r="EZ73" t="s">
        <v>404</v>
      </c>
      <c r="FA73" t="s">
        <v>404</v>
      </c>
      <c r="FB73" t="s">
        <v>404</v>
      </c>
      <c r="FC73" t="s">
        <v>404</v>
      </c>
      <c r="FD73" t="s">
        <v>404</v>
      </c>
      <c r="FE73" t="s">
        <v>404</v>
      </c>
      <c r="FF73" t="s">
        <v>404</v>
      </c>
      <c r="FG73" t="s">
        <v>404</v>
      </c>
      <c r="FH73" t="s">
        <v>404</v>
      </c>
      <c r="FI73" t="s">
        <v>404</v>
      </c>
      <c r="FJ73" t="s">
        <v>404</v>
      </c>
      <c r="FK73" t="s">
        <v>404</v>
      </c>
      <c r="FL73" t="s">
        <v>404</v>
      </c>
      <c r="FM73" t="s">
        <v>404</v>
      </c>
      <c r="FN73" t="s">
        <v>404</v>
      </c>
      <c r="FO73" t="s">
        <v>404</v>
      </c>
      <c r="FP73" t="s">
        <v>404</v>
      </c>
      <c r="FQ73" t="s">
        <v>404</v>
      </c>
      <c r="FR73" t="s">
        <v>404</v>
      </c>
      <c r="FT73">
        <v>210</v>
      </c>
      <c r="FY73">
        <v>210</v>
      </c>
      <c r="GF73">
        <v>0</v>
      </c>
      <c r="GM73">
        <v>0</v>
      </c>
      <c r="GT73">
        <v>0</v>
      </c>
      <c r="GU73">
        <v>50</v>
      </c>
      <c r="HA73">
        <v>50</v>
      </c>
      <c r="HH73">
        <v>0</v>
      </c>
      <c r="HO73">
        <v>0</v>
      </c>
      <c r="HW73">
        <v>0</v>
      </c>
      <c r="HX73">
        <v>50</v>
      </c>
      <c r="HY73">
        <v>210</v>
      </c>
      <c r="HZ73">
        <v>0</v>
      </c>
      <c r="IA73">
        <v>0</v>
      </c>
      <c r="IB73">
        <v>0</v>
      </c>
      <c r="IC73">
        <v>0</v>
      </c>
      <c r="ID73">
        <v>260</v>
      </c>
      <c r="IK73">
        <v>0</v>
      </c>
      <c r="IL73">
        <v>50</v>
      </c>
      <c r="IM73">
        <v>210</v>
      </c>
      <c r="IR73">
        <v>260</v>
      </c>
      <c r="IY73">
        <v>0</v>
      </c>
      <c r="JF73">
        <v>0</v>
      </c>
      <c r="JM73">
        <v>0</v>
      </c>
      <c r="JN73">
        <v>50</v>
      </c>
      <c r="JO73">
        <v>210</v>
      </c>
      <c r="JP73">
        <v>0</v>
      </c>
      <c r="JQ73">
        <v>0</v>
      </c>
      <c r="JR73">
        <v>0</v>
      </c>
      <c r="JS73">
        <v>0</v>
      </c>
      <c r="JT73">
        <v>260</v>
      </c>
      <c r="JU73">
        <v>0</v>
      </c>
      <c r="JV73">
        <v>0</v>
      </c>
      <c r="JW73">
        <v>100</v>
      </c>
      <c r="JZ73">
        <v>1</v>
      </c>
      <c r="KA73">
        <v>2</v>
      </c>
      <c r="KB73">
        <v>1</v>
      </c>
      <c r="KC73" t="s">
        <v>407</v>
      </c>
      <c r="OF73" t="s">
        <v>408</v>
      </c>
      <c r="SI73" t="s">
        <v>409</v>
      </c>
      <c r="WL73" t="s">
        <v>410</v>
      </c>
      <c r="AAO73" t="s">
        <v>411</v>
      </c>
      <c r="AER73" t="s">
        <v>412</v>
      </c>
    </row>
    <row r="74" spans="1:824" x14ac:dyDescent="0.2">
      <c r="A74" t="s">
        <v>947</v>
      </c>
      <c r="B74" t="s">
        <v>396</v>
      </c>
      <c r="C74" t="s">
        <v>948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>
        <v>800</v>
      </c>
      <c r="W74" s="3">
        <v>43523.367361111108</v>
      </c>
      <c r="X74" t="s">
        <v>949</v>
      </c>
      <c r="Y74">
        <v>2019</v>
      </c>
      <c r="Z74" t="s">
        <v>950</v>
      </c>
      <c r="AA74" t="s">
        <v>951</v>
      </c>
      <c r="AB74" t="s">
        <v>952</v>
      </c>
      <c r="AC74" t="s">
        <v>953</v>
      </c>
      <c r="AD74">
        <v>69247515150</v>
      </c>
      <c r="AE74" t="s">
        <v>444</v>
      </c>
      <c r="AF74" t="s">
        <v>403</v>
      </c>
      <c r="AH74">
        <v>1</v>
      </c>
      <c r="AK74">
        <v>217.5</v>
      </c>
      <c r="AL74">
        <v>217.5</v>
      </c>
      <c r="AM74">
        <v>203.9</v>
      </c>
      <c r="AN74">
        <v>203.9</v>
      </c>
      <c r="AU74">
        <v>0</v>
      </c>
      <c r="AV74">
        <v>57</v>
      </c>
      <c r="AW74">
        <v>160.5</v>
      </c>
      <c r="BB74">
        <v>217.5</v>
      </c>
      <c r="BI74">
        <v>0</v>
      </c>
      <c r="BP74">
        <v>0</v>
      </c>
      <c r="BW74">
        <v>0</v>
      </c>
      <c r="CD74">
        <v>0</v>
      </c>
      <c r="CE74">
        <v>57</v>
      </c>
      <c r="CF74">
        <v>160.5</v>
      </c>
      <c r="CG74">
        <v>0</v>
      </c>
      <c r="CH74">
        <v>0</v>
      </c>
      <c r="CI74">
        <v>0</v>
      </c>
      <c r="CJ74">
        <v>0</v>
      </c>
      <c r="CK74">
        <v>217.5</v>
      </c>
      <c r="CR74">
        <v>0</v>
      </c>
      <c r="CS74">
        <v>1</v>
      </c>
      <c r="CT74">
        <v>1</v>
      </c>
      <c r="CY74">
        <v>2</v>
      </c>
      <c r="DF74">
        <v>0</v>
      </c>
      <c r="DM74">
        <v>0</v>
      </c>
      <c r="DT74">
        <v>0</v>
      </c>
      <c r="EA74">
        <v>0</v>
      </c>
      <c r="EB74">
        <v>1</v>
      </c>
      <c r="EC74">
        <v>1</v>
      </c>
      <c r="ED74">
        <v>0</v>
      </c>
      <c r="EE74">
        <v>0</v>
      </c>
      <c r="EF74">
        <v>0</v>
      </c>
      <c r="EG74">
        <v>0</v>
      </c>
      <c r="EH74">
        <v>2</v>
      </c>
      <c r="EI74" t="s">
        <v>404</v>
      </c>
      <c r="EJ74" t="s">
        <v>404</v>
      </c>
      <c r="EK74" t="s">
        <v>404</v>
      </c>
      <c r="EL74" t="s">
        <v>404</v>
      </c>
      <c r="EM74" t="s">
        <v>404</v>
      </c>
      <c r="EN74" t="s">
        <v>404</v>
      </c>
      <c r="EO74" t="s">
        <v>405</v>
      </c>
      <c r="EP74" t="s">
        <v>405</v>
      </c>
      <c r="EQ74" t="s">
        <v>404</v>
      </c>
      <c r="ER74" t="s">
        <v>404</v>
      </c>
      <c r="ES74" t="s">
        <v>404</v>
      </c>
      <c r="ET74" t="s">
        <v>404</v>
      </c>
      <c r="EU74" t="s">
        <v>404</v>
      </c>
      <c r="EV74" t="s">
        <v>404</v>
      </c>
      <c r="EW74" t="s">
        <v>404</v>
      </c>
      <c r="EX74" t="s">
        <v>404</v>
      </c>
      <c r="EY74" t="s">
        <v>404</v>
      </c>
      <c r="EZ74" t="s">
        <v>404</v>
      </c>
      <c r="FA74" t="s">
        <v>404</v>
      </c>
      <c r="FB74" t="s">
        <v>404</v>
      </c>
      <c r="FC74" t="s">
        <v>404</v>
      </c>
      <c r="FD74" t="s">
        <v>404</v>
      </c>
      <c r="FE74" t="s">
        <v>404</v>
      </c>
      <c r="FF74" t="s">
        <v>404</v>
      </c>
      <c r="FG74" t="s">
        <v>404</v>
      </c>
      <c r="FH74" t="s">
        <v>404</v>
      </c>
      <c r="FI74" t="s">
        <v>404</v>
      </c>
      <c r="FJ74" t="s">
        <v>404</v>
      </c>
      <c r="FK74" t="s">
        <v>404</v>
      </c>
      <c r="FL74" t="s">
        <v>404</v>
      </c>
      <c r="FM74" t="s">
        <v>404</v>
      </c>
      <c r="FN74" t="s">
        <v>404</v>
      </c>
      <c r="FO74" t="s">
        <v>404</v>
      </c>
      <c r="FP74" t="s">
        <v>404</v>
      </c>
      <c r="FQ74" t="s">
        <v>404</v>
      </c>
      <c r="FR74" t="s">
        <v>404</v>
      </c>
      <c r="FT74">
        <v>160.5</v>
      </c>
      <c r="FY74">
        <v>160.5</v>
      </c>
      <c r="FZ74">
        <v>57</v>
      </c>
      <c r="GF74">
        <v>57</v>
      </c>
      <c r="GM74">
        <v>0</v>
      </c>
      <c r="GT74">
        <v>0</v>
      </c>
      <c r="HA74">
        <v>0</v>
      </c>
      <c r="HH74">
        <v>0</v>
      </c>
      <c r="HO74">
        <v>0</v>
      </c>
      <c r="HW74">
        <v>0</v>
      </c>
      <c r="HX74">
        <v>57</v>
      </c>
      <c r="HY74">
        <v>160.5</v>
      </c>
      <c r="HZ74">
        <v>0</v>
      </c>
      <c r="IA74">
        <v>0</v>
      </c>
      <c r="IB74">
        <v>0</v>
      </c>
      <c r="IC74">
        <v>0</v>
      </c>
      <c r="ID74">
        <v>217.5</v>
      </c>
      <c r="IK74">
        <v>0</v>
      </c>
      <c r="IL74">
        <v>57</v>
      </c>
      <c r="IM74">
        <v>160.5</v>
      </c>
      <c r="IR74">
        <v>217.5</v>
      </c>
      <c r="IY74">
        <v>0</v>
      </c>
      <c r="JF74">
        <v>0</v>
      </c>
      <c r="JM74">
        <v>0</v>
      </c>
      <c r="JN74">
        <v>57</v>
      </c>
      <c r="JO74">
        <v>160.5</v>
      </c>
      <c r="JP74">
        <v>0</v>
      </c>
      <c r="JQ74">
        <v>0</v>
      </c>
      <c r="JR74">
        <v>0</v>
      </c>
      <c r="JS74">
        <v>0</v>
      </c>
      <c r="JT74">
        <v>217.5</v>
      </c>
      <c r="JW74">
        <v>100</v>
      </c>
      <c r="JZ74">
        <v>1</v>
      </c>
      <c r="KA74">
        <v>1</v>
      </c>
      <c r="KB74">
        <v>1</v>
      </c>
      <c r="KC74" t="s">
        <v>407</v>
      </c>
      <c r="OF74" t="s">
        <v>408</v>
      </c>
      <c r="SI74" t="s">
        <v>409</v>
      </c>
      <c r="WL74" t="s">
        <v>410</v>
      </c>
      <c r="AAO74" t="s">
        <v>411</v>
      </c>
      <c r="AER74" t="s">
        <v>412</v>
      </c>
    </row>
    <row r="75" spans="1:824" x14ac:dyDescent="0.2">
      <c r="A75" t="s">
        <v>954</v>
      </c>
      <c r="B75" t="s">
        <v>414</v>
      </c>
      <c r="C75" t="s">
        <v>955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>
        <v>645</v>
      </c>
      <c r="W75" s="3">
        <v>43516.46875</v>
      </c>
      <c r="X75" t="s">
        <v>956</v>
      </c>
      <c r="Y75">
        <v>2019</v>
      </c>
      <c r="Z75" t="s">
        <v>957</v>
      </c>
      <c r="AA75" t="s">
        <v>958</v>
      </c>
      <c r="AB75" t="s">
        <v>959</v>
      </c>
      <c r="AC75" t="s">
        <v>960</v>
      </c>
      <c r="AD75" t="s">
        <v>961</v>
      </c>
      <c r="AE75" t="s">
        <v>420</v>
      </c>
      <c r="AF75" t="s">
        <v>421</v>
      </c>
      <c r="AH75">
        <v>1</v>
      </c>
      <c r="AU75">
        <v>0</v>
      </c>
      <c r="BB75">
        <v>0</v>
      </c>
      <c r="BI75">
        <v>0</v>
      </c>
      <c r="BP75">
        <v>0</v>
      </c>
      <c r="BW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R75">
        <v>0</v>
      </c>
      <c r="CY75">
        <v>0</v>
      </c>
      <c r="DF75">
        <v>0</v>
      </c>
      <c r="DM75">
        <v>0</v>
      </c>
      <c r="DT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 t="s">
        <v>404</v>
      </c>
      <c r="EJ75" t="s">
        <v>404</v>
      </c>
      <c r="EK75" t="s">
        <v>404</v>
      </c>
      <c r="EL75" t="s">
        <v>404</v>
      </c>
      <c r="EM75" t="s">
        <v>404</v>
      </c>
      <c r="EN75" t="s">
        <v>404</v>
      </c>
      <c r="EO75" t="s">
        <v>404</v>
      </c>
      <c r="EP75" t="s">
        <v>404</v>
      </c>
      <c r="EQ75" t="s">
        <v>404</v>
      </c>
      <c r="ER75" t="s">
        <v>404</v>
      </c>
      <c r="ES75" t="s">
        <v>404</v>
      </c>
      <c r="ET75" t="s">
        <v>404</v>
      </c>
      <c r="EU75" t="s">
        <v>404</v>
      </c>
      <c r="EV75" t="s">
        <v>404</v>
      </c>
      <c r="EW75" t="s">
        <v>404</v>
      </c>
      <c r="EX75" t="s">
        <v>404</v>
      </c>
      <c r="EY75" t="s">
        <v>404</v>
      </c>
      <c r="EZ75" t="s">
        <v>404</v>
      </c>
      <c r="FA75" t="s">
        <v>404</v>
      </c>
      <c r="FB75" t="s">
        <v>404</v>
      </c>
      <c r="FC75" t="s">
        <v>404</v>
      </c>
      <c r="FD75" t="s">
        <v>404</v>
      </c>
      <c r="FE75" t="s">
        <v>404</v>
      </c>
      <c r="FF75" t="s">
        <v>404</v>
      </c>
      <c r="FG75" t="s">
        <v>404</v>
      </c>
      <c r="FH75" t="s">
        <v>404</v>
      </c>
      <c r="FI75" t="s">
        <v>404</v>
      </c>
      <c r="FJ75" t="s">
        <v>404</v>
      </c>
      <c r="FK75" t="s">
        <v>404</v>
      </c>
      <c r="FL75" t="s">
        <v>404</v>
      </c>
      <c r="FM75" t="s">
        <v>404</v>
      </c>
      <c r="FN75" t="s">
        <v>404</v>
      </c>
      <c r="FO75" t="s">
        <v>404</v>
      </c>
      <c r="FP75" t="s">
        <v>404</v>
      </c>
      <c r="FQ75" t="s">
        <v>404</v>
      </c>
      <c r="FR75" t="s">
        <v>404</v>
      </c>
      <c r="FY75">
        <v>0</v>
      </c>
      <c r="GF75">
        <v>0</v>
      </c>
      <c r="GM75">
        <v>0</v>
      </c>
      <c r="GT75">
        <v>0</v>
      </c>
      <c r="HA75">
        <v>0</v>
      </c>
      <c r="HH75">
        <v>0</v>
      </c>
      <c r="HO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K75">
        <v>0</v>
      </c>
      <c r="IR75">
        <v>0</v>
      </c>
      <c r="IY75">
        <v>0</v>
      </c>
      <c r="JF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50</v>
      </c>
      <c r="JW75">
        <v>50</v>
      </c>
      <c r="JZ75">
        <v>1</v>
      </c>
      <c r="KA75">
        <v>1</v>
      </c>
      <c r="KB75">
        <v>1</v>
      </c>
      <c r="KC75" t="s">
        <v>407</v>
      </c>
      <c r="OF75" t="s">
        <v>408</v>
      </c>
      <c r="SI75" t="s">
        <v>409</v>
      </c>
      <c r="WL75" t="s">
        <v>410</v>
      </c>
      <c r="AAO75" t="s">
        <v>411</v>
      </c>
      <c r="AER75" t="s">
        <v>412</v>
      </c>
    </row>
    <row r="76" spans="1:824" x14ac:dyDescent="0.2">
      <c r="A76" t="s">
        <v>962</v>
      </c>
      <c r="B76" t="s">
        <v>414</v>
      </c>
      <c r="C76" t="s">
        <v>963</v>
      </c>
      <c r="P76" t="b">
        <v>0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>
        <v>586</v>
      </c>
      <c r="W76" s="3">
        <v>43515.34097222222</v>
      </c>
      <c r="X76" t="s">
        <v>964</v>
      </c>
      <c r="Y76">
        <v>2019</v>
      </c>
      <c r="Z76" t="s">
        <v>965</v>
      </c>
      <c r="AA76" t="s">
        <v>963</v>
      </c>
      <c r="AB76" t="s">
        <v>966</v>
      </c>
      <c r="AC76" t="s">
        <v>967</v>
      </c>
      <c r="AD76">
        <f>81-3-6250-4616</f>
        <v>-10788</v>
      </c>
      <c r="AE76" t="s">
        <v>703</v>
      </c>
      <c r="AF76" t="s">
        <v>704</v>
      </c>
      <c r="AH76">
        <v>1</v>
      </c>
      <c r="AK76">
        <v>107913</v>
      </c>
      <c r="AL76">
        <v>107913</v>
      </c>
      <c r="AM76">
        <v>107913</v>
      </c>
      <c r="AN76">
        <v>107913</v>
      </c>
      <c r="AP76">
        <v>107913</v>
      </c>
      <c r="AU76">
        <v>107913</v>
      </c>
      <c r="BB76">
        <v>0</v>
      </c>
      <c r="BI76">
        <v>0</v>
      </c>
      <c r="BP76">
        <v>0</v>
      </c>
      <c r="BW76">
        <v>0</v>
      </c>
      <c r="CD76">
        <v>0</v>
      </c>
      <c r="CE76">
        <v>0</v>
      </c>
      <c r="CF76">
        <v>107913</v>
      </c>
      <c r="CG76">
        <v>0</v>
      </c>
      <c r="CH76">
        <v>0</v>
      </c>
      <c r="CI76">
        <v>0</v>
      </c>
      <c r="CJ76">
        <v>0</v>
      </c>
      <c r="CK76">
        <v>107913</v>
      </c>
      <c r="CM76">
        <v>6</v>
      </c>
      <c r="CR76">
        <v>6</v>
      </c>
      <c r="CY76">
        <v>0</v>
      </c>
      <c r="DF76">
        <v>0</v>
      </c>
      <c r="DM76">
        <v>0</v>
      </c>
      <c r="DT76">
        <v>0</v>
      </c>
      <c r="EA76">
        <v>0</v>
      </c>
      <c r="EB76">
        <v>0</v>
      </c>
      <c r="EC76">
        <v>6</v>
      </c>
      <c r="ED76">
        <v>0</v>
      </c>
      <c r="EE76">
        <v>0</v>
      </c>
      <c r="EF76">
        <v>0</v>
      </c>
      <c r="EG76">
        <v>0</v>
      </c>
      <c r="EH76">
        <v>6</v>
      </c>
      <c r="EI76" t="s">
        <v>404</v>
      </c>
      <c r="EJ76" t="s">
        <v>405</v>
      </c>
      <c r="EK76" t="s">
        <v>404</v>
      </c>
      <c r="EL76" t="s">
        <v>404</v>
      </c>
      <c r="EM76" t="s">
        <v>404</v>
      </c>
      <c r="EN76" t="s">
        <v>404</v>
      </c>
      <c r="EO76" t="s">
        <v>404</v>
      </c>
      <c r="EP76" t="s">
        <v>404</v>
      </c>
      <c r="EQ76" t="s">
        <v>404</v>
      </c>
      <c r="ER76" t="s">
        <v>404</v>
      </c>
      <c r="ES76" t="s">
        <v>404</v>
      </c>
      <c r="ET76" t="s">
        <v>404</v>
      </c>
      <c r="EU76" t="s">
        <v>404</v>
      </c>
      <c r="EV76" t="s">
        <v>404</v>
      </c>
      <c r="EW76" t="s">
        <v>404</v>
      </c>
      <c r="EX76" t="s">
        <v>404</v>
      </c>
      <c r="EY76" t="s">
        <v>404</v>
      </c>
      <c r="EZ76" t="s">
        <v>404</v>
      </c>
      <c r="FA76" t="s">
        <v>404</v>
      </c>
      <c r="FB76" t="s">
        <v>404</v>
      </c>
      <c r="FC76" t="s">
        <v>404</v>
      </c>
      <c r="FD76" t="s">
        <v>404</v>
      </c>
      <c r="FE76" t="s">
        <v>404</v>
      </c>
      <c r="FF76" t="s">
        <v>404</v>
      </c>
      <c r="FG76" t="s">
        <v>404</v>
      </c>
      <c r="FH76" t="s">
        <v>404</v>
      </c>
      <c r="FI76" t="s">
        <v>404</v>
      </c>
      <c r="FJ76" t="s">
        <v>404</v>
      </c>
      <c r="FK76" t="s">
        <v>404</v>
      </c>
      <c r="FL76" t="s">
        <v>404</v>
      </c>
      <c r="FM76" t="s">
        <v>404</v>
      </c>
      <c r="FN76" t="s">
        <v>404</v>
      </c>
      <c r="FO76" t="s">
        <v>404</v>
      </c>
      <c r="FP76" t="s">
        <v>404</v>
      </c>
      <c r="FQ76" t="s">
        <v>404</v>
      </c>
      <c r="FR76" t="s">
        <v>404</v>
      </c>
      <c r="FT76">
        <v>6380</v>
      </c>
      <c r="FY76">
        <v>6380</v>
      </c>
      <c r="GA76">
        <v>86148</v>
      </c>
      <c r="GF76">
        <v>86148</v>
      </c>
      <c r="GM76">
        <v>0</v>
      </c>
      <c r="GT76">
        <v>0</v>
      </c>
      <c r="HA76">
        <v>0</v>
      </c>
      <c r="HH76">
        <v>0</v>
      </c>
      <c r="HO76">
        <v>0</v>
      </c>
      <c r="HP76" t="s">
        <v>968</v>
      </c>
      <c r="HR76">
        <v>15385</v>
      </c>
      <c r="HW76">
        <v>15385</v>
      </c>
      <c r="HX76">
        <v>0</v>
      </c>
      <c r="HY76">
        <v>107913</v>
      </c>
      <c r="HZ76">
        <v>0</v>
      </c>
      <c r="IA76">
        <v>0</v>
      </c>
      <c r="IB76">
        <v>0</v>
      </c>
      <c r="IC76">
        <v>0</v>
      </c>
      <c r="ID76">
        <v>107913</v>
      </c>
      <c r="IF76">
        <v>107913</v>
      </c>
      <c r="IK76">
        <v>107913</v>
      </c>
      <c r="IR76">
        <v>0</v>
      </c>
      <c r="IY76">
        <v>0</v>
      </c>
      <c r="JF76">
        <v>0</v>
      </c>
      <c r="JM76">
        <v>0</v>
      </c>
      <c r="JN76">
        <v>0</v>
      </c>
      <c r="JO76">
        <v>107913</v>
      </c>
      <c r="JP76">
        <v>0</v>
      </c>
      <c r="JQ76">
        <v>0</v>
      </c>
      <c r="JR76">
        <v>0</v>
      </c>
      <c r="JS76">
        <v>0</v>
      </c>
      <c r="JT76">
        <v>107913</v>
      </c>
      <c r="JW76">
        <v>100</v>
      </c>
      <c r="JZ76">
        <v>2</v>
      </c>
      <c r="KA76">
        <v>3</v>
      </c>
      <c r="KB76">
        <v>1</v>
      </c>
      <c r="KC76" t="s">
        <v>407</v>
      </c>
      <c r="OF76" t="s">
        <v>408</v>
      </c>
      <c r="SI76" t="s">
        <v>409</v>
      </c>
      <c r="WL76" t="s">
        <v>410</v>
      </c>
      <c r="AAO76" t="s">
        <v>411</v>
      </c>
      <c r="AER76" t="s">
        <v>412</v>
      </c>
    </row>
    <row r="77" spans="1:824" x14ac:dyDescent="0.2">
      <c r="A77" t="s">
        <v>969</v>
      </c>
      <c r="B77" t="s">
        <v>396</v>
      </c>
      <c r="C77" t="s">
        <v>970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>
        <v>781</v>
      </c>
      <c r="W77" s="3">
        <v>43517.410416666666</v>
      </c>
      <c r="X77" t="s">
        <v>971</v>
      </c>
      <c r="Y77">
        <v>2019</v>
      </c>
      <c r="Z77" t="s">
        <v>972</v>
      </c>
      <c r="AA77" t="s">
        <v>973</v>
      </c>
      <c r="AB77" t="s">
        <v>974</v>
      </c>
      <c r="AC77" t="s">
        <v>975</v>
      </c>
      <c r="AD77">
        <v>1622040521</v>
      </c>
      <c r="AE77" t="s">
        <v>571</v>
      </c>
      <c r="AF77" t="s">
        <v>538</v>
      </c>
      <c r="AH77">
        <v>1</v>
      </c>
      <c r="AK77">
        <v>250</v>
      </c>
      <c r="AL77">
        <v>250</v>
      </c>
      <c r="AM77">
        <v>0</v>
      </c>
      <c r="AN77">
        <v>0</v>
      </c>
      <c r="AU77">
        <v>0</v>
      </c>
      <c r="BB77">
        <v>0</v>
      </c>
      <c r="BC77">
        <v>100</v>
      </c>
      <c r="BD77">
        <v>150</v>
      </c>
      <c r="BI77">
        <v>250</v>
      </c>
      <c r="BP77">
        <v>0</v>
      </c>
      <c r="BW77">
        <v>0</v>
      </c>
      <c r="CD77">
        <v>0</v>
      </c>
      <c r="CE77">
        <v>100</v>
      </c>
      <c r="CF77">
        <v>150</v>
      </c>
      <c r="CG77">
        <v>0</v>
      </c>
      <c r="CH77">
        <v>0</v>
      </c>
      <c r="CI77">
        <v>0</v>
      </c>
      <c r="CJ77">
        <v>0</v>
      </c>
      <c r="CK77">
        <v>250</v>
      </c>
      <c r="CR77">
        <v>0</v>
      </c>
      <c r="CY77">
        <v>0</v>
      </c>
      <c r="CZ77">
        <v>1</v>
      </c>
      <c r="DA77">
        <v>1</v>
      </c>
      <c r="DF77">
        <v>2</v>
      </c>
      <c r="DM77">
        <v>0</v>
      </c>
      <c r="DT77">
        <v>0</v>
      </c>
      <c r="EA77">
        <v>0</v>
      </c>
      <c r="EB77">
        <v>1</v>
      </c>
      <c r="EC77">
        <v>1</v>
      </c>
      <c r="ED77">
        <v>0</v>
      </c>
      <c r="EE77">
        <v>0</v>
      </c>
      <c r="EF77">
        <v>0</v>
      </c>
      <c r="EG77">
        <v>0</v>
      </c>
      <c r="EH77">
        <v>2</v>
      </c>
      <c r="EI77" t="s">
        <v>404</v>
      </c>
      <c r="EJ77" t="s">
        <v>404</v>
      </c>
      <c r="EK77" t="s">
        <v>404</v>
      </c>
      <c r="EL77" t="s">
        <v>404</v>
      </c>
      <c r="EM77" t="s">
        <v>404</v>
      </c>
      <c r="EN77" t="s">
        <v>404</v>
      </c>
      <c r="EO77" t="s">
        <v>404</v>
      </c>
      <c r="EP77" t="s">
        <v>404</v>
      </c>
      <c r="EQ77" t="s">
        <v>404</v>
      </c>
      <c r="ER77" t="s">
        <v>404</v>
      </c>
      <c r="ES77" t="s">
        <v>404</v>
      </c>
      <c r="ET77" t="s">
        <v>404</v>
      </c>
      <c r="EU77" t="s">
        <v>405</v>
      </c>
      <c r="EV77" t="s">
        <v>405</v>
      </c>
      <c r="EW77" t="s">
        <v>404</v>
      </c>
      <c r="EX77" t="s">
        <v>404</v>
      </c>
      <c r="EY77" t="s">
        <v>404</v>
      </c>
      <c r="EZ77" t="s">
        <v>404</v>
      </c>
      <c r="FA77" t="s">
        <v>404</v>
      </c>
      <c r="FB77" t="s">
        <v>404</v>
      </c>
      <c r="FC77" t="s">
        <v>404</v>
      </c>
      <c r="FD77" t="s">
        <v>404</v>
      </c>
      <c r="FE77" t="s">
        <v>404</v>
      </c>
      <c r="FF77" t="s">
        <v>404</v>
      </c>
      <c r="FG77" t="s">
        <v>404</v>
      </c>
      <c r="FH77" t="s">
        <v>404</v>
      </c>
      <c r="FI77" t="s">
        <v>404</v>
      </c>
      <c r="FJ77" t="s">
        <v>404</v>
      </c>
      <c r="FK77" t="s">
        <v>404</v>
      </c>
      <c r="FL77" t="s">
        <v>404</v>
      </c>
      <c r="FM77" t="s">
        <v>404</v>
      </c>
      <c r="FN77" t="s">
        <v>404</v>
      </c>
      <c r="FO77" t="s">
        <v>404</v>
      </c>
      <c r="FP77" t="s">
        <v>404</v>
      </c>
      <c r="FQ77" t="s">
        <v>404</v>
      </c>
      <c r="FR77" t="s">
        <v>404</v>
      </c>
      <c r="FS77">
        <v>100</v>
      </c>
      <c r="FT77">
        <v>150</v>
      </c>
      <c r="FY77">
        <v>250</v>
      </c>
      <c r="GF77">
        <v>0</v>
      </c>
      <c r="GM77">
        <v>0</v>
      </c>
      <c r="GT77">
        <v>0</v>
      </c>
      <c r="HA77">
        <v>0</v>
      </c>
      <c r="HH77">
        <v>0</v>
      </c>
      <c r="HO77">
        <v>0</v>
      </c>
      <c r="HW77">
        <v>0</v>
      </c>
      <c r="HX77">
        <v>100</v>
      </c>
      <c r="HY77">
        <v>150</v>
      </c>
      <c r="HZ77">
        <v>0</v>
      </c>
      <c r="IA77">
        <v>0</v>
      </c>
      <c r="IB77">
        <v>0</v>
      </c>
      <c r="IC77">
        <v>0</v>
      </c>
      <c r="ID77">
        <v>250</v>
      </c>
      <c r="IK77">
        <v>0</v>
      </c>
      <c r="IM77">
        <v>150</v>
      </c>
      <c r="IR77">
        <v>150</v>
      </c>
      <c r="IS77">
        <v>100</v>
      </c>
      <c r="IY77">
        <v>100</v>
      </c>
      <c r="JF77">
        <v>0</v>
      </c>
      <c r="JM77">
        <v>0</v>
      </c>
      <c r="JN77">
        <v>100</v>
      </c>
      <c r="JO77">
        <v>150</v>
      </c>
      <c r="JP77">
        <v>0</v>
      </c>
      <c r="JQ77">
        <v>0</v>
      </c>
      <c r="JR77">
        <v>0</v>
      </c>
      <c r="JS77">
        <v>0</v>
      </c>
      <c r="JT77">
        <v>250</v>
      </c>
      <c r="JV77">
        <v>100</v>
      </c>
      <c r="JZ77">
        <v>1</v>
      </c>
      <c r="KA77">
        <v>3</v>
      </c>
      <c r="KB77">
        <v>1</v>
      </c>
      <c r="KC77" t="s">
        <v>407</v>
      </c>
      <c r="OF77" t="s">
        <v>408</v>
      </c>
      <c r="SI77" t="s">
        <v>409</v>
      </c>
      <c r="WL77" t="s">
        <v>410</v>
      </c>
      <c r="AAO77" t="s">
        <v>411</v>
      </c>
      <c r="AER77" t="s">
        <v>412</v>
      </c>
    </row>
    <row r="78" spans="1:824" x14ac:dyDescent="0.2">
      <c r="A78" t="s">
        <v>976</v>
      </c>
      <c r="B78" t="s">
        <v>414</v>
      </c>
      <c r="C78" t="s">
        <v>977</v>
      </c>
      <c r="P78" t="b">
        <v>0</v>
      </c>
      <c r="Q78" t="b">
        <v>1</v>
      </c>
      <c r="R78" t="b">
        <v>0</v>
      </c>
      <c r="S78" t="b">
        <v>0</v>
      </c>
      <c r="T78" t="b">
        <v>0</v>
      </c>
      <c r="U78" t="b">
        <v>0</v>
      </c>
      <c r="V78">
        <v>658</v>
      </c>
      <c r="W78" s="3">
        <v>43529.129166666666</v>
      </c>
      <c r="X78" t="s">
        <v>978</v>
      </c>
      <c r="Y78">
        <v>2019</v>
      </c>
      <c r="Z78" t="s">
        <v>979</v>
      </c>
      <c r="AA78" t="s">
        <v>977</v>
      </c>
      <c r="AB78" t="s">
        <v>980</v>
      </c>
      <c r="AC78" t="s">
        <v>981</v>
      </c>
      <c r="AE78" t="s">
        <v>537</v>
      </c>
      <c r="AF78" t="s">
        <v>538</v>
      </c>
      <c r="AH78">
        <v>1</v>
      </c>
      <c r="AK78">
        <v>170</v>
      </c>
      <c r="AL78">
        <v>170</v>
      </c>
      <c r="AM78">
        <v>110</v>
      </c>
      <c r="AN78">
        <v>110</v>
      </c>
      <c r="AO78">
        <v>170</v>
      </c>
      <c r="AU78">
        <v>170</v>
      </c>
      <c r="BB78">
        <v>0</v>
      </c>
      <c r="BI78">
        <v>0</v>
      </c>
      <c r="BP78">
        <v>0</v>
      </c>
      <c r="BW78">
        <v>0</v>
      </c>
      <c r="CD78">
        <v>0</v>
      </c>
      <c r="CE78">
        <v>170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170</v>
      </c>
      <c r="CL78">
        <v>1</v>
      </c>
      <c r="CR78">
        <v>1</v>
      </c>
      <c r="CY78">
        <v>0</v>
      </c>
      <c r="DF78">
        <v>0</v>
      </c>
      <c r="DM78">
        <v>0</v>
      </c>
      <c r="DT78">
        <v>0</v>
      </c>
      <c r="EA78">
        <v>0</v>
      </c>
      <c r="EB78">
        <v>1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1</v>
      </c>
      <c r="EI78" t="s">
        <v>405</v>
      </c>
      <c r="EJ78" t="s">
        <v>404</v>
      </c>
      <c r="EK78" t="s">
        <v>404</v>
      </c>
      <c r="EL78" t="s">
        <v>404</v>
      </c>
      <c r="EM78" t="s">
        <v>404</v>
      </c>
      <c r="EN78" t="s">
        <v>404</v>
      </c>
      <c r="EO78" t="s">
        <v>404</v>
      </c>
      <c r="EP78" t="s">
        <v>404</v>
      </c>
      <c r="EQ78" t="s">
        <v>404</v>
      </c>
      <c r="ER78" t="s">
        <v>404</v>
      </c>
      <c r="ES78" t="s">
        <v>404</v>
      </c>
      <c r="ET78" t="s">
        <v>404</v>
      </c>
      <c r="EU78" t="s">
        <v>404</v>
      </c>
      <c r="EV78" t="s">
        <v>404</v>
      </c>
      <c r="EW78" t="s">
        <v>404</v>
      </c>
      <c r="EX78" t="s">
        <v>404</v>
      </c>
      <c r="EY78" t="s">
        <v>404</v>
      </c>
      <c r="EZ78" t="s">
        <v>404</v>
      </c>
      <c r="FA78" t="s">
        <v>404</v>
      </c>
      <c r="FB78" t="s">
        <v>404</v>
      </c>
      <c r="FC78" t="s">
        <v>404</v>
      </c>
      <c r="FD78" t="s">
        <v>404</v>
      </c>
      <c r="FE78" t="s">
        <v>404</v>
      </c>
      <c r="FF78" t="s">
        <v>404</v>
      </c>
      <c r="FG78" t="s">
        <v>404</v>
      </c>
      <c r="FH78" t="s">
        <v>404</v>
      </c>
      <c r="FI78" t="s">
        <v>404</v>
      </c>
      <c r="FJ78" t="s">
        <v>404</v>
      </c>
      <c r="FK78" t="s">
        <v>404</v>
      </c>
      <c r="FL78" t="s">
        <v>404</v>
      </c>
      <c r="FM78" t="s">
        <v>404</v>
      </c>
      <c r="FN78" t="s">
        <v>404</v>
      </c>
      <c r="FO78" t="s">
        <v>404</v>
      </c>
      <c r="FP78" t="s">
        <v>404</v>
      </c>
      <c r="FQ78" t="s">
        <v>404</v>
      </c>
      <c r="FR78" t="s">
        <v>404</v>
      </c>
      <c r="FS78">
        <v>51</v>
      </c>
      <c r="FY78">
        <v>51</v>
      </c>
      <c r="GF78">
        <v>0</v>
      </c>
      <c r="GM78">
        <v>0</v>
      </c>
      <c r="GT78">
        <v>0</v>
      </c>
      <c r="HA78">
        <v>0</v>
      </c>
      <c r="HH78">
        <v>0</v>
      </c>
      <c r="HI78">
        <v>15</v>
      </c>
      <c r="HO78">
        <v>15</v>
      </c>
      <c r="HP78" t="s">
        <v>982</v>
      </c>
      <c r="HQ78">
        <v>104</v>
      </c>
      <c r="HW78">
        <v>104</v>
      </c>
      <c r="HX78">
        <v>170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170</v>
      </c>
      <c r="IE78">
        <v>119</v>
      </c>
      <c r="IK78">
        <v>119</v>
      </c>
      <c r="IR78">
        <v>0</v>
      </c>
      <c r="IS78">
        <v>51</v>
      </c>
      <c r="IY78">
        <v>51</v>
      </c>
      <c r="JF78">
        <v>0</v>
      </c>
      <c r="JM78">
        <v>0</v>
      </c>
      <c r="JN78">
        <v>170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170</v>
      </c>
      <c r="JW78">
        <v>100</v>
      </c>
      <c r="JZ78">
        <v>3</v>
      </c>
      <c r="KA78">
        <v>3</v>
      </c>
      <c r="KB78">
        <v>2</v>
      </c>
      <c r="KC78" t="s">
        <v>407</v>
      </c>
      <c r="OF78" t="s">
        <v>408</v>
      </c>
      <c r="SI78" t="s">
        <v>409</v>
      </c>
      <c r="WL78" t="s">
        <v>410</v>
      </c>
      <c r="AAO78" t="s">
        <v>411</v>
      </c>
      <c r="AER78" t="s">
        <v>412</v>
      </c>
    </row>
    <row r="79" spans="1:824" x14ac:dyDescent="0.2">
      <c r="A79" t="s">
        <v>983</v>
      </c>
      <c r="B79" t="s">
        <v>396</v>
      </c>
      <c r="C79" t="s">
        <v>984</v>
      </c>
      <c r="P79" t="b">
        <v>1</v>
      </c>
      <c r="Q79" t="b">
        <v>1</v>
      </c>
      <c r="R79" t="b">
        <v>1</v>
      </c>
      <c r="S79" t="b">
        <v>0</v>
      </c>
      <c r="T79" t="b">
        <v>0</v>
      </c>
      <c r="U79" t="b">
        <v>0</v>
      </c>
      <c r="V79">
        <v>795</v>
      </c>
      <c r="W79" s="3">
        <v>43521.459027777775</v>
      </c>
      <c r="X79" t="s">
        <v>985</v>
      </c>
      <c r="Y79">
        <v>2019</v>
      </c>
      <c r="Z79" t="s">
        <v>986</v>
      </c>
      <c r="AA79" t="s">
        <v>984</v>
      </c>
      <c r="AB79" t="s">
        <v>987</v>
      </c>
      <c r="AC79" t="s">
        <v>988</v>
      </c>
      <c r="AD79" t="s">
        <v>989</v>
      </c>
      <c r="AE79" t="s">
        <v>437</v>
      </c>
      <c r="AF79" t="s">
        <v>990</v>
      </c>
      <c r="AH79">
        <v>1</v>
      </c>
      <c r="AK79">
        <v>1011.1</v>
      </c>
      <c r="AL79">
        <v>55.5</v>
      </c>
      <c r="AM79">
        <v>900</v>
      </c>
      <c r="AN79">
        <v>40</v>
      </c>
      <c r="AO79">
        <v>10</v>
      </c>
      <c r="AU79">
        <v>10</v>
      </c>
      <c r="AV79">
        <v>20</v>
      </c>
      <c r="AW79">
        <v>1011</v>
      </c>
      <c r="BB79">
        <v>1031</v>
      </c>
      <c r="BC79">
        <v>20</v>
      </c>
      <c r="BI79">
        <v>20</v>
      </c>
      <c r="BP79">
        <v>0</v>
      </c>
      <c r="BW79">
        <v>0</v>
      </c>
      <c r="CD79">
        <v>0</v>
      </c>
      <c r="CE79">
        <v>50</v>
      </c>
      <c r="CF79">
        <v>1011</v>
      </c>
      <c r="CG79">
        <v>0</v>
      </c>
      <c r="CH79">
        <v>0</v>
      </c>
      <c r="CI79">
        <v>0</v>
      </c>
      <c r="CJ79">
        <v>0</v>
      </c>
      <c r="CK79">
        <v>1061</v>
      </c>
      <c r="CL79">
        <v>3</v>
      </c>
      <c r="CR79">
        <v>3</v>
      </c>
      <c r="CS79">
        <v>5</v>
      </c>
      <c r="CT79">
        <v>6</v>
      </c>
      <c r="CY79">
        <v>11</v>
      </c>
      <c r="CZ79">
        <v>4</v>
      </c>
      <c r="DF79">
        <v>4</v>
      </c>
      <c r="DM79">
        <v>0</v>
      </c>
      <c r="DT79">
        <v>0</v>
      </c>
      <c r="EA79">
        <v>0</v>
      </c>
      <c r="EB79">
        <v>12</v>
      </c>
      <c r="EC79">
        <v>6</v>
      </c>
      <c r="ED79">
        <v>0</v>
      </c>
      <c r="EE79">
        <v>0</v>
      </c>
      <c r="EF79">
        <v>0</v>
      </c>
      <c r="EG79">
        <v>0</v>
      </c>
      <c r="EH79">
        <v>18</v>
      </c>
      <c r="EI79" t="s">
        <v>405</v>
      </c>
      <c r="EJ79" t="s">
        <v>404</v>
      </c>
      <c r="EK79" t="s">
        <v>404</v>
      </c>
      <c r="EL79" t="s">
        <v>404</v>
      </c>
      <c r="EM79" t="s">
        <v>404</v>
      </c>
      <c r="EN79" t="s">
        <v>404</v>
      </c>
      <c r="EO79" t="s">
        <v>405</v>
      </c>
      <c r="EP79" t="s">
        <v>405</v>
      </c>
      <c r="EQ79" t="s">
        <v>404</v>
      </c>
      <c r="ER79" t="s">
        <v>404</v>
      </c>
      <c r="ES79" t="s">
        <v>404</v>
      </c>
      <c r="ET79" t="s">
        <v>404</v>
      </c>
      <c r="EU79" t="s">
        <v>405</v>
      </c>
      <c r="EV79" t="s">
        <v>404</v>
      </c>
      <c r="EW79" t="s">
        <v>404</v>
      </c>
      <c r="EX79" t="s">
        <v>404</v>
      </c>
      <c r="EY79" t="s">
        <v>404</v>
      </c>
      <c r="EZ79" t="s">
        <v>404</v>
      </c>
      <c r="FA79" t="s">
        <v>404</v>
      </c>
      <c r="FB79" t="s">
        <v>404</v>
      </c>
      <c r="FC79" t="s">
        <v>404</v>
      </c>
      <c r="FD79" t="s">
        <v>404</v>
      </c>
      <c r="FE79" t="s">
        <v>404</v>
      </c>
      <c r="FF79" t="s">
        <v>404</v>
      </c>
      <c r="FG79" t="s">
        <v>404</v>
      </c>
      <c r="FH79" t="s">
        <v>404</v>
      </c>
      <c r="FI79" t="s">
        <v>404</v>
      </c>
      <c r="FJ79" t="s">
        <v>404</v>
      </c>
      <c r="FK79" t="s">
        <v>404</v>
      </c>
      <c r="FL79" t="s">
        <v>404</v>
      </c>
      <c r="FM79" t="s">
        <v>404</v>
      </c>
      <c r="FN79" t="s">
        <v>404</v>
      </c>
      <c r="FO79" t="s">
        <v>404</v>
      </c>
      <c r="FP79" t="s">
        <v>404</v>
      </c>
      <c r="FQ79" t="s">
        <v>404</v>
      </c>
      <c r="FR79" t="s">
        <v>404</v>
      </c>
      <c r="FS79">
        <v>50</v>
      </c>
      <c r="FT79">
        <v>700</v>
      </c>
      <c r="FY79">
        <v>750</v>
      </c>
      <c r="GA79">
        <v>300</v>
      </c>
      <c r="GF79">
        <v>300</v>
      </c>
      <c r="GM79">
        <v>0</v>
      </c>
      <c r="GT79">
        <v>0</v>
      </c>
      <c r="HA79">
        <v>0</v>
      </c>
      <c r="HC79">
        <v>11</v>
      </c>
      <c r="HH79">
        <v>11</v>
      </c>
      <c r="HO79">
        <v>0</v>
      </c>
      <c r="HW79">
        <v>0</v>
      </c>
      <c r="HX79">
        <v>50</v>
      </c>
      <c r="HY79">
        <v>1011</v>
      </c>
      <c r="HZ79">
        <v>0</v>
      </c>
      <c r="IA79">
        <v>0</v>
      </c>
      <c r="IB79">
        <v>0</v>
      </c>
      <c r="IC79">
        <v>0</v>
      </c>
      <c r="ID79">
        <v>1061</v>
      </c>
      <c r="IK79">
        <v>0</v>
      </c>
      <c r="IL79">
        <v>50</v>
      </c>
      <c r="IM79">
        <v>1011</v>
      </c>
      <c r="IR79">
        <v>1061</v>
      </c>
      <c r="IY79">
        <v>0</v>
      </c>
      <c r="JF79">
        <v>0</v>
      </c>
      <c r="JM79">
        <v>0</v>
      </c>
      <c r="JN79">
        <v>50</v>
      </c>
      <c r="JO79">
        <v>1011</v>
      </c>
      <c r="JP79">
        <v>0</v>
      </c>
      <c r="JQ79">
        <v>0</v>
      </c>
      <c r="JR79">
        <v>0</v>
      </c>
      <c r="JS79">
        <v>0</v>
      </c>
      <c r="JT79">
        <v>1061</v>
      </c>
      <c r="JU79">
        <v>0</v>
      </c>
      <c r="JV79">
        <v>0</v>
      </c>
      <c r="JW79">
        <v>100</v>
      </c>
      <c r="JZ79">
        <v>1</v>
      </c>
      <c r="KA79">
        <v>3</v>
      </c>
      <c r="KB79">
        <v>2</v>
      </c>
      <c r="KC79" t="s">
        <v>407</v>
      </c>
      <c r="OF79" t="s">
        <v>408</v>
      </c>
      <c r="SI79" t="s">
        <v>409</v>
      </c>
      <c r="WL79" t="s">
        <v>410</v>
      </c>
      <c r="AAO79" t="s">
        <v>411</v>
      </c>
      <c r="AER79" t="s">
        <v>412</v>
      </c>
    </row>
    <row r="80" spans="1:824" x14ac:dyDescent="0.2">
      <c r="A80" t="s">
        <v>991</v>
      </c>
      <c r="B80" t="s">
        <v>396</v>
      </c>
      <c r="C80" t="s">
        <v>992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>
        <v>731</v>
      </c>
      <c r="W80" s="3">
        <v>43517.638888888891</v>
      </c>
      <c r="X80" t="s">
        <v>993</v>
      </c>
      <c r="Y80">
        <v>2019</v>
      </c>
      <c r="Z80" t="s">
        <v>994</v>
      </c>
      <c r="AA80" t="s">
        <v>995</v>
      </c>
      <c r="AB80" t="s">
        <v>996</v>
      </c>
      <c r="AC80" t="s">
        <v>997</v>
      </c>
      <c r="AD80">
        <v>393483806762</v>
      </c>
      <c r="AE80" t="s">
        <v>998</v>
      </c>
      <c r="AF80" t="s">
        <v>403</v>
      </c>
      <c r="AH80">
        <v>1</v>
      </c>
      <c r="AK80">
        <v>400</v>
      </c>
      <c r="AL80">
        <v>400</v>
      </c>
      <c r="AM80">
        <v>400</v>
      </c>
      <c r="AN80">
        <v>400</v>
      </c>
      <c r="AU80">
        <v>0</v>
      </c>
      <c r="AV80">
        <v>400</v>
      </c>
      <c r="BB80">
        <v>400</v>
      </c>
      <c r="BI80">
        <v>0</v>
      </c>
      <c r="BP80">
        <v>0</v>
      </c>
      <c r="BW80">
        <v>0</v>
      </c>
      <c r="CD80">
        <v>0</v>
      </c>
      <c r="CE80">
        <v>400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400</v>
      </c>
      <c r="CR80">
        <v>0</v>
      </c>
      <c r="CS80">
        <v>2</v>
      </c>
      <c r="CY80">
        <v>2</v>
      </c>
      <c r="DF80">
        <v>0</v>
      </c>
      <c r="DM80">
        <v>0</v>
      </c>
      <c r="DT80">
        <v>0</v>
      </c>
      <c r="EA80">
        <v>0</v>
      </c>
      <c r="EB80">
        <v>2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2</v>
      </c>
      <c r="EI80" t="s">
        <v>404</v>
      </c>
      <c r="EJ80" t="s">
        <v>404</v>
      </c>
      <c r="EK80" t="s">
        <v>404</v>
      </c>
      <c r="EL80" t="s">
        <v>404</v>
      </c>
      <c r="EM80" t="s">
        <v>404</v>
      </c>
      <c r="EN80" t="s">
        <v>404</v>
      </c>
      <c r="EO80" t="s">
        <v>405</v>
      </c>
      <c r="EP80" t="s">
        <v>404</v>
      </c>
      <c r="EQ80" t="s">
        <v>404</v>
      </c>
      <c r="ER80" t="s">
        <v>404</v>
      </c>
      <c r="ES80" t="s">
        <v>404</v>
      </c>
      <c r="ET80" t="s">
        <v>404</v>
      </c>
      <c r="EU80" t="s">
        <v>404</v>
      </c>
      <c r="EV80" t="s">
        <v>404</v>
      </c>
      <c r="EW80" t="s">
        <v>404</v>
      </c>
      <c r="EX80" t="s">
        <v>404</v>
      </c>
      <c r="EY80" t="s">
        <v>404</v>
      </c>
      <c r="EZ80" t="s">
        <v>404</v>
      </c>
      <c r="FA80" t="s">
        <v>404</v>
      </c>
      <c r="FB80" t="s">
        <v>404</v>
      </c>
      <c r="FC80" t="s">
        <v>404</v>
      </c>
      <c r="FD80" t="s">
        <v>404</v>
      </c>
      <c r="FE80" t="s">
        <v>404</v>
      </c>
      <c r="FF80" t="s">
        <v>404</v>
      </c>
      <c r="FG80" t="s">
        <v>404</v>
      </c>
      <c r="FH80" t="s">
        <v>404</v>
      </c>
      <c r="FI80" t="s">
        <v>404</v>
      </c>
      <c r="FJ80" t="s">
        <v>404</v>
      </c>
      <c r="FK80" t="s">
        <v>404</v>
      </c>
      <c r="FL80" t="s">
        <v>404</v>
      </c>
      <c r="FM80" t="s">
        <v>404</v>
      </c>
      <c r="FN80" t="s">
        <v>404</v>
      </c>
      <c r="FO80" t="s">
        <v>404</v>
      </c>
      <c r="FP80" t="s">
        <v>404</v>
      </c>
      <c r="FQ80" t="s">
        <v>404</v>
      </c>
      <c r="FR80" t="s">
        <v>404</v>
      </c>
      <c r="FS80">
        <v>300</v>
      </c>
      <c r="FY80">
        <v>300</v>
      </c>
      <c r="GF80">
        <v>0</v>
      </c>
      <c r="GM80">
        <v>0</v>
      </c>
      <c r="GT80">
        <v>0</v>
      </c>
      <c r="HA80">
        <v>0</v>
      </c>
      <c r="HB80">
        <v>100</v>
      </c>
      <c r="HH80">
        <v>100</v>
      </c>
      <c r="HO80">
        <v>0</v>
      </c>
      <c r="HW80">
        <v>0</v>
      </c>
      <c r="HX80">
        <v>400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400</v>
      </c>
      <c r="IK80">
        <v>0</v>
      </c>
      <c r="IL80">
        <v>400</v>
      </c>
      <c r="IR80">
        <v>400</v>
      </c>
      <c r="IY80">
        <v>0</v>
      </c>
      <c r="JF80">
        <v>0</v>
      </c>
      <c r="JM80">
        <v>0</v>
      </c>
      <c r="JN80">
        <v>400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400</v>
      </c>
      <c r="JW80">
        <v>100</v>
      </c>
      <c r="JZ80">
        <v>1</v>
      </c>
      <c r="KA80">
        <v>3</v>
      </c>
      <c r="KB80">
        <v>1</v>
      </c>
      <c r="KC80" t="s">
        <v>407</v>
      </c>
      <c r="OF80" t="s">
        <v>408</v>
      </c>
      <c r="SI80" t="s">
        <v>409</v>
      </c>
      <c r="WL80" t="s">
        <v>410</v>
      </c>
      <c r="AAO80" t="s">
        <v>411</v>
      </c>
      <c r="AER80" t="s">
        <v>412</v>
      </c>
    </row>
    <row r="81" spans="1:824" x14ac:dyDescent="0.2">
      <c r="A81" t="s">
        <v>999</v>
      </c>
      <c r="B81" t="s">
        <v>563</v>
      </c>
      <c r="C81" t="s">
        <v>1000</v>
      </c>
      <c r="P81" t="b">
        <v>0</v>
      </c>
      <c r="Q81" t="b">
        <v>0</v>
      </c>
      <c r="R81" t="b">
        <v>1</v>
      </c>
      <c r="S81" t="b">
        <v>0</v>
      </c>
      <c r="T81" t="b">
        <v>0</v>
      </c>
      <c r="U81" t="b">
        <v>0</v>
      </c>
      <c r="V81">
        <v>595</v>
      </c>
      <c r="W81" s="3">
        <v>43517.771527777775</v>
      </c>
      <c r="X81" t="s">
        <v>1001</v>
      </c>
      <c r="Y81">
        <v>2019</v>
      </c>
      <c r="Z81" t="s">
        <v>1002</v>
      </c>
      <c r="AA81" t="s">
        <v>1000</v>
      </c>
      <c r="AB81" t="s">
        <v>1003</v>
      </c>
      <c r="AC81" t="s">
        <v>1004</v>
      </c>
      <c r="AD81">
        <v>2132335743</v>
      </c>
      <c r="AE81" t="s">
        <v>571</v>
      </c>
      <c r="AF81" t="s">
        <v>538</v>
      </c>
      <c r="AH81">
        <v>1</v>
      </c>
      <c r="AK81">
        <v>350</v>
      </c>
      <c r="AL81">
        <v>350</v>
      </c>
      <c r="AM81">
        <v>200</v>
      </c>
      <c r="AN81">
        <v>200</v>
      </c>
      <c r="AU81">
        <v>0</v>
      </c>
      <c r="BB81">
        <v>0</v>
      </c>
      <c r="BC81">
        <v>350</v>
      </c>
      <c r="BI81">
        <v>350</v>
      </c>
      <c r="BP81">
        <v>0</v>
      </c>
      <c r="BW81">
        <v>0</v>
      </c>
      <c r="CD81">
        <v>0</v>
      </c>
      <c r="CE81">
        <v>350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350</v>
      </c>
      <c r="CR81">
        <v>0</v>
      </c>
      <c r="CY81">
        <v>0</v>
      </c>
      <c r="CZ81">
        <v>2</v>
      </c>
      <c r="DF81">
        <v>2</v>
      </c>
      <c r="DM81">
        <v>0</v>
      </c>
      <c r="DT81">
        <v>0</v>
      </c>
      <c r="EA81">
        <v>0</v>
      </c>
      <c r="EB81">
        <v>2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2</v>
      </c>
      <c r="EI81" t="s">
        <v>404</v>
      </c>
      <c r="EJ81" t="s">
        <v>404</v>
      </c>
      <c r="EK81" t="s">
        <v>404</v>
      </c>
      <c r="EL81" t="s">
        <v>404</v>
      </c>
      <c r="EM81" t="s">
        <v>404</v>
      </c>
      <c r="EN81" t="s">
        <v>404</v>
      </c>
      <c r="EO81" t="s">
        <v>404</v>
      </c>
      <c r="EP81" t="s">
        <v>404</v>
      </c>
      <c r="EQ81" t="s">
        <v>404</v>
      </c>
      <c r="ER81" t="s">
        <v>404</v>
      </c>
      <c r="ES81" t="s">
        <v>404</v>
      </c>
      <c r="ET81" t="s">
        <v>404</v>
      </c>
      <c r="EU81" t="s">
        <v>405</v>
      </c>
      <c r="EV81" t="s">
        <v>404</v>
      </c>
      <c r="EW81" t="s">
        <v>404</v>
      </c>
      <c r="EX81" t="s">
        <v>404</v>
      </c>
      <c r="EY81" t="s">
        <v>404</v>
      </c>
      <c r="EZ81" t="s">
        <v>404</v>
      </c>
      <c r="FA81" t="s">
        <v>404</v>
      </c>
      <c r="FB81" t="s">
        <v>404</v>
      </c>
      <c r="FC81" t="s">
        <v>404</v>
      </c>
      <c r="FD81" t="s">
        <v>404</v>
      </c>
      <c r="FE81" t="s">
        <v>404</v>
      </c>
      <c r="FF81" t="s">
        <v>404</v>
      </c>
      <c r="FG81" t="s">
        <v>404</v>
      </c>
      <c r="FH81" t="s">
        <v>404</v>
      </c>
      <c r="FI81" t="s">
        <v>404</v>
      </c>
      <c r="FJ81" t="s">
        <v>404</v>
      </c>
      <c r="FK81" t="s">
        <v>404</v>
      </c>
      <c r="FL81" t="s">
        <v>404</v>
      </c>
      <c r="FM81" t="s">
        <v>404</v>
      </c>
      <c r="FN81" t="s">
        <v>404</v>
      </c>
      <c r="FO81" t="s">
        <v>404</v>
      </c>
      <c r="FP81" t="s">
        <v>404</v>
      </c>
      <c r="FQ81" t="s">
        <v>404</v>
      </c>
      <c r="FR81" t="s">
        <v>404</v>
      </c>
      <c r="FS81">
        <v>125</v>
      </c>
      <c r="FY81">
        <v>125</v>
      </c>
      <c r="GF81">
        <v>0</v>
      </c>
      <c r="GM81">
        <v>0</v>
      </c>
      <c r="GN81">
        <v>125</v>
      </c>
      <c r="GT81">
        <v>125</v>
      </c>
      <c r="GU81">
        <v>66</v>
      </c>
      <c r="HA81">
        <v>66</v>
      </c>
      <c r="HH81">
        <v>0</v>
      </c>
      <c r="HI81">
        <v>1</v>
      </c>
      <c r="HO81">
        <v>1</v>
      </c>
      <c r="HP81" t="s">
        <v>1005</v>
      </c>
      <c r="HQ81">
        <v>33</v>
      </c>
      <c r="HW81">
        <v>33</v>
      </c>
      <c r="HX81">
        <v>350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350</v>
      </c>
      <c r="IK81">
        <v>0</v>
      </c>
      <c r="IR81">
        <v>0</v>
      </c>
      <c r="IS81">
        <v>350</v>
      </c>
      <c r="IY81">
        <v>350</v>
      </c>
      <c r="JF81">
        <v>0</v>
      </c>
      <c r="JM81">
        <v>0</v>
      </c>
      <c r="JN81">
        <v>350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350</v>
      </c>
      <c r="JU81">
        <v>0</v>
      </c>
      <c r="JV81">
        <v>0</v>
      </c>
      <c r="JW81">
        <v>47</v>
      </c>
      <c r="JX81" t="s">
        <v>1006</v>
      </c>
      <c r="JY81">
        <v>53</v>
      </c>
      <c r="JZ81">
        <v>1</v>
      </c>
      <c r="KA81">
        <v>3</v>
      </c>
      <c r="KB81">
        <v>1</v>
      </c>
      <c r="KC81" t="s">
        <v>407</v>
      </c>
      <c r="OF81" t="s">
        <v>408</v>
      </c>
      <c r="SI81" t="s">
        <v>409</v>
      </c>
      <c r="WL81" t="s">
        <v>410</v>
      </c>
      <c r="AAO81" t="s">
        <v>411</v>
      </c>
      <c r="AER81" t="s">
        <v>412</v>
      </c>
    </row>
    <row r="82" spans="1:824" x14ac:dyDescent="0.2">
      <c r="A82" t="s">
        <v>1007</v>
      </c>
      <c r="B82" t="s">
        <v>396</v>
      </c>
      <c r="C82" t="s">
        <v>1008</v>
      </c>
      <c r="P82" t="b">
        <v>0</v>
      </c>
      <c r="Q82" t="b">
        <v>0</v>
      </c>
      <c r="R82" t="b">
        <v>1</v>
      </c>
      <c r="S82" t="b">
        <v>0</v>
      </c>
      <c r="T82" t="b">
        <v>1</v>
      </c>
      <c r="U82" t="b">
        <v>0</v>
      </c>
      <c r="V82">
        <v>798</v>
      </c>
      <c r="W82" s="3">
        <v>43524.979861111111</v>
      </c>
      <c r="X82" t="s">
        <v>1009</v>
      </c>
      <c r="Y82">
        <v>2019</v>
      </c>
      <c r="Z82" t="s">
        <v>1010</v>
      </c>
      <c r="AA82" t="s">
        <v>1008</v>
      </c>
      <c r="AB82" t="s">
        <v>1011</v>
      </c>
      <c r="AC82" t="s">
        <v>1012</v>
      </c>
      <c r="AD82" t="s">
        <v>1013</v>
      </c>
      <c r="AE82" t="s">
        <v>571</v>
      </c>
      <c r="AF82" t="s">
        <v>538</v>
      </c>
      <c r="AH82">
        <v>1</v>
      </c>
      <c r="AK82">
        <v>80.099999999999994</v>
      </c>
      <c r="AL82">
        <v>80.099999999999994</v>
      </c>
      <c r="AM82">
        <v>69.400000000000006</v>
      </c>
      <c r="AN82">
        <v>69.400000000000006</v>
      </c>
      <c r="AU82">
        <v>0</v>
      </c>
      <c r="BB82">
        <v>0</v>
      </c>
      <c r="BC82">
        <v>20</v>
      </c>
      <c r="BH82">
        <v>46</v>
      </c>
      <c r="BI82">
        <v>66</v>
      </c>
      <c r="BP82">
        <v>0</v>
      </c>
      <c r="BQ82">
        <v>14.1</v>
      </c>
      <c r="BW82">
        <v>14.1</v>
      </c>
      <c r="CD82">
        <v>0</v>
      </c>
      <c r="CE82">
        <v>34.1</v>
      </c>
      <c r="CF82">
        <v>0</v>
      </c>
      <c r="CG82">
        <v>0</v>
      </c>
      <c r="CH82">
        <v>0</v>
      </c>
      <c r="CI82">
        <v>0</v>
      </c>
      <c r="CJ82">
        <v>46</v>
      </c>
      <c r="CK82">
        <v>80.099999999999994</v>
      </c>
      <c r="CR82">
        <v>0</v>
      </c>
      <c r="CY82">
        <v>0</v>
      </c>
      <c r="CZ82">
        <v>1</v>
      </c>
      <c r="DE82">
        <v>1</v>
      </c>
      <c r="DF82">
        <v>2</v>
      </c>
      <c r="DM82">
        <v>0</v>
      </c>
      <c r="DN82">
        <v>1</v>
      </c>
      <c r="DT82">
        <v>1</v>
      </c>
      <c r="EA82">
        <v>0</v>
      </c>
      <c r="EB82">
        <v>2</v>
      </c>
      <c r="EC82">
        <v>0</v>
      </c>
      <c r="ED82">
        <v>0</v>
      </c>
      <c r="EE82">
        <v>0</v>
      </c>
      <c r="EF82">
        <v>0</v>
      </c>
      <c r="EG82">
        <v>1</v>
      </c>
      <c r="EH82">
        <v>3</v>
      </c>
      <c r="EI82" t="s">
        <v>404</v>
      </c>
      <c r="EJ82" t="s">
        <v>404</v>
      </c>
      <c r="EK82" t="s">
        <v>404</v>
      </c>
      <c r="EL82" t="s">
        <v>404</v>
      </c>
      <c r="EM82" t="s">
        <v>404</v>
      </c>
      <c r="EN82" t="s">
        <v>404</v>
      </c>
      <c r="EO82" t="s">
        <v>404</v>
      </c>
      <c r="EP82" t="s">
        <v>404</v>
      </c>
      <c r="EQ82" t="s">
        <v>404</v>
      </c>
      <c r="ER82" t="s">
        <v>404</v>
      </c>
      <c r="ES82" t="s">
        <v>404</v>
      </c>
      <c r="ET82" t="s">
        <v>404</v>
      </c>
      <c r="EU82" t="s">
        <v>405</v>
      </c>
      <c r="EV82" t="s">
        <v>404</v>
      </c>
      <c r="EW82" t="s">
        <v>404</v>
      </c>
      <c r="EX82" t="s">
        <v>404</v>
      </c>
      <c r="EY82" t="s">
        <v>404</v>
      </c>
      <c r="EZ82" t="s">
        <v>405</v>
      </c>
      <c r="FA82" t="s">
        <v>404</v>
      </c>
      <c r="FB82" t="s">
        <v>404</v>
      </c>
      <c r="FC82" t="s">
        <v>404</v>
      </c>
      <c r="FD82" t="s">
        <v>404</v>
      </c>
      <c r="FE82" t="s">
        <v>404</v>
      </c>
      <c r="FF82" t="s">
        <v>404</v>
      </c>
      <c r="FG82" t="s">
        <v>405</v>
      </c>
      <c r="FH82" t="s">
        <v>404</v>
      </c>
      <c r="FI82" t="s">
        <v>404</v>
      </c>
      <c r="FJ82" t="s">
        <v>404</v>
      </c>
      <c r="FK82" t="s">
        <v>404</v>
      </c>
      <c r="FL82" t="s">
        <v>404</v>
      </c>
      <c r="FM82" t="s">
        <v>404</v>
      </c>
      <c r="FN82" t="s">
        <v>404</v>
      </c>
      <c r="FO82" t="s">
        <v>404</v>
      </c>
      <c r="FP82" t="s">
        <v>404</v>
      </c>
      <c r="FQ82" t="s">
        <v>404</v>
      </c>
      <c r="FR82" t="s">
        <v>404</v>
      </c>
      <c r="FY82">
        <v>0</v>
      </c>
      <c r="FZ82">
        <v>20</v>
      </c>
      <c r="GF82">
        <v>20</v>
      </c>
      <c r="GM82">
        <v>0</v>
      </c>
      <c r="GT82">
        <v>0</v>
      </c>
      <c r="HA82">
        <v>0</v>
      </c>
      <c r="HB82">
        <v>13.4</v>
      </c>
      <c r="HG82">
        <v>46</v>
      </c>
      <c r="HH82">
        <v>59.4</v>
      </c>
      <c r="HI82">
        <v>0.7</v>
      </c>
      <c r="HO82">
        <v>0.7</v>
      </c>
      <c r="HW82">
        <v>0</v>
      </c>
      <c r="HX82">
        <v>34.1</v>
      </c>
      <c r="HY82">
        <v>0</v>
      </c>
      <c r="HZ82">
        <v>0</v>
      </c>
      <c r="IA82">
        <v>0</v>
      </c>
      <c r="IB82">
        <v>0</v>
      </c>
      <c r="IC82">
        <v>46</v>
      </c>
      <c r="ID82">
        <v>80.099999999999994</v>
      </c>
      <c r="IK82">
        <v>0</v>
      </c>
      <c r="IL82">
        <v>20</v>
      </c>
      <c r="IR82">
        <v>20</v>
      </c>
      <c r="IS82">
        <v>14.1</v>
      </c>
      <c r="IX82">
        <v>46</v>
      </c>
      <c r="IY82">
        <v>60.1</v>
      </c>
      <c r="JF82">
        <v>0</v>
      </c>
      <c r="JM82">
        <v>0</v>
      </c>
      <c r="JN82">
        <v>34.1</v>
      </c>
      <c r="JO82">
        <v>0</v>
      </c>
      <c r="JP82">
        <v>0</v>
      </c>
      <c r="JQ82">
        <v>0</v>
      </c>
      <c r="JR82">
        <v>0</v>
      </c>
      <c r="JS82">
        <v>46</v>
      </c>
      <c r="JT82">
        <v>80.099999999999994</v>
      </c>
      <c r="JW82">
        <v>100</v>
      </c>
      <c r="JZ82">
        <v>1</v>
      </c>
      <c r="KA82">
        <v>1</v>
      </c>
      <c r="KB82">
        <v>1</v>
      </c>
      <c r="KC82" t="s">
        <v>407</v>
      </c>
      <c r="OF82" t="s">
        <v>408</v>
      </c>
      <c r="SI82" t="s">
        <v>409</v>
      </c>
      <c r="WL82" t="s">
        <v>410</v>
      </c>
      <c r="AAO82" t="s">
        <v>411</v>
      </c>
      <c r="AER82" t="s">
        <v>412</v>
      </c>
    </row>
    <row r="83" spans="1:824" x14ac:dyDescent="0.2">
      <c r="A83" t="s">
        <v>1014</v>
      </c>
      <c r="B83" t="s">
        <v>396</v>
      </c>
      <c r="C83" t="s">
        <v>1015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>
        <v>547</v>
      </c>
      <c r="W83" s="3">
        <v>43514.552083333336</v>
      </c>
      <c r="X83" t="s">
        <v>1016</v>
      </c>
      <c r="Y83">
        <v>2019</v>
      </c>
      <c r="Z83" t="s">
        <v>1017</v>
      </c>
      <c r="AA83" t="s">
        <v>1018</v>
      </c>
      <c r="AB83" t="s">
        <v>1019</v>
      </c>
      <c r="AC83" t="s">
        <v>1020</v>
      </c>
      <c r="AD83">
        <v>33176321505</v>
      </c>
      <c r="AE83" t="s">
        <v>592</v>
      </c>
      <c r="AF83" t="s">
        <v>403</v>
      </c>
      <c r="AH83">
        <v>1</v>
      </c>
      <c r="AK83">
        <v>2086.41</v>
      </c>
      <c r="AL83">
        <v>0</v>
      </c>
      <c r="AM83">
        <v>2086.41</v>
      </c>
      <c r="AU83">
        <v>0</v>
      </c>
      <c r="AW83">
        <v>1008.92</v>
      </c>
      <c r="AX83">
        <v>25.24</v>
      </c>
      <c r="AY83">
        <v>1052.25</v>
      </c>
      <c r="BB83">
        <v>2086.41</v>
      </c>
      <c r="BI83">
        <v>0</v>
      </c>
      <c r="BP83">
        <v>0</v>
      </c>
      <c r="BW83">
        <v>0</v>
      </c>
      <c r="CD83">
        <v>0</v>
      </c>
      <c r="CE83">
        <v>0</v>
      </c>
      <c r="CF83">
        <v>1008.92</v>
      </c>
      <c r="CG83">
        <v>25.24</v>
      </c>
      <c r="CH83">
        <v>1052.25</v>
      </c>
      <c r="CI83">
        <v>0</v>
      </c>
      <c r="CJ83">
        <v>0</v>
      </c>
      <c r="CK83">
        <v>2086.41</v>
      </c>
      <c r="CR83">
        <v>0</v>
      </c>
      <c r="CT83">
        <v>8</v>
      </c>
      <c r="CU83">
        <v>2</v>
      </c>
      <c r="CV83">
        <v>8</v>
      </c>
      <c r="CY83">
        <v>18</v>
      </c>
      <c r="DF83">
        <v>0</v>
      </c>
      <c r="DM83">
        <v>0</v>
      </c>
      <c r="DT83">
        <v>0</v>
      </c>
      <c r="EA83">
        <v>0</v>
      </c>
      <c r="EB83">
        <v>0</v>
      </c>
      <c r="EC83">
        <v>8</v>
      </c>
      <c r="ED83">
        <v>2</v>
      </c>
      <c r="EE83">
        <v>8</v>
      </c>
      <c r="EF83">
        <v>0</v>
      </c>
      <c r="EG83">
        <v>0</v>
      </c>
      <c r="EH83">
        <v>18</v>
      </c>
      <c r="EI83" t="s">
        <v>404</v>
      </c>
      <c r="EJ83" t="s">
        <v>404</v>
      </c>
      <c r="EK83" t="s">
        <v>404</v>
      </c>
      <c r="EL83" t="s">
        <v>404</v>
      </c>
      <c r="EM83" t="s">
        <v>404</v>
      </c>
      <c r="EN83" t="s">
        <v>404</v>
      </c>
      <c r="EO83" t="s">
        <v>404</v>
      </c>
      <c r="EP83" t="s">
        <v>405</v>
      </c>
      <c r="EQ83" t="s">
        <v>405</v>
      </c>
      <c r="ER83" t="s">
        <v>405</v>
      </c>
      <c r="ES83" t="s">
        <v>404</v>
      </c>
      <c r="ET83" t="s">
        <v>404</v>
      </c>
      <c r="EU83" t="s">
        <v>404</v>
      </c>
      <c r="EV83" t="s">
        <v>404</v>
      </c>
      <c r="EW83" t="s">
        <v>404</v>
      </c>
      <c r="EX83" t="s">
        <v>404</v>
      </c>
      <c r="EY83" t="s">
        <v>404</v>
      </c>
      <c r="EZ83" t="s">
        <v>404</v>
      </c>
      <c r="FA83" t="s">
        <v>404</v>
      </c>
      <c r="FB83" t="s">
        <v>404</v>
      </c>
      <c r="FC83" t="s">
        <v>404</v>
      </c>
      <c r="FD83" t="s">
        <v>404</v>
      </c>
      <c r="FE83" t="s">
        <v>404</v>
      </c>
      <c r="FF83" t="s">
        <v>404</v>
      </c>
      <c r="FG83" t="s">
        <v>404</v>
      </c>
      <c r="FH83" t="s">
        <v>404</v>
      </c>
      <c r="FI83" t="s">
        <v>404</v>
      </c>
      <c r="FJ83" t="s">
        <v>404</v>
      </c>
      <c r="FK83" t="s">
        <v>404</v>
      </c>
      <c r="FL83" t="s">
        <v>404</v>
      </c>
      <c r="FM83" t="s">
        <v>404</v>
      </c>
      <c r="FN83" t="s">
        <v>404</v>
      </c>
      <c r="FO83" t="s">
        <v>404</v>
      </c>
      <c r="FP83" t="s">
        <v>404</v>
      </c>
      <c r="FQ83" t="s">
        <v>404</v>
      </c>
      <c r="FR83" t="s">
        <v>404</v>
      </c>
      <c r="FT83">
        <v>90</v>
      </c>
      <c r="FY83">
        <v>90</v>
      </c>
      <c r="GA83">
        <v>522.26</v>
      </c>
      <c r="GB83">
        <v>25.24</v>
      </c>
      <c r="GC83">
        <v>38.08</v>
      </c>
      <c r="GF83">
        <v>585.58000000000004</v>
      </c>
      <c r="GM83">
        <v>0</v>
      </c>
      <c r="GQ83">
        <v>166.21</v>
      </c>
      <c r="GT83">
        <v>166.21</v>
      </c>
      <c r="HA83">
        <v>0</v>
      </c>
      <c r="HH83">
        <v>0</v>
      </c>
      <c r="HJ83">
        <v>3</v>
      </c>
      <c r="HL83">
        <v>29.98</v>
      </c>
      <c r="HO83">
        <v>32.979999999999997</v>
      </c>
      <c r="HP83" t="s">
        <v>1021</v>
      </c>
      <c r="HR83">
        <v>393.66</v>
      </c>
      <c r="HT83">
        <v>817.98</v>
      </c>
      <c r="HW83">
        <v>1211.6400000000001</v>
      </c>
      <c r="HX83">
        <v>0</v>
      </c>
      <c r="HY83">
        <v>1008.92</v>
      </c>
      <c r="HZ83">
        <v>25.24</v>
      </c>
      <c r="IA83">
        <v>1052.25</v>
      </c>
      <c r="IB83">
        <v>0</v>
      </c>
      <c r="IC83">
        <v>0</v>
      </c>
      <c r="ID83">
        <v>2086.41</v>
      </c>
      <c r="IK83">
        <v>0</v>
      </c>
      <c r="IM83">
        <v>1008.92</v>
      </c>
      <c r="IN83">
        <v>25.24</v>
      </c>
      <c r="IO83">
        <v>1052.25</v>
      </c>
      <c r="IR83">
        <v>2086.41</v>
      </c>
      <c r="IY83">
        <v>0</v>
      </c>
      <c r="JF83">
        <v>0</v>
      </c>
      <c r="JM83">
        <v>0</v>
      </c>
      <c r="JN83">
        <v>0</v>
      </c>
      <c r="JO83">
        <v>1008.92</v>
      </c>
      <c r="JP83">
        <v>25.24</v>
      </c>
      <c r="JQ83">
        <v>1052.25</v>
      </c>
      <c r="JR83">
        <v>0</v>
      </c>
      <c r="JS83">
        <v>0</v>
      </c>
      <c r="JT83">
        <v>2086.41</v>
      </c>
      <c r="JV83">
        <v>59</v>
      </c>
      <c r="JW83">
        <v>41</v>
      </c>
      <c r="JZ83">
        <v>1</v>
      </c>
      <c r="KA83">
        <v>3</v>
      </c>
      <c r="KB83">
        <v>1</v>
      </c>
      <c r="KC83" t="s">
        <v>407</v>
      </c>
      <c r="OF83" t="s">
        <v>408</v>
      </c>
      <c r="SI83" t="s">
        <v>409</v>
      </c>
      <c r="WL83" t="s">
        <v>410</v>
      </c>
      <c r="AAO83" t="s">
        <v>411</v>
      </c>
      <c r="AER83" t="s">
        <v>412</v>
      </c>
    </row>
    <row r="84" spans="1:824" x14ac:dyDescent="0.2">
      <c r="A84" t="s">
        <v>1022</v>
      </c>
      <c r="B84" t="s">
        <v>414</v>
      </c>
      <c r="C84" t="s">
        <v>1023</v>
      </c>
      <c r="P84" t="b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V84">
        <v>647</v>
      </c>
      <c r="W84" s="3">
        <v>43500.109027777777</v>
      </c>
      <c r="X84" t="s">
        <v>1024</v>
      </c>
      <c r="Y84">
        <v>2019</v>
      </c>
      <c r="Z84" t="s">
        <v>1025</v>
      </c>
      <c r="AA84" t="s">
        <v>1026</v>
      </c>
      <c r="AB84" t="s">
        <v>1027</v>
      </c>
      <c r="AC84" t="s">
        <v>1028</v>
      </c>
      <c r="AD84">
        <v>450976797</v>
      </c>
      <c r="AE84" t="s">
        <v>420</v>
      </c>
      <c r="AF84" t="s">
        <v>421</v>
      </c>
      <c r="AH84">
        <v>1</v>
      </c>
      <c r="AK84">
        <v>200</v>
      </c>
      <c r="AL84">
        <v>200</v>
      </c>
      <c r="AM84">
        <v>200</v>
      </c>
      <c r="AN84">
        <v>200</v>
      </c>
      <c r="AT84">
        <v>200</v>
      </c>
      <c r="AU84">
        <v>200</v>
      </c>
      <c r="BB84">
        <v>0</v>
      </c>
      <c r="BI84">
        <v>0</v>
      </c>
      <c r="BP84">
        <v>0</v>
      </c>
      <c r="BW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200</v>
      </c>
      <c r="CK84">
        <v>200</v>
      </c>
      <c r="CQ84">
        <v>1</v>
      </c>
      <c r="CR84">
        <v>1</v>
      </c>
      <c r="CY84">
        <v>0</v>
      </c>
      <c r="DF84">
        <v>0</v>
      </c>
      <c r="DM84">
        <v>0</v>
      </c>
      <c r="DT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1</v>
      </c>
      <c r="EH84">
        <v>1</v>
      </c>
      <c r="EI84" t="s">
        <v>404</v>
      </c>
      <c r="EJ84" t="s">
        <v>404</v>
      </c>
      <c r="EK84" t="s">
        <v>404</v>
      </c>
      <c r="EL84" t="s">
        <v>404</v>
      </c>
      <c r="EM84" t="s">
        <v>404</v>
      </c>
      <c r="EN84" t="s">
        <v>405</v>
      </c>
      <c r="EO84" t="s">
        <v>404</v>
      </c>
      <c r="EP84" t="s">
        <v>404</v>
      </c>
      <c r="EQ84" t="s">
        <v>404</v>
      </c>
      <c r="ER84" t="s">
        <v>404</v>
      </c>
      <c r="ES84" t="s">
        <v>404</v>
      </c>
      <c r="ET84" t="s">
        <v>404</v>
      </c>
      <c r="EU84" t="s">
        <v>404</v>
      </c>
      <c r="EV84" t="s">
        <v>404</v>
      </c>
      <c r="EW84" t="s">
        <v>404</v>
      </c>
      <c r="EX84" t="s">
        <v>404</v>
      </c>
      <c r="EY84" t="s">
        <v>404</v>
      </c>
      <c r="EZ84" t="s">
        <v>404</v>
      </c>
      <c r="FA84" t="s">
        <v>404</v>
      </c>
      <c r="FB84" t="s">
        <v>404</v>
      </c>
      <c r="FC84" t="s">
        <v>404</v>
      </c>
      <c r="FD84" t="s">
        <v>404</v>
      </c>
      <c r="FE84" t="s">
        <v>404</v>
      </c>
      <c r="FF84" t="s">
        <v>404</v>
      </c>
      <c r="FG84" t="s">
        <v>404</v>
      </c>
      <c r="FH84" t="s">
        <v>404</v>
      </c>
      <c r="FI84" t="s">
        <v>404</v>
      </c>
      <c r="FJ84" t="s">
        <v>404</v>
      </c>
      <c r="FK84" t="s">
        <v>404</v>
      </c>
      <c r="FL84" t="s">
        <v>404</v>
      </c>
      <c r="FM84" t="s">
        <v>404</v>
      </c>
      <c r="FN84" t="s">
        <v>404</v>
      </c>
      <c r="FO84" t="s">
        <v>404</v>
      </c>
      <c r="FP84" t="s">
        <v>404</v>
      </c>
      <c r="FQ84" t="s">
        <v>404</v>
      </c>
      <c r="FR84" t="s">
        <v>404</v>
      </c>
      <c r="FX84">
        <v>200</v>
      </c>
      <c r="FY84">
        <v>200</v>
      </c>
      <c r="GF84">
        <v>0</v>
      </c>
      <c r="GM84">
        <v>0</v>
      </c>
      <c r="GT84">
        <v>0</v>
      </c>
      <c r="HA84">
        <v>0</v>
      </c>
      <c r="HH84">
        <v>0</v>
      </c>
      <c r="HO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200</v>
      </c>
      <c r="ID84">
        <v>200</v>
      </c>
      <c r="IJ84">
        <v>200</v>
      </c>
      <c r="IK84">
        <v>200</v>
      </c>
      <c r="IR84">
        <v>0</v>
      </c>
      <c r="IY84">
        <v>0</v>
      </c>
      <c r="JF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200</v>
      </c>
      <c r="JT84">
        <v>200</v>
      </c>
      <c r="JW84">
        <v>100</v>
      </c>
      <c r="JZ84">
        <v>1</v>
      </c>
      <c r="KA84">
        <v>3</v>
      </c>
      <c r="KB84">
        <v>1</v>
      </c>
      <c r="KC84" t="s">
        <v>407</v>
      </c>
      <c r="OF84" t="s">
        <v>408</v>
      </c>
      <c r="SI84" t="s">
        <v>409</v>
      </c>
      <c r="WL84" t="s">
        <v>410</v>
      </c>
      <c r="AAO84" t="s">
        <v>411</v>
      </c>
      <c r="AER84" t="s">
        <v>412</v>
      </c>
    </row>
    <row r="85" spans="1:824" x14ac:dyDescent="0.2">
      <c r="A85" t="s">
        <v>1029</v>
      </c>
      <c r="B85" t="s">
        <v>396</v>
      </c>
      <c r="C85" t="s">
        <v>1030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>
        <v>578</v>
      </c>
      <c r="W85" s="3">
        <v>43475.754166666666</v>
      </c>
      <c r="X85" t="s">
        <v>1031</v>
      </c>
      <c r="Y85">
        <v>2019</v>
      </c>
      <c r="Z85" t="s">
        <v>1032</v>
      </c>
      <c r="AA85" t="s">
        <v>1033</v>
      </c>
      <c r="AB85" t="s">
        <v>1034</v>
      </c>
      <c r="AC85" t="s">
        <v>1035</v>
      </c>
      <c r="AD85">
        <f>4922049490-135</f>
        <v>4922049355</v>
      </c>
      <c r="AE85" t="s">
        <v>444</v>
      </c>
      <c r="AF85" t="s">
        <v>403</v>
      </c>
      <c r="AH85">
        <v>1</v>
      </c>
      <c r="AK85">
        <v>50</v>
      </c>
      <c r="AL85">
        <v>50</v>
      </c>
      <c r="AM85">
        <v>50</v>
      </c>
      <c r="AN85">
        <v>50</v>
      </c>
      <c r="AU85">
        <v>0</v>
      </c>
      <c r="AV85">
        <v>50</v>
      </c>
      <c r="BB85">
        <v>50</v>
      </c>
      <c r="BI85">
        <v>0</v>
      </c>
      <c r="BP85">
        <v>0</v>
      </c>
      <c r="BW85">
        <v>0</v>
      </c>
      <c r="CD85">
        <v>0</v>
      </c>
      <c r="CE85">
        <v>50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50</v>
      </c>
      <c r="CR85">
        <v>0</v>
      </c>
      <c r="CS85">
        <v>1</v>
      </c>
      <c r="CY85">
        <v>1</v>
      </c>
      <c r="DF85">
        <v>0</v>
      </c>
      <c r="DM85">
        <v>0</v>
      </c>
      <c r="DT85">
        <v>0</v>
      </c>
      <c r="EA85">
        <v>0</v>
      </c>
      <c r="EB85">
        <v>1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1</v>
      </c>
      <c r="EI85" t="s">
        <v>404</v>
      </c>
      <c r="EJ85" t="s">
        <v>404</v>
      </c>
      <c r="EK85" t="s">
        <v>404</v>
      </c>
      <c r="EL85" t="s">
        <v>404</v>
      </c>
      <c r="EM85" t="s">
        <v>404</v>
      </c>
      <c r="EN85" t="s">
        <v>404</v>
      </c>
      <c r="EO85" t="s">
        <v>405</v>
      </c>
      <c r="EP85" t="s">
        <v>404</v>
      </c>
      <c r="EQ85" t="s">
        <v>404</v>
      </c>
      <c r="ER85" t="s">
        <v>404</v>
      </c>
      <c r="ES85" t="s">
        <v>404</v>
      </c>
      <c r="ET85" t="s">
        <v>404</v>
      </c>
      <c r="EU85" t="s">
        <v>404</v>
      </c>
      <c r="EV85" t="s">
        <v>404</v>
      </c>
      <c r="EW85" t="s">
        <v>404</v>
      </c>
      <c r="EX85" t="s">
        <v>404</v>
      </c>
      <c r="EY85" t="s">
        <v>404</v>
      </c>
      <c r="EZ85" t="s">
        <v>404</v>
      </c>
      <c r="FA85" t="s">
        <v>404</v>
      </c>
      <c r="FB85" t="s">
        <v>404</v>
      </c>
      <c r="FC85" t="s">
        <v>404</v>
      </c>
      <c r="FD85" t="s">
        <v>404</v>
      </c>
      <c r="FE85" t="s">
        <v>404</v>
      </c>
      <c r="FF85" t="s">
        <v>404</v>
      </c>
      <c r="FG85" t="s">
        <v>404</v>
      </c>
      <c r="FH85" t="s">
        <v>404</v>
      </c>
      <c r="FI85" t="s">
        <v>404</v>
      </c>
      <c r="FJ85" t="s">
        <v>404</v>
      </c>
      <c r="FK85" t="s">
        <v>404</v>
      </c>
      <c r="FL85" t="s">
        <v>404</v>
      </c>
      <c r="FM85" t="s">
        <v>404</v>
      </c>
      <c r="FN85" t="s">
        <v>404</v>
      </c>
      <c r="FO85" t="s">
        <v>404</v>
      </c>
      <c r="FP85" t="s">
        <v>404</v>
      </c>
      <c r="FQ85" t="s">
        <v>404</v>
      </c>
      <c r="FR85" t="s">
        <v>404</v>
      </c>
      <c r="FS85">
        <v>25</v>
      </c>
      <c r="FY85">
        <v>25</v>
      </c>
      <c r="GF85">
        <v>0</v>
      </c>
      <c r="GM85">
        <v>0</v>
      </c>
      <c r="GT85">
        <v>0</v>
      </c>
      <c r="GU85">
        <v>25</v>
      </c>
      <c r="HA85">
        <v>25</v>
      </c>
      <c r="HH85">
        <v>0</v>
      </c>
      <c r="HO85">
        <v>0</v>
      </c>
      <c r="HW85">
        <v>0</v>
      </c>
      <c r="HX85">
        <v>50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50</v>
      </c>
      <c r="IK85">
        <v>0</v>
      </c>
      <c r="IL85">
        <v>50</v>
      </c>
      <c r="IR85">
        <v>50</v>
      </c>
      <c r="IY85">
        <v>0</v>
      </c>
      <c r="JF85">
        <v>0</v>
      </c>
      <c r="JM85">
        <v>0</v>
      </c>
      <c r="JN85">
        <v>50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50</v>
      </c>
      <c r="JU85">
        <v>50</v>
      </c>
      <c r="JW85">
        <v>50</v>
      </c>
      <c r="JZ85">
        <v>2</v>
      </c>
      <c r="KA85">
        <v>3</v>
      </c>
      <c r="KB85">
        <v>1</v>
      </c>
      <c r="KC85" t="s">
        <v>407</v>
      </c>
      <c r="OF85" t="s">
        <v>408</v>
      </c>
      <c r="SI85" t="s">
        <v>409</v>
      </c>
      <c r="WL85" t="s">
        <v>410</v>
      </c>
      <c r="AAO85" t="s">
        <v>411</v>
      </c>
      <c r="AER85" t="s">
        <v>412</v>
      </c>
    </row>
    <row r="86" spans="1:824" x14ac:dyDescent="0.2">
      <c r="A86" t="s">
        <v>1036</v>
      </c>
      <c r="B86" t="s">
        <v>396</v>
      </c>
      <c r="C86" t="s">
        <v>1037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>
        <v>670</v>
      </c>
      <c r="W86" s="3">
        <v>43495.442361111112</v>
      </c>
      <c r="X86" t="s">
        <v>993</v>
      </c>
      <c r="Y86">
        <v>2019</v>
      </c>
      <c r="Z86" t="s">
        <v>1038</v>
      </c>
      <c r="AA86" t="s">
        <v>1039</v>
      </c>
      <c r="AC86" t="s">
        <v>1040</v>
      </c>
      <c r="AE86" t="s">
        <v>516</v>
      </c>
      <c r="AF86" t="s">
        <v>403</v>
      </c>
      <c r="AH86">
        <v>2</v>
      </c>
      <c r="AI86">
        <v>6</v>
      </c>
      <c r="AJ86" t="s">
        <v>1041</v>
      </c>
      <c r="AU86">
        <v>0</v>
      </c>
      <c r="BB86">
        <v>0</v>
      </c>
      <c r="BI86">
        <v>0</v>
      </c>
      <c r="BP86">
        <v>0</v>
      </c>
      <c r="BW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R86">
        <v>0</v>
      </c>
      <c r="CY86">
        <v>0</v>
      </c>
      <c r="DF86">
        <v>0</v>
      </c>
      <c r="DM86">
        <v>0</v>
      </c>
      <c r="DT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 t="s">
        <v>404</v>
      </c>
      <c r="EJ86" t="s">
        <v>404</v>
      </c>
      <c r="EK86" t="s">
        <v>404</v>
      </c>
      <c r="EL86" t="s">
        <v>404</v>
      </c>
      <c r="EM86" t="s">
        <v>404</v>
      </c>
      <c r="EN86" t="s">
        <v>404</v>
      </c>
      <c r="EO86" t="s">
        <v>404</v>
      </c>
      <c r="EP86" t="s">
        <v>404</v>
      </c>
      <c r="EQ86" t="s">
        <v>404</v>
      </c>
      <c r="ER86" t="s">
        <v>404</v>
      </c>
      <c r="ES86" t="s">
        <v>404</v>
      </c>
      <c r="ET86" t="s">
        <v>404</v>
      </c>
      <c r="EU86" t="s">
        <v>404</v>
      </c>
      <c r="EV86" t="s">
        <v>404</v>
      </c>
      <c r="EW86" t="s">
        <v>404</v>
      </c>
      <c r="EX86" t="s">
        <v>404</v>
      </c>
      <c r="EY86" t="s">
        <v>404</v>
      </c>
      <c r="EZ86" t="s">
        <v>404</v>
      </c>
      <c r="FA86" t="s">
        <v>404</v>
      </c>
      <c r="FB86" t="s">
        <v>404</v>
      </c>
      <c r="FC86" t="s">
        <v>404</v>
      </c>
      <c r="FD86" t="s">
        <v>404</v>
      </c>
      <c r="FE86" t="s">
        <v>404</v>
      </c>
      <c r="FF86" t="s">
        <v>404</v>
      </c>
      <c r="FG86" t="s">
        <v>404</v>
      </c>
      <c r="FH86" t="s">
        <v>404</v>
      </c>
      <c r="FI86" t="s">
        <v>404</v>
      </c>
      <c r="FJ86" t="s">
        <v>404</v>
      </c>
      <c r="FK86" t="s">
        <v>404</v>
      </c>
      <c r="FL86" t="s">
        <v>404</v>
      </c>
      <c r="FM86" t="s">
        <v>404</v>
      </c>
      <c r="FN86" t="s">
        <v>404</v>
      </c>
      <c r="FO86" t="s">
        <v>404</v>
      </c>
      <c r="FP86" t="s">
        <v>404</v>
      </c>
      <c r="FQ86" t="s">
        <v>404</v>
      </c>
      <c r="FR86" t="s">
        <v>404</v>
      </c>
      <c r="FY86">
        <v>0</v>
      </c>
      <c r="GF86">
        <v>0</v>
      </c>
      <c r="GM86">
        <v>0</v>
      </c>
      <c r="GT86">
        <v>0</v>
      </c>
      <c r="HA86">
        <v>0</v>
      </c>
      <c r="HH86">
        <v>0</v>
      </c>
      <c r="HO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K86">
        <v>0</v>
      </c>
      <c r="IR86">
        <v>0</v>
      </c>
      <c r="IY86">
        <v>0</v>
      </c>
      <c r="JF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Z86">
        <v>3</v>
      </c>
      <c r="KA86">
        <v>2</v>
      </c>
      <c r="KB86">
        <v>2</v>
      </c>
      <c r="KC86" t="s">
        <v>407</v>
      </c>
      <c r="OF86" t="s">
        <v>408</v>
      </c>
      <c r="SI86" t="s">
        <v>409</v>
      </c>
      <c r="WL86" t="s">
        <v>410</v>
      </c>
      <c r="AAO86" t="s">
        <v>411</v>
      </c>
      <c r="AER86" t="s">
        <v>412</v>
      </c>
    </row>
    <row r="87" spans="1:824" x14ac:dyDescent="0.2">
      <c r="A87" t="s">
        <v>1042</v>
      </c>
      <c r="B87" t="s">
        <v>563</v>
      </c>
      <c r="C87" t="s">
        <v>1043</v>
      </c>
      <c r="D87" t="s">
        <v>478</v>
      </c>
      <c r="E87" s="3">
        <v>43528.85</v>
      </c>
      <c r="F87" t="s">
        <v>479</v>
      </c>
      <c r="G87" s="3">
        <v>43528.852083333331</v>
      </c>
      <c r="H87" t="s">
        <v>502</v>
      </c>
      <c r="I87" s="3">
        <v>43528.854166666664</v>
      </c>
      <c r="P87" t="b">
        <v>1</v>
      </c>
      <c r="Q87" t="b">
        <v>1</v>
      </c>
      <c r="R87" t="b">
        <v>1</v>
      </c>
      <c r="S87" t="b">
        <v>0</v>
      </c>
      <c r="T87" t="b">
        <v>0</v>
      </c>
      <c r="U87" t="b">
        <v>0</v>
      </c>
      <c r="V87">
        <v>705</v>
      </c>
      <c r="W87" s="3">
        <v>43528.849305555559</v>
      </c>
      <c r="X87" t="s">
        <v>1044</v>
      </c>
      <c r="Y87">
        <v>2019</v>
      </c>
      <c r="Z87" t="s">
        <v>1045</v>
      </c>
      <c r="AA87" t="s">
        <v>1043</v>
      </c>
      <c r="AB87" t="s">
        <v>1046</v>
      </c>
      <c r="AC87" t="s">
        <v>1047</v>
      </c>
      <c r="AD87">
        <v>7139665373</v>
      </c>
      <c r="AE87" t="s">
        <v>571</v>
      </c>
      <c r="AF87" t="s">
        <v>538</v>
      </c>
      <c r="AH87">
        <v>1</v>
      </c>
      <c r="AK87">
        <v>3373.6742610000001</v>
      </c>
      <c r="AL87">
        <v>3373.6742610000001</v>
      </c>
      <c r="AR87">
        <v>81.040000000000006</v>
      </c>
      <c r="AU87">
        <v>81.040000000000006</v>
      </c>
      <c r="AV87">
        <v>412.44</v>
      </c>
      <c r="AY87">
        <v>1344.13</v>
      </c>
      <c r="BB87">
        <v>1756.57</v>
      </c>
      <c r="BD87">
        <v>23.08</v>
      </c>
      <c r="BF87">
        <v>1512.98</v>
      </c>
      <c r="BI87">
        <v>1536.06</v>
      </c>
      <c r="BP87">
        <v>0</v>
      </c>
      <c r="BW87">
        <v>0</v>
      </c>
      <c r="CD87">
        <v>0</v>
      </c>
      <c r="CE87">
        <v>412.44</v>
      </c>
      <c r="CF87">
        <v>23.08</v>
      </c>
      <c r="CG87">
        <v>0</v>
      </c>
      <c r="CH87">
        <v>2938.15</v>
      </c>
      <c r="CI87">
        <v>0</v>
      </c>
      <c r="CJ87">
        <v>0</v>
      </c>
      <c r="CK87">
        <v>3373.67</v>
      </c>
      <c r="CO87">
        <v>1</v>
      </c>
      <c r="CR87">
        <v>1</v>
      </c>
      <c r="CS87">
        <v>2</v>
      </c>
      <c r="CV87">
        <v>12</v>
      </c>
      <c r="CY87">
        <v>14</v>
      </c>
      <c r="DA87">
        <v>1</v>
      </c>
      <c r="DC87">
        <v>27</v>
      </c>
      <c r="DF87">
        <v>28</v>
      </c>
      <c r="DM87">
        <v>0</v>
      </c>
      <c r="DT87">
        <v>0</v>
      </c>
      <c r="EA87">
        <v>0</v>
      </c>
      <c r="EB87">
        <v>2</v>
      </c>
      <c r="EC87">
        <v>1</v>
      </c>
      <c r="ED87">
        <v>0</v>
      </c>
      <c r="EE87">
        <v>40</v>
      </c>
      <c r="EF87">
        <v>0</v>
      </c>
      <c r="EG87">
        <v>0</v>
      </c>
      <c r="EH87">
        <v>43</v>
      </c>
      <c r="EI87" t="s">
        <v>404</v>
      </c>
      <c r="EJ87" t="s">
        <v>404</v>
      </c>
      <c r="EK87" t="s">
        <v>404</v>
      </c>
      <c r="EL87" t="s">
        <v>405</v>
      </c>
      <c r="EM87" t="s">
        <v>404</v>
      </c>
      <c r="EN87" t="s">
        <v>404</v>
      </c>
      <c r="EO87" t="s">
        <v>405</v>
      </c>
      <c r="EP87" t="s">
        <v>404</v>
      </c>
      <c r="EQ87" t="s">
        <v>404</v>
      </c>
      <c r="ER87" t="s">
        <v>405</v>
      </c>
      <c r="ES87" t="s">
        <v>404</v>
      </c>
      <c r="ET87" t="s">
        <v>404</v>
      </c>
      <c r="EU87" t="s">
        <v>404</v>
      </c>
      <c r="EV87" t="s">
        <v>405</v>
      </c>
      <c r="EW87" t="s">
        <v>404</v>
      </c>
      <c r="EX87" t="s">
        <v>405</v>
      </c>
      <c r="EY87" t="s">
        <v>404</v>
      </c>
      <c r="EZ87" t="s">
        <v>404</v>
      </c>
      <c r="FA87" t="s">
        <v>404</v>
      </c>
      <c r="FB87" t="s">
        <v>404</v>
      </c>
      <c r="FC87" t="s">
        <v>404</v>
      </c>
      <c r="FD87" t="s">
        <v>404</v>
      </c>
      <c r="FE87" t="s">
        <v>404</v>
      </c>
      <c r="FF87" t="s">
        <v>404</v>
      </c>
      <c r="FG87" t="s">
        <v>404</v>
      </c>
      <c r="FH87" t="s">
        <v>404</v>
      </c>
      <c r="FI87" t="s">
        <v>404</v>
      </c>
      <c r="FJ87" t="s">
        <v>404</v>
      </c>
      <c r="FK87" t="s">
        <v>404</v>
      </c>
      <c r="FL87" t="s">
        <v>404</v>
      </c>
      <c r="FM87" t="s">
        <v>404</v>
      </c>
      <c r="FN87" t="s">
        <v>404</v>
      </c>
      <c r="FO87" t="s">
        <v>404</v>
      </c>
      <c r="FP87" t="s">
        <v>404</v>
      </c>
      <c r="FQ87" t="s">
        <v>404</v>
      </c>
      <c r="FR87" t="s">
        <v>404</v>
      </c>
      <c r="FS87">
        <v>346.16800000000001</v>
      </c>
      <c r="FV87">
        <v>1084.4276</v>
      </c>
      <c r="FY87">
        <v>1430.6</v>
      </c>
      <c r="FZ87">
        <v>24.828199999999999</v>
      </c>
      <c r="GC87">
        <v>140.94264999999999</v>
      </c>
      <c r="GF87">
        <v>165.77</v>
      </c>
      <c r="GG87">
        <v>17.149000000000001</v>
      </c>
      <c r="GJ87">
        <v>25.348500000000001</v>
      </c>
      <c r="GM87">
        <v>42.5</v>
      </c>
      <c r="GT87">
        <v>0</v>
      </c>
      <c r="HA87">
        <v>0</v>
      </c>
      <c r="HB87">
        <v>24.299499999999998</v>
      </c>
      <c r="HE87">
        <v>569.07667000000004</v>
      </c>
      <c r="HH87">
        <v>593.38</v>
      </c>
      <c r="HL87">
        <v>159.02529999999999</v>
      </c>
      <c r="HO87">
        <v>159.03</v>
      </c>
      <c r="HP87" t="s">
        <v>1048</v>
      </c>
      <c r="HR87">
        <v>23.083200000000001</v>
      </c>
      <c r="HT87">
        <v>959.32563000000005</v>
      </c>
      <c r="HW87">
        <v>982.41</v>
      </c>
      <c r="HX87">
        <v>412.44</v>
      </c>
      <c r="HY87">
        <v>23.08</v>
      </c>
      <c r="HZ87">
        <v>0</v>
      </c>
      <c r="IA87">
        <v>2938.15</v>
      </c>
      <c r="IB87">
        <v>0</v>
      </c>
      <c r="IC87">
        <v>0</v>
      </c>
      <c r="ID87">
        <v>3373.67</v>
      </c>
      <c r="IE87">
        <v>171.06780000000001</v>
      </c>
      <c r="IH87">
        <v>412.99425000000002</v>
      </c>
      <c r="IK87">
        <v>584.05999999999995</v>
      </c>
      <c r="IL87">
        <v>241.37690000000001</v>
      </c>
      <c r="IO87">
        <v>1116.0858000000001</v>
      </c>
      <c r="IR87">
        <v>1357.46</v>
      </c>
      <c r="IT87">
        <v>23.08</v>
      </c>
      <c r="IV87">
        <v>1267.5428999999999</v>
      </c>
      <c r="IY87">
        <v>1290.6199999999999</v>
      </c>
      <c r="JC87">
        <v>116.1748</v>
      </c>
      <c r="JF87">
        <v>116.17</v>
      </c>
      <c r="JJ87">
        <v>25.348500000000001</v>
      </c>
      <c r="JM87">
        <v>25.35</v>
      </c>
      <c r="JN87">
        <v>412.44</v>
      </c>
      <c r="JO87">
        <v>23.08</v>
      </c>
      <c r="JP87">
        <v>0</v>
      </c>
      <c r="JQ87">
        <v>2938.15</v>
      </c>
      <c r="JR87">
        <v>0</v>
      </c>
      <c r="JS87">
        <v>0</v>
      </c>
      <c r="JT87">
        <v>3373.67</v>
      </c>
      <c r="JW87">
        <v>100</v>
      </c>
      <c r="JZ87">
        <v>3</v>
      </c>
      <c r="KA87">
        <v>2</v>
      </c>
      <c r="KB87">
        <v>1</v>
      </c>
      <c r="KC87" t="s">
        <v>407</v>
      </c>
      <c r="KJ87">
        <v>0</v>
      </c>
      <c r="KQ87">
        <v>0</v>
      </c>
      <c r="KX87">
        <v>0</v>
      </c>
      <c r="LE87">
        <v>0</v>
      </c>
      <c r="LL87">
        <v>0</v>
      </c>
      <c r="LS87">
        <v>0</v>
      </c>
      <c r="LZ87">
        <v>0</v>
      </c>
      <c r="MA87" t="s">
        <v>1048</v>
      </c>
      <c r="ME87">
        <v>81.039100000000005</v>
      </c>
      <c r="MH87">
        <v>81.040000000000006</v>
      </c>
      <c r="MI87">
        <v>0</v>
      </c>
      <c r="MJ87">
        <v>0</v>
      </c>
      <c r="MK87">
        <v>0</v>
      </c>
      <c r="ML87">
        <v>81.040000000000006</v>
      </c>
      <c r="MM87">
        <v>0</v>
      </c>
      <c r="MN87">
        <v>0</v>
      </c>
      <c r="MO87">
        <v>81.040000000000006</v>
      </c>
      <c r="MV87">
        <v>0</v>
      </c>
      <c r="NC87">
        <v>0</v>
      </c>
      <c r="NG87">
        <v>81.040000000000006</v>
      </c>
      <c r="NJ87">
        <v>81.040000000000006</v>
      </c>
      <c r="NQ87">
        <v>0</v>
      </c>
      <c r="NX87">
        <v>0</v>
      </c>
      <c r="NY87">
        <v>0</v>
      </c>
      <c r="NZ87">
        <v>0</v>
      </c>
      <c r="OA87">
        <v>0</v>
      </c>
      <c r="OB87">
        <v>81.040000000000006</v>
      </c>
      <c r="OC87">
        <v>0</v>
      </c>
      <c r="OD87">
        <v>0</v>
      </c>
      <c r="OE87">
        <v>81.040000000000006</v>
      </c>
      <c r="OF87" t="s">
        <v>408</v>
      </c>
      <c r="OG87">
        <v>346.16800000000001</v>
      </c>
      <c r="OJ87">
        <v>924.72749999999996</v>
      </c>
      <c r="OM87">
        <v>1270.9000000000001</v>
      </c>
      <c r="ON87">
        <v>24.828199999999999</v>
      </c>
      <c r="OQ87">
        <v>49.063000000000002</v>
      </c>
      <c r="OT87">
        <v>73.89</v>
      </c>
      <c r="OU87">
        <v>17.149000000000001</v>
      </c>
      <c r="PA87">
        <v>17.149999999999999</v>
      </c>
      <c r="PH87">
        <v>0</v>
      </c>
      <c r="PO87">
        <v>0</v>
      </c>
      <c r="PP87">
        <v>24.299499999999998</v>
      </c>
      <c r="PS87">
        <v>27.438400000000001</v>
      </c>
      <c r="PV87">
        <v>51.74</v>
      </c>
      <c r="PZ87">
        <v>39.425699999999999</v>
      </c>
      <c r="QC87">
        <v>39.43</v>
      </c>
      <c r="QD87" t="s">
        <v>1048</v>
      </c>
      <c r="QH87">
        <v>303.47129000000001</v>
      </c>
      <c r="QK87">
        <v>303.47000000000003</v>
      </c>
      <c r="QL87">
        <v>412.44</v>
      </c>
      <c r="QM87">
        <v>0</v>
      </c>
      <c r="QN87">
        <v>0</v>
      </c>
      <c r="QO87">
        <v>1344.13</v>
      </c>
      <c r="QP87">
        <v>0</v>
      </c>
      <c r="QQ87">
        <v>0</v>
      </c>
      <c r="QR87">
        <v>1756.57</v>
      </c>
      <c r="QS87">
        <v>241.37690000000001</v>
      </c>
      <c r="QV87">
        <v>1116.0858000000001</v>
      </c>
      <c r="QY87">
        <v>1357.46</v>
      </c>
      <c r="QZ87">
        <v>171.06780000000001</v>
      </c>
      <c r="RC87">
        <v>182.27164999999999</v>
      </c>
      <c r="RF87">
        <v>353.34</v>
      </c>
      <c r="RJ87">
        <v>45.7684</v>
      </c>
      <c r="RM87">
        <v>45.77</v>
      </c>
      <c r="RT87">
        <v>0</v>
      </c>
      <c r="SA87">
        <v>0</v>
      </c>
      <c r="SB87">
        <v>412.44</v>
      </c>
      <c r="SC87">
        <v>0</v>
      </c>
      <c r="SD87">
        <v>0</v>
      </c>
      <c r="SE87">
        <v>1344.13</v>
      </c>
      <c r="SF87">
        <v>0</v>
      </c>
      <c r="SG87">
        <v>0</v>
      </c>
      <c r="SH87">
        <v>1756.57</v>
      </c>
      <c r="SI87" t="s">
        <v>409</v>
      </c>
      <c r="SM87">
        <v>159.70009999999999</v>
      </c>
      <c r="SP87">
        <v>159.69999999999999</v>
      </c>
      <c r="ST87">
        <v>91.879649999999998</v>
      </c>
      <c r="SW87">
        <v>91.88</v>
      </c>
      <c r="TA87">
        <v>25.348500000000001</v>
      </c>
      <c r="TD87">
        <v>25.35</v>
      </c>
      <c r="TK87">
        <v>0</v>
      </c>
      <c r="TR87">
        <v>0</v>
      </c>
      <c r="TV87">
        <v>541.63827000000003</v>
      </c>
      <c r="TY87">
        <v>541.64</v>
      </c>
      <c r="UC87">
        <v>119.5996</v>
      </c>
      <c r="UF87">
        <v>119.6</v>
      </c>
      <c r="UG87" t="s">
        <v>1048</v>
      </c>
      <c r="UI87">
        <v>23.083200000000001</v>
      </c>
      <c r="UK87">
        <v>574.81524000000002</v>
      </c>
      <c r="UN87">
        <v>597.9</v>
      </c>
      <c r="UO87">
        <v>0</v>
      </c>
      <c r="UP87">
        <v>23.08</v>
      </c>
      <c r="UQ87">
        <v>0</v>
      </c>
      <c r="UR87">
        <v>1512.98</v>
      </c>
      <c r="US87">
        <v>0</v>
      </c>
      <c r="UT87">
        <v>0</v>
      </c>
      <c r="UU87">
        <v>1536.06</v>
      </c>
      <c r="VB87">
        <v>0</v>
      </c>
      <c r="VF87">
        <v>230.7226</v>
      </c>
      <c r="VI87">
        <v>230.72</v>
      </c>
      <c r="VK87">
        <v>23.083200000000001</v>
      </c>
      <c r="VM87">
        <v>1140.7354</v>
      </c>
      <c r="VP87">
        <v>1163.82</v>
      </c>
      <c r="VT87">
        <v>116.1748</v>
      </c>
      <c r="VW87">
        <v>116.17</v>
      </c>
      <c r="WA87">
        <v>25.348500000000001</v>
      </c>
      <c r="WD87">
        <v>25.35</v>
      </c>
      <c r="WE87">
        <v>0</v>
      </c>
      <c r="WF87">
        <v>23.08</v>
      </c>
      <c r="WG87">
        <v>0</v>
      </c>
      <c r="WH87">
        <v>1512.98</v>
      </c>
      <c r="WI87">
        <v>0</v>
      </c>
      <c r="WJ87">
        <v>0</v>
      </c>
      <c r="WK87">
        <v>1536.06</v>
      </c>
      <c r="WL87" t="s">
        <v>410</v>
      </c>
      <c r="AAO87" t="s">
        <v>411</v>
      </c>
      <c r="AER87" t="s">
        <v>412</v>
      </c>
    </row>
    <row r="88" spans="1:824" x14ac:dyDescent="0.2">
      <c r="A88" t="s">
        <v>1049</v>
      </c>
      <c r="B88" t="s">
        <v>563</v>
      </c>
      <c r="C88" t="s">
        <v>1050</v>
      </c>
      <c r="F88" t="s">
        <v>479</v>
      </c>
      <c r="G88" s="3">
        <v>43519.154166666667</v>
      </c>
      <c r="H88" t="s">
        <v>502</v>
      </c>
      <c r="I88" s="3">
        <v>43519.17083333333</v>
      </c>
      <c r="L88" t="s">
        <v>1051</v>
      </c>
      <c r="M88" s="3">
        <v>43519.176388888889</v>
      </c>
      <c r="P88" t="b">
        <v>1</v>
      </c>
      <c r="Q88" t="b">
        <v>0</v>
      </c>
      <c r="R88" t="b">
        <v>1</v>
      </c>
      <c r="S88" t="b">
        <v>0</v>
      </c>
      <c r="T88" t="b">
        <v>1</v>
      </c>
      <c r="U88" t="b">
        <v>0</v>
      </c>
      <c r="V88">
        <v>608</v>
      </c>
      <c r="W88" s="3">
        <v>43519.135416666664</v>
      </c>
      <c r="X88" t="s">
        <v>1052</v>
      </c>
      <c r="Y88">
        <v>2019</v>
      </c>
      <c r="Z88" t="s">
        <v>1053</v>
      </c>
      <c r="AA88" t="s">
        <v>1054</v>
      </c>
      <c r="AB88" t="s">
        <v>1055</v>
      </c>
      <c r="AC88" t="s">
        <v>1056</v>
      </c>
      <c r="AD88">
        <v>8437142306</v>
      </c>
      <c r="AE88" t="s">
        <v>571</v>
      </c>
      <c r="AF88" t="s">
        <v>538</v>
      </c>
      <c r="AH88">
        <v>1</v>
      </c>
      <c r="AK88">
        <v>4190.8999999999996</v>
      </c>
      <c r="AL88">
        <v>4190.8999999999996</v>
      </c>
      <c r="AM88">
        <v>2964</v>
      </c>
      <c r="AN88">
        <v>2964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572</v>
      </c>
      <c r="AX88">
        <v>0</v>
      </c>
      <c r="AY88">
        <v>233.7</v>
      </c>
      <c r="AZ88">
        <v>0</v>
      </c>
      <c r="BA88">
        <v>0</v>
      </c>
      <c r="BB88">
        <v>805.7</v>
      </c>
      <c r="BC88">
        <v>2436.3000000000002</v>
      </c>
      <c r="BD88">
        <v>131.6</v>
      </c>
      <c r="BE88">
        <v>0</v>
      </c>
      <c r="BF88">
        <v>221.4</v>
      </c>
      <c r="BG88">
        <v>0</v>
      </c>
      <c r="BH88">
        <v>505</v>
      </c>
      <c r="BI88">
        <v>3294.3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91</v>
      </c>
      <c r="BS88">
        <v>0</v>
      </c>
      <c r="BT88">
        <v>0</v>
      </c>
      <c r="BU88">
        <v>0</v>
      </c>
      <c r="BV88">
        <v>0</v>
      </c>
      <c r="BW88">
        <v>91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2436.3000000000002</v>
      </c>
      <c r="CF88">
        <v>794.6</v>
      </c>
      <c r="CG88">
        <v>0</v>
      </c>
      <c r="CH88">
        <v>455.1</v>
      </c>
      <c r="CI88">
        <v>0</v>
      </c>
      <c r="CJ88">
        <v>505</v>
      </c>
      <c r="CK88">
        <v>4191</v>
      </c>
      <c r="CR88">
        <v>0</v>
      </c>
      <c r="CT88">
        <v>4</v>
      </c>
      <c r="CV88">
        <v>4</v>
      </c>
      <c r="CY88">
        <v>8</v>
      </c>
      <c r="CZ88">
        <v>5</v>
      </c>
      <c r="DA88">
        <v>11</v>
      </c>
      <c r="DC88">
        <v>12</v>
      </c>
      <c r="DE88">
        <v>1</v>
      </c>
      <c r="DF88">
        <v>29</v>
      </c>
      <c r="DM88">
        <v>0</v>
      </c>
      <c r="DO88">
        <v>3</v>
      </c>
      <c r="DT88">
        <v>3</v>
      </c>
      <c r="EA88">
        <v>0</v>
      </c>
      <c r="EB88">
        <v>5</v>
      </c>
      <c r="EC88">
        <v>18</v>
      </c>
      <c r="ED88">
        <v>0</v>
      </c>
      <c r="EE88">
        <v>16</v>
      </c>
      <c r="EF88">
        <v>0</v>
      </c>
      <c r="EG88">
        <v>1</v>
      </c>
      <c r="EH88">
        <v>40</v>
      </c>
      <c r="EI88" t="s">
        <v>404</v>
      </c>
      <c r="EJ88" t="s">
        <v>404</v>
      </c>
      <c r="EK88" t="s">
        <v>404</v>
      </c>
      <c r="EL88" t="s">
        <v>404</v>
      </c>
      <c r="EM88" t="s">
        <v>404</v>
      </c>
      <c r="EN88" t="s">
        <v>404</v>
      </c>
      <c r="EO88" t="s">
        <v>404</v>
      </c>
      <c r="EP88" t="s">
        <v>405</v>
      </c>
      <c r="EQ88" t="s">
        <v>404</v>
      </c>
      <c r="ER88" t="s">
        <v>405</v>
      </c>
      <c r="ES88" t="s">
        <v>404</v>
      </c>
      <c r="ET88" t="s">
        <v>404</v>
      </c>
      <c r="EU88" t="s">
        <v>405</v>
      </c>
      <c r="EV88" t="s">
        <v>405</v>
      </c>
      <c r="EW88" t="s">
        <v>404</v>
      </c>
      <c r="EX88" t="s">
        <v>405</v>
      </c>
      <c r="EY88" t="s">
        <v>404</v>
      </c>
      <c r="EZ88" t="s">
        <v>405</v>
      </c>
      <c r="FA88" t="s">
        <v>404</v>
      </c>
      <c r="FB88" t="s">
        <v>404</v>
      </c>
      <c r="FC88" t="s">
        <v>404</v>
      </c>
      <c r="FD88" t="s">
        <v>404</v>
      </c>
      <c r="FE88" t="s">
        <v>404</v>
      </c>
      <c r="FF88" t="s">
        <v>404</v>
      </c>
      <c r="FG88" t="s">
        <v>404</v>
      </c>
      <c r="FH88" t="s">
        <v>405</v>
      </c>
      <c r="FI88" t="s">
        <v>404</v>
      </c>
      <c r="FJ88" t="s">
        <v>404</v>
      </c>
      <c r="FK88" t="s">
        <v>404</v>
      </c>
      <c r="FL88" t="s">
        <v>404</v>
      </c>
      <c r="FM88" t="s">
        <v>404</v>
      </c>
      <c r="FN88" t="s">
        <v>404</v>
      </c>
      <c r="FO88" t="s">
        <v>404</v>
      </c>
      <c r="FP88" t="s">
        <v>404</v>
      </c>
      <c r="FQ88" t="s">
        <v>404</v>
      </c>
      <c r="FR88" t="s">
        <v>404</v>
      </c>
      <c r="FS88">
        <v>1013</v>
      </c>
      <c r="FT88">
        <v>522.29999999999995</v>
      </c>
      <c r="FV88">
        <v>234.1</v>
      </c>
      <c r="FX88">
        <v>0</v>
      </c>
      <c r="FY88">
        <v>1769.4</v>
      </c>
      <c r="FZ88">
        <v>45.6</v>
      </c>
      <c r="GA88">
        <v>30.3</v>
      </c>
      <c r="GC88">
        <v>125.7</v>
      </c>
      <c r="GE88">
        <v>0</v>
      </c>
      <c r="GF88">
        <v>201.6</v>
      </c>
      <c r="GG88">
        <v>131.5</v>
      </c>
      <c r="GH88">
        <v>164.8</v>
      </c>
      <c r="GJ88">
        <v>25.6</v>
      </c>
      <c r="GL88">
        <v>119.7</v>
      </c>
      <c r="GM88">
        <v>441.6</v>
      </c>
      <c r="GN88">
        <v>0</v>
      </c>
      <c r="GO88">
        <v>0</v>
      </c>
      <c r="GQ88">
        <v>0</v>
      </c>
      <c r="GS88">
        <v>0</v>
      </c>
      <c r="GT88">
        <v>0</v>
      </c>
      <c r="GU88">
        <v>14.4</v>
      </c>
      <c r="GV88">
        <v>0</v>
      </c>
      <c r="GX88">
        <v>0</v>
      </c>
      <c r="GZ88">
        <v>0</v>
      </c>
      <c r="HA88">
        <v>14.4</v>
      </c>
      <c r="HB88">
        <v>0</v>
      </c>
      <c r="HC88">
        <v>0</v>
      </c>
      <c r="HE88">
        <v>0</v>
      </c>
      <c r="HG88">
        <v>0</v>
      </c>
      <c r="HH88">
        <v>0</v>
      </c>
      <c r="HI88">
        <v>2.4</v>
      </c>
      <c r="HJ88">
        <v>0</v>
      </c>
      <c r="HL88">
        <v>0</v>
      </c>
      <c r="HN88">
        <v>0</v>
      </c>
      <c r="HO88">
        <v>2.4</v>
      </c>
      <c r="HP88" t="s">
        <v>1057</v>
      </c>
      <c r="HQ88">
        <v>453</v>
      </c>
      <c r="HR88">
        <v>537.5</v>
      </c>
      <c r="HT88">
        <v>769.9</v>
      </c>
      <c r="HV88">
        <v>1.2</v>
      </c>
      <c r="HW88">
        <v>1761.6</v>
      </c>
      <c r="HX88">
        <v>1659.9</v>
      </c>
      <c r="HY88">
        <v>1254.9000000000001</v>
      </c>
      <c r="HZ88">
        <v>0</v>
      </c>
      <c r="IA88">
        <v>1155.3</v>
      </c>
      <c r="IB88">
        <v>0</v>
      </c>
      <c r="IC88">
        <v>120.9</v>
      </c>
      <c r="ID88">
        <v>4191</v>
      </c>
      <c r="IE88">
        <v>0</v>
      </c>
      <c r="IF88">
        <v>0</v>
      </c>
      <c r="IH88">
        <v>0</v>
      </c>
      <c r="IJ88">
        <v>0</v>
      </c>
      <c r="IK88">
        <v>0</v>
      </c>
      <c r="IL88">
        <v>0</v>
      </c>
      <c r="IM88">
        <v>572</v>
      </c>
      <c r="IO88">
        <v>233.7</v>
      </c>
      <c r="IQ88">
        <v>0</v>
      </c>
      <c r="IR88">
        <v>805.7</v>
      </c>
      <c r="IS88">
        <v>2436.3000000000002</v>
      </c>
      <c r="IT88">
        <v>131.6</v>
      </c>
      <c r="IV88">
        <v>221.4</v>
      </c>
      <c r="IX88">
        <v>505</v>
      </c>
      <c r="IY88">
        <v>3294.3</v>
      </c>
      <c r="IZ88">
        <v>0</v>
      </c>
      <c r="JA88">
        <v>91</v>
      </c>
      <c r="JC88">
        <v>0</v>
      </c>
      <c r="JE88">
        <v>0</v>
      </c>
      <c r="JF88">
        <v>91</v>
      </c>
      <c r="JG88">
        <v>0</v>
      </c>
      <c r="JH88">
        <v>0</v>
      </c>
      <c r="JJ88">
        <v>0</v>
      </c>
      <c r="JL88">
        <v>0</v>
      </c>
      <c r="JM88">
        <v>0</v>
      </c>
      <c r="JN88">
        <v>2436.3000000000002</v>
      </c>
      <c r="JO88">
        <v>794.6</v>
      </c>
      <c r="JP88">
        <v>0</v>
      </c>
      <c r="JQ88">
        <v>455.1</v>
      </c>
      <c r="JR88">
        <v>0</v>
      </c>
      <c r="JS88">
        <v>505</v>
      </c>
      <c r="JT88">
        <v>4191</v>
      </c>
      <c r="JU88">
        <v>0</v>
      </c>
      <c r="JV88">
        <v>10</v>
      </c>
      <c r="JW88">
        <v>90</v>
      </c>
      <c r="JZ88">
        <v>1</v>
      </c>
      <c r="KA88">
        <v>3</v>
      </c>
      <c r="KB88">
        <v>1</v>
      </c>
      <c r="KC88" t="s">
        <v>407</v>
      </c>
      <c r="OF88" t="s">
        <v>408</v>
      </c>
      <c r="OG88">
        <v>0</v>
      </c>
      <c r="OH88">
        <v>112</v>
      </c>
      <c r="OJ88">
        <v>135</v>
      </c>
      <c r="OL88">
        <v>0</v>
      </c>
      <c r="OM88">
        <v>247</v>
      </c>
      <c r="ON88">
        <v>0</v>
      </c>
      <c r="OO88">
        <v>0</v>
      </c>
      <c r="OQ88">
        <v>50</v>
      </c>
      <c r="OS88">
        <v>0</v>
      </c>
      <c r="OT88">
        <v>50</v>
      </c>
      <c r="OU88">
        <v>0</v>
      </c>
      <c r="OV88">
        <v>113</v>
      </c>
      <c r="OX88">
        <v>21</v>
      </c>
      <c r="OZ88">
        <v>0</v>
      </c>
      <c r="PA88">
        <v>134</v>
      </c>
      <c r="PB88">
        <v>0</v>
      </c>
      <c r="PC88">
        <v>0</v>
      </c>
      <c r="PE88">
        <v>0</v>
      </c>
      <c r="PG88">
        <v>0</v>
      </c>
      <c r="PH88">
        <v>0</v>
      </c>
      <c r="PI88">
        <v>0</v>
      </c>
      <c r="PJ88">
        <v>0</v>
      </c>
      <c r="PL88">
        <v>0</v>
      </c>
      <c r="PN88">
        <v>0</v>
      </c>
      <c r="PO88">
        <v>0</v>
      </c>
      <c r="PP88">
        <v>0</v>
      </c>
      <c r="PQ88">
        <v>0</v>
      </c>
      <c r="PS88">
        <v>0</v>
      </c>
      <c r="PU88">
        <v>0</v>
      </c>
      <c r="PV88">
        <v>0</v>
      </c>
      <c r="PW88">
        <v>0</v>
      </c>
      <c r="PX88">
        <v>0</v>
      </c>
      <c r="PZ88">
        <v>0</v>
      </c>
      <c r="QB88">
        <v>0</v>
      </c>
      <c r="QC88">
        <v>0</v>
      </c>
      <c r="QD88" t="s">
        <v>1057</v>
      </c>
      <c r="QE88">
        <v>0</v>
      </c>
      <c r="QF88">
        <v>324</v>
      </c>
      <c r="QH88">
        <v>51</v>
      </c>
      <c r="QJ88">
        <v>0</v>
      </c>
      <c r="QK88">
        <v>375</v>
      </c>
      <c r="QL88">
        <v>0</v>
      </c>
      <c r="QM88">
        <v>549</v>
      </c>
      <c r="QN88">
        <v>0</v>
      </c>
      <c r="QO88">
        <v>257</v>
      </c>
      <c r="QP88">
        <v>0</v>
      </c>
      <c r="QQ88">
        <v>0</v>
      </c>
      <c r="QR88">
        <v>806</v>
      </c>
      <c r="QS88">
        <v>0</v>
      </c>
      <c r="QT88">
        <v>224.2</v>
      </c>
      <c r="QV88">
        <v>168.8</v>
      </c>
      <c r="QX88">
        <v>0</v>
      </c>
      <c r="QY88">
        <v>393</v>
      </c>
      <c r="QZ88">
        <v>0</v>
      </c>
      <c r="RA88">
        <v>0</v>
      </c>
      <c r="RC88">
        <v>0</v>
      </c>
      <c r="RE88">
        <v>0</v>
      </c>
      <c r="RF88">
        <v>0</v>
      </c>
      <c r="RG88">
        <v>0</v>
      </c>
      <c r="RH88">
        <v>324.39999999999998</v>
      </c>
      <c r="RJ88">
        <v>88.4</v>
      </c>
      <c r="RL88">
        <v>0</v>
      </c>
      <c r="RM88">
        <v>412.8</v>
      </c>
      <c r="RN88">
        <v>0</v>
      </c>
      <c r="RO88">
        <v>0</v>
      </c>
      <c r="RQ88">
        <v>0</v>
      </c>
      <c r="RS88">
        <v>0</v>
      </c>
      <c r="RT88">
        <v>0</v>
      </c>
      <c r="RU88">
        <v>0</v>
      </c>
      <c r="RV88">
        <v>0</v>
      </c>
      <c r="RX88">
        <v>0</v>
      </c>
      <c r="RZ88">
        <v>0</v>
      </c>
      <c r="SA88">
        <v>0</v>
      </c>
      <c r="SB88">
        <v>0</v>
      </c>
      <c r="SC88">
        <v>548.6</v>
      </c>
      <c r="SD88">
        <v>0</v>
      </c>
      <c r="SE88">
        <v>257.2</v>
      </c>
      <c r="SF88">
        <v>0</v>
      </c>
      <c r="SG88">
        <v>0</v>
      </c>
      <c r="SH88">
        <v>805.8</v>
      </c>
      <c r="SI88" t="s">
        <v>409</v>
      </c>
      <c r="SJ88">
        <v>1045.9000000000001</v>
      </c>
      <c r="SK88">
        <v>400.8</v>
      </c>
      <c r="SM88">
        <v>74.7</v>
      </c>
      <c r="SP88">
        <v>1521.4</v>
      </c>
      <c r="SQ88">
        <v>47.1</v>
      </c>
      <c r="ST88">
        <v>67.900000000000006</v>
      </c>
      <c r="SW88">
        <v>115</v>
      </c>
      <c r="SX88">
        <v>135.69999999999999</v>
      </c>
      <c r="SY88">
        <v>30.2</v>
      </c>
      <c r="TC88">
        <v>123.5</v>
      </c>
      <c r="TD88">
        <v>289.39999999999998</v>
      </c>
      <c r="TK88">
        <v>0</v>
      </c>
      <c r="TL88">
        <v>14.8</v>
      </c>
      <c r="TR88">
        <v>14.8</v>
      </c>
      <c r="TY88">
        <v>0</v>
      </c>
      <c r="TZ88">
        <v>2.5</v>
      </c>
      <c r="UF88">
        <v>2.5</v>
      </c>
      <c r="UG88" t="s">
        <v>1057</v>
      </c>
      <c r="UH88">
        <v>467.7</v>
      </c>
      <c r="UI88">
        <v>151.1</v>
      </c>
      <c r="UK88">
        <v>731.1</v>
      </c>
      <c r="UM88">
        <v>1.2</v>
      </c>
      <c r="UN88">
        <v>1351.1</v>
      </c>
      <c r="UO88">
        <v>1713.7</v>
      </c>
      <c r="UP88">
        <v>582.1</v>
      </c>
      <c r="UQ88">
        <v>0</v>
      </c>
      <c r="UR88">
        <v>873.7</v>
      </c>
      <c r="US88">
        <v>0</v>
      </c>
      <c r="UT88">
        <v>124.7</v>
      </c>
      <c r="UU88">
        <v>3294.2</v>
      </c>
      <c r="UV88">
        <v>460</v>
      </c>
      <c r="UW88">
        <v>69</v>
      </c>
      <c r="VB88">
        <v>529</v>
      </c>
      <c r="VC88">
        <v>251</v>
      </c>
      <c r="VD88">
        <v>180</v>
      </c>
      <c r="VH88">
        <v>108</v>
      </c>
      <c r="VI88">
        <v>539</v>
      </c>
      <c r="VJ88">
        <v>790</v>
      </c>
      <c r="VK88">
        <v>618</v>
      </c>
      <c r="VM88">
        <v>817</v>
      </c>
      <c r="VO88">
        <v>1</v>
      </c>
      <c r="VP88">
        <v>2226</v>
      </c>
      <c r="VW88">
        <v>0</v>
      </c>
      <c r="WD88">
        <v>0</v>
      </c>
      <c r="WE88">
        <v>1501</v>
      </c>
      <c r="WF88">
        <v>867</v>
      </c>
      <c r="WG88">
        <v>0</v>
      </c>
      <c r="WH88">
        <v>817</v>
      </c>
      <c r="WI88">
        <v>0</v>
      </c>
      <c r="WJ88">
        <v>109</v>
      </c>
      <c r="WK88">
        <v>3294</v>
      </c>
      <c r="WL88" t="s">
        <v>410</v>
      </c>
      <c r="AAO88" t="s">
        <v>411</v>
      </c>
      <c r="AAV88">
        <v>0</v>
      </c>
      <c r="AAX88">
        <v>87.8</v>
      </c>
      <c r="ABC88">
        <v>87.8</v>
      </c>
      <c r="ABJ88">
        <v>0</v>
      </c>
      <c r="ABQ88">
        <v>0</v>
      </c>
      <c r="ABX88">
        <v>0</v>
      </c>
      <c r="ACE88">
        <v>0</v>
      </c>
      <c r="ACL88">
        <v>0</v>
      </c>
      <c r="ACM88" t="s">
        <v>1058</v>
      </c>
      <c r="ACO88">
        <v>3.2</v>
      </c>
      <c r="ACT88">
        <v>3.2</v>
      </c>
      <c r="ACU88">
        <v>0</v>
      </c>
      <c r="ACV88">
        <v>91</v>
      </c>
      <c r="ACW88">
        <v>0</v>
      </c>
      <c r="ACX88">
        <v>0</v>
      </c>
      <c r="ACY88">
        <v>0</v>
      </c>
      <c r="ACZ88">
        <v>0</v>
      </c>
      <c r="ADA88">
        <v>91</v>
      </c>
      <c r="ADH88">
        <v>0</v>
      </c>
      <c r="ADO88">
        <v>0</v>
      </c>
      <c r="ADQ88">
        <v>91</v>
      </c>
      <c r="ADV88">
        <v>91</v>
      </c>
      <c r="AEC88">
        <v>0</v>
      </c>
      <c r="AEJ88">
        <v>0</v>
      </c>
      <c r="AEK88">
        <v>0</v>
      </c>
      <c r="AEL88">
        <v>91</v>
      </c>
      <c r="AEM88">
        <v>0</v>
      </c>
      <c r="AEN88">
        <v>0</v>
      </c>
      <c r="AEO88">
        <v>0</v>
      </c>
      <c r="AEP88">
        <v>0</v>
      </c>
      <c r="AEQ88">
        <v>91</v>
      </c>
      <c r="AER88" t="s">
        <v>412</v>
      </c>
    </row>
    <row r="89" spans="1:824" x14ac:dyDescent="0.2">
      <c r="A89" t="s">
        <v>1059</v>
      </c>
      <c r="B89" t="s">
        <v>396</v>
      </c>
      <c r="C89" t="s">
        <v>1060</v>
      </c>
      <c r="D89" t="s">
        <v>478</v>
      </c>
      <c r="E89" s="3">
        <v>43524.671527777777</v>
      </c>
      <c r="F89" t="s">
        <v>479</v>
      </c>
      <c r="G89" s="3">
        <v>43524.673611111109</v>
      </c>
      <c r="H89" t="s">
        <v>502</v>
      </c>
      <c r="I89" s="3">
        <v>43524.675694444442</v>
      </c>
      <c r="P89" t="b">
        <v>1</v>
      </c>
      <c r="Q89" t="b">
        <v>1</v>
      </c>
      <c r="R89" t="b">
        <v>1</v>
      </c>
      <c r="S89" t="b">
        <v>0</v>
      </c>
      <c r="T89" t="b">
        <v>0</v>
      </c>
      <c r="U89" t="b">
        <v>0</v>
      </c>
      <c r="V89">
        <v>659</v>
      </c>
      <c r="W89" s="3">
        <v>43524.666666666664</v>
      </c>
      <c r="X89" t="s">
        <v>1061</v>
      </c>
      <c r="Y89">
        <v>2019</v>
      </c>
      <c r="Z89" t="s">
        <v>1062</v>
      </c>
      <c r="AA89" t="s">
        <v>1063</v>
      </c>
      <c r="AB89" t="s">
        <v>1064</v>
      </c>
      <c r="AC89" t="s">
        <v>1065</v>
      </c>
      <c r="AD89">
        <v>496991016655</v>
      </c>
      <c r="AE89" t="s">
        <v>444</v>
      </c>
      <c r="AF89" t="s">
        <v>403</v>
      </c>
      <c r="AH89">
        <v>1</v>
      </c>
      <c r="AK89">
        <v>2300</v>
      </c>
      <c r="AL89">
        <v>34</v>
      </c>
      <c r="AM89">
        <v>1442</v>
      </c>
      <c r="AN89">
        <v>30</v>
      </c>
      <c r="AO89">
        <v>130</v>
      </c>
      <c r="AP89">
        <v>154</v>
      </c>
      <c r="AU89">
        <v>284</v>
      </c>
      <c r="AV89">
        <v>615</v>
      </c>
      <c r="BB89">
        <v>615</v>
      </c>
      <c r="BC89">
        <v>1402</v>
      </c>
      <c r="BI89">
        <v>1402</v>
      </c>
      <c r="BP89">
        <v>0</v>
      </c>
      <c r="BW89">
        <v>0</v>
      </c>
      <c r="CD89">
        <v>0</v>
      </c>
      <c r="CE89">
        <v>2147</v>
      </c>
      <c r="CF89">
        <v>154</v>
      </c>
      <c r="CG89">
        <v>0</v>
      </c>
      <c r="CH89">
        <v>0</v>
      </c>
      <c r="CI89">
        <v>0</v>
      </c>
      <c r="CJ89">
        <v>0</v>
      </c>
      <c r="CK89">
        <v>2301</v>
      </c>
      <c r="CL89">
        <v>1</v>
      </c>
      <c r="CM89">
        <v>1</v>
      </c>
      <c r="CR89">
        <v>2</v>
      </c>
      <c r="CS89">
        <v>7</v>
      </c>
      <c r="CY89">
        <v>7</v>
      </c>
      <c r="CZ89">
        <v>2</v>
      </c>
      <c r="DF89">
        <v>2</v>
      </c>
      <c r="DM89">
        <v>0</v>
      </c>
      <c r="DT89">
        <v>0</v>
      </c>
      <c r="EA89">
        <v>0</v>
      </c>
      <c r="EB89">
        <v>10</v>
      </c>
      <c r="EC89">
        <v>1</v>
      </c>
      <c r="ED89">
        <v>0</v>
      </c>
      <c r="EE89">
        <v>0</v>
      </c>
      <c r="EF89">
        <v>0</v>
      </c>
      <c r="EG89">
        <v>0</v>
      </c>
      <c r="EH89">
        <v>11</v>
      </c>
      <c r="EI89" t="s">
        <v>405</v>
      </c>
      <c r="EJ89" t="s">
        <v>405</v>
      </c>
      <c r="EK89" t="s">
        <v>404</v>
      </c>
      <c r="EL89" t="s">
        <v>404</v>
      </c>
      <c r="EM89" t="s">
        <v>404</v>
      </c>
      <c r="EN89" t="s">
        <v>404</v>
      </c>
      <c r="EO89" t="s">
        <v>405</v>
      </c>
      <c r="EP89" t="s">
        <v>404</v>
      </c>
      <c r="EQ89" t="s">
        <v>404</v>
      </c>
      <c r="ER89" t="s">
        <v>404</v>
      </c>
      <c r="ES89" t="s">
        <v>404</v>
      </c>
      <c r="ET89" t="s">
        <v>404</v>
      </c>
      <c r="EU89" t="s">
        <v>405</v>
      </c>
      <c r="EV89" t="s">
        <v>404</v>
      </c>
      <c r="EW89" t="s">
        <v>404</v>
      </c>
      <c r="EX89" t="s">
        <v>404</v>
      </c>
      <c r="EY89" t="s">
        <v>404</v>
      </c>
      <c r="EZ89" t="s">
        <v>404</v>
      </c>
      <c r="FA89" t="s">
        <v>404</v>
      </c>
      <c r="FB89" t="s">
        <v>404</v>
      </c>
      <c r="FC89" t="s">
        <v>404</v>
      </c>
      <c r="FD89" t="s">
        <v>404</v>
      </c>
      <c r="FE89" t="s">
        <v>404</v>
      </c>
      <c r="FF89" t="s">
        <v>404</v>
      </c>
      <c r="FG89" t="s">
        <v>404</v>
      </c>
      <c r="FH89" t="s">
        <v>404</v>
      </c>
      <c r="FI89" t="s">
        <v>404</v>
      </c>
      <c r="FJ89" t="s">
        <v>404</v>
      </c>
      <c r="FK89" t="s">
        <v>404</v>
      </c>
      <c r="FL89" t="s">
        <v>404</v>
      </c>
      <c r="FM89" t="s">
        <v>404</v>
      </c>
      <c r="FN89" t="s">
        <v>404</v>
      </c>
      <c r="FO89" t="s">
        <v>404</v>
      </c>
      <c r="FP89" t="s">
        <v>404</v>
      </c>
      <c r="FQ89" t="s">
        <v>404</v>
      </c>
      <c r="FR89" t="s">
        <v>404</v>
      </c>
      <c r="FS89">
        <v>409</v>
      </c>
      <c r="FY89">
        <v>409</v>
      </c>
      <c r="FZ89">
        <v>129</v>
      </c>
      <c r="GF89">
        <v>129</v>
      </c>
      <c r="GG89">
        <v>113</v>
      </c>
      <c r="GM89">
        <v>113</v>
      </c>
      <c r="GN89">
        <v>108</v>
      </c>
      <c r="GT89">
        <v>108</v>
      </c>
      <c r="GU89">
        <v>34</v>
      </c>
      <c r="HA89">
        <v>34</v>
      </c>
      <c r="HB89">
        <v>413</v>
      </c>
      <c r="HH89">
        <v>413</v>
      </c>
      <c r="HO89">
        <v>0</v>
      </c>
      <c r="HQ89">
        <v>941</v>
      </c>
      <c r="HR89">
        <v>154</v>
      </c>
      <c r="HW89">
        <v>1095</v>
      </c>
      <c r="HX89">
        <v>2147</v>
      </c>
      <c r="HY89">
        <v>154</v>
      </c>
      <c r="HZ89">
        <v>0</v>
      </c>
      <c r="IA89">
        <v>0</v>
      </c>
      <c r="IB89">
        <v>0</v>
      </c>
      <c r="IC89">
        <v>0</v>
      </c>
      <c r="ID89">
        <v>2301</v>
      </c>
      <c r="IF89">
        <v>154</v>
      </c>
      <c r="IK89">
        <v>154</v>
      </c>
      <c r="IL89">
        <v>345</v>
      </c>
      <c r="IR89">
        <v>345</v>
      </c>
      <c r="IS89">
        <v>1802</v>
      </c>
      <c r="IY89">
        <v>1802</v>
      </c>
      <c r="JF89">
        <v>0</v>
      </c>
      <c r="JM89">
        <v>0</v>
      </c>
      <c r="JN89">
        <v>2147</v>
      </c>
      <c r="JO89">
        <v>154</v>
      </c>
      <c r="JP89">
        <v>0</v>
      </c>
      <c r="JQ89">
        <v>0</v>
      </c>
      <c r="JR89">
        <v>0</v>
      </c>
      <c r="JS89">
        <v>0</v>
      </c>
      <c r="JT89">
        <v>2301</v>
      </c>
      <c r="JV89">
        <v>30</v>
      </c>
      <c r="JW89">
        <v>70</v>
      </c>
      <c r="JZ89">
        <v>1</v>
      </c>
      <c r="KA89">
        <v>3</v>
      </c>
      <c r="KB89">
        <v>2</v>
      </c>
      <c r="KC89" t="s">
        <v>407</v>
      </c>
      <c r="KJ89">
        <v>0</v>
      </c>
      <c r="KQ89">
        <v>0</v>
      </c>
      <c r="KR89">
        <v>100</v>
      </c>
      <c r="KX89">
        <v>100</v>
      </c>
      <c r="LE89">
        <v>0</v>
      </c>
      <c r="LL89">
        <v>0</v>
      </c>
      <c r="LM89">
        <v>30</v>
      </c>
      <c r="LS89">
        <v>30</v>
      </c>
      <c r="LZ89">
        <v>0</v>
      </c>
      <c r="MC89">
        <v>154</v>
      </c>
      <c r="MH89">
        <v>154</v>
      </c>
      <c r="MI89">
        <v>130</v>
      </c>
      <c r="MJ89">
        <v>154</v>
      </c>
      <c r="MK89">
        <v>0</v>
      </c>
      <c r="ML89">
        <v>0</v>
      </c>
      <c r="MM89">
        <v>0</v>
      </c>
      <c r="MN89">
        <v>0</v>
      </c>
      <c r="MO89">
        <v>284</v>
      </c>
      <c r="MP89">
        <v>30</v>
      </c>
      <c r="MV89">
        <v>30</v>
      </c>
      <c r="MX89">
        <v>154</v>
      </c>
      <c r="NC89">
        <v>154</v>
      </c>
      <c r="ND89">
        <v>100</v>
      </c>
      <c r="NJ89">
        <v>100</v>
      </c>
      <c r="NQ89">
        <v>0</v>
      </c>
      <c r="NX89">
        <v>0</v>
      </c>
      <c r="NY89">
        <v>130</v>
      </c>
      <c r="NZ89">
        <v>154</v>
      </c>
      <c r="OA89">
        <v>0</v>
      </c>
      <c r="OB89">
        <v>0</v>
      </c>
      <c r="OC89">
        <v>0</v>
      </c>
      <c r="OD89">
        <v>0</v>
      </c>
      <c r="OE89">
        <v>284</v>
      </c>
      <c r="OF89" t="s">
        <v>408</v>
      </c>
      <c r="OG89">
        <v>20</v>
      </c>
      <c r="OM89">
        <v>20</v>
      </c>
      <c r="OT89">
        <v>0</v>
      </c>
      <c r="PA89">
        <v>0</v>
      </c>
      <c r="PH89">
        <v>0</v>
      </c>
      <c r="PO89">
        <v>0</v>
      </c>
      <c r="PV89">
        <v>0</v>
      </c>
      <c r="QC89">
        <v>0</v>
      </c>
      <c r="QE89">
        <v>595</v>
      </c>
      <c r="QK89">
        <v>595</v>
      </c>
      <c r="QL89">
        <v>615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615</v>
      </c>
      <c r="QS89">
        <v>315</v>
      </c>
      <c r="QY89">
        <v>315</v>
      </c>
      <c r="RF89">
        <v>0</v>
      </c>
      <c r="RG89">
        <v>300</v>
      </c>
      <c r="RM89">
        <v>300</v>
      </c>
      <c r="RT89">
        <v>0</v>
      </c>
      <c r="SA89">
        <v>0</v>
      </c>
      <c r="SB89">
        <v>615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615</v>
      </c>
      <c r="SI89" t="s">
        <v>409</v>
      </c>
      <c r="SJ89">
        <v>389</v>
      </c>
      <c r="SP89">
        <v>389</v>
      </c>
      <c r="SQ89">
        <v>129</v>
      </c>
      <c r="SW89">
        <v>129</v>
      </c>
      <c r="SX89">
        <v>13</v>
      </c>
      <c r="TD89">
        <v>13</v>
      </c>
      <c r="TE89">
        <v>107</v>
      </c>
      <c r="TK89">
        <v>107</v>
      </c>
      <c r="TL89">
        <v>34</v>
      </c>
      <c r="TR89">
        <v>34</v>
      </c>
      <c r="TS89">
        <v>383</v>
      </c>
      <c r="TY89">
        <v>383</v>
      </c>
      <c r="UF89">
        <v>0</v>
      </c>
      <c r="UH89">
        <v>347</v>
      </c>
      <c r="UN89">
        <v>347</v>
      </c>
      <c r="UO89">
        <v>1402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1402</v>
      </c>
      <c r="VB89">
        <v>0</v>
      </c>
      <c r="VI89">
        <v>0</v>
      </c>
      <c r="VJ89">
        <v>1402</v>
      </c>
      <c r="VP89">
        <v>1402</v>
      </c>
      <c r="VW89">
        <v>0</v>
      </c>
      <c r="WD89">
        <v>0</v>
      </c>
      <c r="WE89">
        <v>1402</v>
      </c>
      <c r="WF89">
        <v>0</v>
      </c>
      <c r="WG89">
        <v>0</v>
      </c>
      <c r="WH89">
        <v>0</v>
      </c>
      <c r="WI89">
        <v>0</v>
      </c>
      <c r="WJ89">
        <v>0</v>
      </c>
      <c r="WK89">
        <v>1402</v>
      </c>
      <c r="WL89" t="s">
        <v>410</v>
      </c>
      <c r="AAO89" t="s">
        <v>411</v>
      </c>
      <c r="AER89" t="s">
        <v>412</v>
      </c>
    </row>
    <row r="90" spans="1:824" x14ac:dyDescent="0.2">
      <c r="A90" t="s">
        <v>1066</v>
      </c>
      <c r="B90" t="s">
        <v>396</v>
      </c>
      <c r="C90" t="s">
        <v>1067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>
        <v>564</v>
      </c>
      <c r="W90" s="3">
        <v>43502.676388888889</v>
      </c>
      <c r="X90" t="s">
        <v>1068</v>
      </c>
      <c r="Y90">
        <v>2019</v>
      </c>
      <c r="Z90" t="s">
        <v>1069</v>
      </c>
      <c r="AA90" t="s">
        <v>1070</v>
      </c>
      <c r="AB90" t="s">
        <v>1071</v>
      </c>
      <c r="AC90" t="s">
        <v>1072</v>
      </c>
      <c r="AD90">
        <v>3522484711</v>
      </c>
      <c r="AE90" t="s">
        <v>1073</v>
      </c>
      <c r="AF90" t="s">
        <v>403</v>
      </c>
      <c r="AH90">
        <v>1</v>
      </c>
      <c r="AK90">
        <v>214</v>
      </c>
      <c r="AM90">
        <v>96</v>
      </c>
      <c r="AU90">
        <v>0</v>
      </c>
      <c r="AV90">
        <v>214</v>
      </c>
      <c r="BB90">
        <v>214</v>
      </c>
      <c r="BI90">
        <v>0</v>
      </c>
      <c r="BP90">
        <v>0</v>
      </c>
      <c r="BW90">
        <v>0</v>
      </c>
      <c r="CD90">
        <v>0</v>
      </c>
      <c r="CE90">
        <v>214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214</v>
      </c>
      <c r="CR90">
        <v>0</v>
      </c>
      <c r="CS90">
        <v>2</v>
      </c>
      <c r="CY90">
        <v>2</v>
      </c>
      <c r="DF90">
        <v>0</v>
      </c>
      <c r="DM90">
        <v>0</v>
      </c>
      <c r="DT90">
        <v>0</v>
      </c>
      <c r="EA90">
        <v>0</v>
      </c>
      <c r="EB90">
        <v>2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2</v>
      </c>
      <c r="EI90" t="s">
        <v>404</v>
      </c>
      <c r="EJ90" t="s">
        <v>404</v>
      </c>
      <c r="EK90" t="s">
        <v>404</v>
      </c>
      <c r="EL90" t="s">
        <v>404</v>
      </c>
      <c r="EM90" t="s">
        <v>404</v>
      </c>
      <c r="EN90" t="s">
        <v>404</v>
      </c>
      <c r="EO90" t="s">
        <v>405</v>
      </c>
      <c r="EP90" t="s">
        <v>404</v>
      </c>
      <c r="EQ90" t="s">
        <v>404</v>
      </c>
      <c r="ER90" t="s">
        <v>404</v>
      </c>
      <c r="ES90" t="s">
        <v>404</v>
      </c>
      <c r="ET90" t="s">
        <v>404</v>
      </c>
      <c r="EU90" t="s">
        <v>404</v>
      </c>
      <c r="EV90" t="s">
        <v>404</v>
      </c>
      <c r="EW90" t="s">
        <v>404</v>
      </c>
      <c r="EX90" t="s">
        <v>404</v>
      </c>
      <c r="EY90" t="s">
        <v>404</v>
      </c>
      <c r="EZ90" t="s">
        <v>404</v>
      </c>
      <c r="FA90" t="s">
        <v>404</v>
      </c>
      <c r="FB90" t="s">
        <v>404</v>
      </c>
      <c r="FC90" t="s">
        <v>404</v>
      </c>
      <c r="FD90" t="s">
        <v>404</v>
      </c>
      <c r="FE90" t="s">
        <v>404</v>
      </c>
      <c r="FF90" t="s">
        <v>404</v>
      </c>
      <c r="FG90" t="s">
        <v>404</v>
      </c>
      <c r="FH90" t="s">
        <v>404</v>
      </c>
      <c r="FI90" t="s">
        <v>404</v>
      </c>
      <c r="FJ90" t="s">
        <v>404</v>
      </c>
      <c r="FK90" t="s">
        <v>404</v>
      </c>
      <c r="FL90" t="s">
        <v>404</v>
      </c>
      <c r="FM90" t="s">
        <v>404</v>
      </c>
      <c r="FN90" t="s">
        <v>404</v>
      </c>
      <c r="FO90" t="s">
        <v>404</v>
      </c>
      <c r="FP90" t="s">
        <v>404</v>
      </c>
      <c r="FQ90" t="s">
        <v>404</v>
      </c>
      <c r="FR90" t="s">
        <v>404</v>
      </c>
      <c r="FS90">
        <v>43</v>
      </c>
      <c r="FY90">
        <v>43</v>
      </c>
      <c r="FZ90">
        <v>22</v>
      </c>
      <c r="GF90">
        <v>22</v>
      </c>
      <c r="GM90">
        <v>0</v>
      </c>
      <c r="GT90">
        <v>0</v>
      </c>
      <c r="HA90">
        <v>0</v>
      </c>
      <c r="HB90">
        <v>1</v>
      </c>
      <c r="HH90">
        <v>1</v>
      </c>
      <c r="HI90">
        <v>127</v>
      </c>
      <c r="HO90">
        <v>127</v>
      </c>
      <c r="HP90" t="s">
        <v>1074</v>
      </c>
      <c r="HQ90">
        <v>21</v>
      </c>
      <c r="HW90">
        <v>21</v>
      </c>
      <c r="HX90">
        <v>214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214</v>
      </c>
      <c r="IK90">
        <v>0</v>
      </c>
      <c r="IL90">
        <v>214</v>
      </c>
      <c r="IR90">
        <v>214</v>
      </c>
      <c r="IY90">
        <v>0</v>
      </c>
      <c r="JF90">
        <v>0</v>
      </c>
      <c r="JM90">
        <v>0</v>
      </c>
      <c r="JN90">
        <v>214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214</v>
      </c>
      <c r="JW90">
        <v>10</v>
      </c>
      <c r="JX90" t="s">
        <v>1075</v>
      </c>
      <c r="JY90">
        <v>90</v>
      </c>
      <c r="JZ90">
        <v>1</v>
      </c>
      <c r="KA90">
        <v>1</v>
      </c>
      <c r="KB90">
        <v>1</v>
      </c>
      <c r="KC90" t="s">
        <v>407</v>
      </c>
      <c r="OF90" t="s">
        <v>408</v>
      </c>
      <c r="SI90" t="s">
        <v>409</v>
      </c>
      <c r="WL90" t="s">
        <v>410</v>
      </c>
      <c r="AAO90" t="s">
        <v>411</v>
      </c>
      <c r="AER90" t="s">
        <v>412</v>
      </c>
    </row>
    <row r="91" spans="1:824" x14ac:dyDescent="0.2">
      <c r="A91" t="s">
        <v>1076</v>
      </c>
      <c r="B91" t="s">
        <v>414</v>
      </c>
      <c r="C91" t="s">
        <v>1077</v>
      </c>
      <c r="P91" t="b">
        <v>0</v>
      </c>
      <c r="Q91" t="b">
        <v>1</v>
      </c>
      <c r="R91" t="b">
        <v>0</v>
      </c>
      <c r="S91" t="b">
        <v>0</v>
      </c>
      <c r="T91" t="b">
        <v>0</v>
      </c>
      <c r="U91" t="b">
        <v>0</v>
      </c>
      <c r="V91">
        <v>697</v>
      </c>
      <c r="W91" s="3">
        <v>43501.991666666669</v>
      </c>
      <c r="X91" t="s">
        <v>1078</v>
      </c>
      <c r="Y91">
        <v>2019</v>
      </c>
      <c r="Z91" t="s">
        <v>1079</v>
      </c>
      <c r="AA91" t="s">
        <v>1080</v>
      </c>
      <c r="AB91" t="s">
        <v>1081</v>
      </c>
      <c r="AC91" t="s">
        <v>1082</v>
      </c>
      <c r="AD91">
        <v>61299947851</v>
      </c>
      <c r="AE91" t="s">
        <v>420</v>
      </c>
      <c r="AF91" t="s">
        <v>421</v>
      </c>
      <c r="AH91">
        <v>1</v>
      </c>
      <c r="AK91">
        <v>100</v>
      </c>
      <c r="AL91">
        <v>100</v>
      </c>
      <c r="AM91">
        <v>100</v>
      </c>
      <c r="AN91">
        <v>100</v>
      </c>
      <c r="AP91">
        <v>100</v>
      </c>
      <c r="AU91">
        <v>100</v>
      </c>
      <c r="BB91">
        <v>0</v>
      </c>
      <c r="BI91">
        <v>0</v>
      </c>
      <c r="BP91">
        <v>0</v>
      </c>
      <c r="BW91">
        <v>0</v>
      </c>
      <c r="CD91">
        <v>0</v>
      </c>
      <c r="CE91">
        <v>0</v>
      </c>
      <c r="CF91">
        <v>100</v>
      </c>
      <c r="CG91">
        <v>0</v>
      </c>
      <c r="CH91">
        <v>0</v>
      </c>
      <c r="CI91">
        <v>0</v>
      </c>
      <c r="CJ91">
        <v>0</v>
      </c>
      <c r="CK91">
        <v>100</v>
      </c>
      <c r="CM91">
        <v>1</v>
      </c>
      <c r="CR91">
        <v>1</v>
      </c>
      <c r="CY91">
        <v>0</v>
      </c>
      <c r="DF91">
        <v>0</v>
      </c>
      <c r="DM91">
        <v>0</v>
      </c>
      <c r="DT91">
        <v>0</v>
      </c>
      <c r="EA91">
        <v>0</v>
      </c>
      <c r="EB91">
        <v>0</v>
      </c>
      <c r="EC91">
        <v>1</v>
      </c>
      <c r="ED91">
        <v>0</v>
      </c>
      <c r="EE91">
        <v>0</v>
      </c>
      <c r="EF91">
        <v>0</v>
      </c>
      <c r="EG91">
        <v>0</v>
      </c>
      <c r="EH91">
        <v>1</v>
      </c>
      <c r="EI91" t="s">
        <v>404</v>
      </c>
      <c r="EJ91" t="s">
        <v>405</v>
      </c>
      <c r="EK91" t="s">
        <v>404</v>
      </c>
      <c r="EL91" t="s">
        <v>404</v>
      </c>
      <c r="EM91" t="s">
        <v>404</v>
      </c>
      <c r="EN91" t="s">
        <v>404</v>
      </c>
      <c r="EO91" t="s">
        <v>404</v>
      </c>
      <c r="EP91" t="s">
        <v>404</v>
      </c>
      <c r="EQ91" t="s">
        <v>404</v>
      </c>
      <c r="ER91" t="s">
        <v>404</v>
      </c>
      <c r="ES91" t="s">
        <v>404</v>
      </c>
      <c r="ET91" t="s">
        <v>404</v>
      </c>
      <c r="EU91" t="s">
        <v>404</v>
      </c>
      <c r="EV91" t="s">
        <v>404</v>
      </c>
      <c r="EW91" t="s">
        <v>404</v>
      </c>
      <c r="EX91" t="s">
        <v>404</v>
      </c>
      <c r="EY91" t="s">
        <v>404</v>
      </c>
      <c r="EZ91" t="s">
        <v>404</v>
      </c>
      <c r="FA91" t="s">
        <v>404</v>
      </c>
      <c r="FB91" t="s">
        <v>404</v>
      </c>
      <c r="FC91" t="s">
        <v>404</v>
      </c>
      <c r="FD91" t="s">
        <v>404</v>
      </c>
      <c r="FE91" t="s">
        <v>404</v>
      </c>
      <c r="FF91" t="s">
        <v>404</v>
      </c>
      <c r="FG91" t="s">
        <v>404</v>
      </c>
      <c r="FH91" t="s">
        <v>404</v>
      </c>
      <c r="FI91" t="s">
        <v>404</v>
      </c>
      <c r="FJ91" t="s">
        <v>404</v>
      </c>
      <c r="FK91" t="s">
        <v>404</v>
      </c>
      <c r="FL91" t="s">
        <v>404</v>
      </c>
      <c r="FM91" t="s">
        <v>404</v>
      </c>
      <c r="FN91" t="s">
        <v>404</v>
      </c>
      <c r="FO91" t="s">
        <v>404</v>
      </c>
      <c r="FP91" t="s">
        <v>404</v>
      </c>
      <c r="FQ91" t="s">
        <v>404</v>
      </c>
      <c r="FR91" t="s">
        <v>404</v>
      </c>
      <c r="FY91">
        <v>0</v>
      </c>
      <c r="GA91">
        <v>100</v>
      </c>
      <c r="GF91">
        <v>100</v>
      </c>
      <c r="GM91">
        <v>0</v>
      </c>
      <c r="GT91">
        <v>0</v>
      </c>
      <c r="HA91">
        <v>0</v>
      </c>
      <c r="HH91">
        <v>0</v>
      </c>
      <c r="HO91">
        <v>0</v>
      </c>
      <c r="HW91">
        <v>0</v>
      </c>
      <c r="HX91">
        <v>0</v>
      </c>
      <c r="HY91">
        <v>100</v>
      </c>
      <c r="HZ91">
        <v>0</v>
      </c>
      <c r="IA91">
        <v>0</v>
      </c>
      <c r="IB91">
        <v>0</v>
      </c>
      <c r="IC91">
        <v>0</v>
      </c>
      <c r="ID91">
        <v>100</v>
      </c>
      <c r="IF91">
        <v>100</v>
      </c>
      <c r="IK91">
        <v>100</v>
      </c>
      <c r="IR91">
        <v>0</v>
      </c>
      <c r="IY91">
        <v>0</v>
      </c>
      <c r="JF91">
        <v>0</v>
      </c>
      <c r="JM91">
        <v>0</v>
      </c>
      <c r="JN91">
        <v>0</v>
      </c>
      <c r="JO91">
        <v>100</v>
      </c>
      <c r="JP91">
        <v>0</v>
      </c>
      <c r="JQ91">
        <v>0</v>
      </c>
      <c r="JR91">
        <v>0</v>
      </c>
      <c r="JS91">
        <v>0</v>
      </c>
      <c r="JT91">
        <v>100</v>
      </c>
      <c r="JW91">
        <v>100</v>
      </c>
      <c r="JZ91">
        <v>1</v>
      </c>
      <c r="KA91">
        <v>3</v>
      </c>
      <c r="KB91">
        <v>1</v>
      </c>
      <c r="KC91" t="s">
        <v>407</v>
      </c>
      <c r="OF91" t="s">
        <v>408</v>
      </c>
      <c r="SI91" t="s">
        <v>409</v>
      </c>
      <c r="WL91" t="s">
        <v>410</v>
      </c>
      <c r="AAO91" t="s">
        <v>411</v>
      </c>
      <c r="AER91" t="s">
        <v>412</v>
      </c>
    </row>
    <row r="92" spans="1:824" x14ac:dyDescent="0.2">
      <c r="A92" t="s">
        <v>1083</v>
      </c>
      <c r="B92" t="s">
        <v>414</v>
      </c>
      <c r="C92" t="s">
        <v>1084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>
        <v>709</v>
      </c>
      <c r="W92" s="3">
        <v>43508.343055555553</v>
      </c>
      <c r="X92" t="s">
        <v>1085</v>
      </c>
      <c r="Y92">
        <v>2019</v>
      </c>
      <c r="Z92" t="s">
        <v>1086</v>
      </c>
      <c r="AA92" t="s">
        <v>1084</v>
      </c>
      <c r="AB92" t="s">
        <v>1087</v>
      </c>
      <c r="AC92" t="s">
        <v>1088</v>
      </c>
      <c r="AD92" t="s">
        <v>1089</v>
      </c>
      <c r="AE92" t="s">
        <v>537</v>
      </c>
      <c r="AF92" t="s">
        <v>538</v>
      </c>
      <c r="AH92">
        <v>2</v>
      </c>
      <c r="AI92">
        <v>6</v>
      </c>
      <c r="AJ92" t="s">
        <v>1090</v>
      </c>
      <c r="AU92">
        <v>0</v>
      </c>
      <c r="BB92">
        <v>0</v>
      </c>
      <c r="BI92">
        <v>0</v>
      </c>
      <c r="BP92">
        <v>0</v>
      </c>
      <c r="BW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R92">
        <v>0</v>
      </c>
      <c r="CY92">
        <v>0</v>
      </c>
      <c r="DF92">
        <v>0</v>
      </c>
      <c r="DM92">
        <v>0</v>
      </c>
      <c r="DT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 t="s">
        <v>404</v>
      </c>
      <c r="EJ92" t="s">
        <v>404</v>
      </c>
      <c r="EK92" t="s">
        <v>404</v>
      </c>
      <c r="EL92" t="s">
        <v>404</v>
      </c>
      <c r="EM92" t="s">
        <v>404</v>
      </c>
      <c r="EN92" t="s">
        <v>404</v>
      </c>
      <c r="EO92" t="s">
        <v>404</v>
      </c>
      <c r="EP92" t="s">
        <v>404</v>
      </c>
      <c r="EQ92" t="s">
        <v>404</v>
      </c>
      <c r="ER92" t="s">
        <v>404</v>
      </c>
      <c r="ES92" t="s">
        <v>404</v>
      </c>
      <c r="ET92" t="s">
        <v>404</v>
      </c>
      <c r="EU92" t="s">
        <v>404</v>
      </c>
      <c r="EV92" t="s">
        <v>404</v>
      </c>
      <c r="EW92" t="s">
        <v>404</v>
      </c>
      <c r="EX92" t="s">
        <v>404</v>
      </c>
      <c r="EY92" t="s">
        <v>404</v>
      </c>
      <c r="EZ92" t="s">
        <v>404</v>
      </c>
      <c r="FA92" t="s">
        <v>404</v>
      </c>
      <c r="FB92" t="s">
        <v>404</v>
      </c>
      <c r="FC92" t="s">
        <v>404</v>
      </c>
      <c r="FD92" t="s">
        <v>404</v>
      </c>
      <c r="FE92" t="s">
        <v>404</v>
      </c>
      <c r="FF92" t="s">
        <v>404</v>
      </c>
      <c r="FG92" t="s">
        <v>404</v>
      </c>
      <c r="FH92" t="s">
        <v>404</v>
      </c>
      <c r="FI92" t="s">
        <v>404</v>
      </c>
      <c r="FJ92" t="s">
        <v>404</v>
      </c>
      <c r="FK92" t="s">
        <v>404</v>
      </c>
      <c r="FL92" t="s">
        <v>404</v>
      </c>
      <c r="FM92" t="s">
        <v>404</v>
      </c>
      <c r="FN92" t="s">
        <v>404</v>
      </c>
      <c r="FO92" t="s">
        <v>404</v>
      </c>
      <c r="FP92" t="s">
        <v>404</v>
      </c>
      <c r="FQ92" t="s">
        <v>404</v>
      </c>
      <c r="FR92" t="s">
        <v>404</v>
      </c>
      <c r="FY92">
        <v>0</v>
      </c>
      <c r="GF92">
        <v>0</v>
      </c>
      <c r="GM92">
        <v>0</v>
      </c>
      <c r="GT92">
        <v>0</v>
      </c>
      <c r="HA92">
        <v>0</v>
      </c>
      <c r="HH92">
        <v>0</v>
      </c>
      <c r="HO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K92">
        <v>0</v>
      </c>
      <c r="IR92">
        <v>0</v>
      </c>
      <c r="IY92">
        <v>0</v>
      </c>
      <c r="JF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Z92">
        <v>1</v>
      </c>
      <c r="KA92">
        <v>3</v>
      </c>
      <c r="KB92">
        <v>1</v>
      </c>
      <c r="KC92" t="s">
        <v>407</v>
      </c>
      <c r="OF92" t="s">
        <v>408</v>
      </c>
      <c r="SI92" t="s">
        <v>409</v>
      </c>
      <c r="WL92" t="s">
        <v>410</v>
      </c>
      <c r="AAO92" t="s">
        <v>411</v>
      </c>
      <c r="AER92" t="s">
        <v>412</v>
      </c>
    </row>
    <row r="93" spans="1:824" x14ac:dyDescent="0.2">
      <c r="A93" t="s">
        <v>1091</v>
      </c>
      <c r="B93" t="s">
        <v>414</v>
      </c>
      <c r="C93" t="s">
        <v>1092</v>
      </c>
      <c r="P93" t="b">
        <v>0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V93">
        <v>690</v>
      </c>
      <c r="W93" s="3">
        <v>43515.97152777778</v>
      </c>
      <c r="X93" t="s">
        <v>978</v>
      </c>
      <c r="Y93">
        <v>2019</v>
      </c>
      <c r="Z93" t="s">
        <v>1093</v>
      </c>
      <c r="AA93" t="s">
        <v>1092</v>
      </c>
      <c r="AB93" t="s">
        <v>1094</v>
      </c>
      <c r="AC93" t="s">
        <v>1095</v>
      </c>
      <c r="AD93" t="s">
        <v>1096</v>
      </c>
      <c r="AE93" t="s">
        <v>420</v>
      </c>
      <c r="AF93" t="s">
        <v>421</v>
      </c>
      <c r="AH93">
        <v>1</v>
      </c>
      <c r="AK93">
        <v>327.10000000000002</v>
      </c>
      <c r="AL93">
        <v>327.10000000000002</v>
      </c>
      <c r="AM93">
        <v>327.10000000000002</v>
      </c>
      <c r="AN93">
        <v>327.10000000000002</v>
      </c>
      <c r="AO93">
        <v>327.10000000000002</v>
      </c>
      <c r="AU93">
        <v>327.10000000000002</v>
      </c>
      <c r="BB93">
        <v>0</v>
      </c>
      <c r="BI93">
        <v>0</v>
      </c>
      <c r="BP93">
        <v>0</v>
      </c>
      <c r="BW93">
        <v>0</v>
      </c>
      <c r="CD93">
        <v>0</v>
      </c>
      <c r="CE93">
        <v>327.10000000000002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327.10000000000002</v>
      </c>
      <c r="CL93">
        <v>2</v>
      </c>
      <c r="CR93">
        <v>2</v>
      </c>
      <c r="CY93">
        <v>0</v>
      </c>
      <c r="DF93">
        <v>0</v>
      </c>
      <c r="DM93">
        <v>0</v>
      </c>
      <c r="DT93">
        <v>0</v>
      </c>
      <c r="EA93">
        <v>0</v>
      </c>
      <c r="EB93">
        <v>2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2</v>
      </c>
      <c r="EI93" t="s">
        <v>405</v>
      </c>
      <c r="EJ93" t="s">
        <v>404</v>
      </c>
      <c r="EK93" t="s">
        <v>404</v>
      </c>
      <c r="EL93" t="s">
        <v>404</v>
      </c>
      <c r="EM93" t="s">
        <v>404</v>
      </c>
      <c r="EN93" t="s">
        <v>404</v>
      </c>
      <c r="EO93" t="s">
        <v>404</v>
      </c>
      <c r="EP93" t="s">
        <v>404</v>
      </c>
      <c r="EQ93" t="s">
        <v>404</v>
      </c>
      <c r="ER93" t="s">
        <v>404</v>
      </c>
      <c r="ES93" t="s">
        <v>404</v>
      </c>
      <c r="ET93" t="s">
        <v>404</v>
      </c>
      <c r="EU93" t="s">
        <v>404</v>
      </c>
      <c r="EV93" t="s">
        <v>404</v>
      </c>
      <c r="EW93" t="s">
        <v>404</v>
      </c>
      <c r="EX93" t="s">
        <v>404</v>
      </c>
      <c r="EY93" t="s">
        <v>404</v>
      </c>
      <c r="EZ93" t="s">
        <v>404</v>
      </c>
      <c r="FA93" t="s">
        <v>404</v>
      </c>
      <c r="FB93" t="s">
        <v>404</v>
      </c>
      <c r="FC93" t="s">
        <v>404</v>
      </c>
      <c r="FD93" t="s">
        <v>404</v>
      </c>
      <c r="FE93" t="s">
        <v>404</v>
      </c>
      <c r="FF93" t="s">
        <v>404</v>
      </c>
      <c r="FG93" t="s">
        <v>404</v>
      </c>
      <c r="FH93" t="s">
        <v>404</v>
      </c>
      <c r="FI93" t="s">
        <v>404</v>
      </c>
      <c r="FJ93" t="s">
        <v>404</v>
      </c>
      <c r="FK93" t="s">
        <v>404</v>
      </c>
      <c r="FL93" t="s">
        <v>404</v>
      </c>
      <c r="FM93" t="s">
        <v>404</v>
      </c>
      <c r="FN93" t="s">
        <v>404</v>
      </c>
      <c r="FO93" t="s">
        <v>404</v>
      </c>
      <c r="FP93" t="s">
        <v>404</v>
      </c>
      <c r="FQ93" t="s">
        <v>404</v>
      </c>
      <c r="FR93" t="s">
        <v>404</v>
      </c>
      <c r="FS93">
        <v>243.1</v>
      </c>
      <c r="FY93">
        <v>243.1</v>
      </c>
      <c r="GF93">
        <v>0</v>
      </c>
      <c r="GM93">
        <v>0</v>
      </c>
      <c r="GN93">
        <v>40</v>
      </c>
      <c r="GT93">
        <v>40</v>
      </c>
      <c r="GU93">
        <v>12.9</v>
      </c>
      <c r="HA93">
        <v>12.9</v>
      </c>
      <c r="HB93">
        <v>31.1</v>
      </c>
      <c r="HH93">
        <v>31.1</v>
      </c>
      <c r="HO93">
        <v>0</v>
      </c>
      <c r="HW93">
        <v>0</v>
      </c>
      <c r="HX93">
        <v>327.10000000000002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327.10000000000002</v>
      </c>
      <c r="IE93">
        <v>280.8</v>
      </c>
      <c r="IK93">
        <v>280.8</v>
      </c>
      <c r="IL93">
        <v>46.3</v>
      </c>
      <c r="IR93">
        <v>46.3</v>
      </c>
      <c r="IY93">
        <v>0</v>
      </c>
      <c r="JF93">
        <v>0</v>
      </c>
      <c r="JM93">
        <v>0</v>
      </c>
      <c r="JN93">
        <v>327.10000000000002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327.10000000000002</v>
      </c>
      <c r="JW93">
        <v>100</v>
      </c>
      <c r="JZ93">
        <v>2</v>
      </c>
      <c r="KA93">
        <v>3</v>
      </c>
      <c r="KB93">
        <v>1</v>
      </c>
      <c r="KC93" t="s">
        <v>407</v>
      </c>
      <c r="OF93" t="s">
        <v>408</v>
      </c>
      <c r="SI93" t="s">
        <v>409</v>
      </c>
      <c r="WL93" t="s">
        <v>410</v>
      </c>
      <c r="AAO93" t="s">
        <v>411</v>
      </c>
      <c r="AER93" t="s">
        <v>412</v>
      </c>
    </row>
    <row r="94" spans="1:824" x14ac:dyDescent="0.2">
      <c r="A94" t="s">
        <v>1097</v>
      </c>
      <c r="B94" t="s">
        <v>396</v>
      </c>
      <c r="C94" t="s">
        <v>1098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>
        <v>575</v>
      </c>
      <c r="W94" s="3">
        <v>43523.621527777781</v>
      </c>
      <c r="X94" t="s">
        <v>1099</v>
      </c>
      <c r="Y94">
        <v>2019</v>
      </c>
      <c r="Z94" t="s">
        <v>1100</v>
      </c>
      <c r="AA94" t="s">
        <v>1098</v>
      </c>
      <c r="AB94" t="s">
        <v>450</v>
      </c>
      <c r="AC94" t="s">
        <v>1101</v>
      </c>
      <c r="AD94" t="e" vm="1">
        <f>_FV(_FV(1.212,"336"),"0681")</f>
        <v>#VALUE!</v>
      </c>
      <c r="AE94" t="s">
        <v>437</v>
      </c>
      <c r="AF94" t="s">
        <v>538</v>
      </c>
      <c r="AH94">
        <v>2</v>
      </c>
      <c r="AI94">
        <v>6</v>
      </c>
      <c r="AJ94" t="s">
        <v>1102</v>
      </c>
      <c r="AU94">
        <v>0</v>
      </c>
      <c r="BB94">
        <v>0</v>
      </c>
      <c r="BI94">
        <v>0</v>
      </c>
      <c r="BP94">
        <v>0</v>
      </c>
      <c r="BW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R94">
        <v>0</v>
      </c>
      <c r="CY94">
        <v>0</v>
      </c>
      <c r="DF94">
        <v>0</v>
      </c>
      <c r="DM94">
        <v>0</v>
      </c>
      <c r="DT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 t="s">
        <v>404</v>
      </c>
      <c r="EJ94" t="s">
        <v>404</v>
      </c>
      <c r="EK94" t="s">
        <v>404</v>
      </c>
      <c r="EL94" t="s">
        <v>404</v>
      </c>
      <c r="EM94" t="s">
        <v>404</v>
      </c>
      <c r="EN94" t="s">
        <v>404</v>
      </c>
      <c r="EO94" t="s">
        <v>404</v>
      </c>
      <c r="EP94" t="s">
        <v>404</v>
      </c>
      <c r="EQ94" t="s">
        <v>404</v>
      </c>
      <c r="ER94" t="s">
        <v>404</v>
      </c>
      <c r="ES94" t="s">
        <v>404</v>
      </c>
      <c r="ET94" t="s">
        <v>404</v>
      </c>
      <c r="EU94" t="s">
        <v>404</v>
      </c>
      <c r="EV94" t="s">
        <v>404</v>
      </c>
      <c r="EW94" t="s">
        <v>404</v>
      </c>
      <c r="EX94" t="s">
        <v>404</v>
      </c>
      <c r="EY94" t="s">
        <v>404</v>
      </c>
      <c r="EZ94" t="s">
        <v>404</v>
      </c>
      <c r="FA94" t="s">
        <v>404</v>
      </c>
      <c r="FB94" t="s">
        <v>404</v>
      </c>
      <c r="FC94" t="s">
        <v>404</v>
      </c>
      <c r="FD94" t="s">
        <v>404</v>
      </c>
      <c r="FE94" t="s">
        <v>404</v>
      </c>
      <c r="FF94" t="s">
        <v>404</v>
      </c>
      <c r="FG94" t="s">
        <v>404</v>
      </c>
      <c r="FH94" t="s">
        <v>404</v>
      </c>
      <c r="FI94" t="s">
        <v>404</v>
      </c>
      <c r="FJ94" t="s">
        <v>404</v>
      </c>
      <c r="FK94" t="s">
        <v>404</v>
      </c>
      <c r="FL94" t="s">
        <v>404</v>
      </c>
      <c r="FM94" t="s">
        <v>404</v>
      </c>
      <c r="FN94" t="s">
        <v>404</v>
      </c>
      <c r="FO94" t="s">
        <v>404</v>
      </c>
      <c r="FP94" t="s">
        <v>404</v>
      </c>
      <c r="FQ94" t="s">
        <v>404</v>
      </c>
      <c r="FR94" t="s">
        <v>404</v>
      </c>
      <c r="FY94">
        <v>0</v>
      </c>
      <c r="GF94">
        <v>0</v>
      </c>
      <c r="GM94">
        <v>0</v>
      </c>
      <c r="GT94">
        <v>0</v>
      </c>
      <c r="HA94">
        <v>0</v>
      </c>
      <c r="HH94">
        <v>0</v>
      </c>
      <c r="HO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K94">
        <v>0</v>
      </c>
      <c r="IR94">
        <v>0</v>
      </c>
      <c r="IY94">
        <v>0</v>
      </c>
      <c r="JF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Z94">
        <v>1</v>
      </c>
      <c r="KA94">
        <v>2</v>
      </c>
      <c r="KB94">
        <v>2</v>
      </c>
      <c r="KC94" t="s">
        <v>407</v>
      </c>
      <c r="OF94" t="s">
        <v>408</v>
      </c>
      <c r="SI94" t="s">
        <v>409</v>
      </c>
      <c r="WL94" t="s">
        <v>410</v>
      </c>
      <c r="AAO94" t="s">
        <v>411</v>
      </c>
      <c r="AER94" t="s">
        <v>412</v>
      </c>
    </row>
    <row r="95" spans="1:824" x14ac:dyDescent="0.2">
      <c r="A95" t="s">
        <v>1103</v>
      </c>
      <c r="B95" t="s">
        <v>563</v>
      </c>
      <c r="C95" t="s">
        <v>1104</v>
      </c>
      <c r="D95" t="s">
        <v>697</v>
      </c>
      <c r="E95" s="3">
        <v>43518.814583333333</v>
      </c>
      <c r="F95" t="s">
        <v>479</v>
      </c>
      <c r="G95" s="3">
        <v>43518.817361111112</v>
      </c>
      <c r="H95" t="s">
        <v>502</v>
      </c>
      <c r="I95" s="3">
        <v>43518.819444444445</v>
      </c>
      <c r="J95" t="s">
        <v>709</v>
      </c>
      <c r="K95" s="3">
        <v>43518.821527777778</v>
      </c>
      <c r="P95" t="b">
        <v>1</v>
      </c>
      <c r="Q95" t="b">
        <v>1</v>
      </c>
      <c r="R95" t="b">
        <v>1</v>
      </c>
      <c r="S95" t="b">
        <v>1</v>
      </c>
      <c r="T95" t="b">
        <v>0</v>
      </c>
      <c r="U95" t="b">
        <v>0</v>
      </c>
      <c r="V95">
        <v>710</v>
      </c>
      <c r="W95" s="3">
        <v>43518.813888888886</v>
      </c>
      <c r="X95" t="s">
        <v>1105</v>
      </c>
      <c r="Y95">
        <v>2019</v>
      </c>
      <c r="Z95" t="s">
        <v>1106</v>
      </c>
      <c r="AA95" t="s">
        <v>1104</v>
      </c>
      <c r="AB95" t="s">
        <v>521</v>
      </c>
      <c r="AC95" t="s">
        <v>1107</v>
      </c>
      <c r="AD95" t="s">
        <v>1108</v>
      </c>
      <c r="AE95" t="s">
        <v>571</v>
      </c>
      <c r="AF95" t="s">
        <v>538</v>
      </c>
      <c r="AH95">
        <v>1</v>
      </c>
      <c r="AK95">
        <v>10918</v>
      </c>
      <c r="AL95">
        <v>9720</v>
      </c>
      <c r="AM95">
        <v>5119</v>
      </c>
      <c r="AN95">
        <v>4612</v>
      </c>
      <c r="AQ95">
        <v>62</v>
      </c>
      <c r="AR95">
        <v>16</v>
      </c>
      <c r="AU95">
        <v>78</v>
      </c>
      <c r="AV95">
        <v>1683</v>
      </c>
      <c r="AW95">
        <v>803</v>
      </c>
      <c r="AX95">
        <v>1384</v>
      </c>
      <c r="AZ95">
        <v>77</v>
      </c>
      <c r="BB95">
        <v>3947</v>
      </c>
      <c r="BC95">
        <v>971</v>
      </c>
      <c r="BD95">
        <v>289</v>
      </c>
      <c r="BE95">
        <v>100</v>
      </c>
      <c r="BI95">
        <v>1360</v>
      </c>
      <c r="BK95">
        <v>0</v>
      </c>
      <c r="BL95">
        <v>3136</v>
      </c>
      <c r="BN95">
        <v>1199</v>
      </c>
      <c r="BP95">
        <v>4335</v>
      </c>
      <c r="BW95">
        <v>0</v>
      </c>
      <c r="CD95">
        <v>0</v>
      </c>
      <c r="CE95">
        <v>2654</v>
      </c>
      <c r="CF95">
        <v>1092</v>
      </c>
      <c r="CG95">
        <v>4682</v>
      </c>
      <c r="CH95">
        <v>16</v>
      </c>
      <c r="CI95">
        <v>1276</v>
      </c>
      <c r="CJ95">
        <v>0</v>
      </c>
      <c r="CK95">
        <v>9720</v>
      </c>
      <c r="CN95">
        <v>3</v>
      </c>
      <c r="CO95">
        <v>1</v>
      </c>
      <c r="CR95">
        <v>4</v>
      </c>
      <c r="CS95">
        <v>4</v>
      </c>
      <c r="CT95">
        <v>9</v>
      </c>
      <c r="CU95">
        <v>7</v>
      </c>
      <c r="CW95">
        <v>1</v>
      </c>
      <c r="CY95">
        <v>21</v>
      </c>
      <c r="CZ95">
        <v>2</v>
      </c>
      <c r="DA95">
        <v>2</v>
      </c>
      <c r="DB95">
        <v>1</v>
      </c>
      <c r="DF95">
        <v>5</v>
      </c>
      <c r="DH95">
        <v>1</v>
      </c>
      <c r="DI95">
        <v>9</v>
      </c>
      <c r="DK95">
        <v>1</v>
      </c>
      <c r="DM95">
        <v>11</v>
      </c>
      <c r="DT95">
        <v>0</v>
      </c>
      <c r="EA95">
        <v>0</v>
      </c>
      <c r="EB95">
        <v>6</v>
      </c>
      <c r="EC95">
        <v>12</v>
      </c>
      <c r="ED95">
        <v>20</v>
      </c>
      <c r="EE95">
        <v>1</v>
      </c>
      <c r="EF95">
        <v>2</v>
      </c>
      <c r="EG95">
        <v>0</v>
      </c>
      <c r="EH95">
        <v>41</v>
      </c>
      <c r="EI95" t="s">
        <v>404</v>
      </c>
      <c r="EJ95" t="s">
        <v>404</v>
      </c>
      <c r="EK95" t="s">
        <v>405</v>
      </c>
      <c r="EL95" t="s">
        <v>405</v>
      </c>
      <c r="EM95" t="s">
        <v>404</v>
      </c>
      <c r="EN95" t="s">
        <v>404</v>
      </c>
      <c r="EO95" t="s">
        <v>405</v>
      </c>
      <c r="EP95" t="s">
        <v>405</v>
      </c>
      <c r="EQ95" t="s">
        <v>405</v>
      </c>
      <c r="ER95" t="s">
        <v>404</v>
      </c>
      <c r="ES95" t="s">
        <v>405</v>
      </c>
      <c r="ET95" t="s">
        <v>404</v>
      </c>
      <c r="EU95" t="s">
        <v>405</v>
      </c>
      <c r="EV95" t="s">
        <v>405</v>
      </c>
      <c r="EW95" t="s">
        <v>405</v>
      </c>
      <c r="EX95" t="s">
        <v>404</v>
      </c>
      <c r="EY95" t="s">
        <v>404</v>
      </c>
      <c r="EZ95" t="s">
        <v>404</v>
      </c>
      <c r="FA95" t="s">
        <v>404</v>
      </c>
      <c r="FB95" t="s">
        <v>405</v>
      </c>
      <c r="FC95" t="s">
        <v>405</v>
      </c>
      <c r="FD95" t="s">
        <v>404</v>
      </c>
      <c r="FE95" t="s">
        <v>405</v>
      </c>
      <c r="FF95" t="s">
        <v>404</v>
      </c>
      <c r="FG95" t="s">
        <v>404</v>
      </c>
      <c r="FH95" t="s">
        <v>404</v>
      </c>
      <c r="FI95" t="s">
        <v>404</v>
      </c>
      <c r="FJ95" t="s">
        <v>404</v>
      </c>
      <c r="FK95" t="s">
        <v>404</v>
      </c>
      <c r="FL95" t="s">
        <v>404</v>
      </c>
      <c r="FM95" t="s">
        <v>404</v>
      </c>
      <c r="FN95" t="s">
        <v>404</v>
      </c>
      <c r="FO95" t="s">
        <v>404</v>
      </c>
      <c r="FP95" t="s">
        <v>404</v>
      </c>
      <c r="FQ95" t="s">
        <v>404</v>
      </c>
      <c r="FR95" t="s">
        <v>404</v>
      </c>
      <c r="FS95">
        <v>1394</v>
      </c>
      <c r="FT95">
        <v>635</v>
      </c>
      <c r="FU95">
        <v>1966</v>
      </c>
      <c r="FW95">
        <v>651</v>
      </c>
      <c r="FY95">
        <v>4646</v>
      </c>
      <c r="FZ95">
        <v>278</v>
      </c>
      <c r="GA95">
        <v>83</v>
      </c>
      <c r="GB95">
        <v>1461</v>
      </c>
      <c r="GC95">
        <v>16</v>
      </c>
      <c r="GD95">
        <v>169</v>
      </c>
      <c r="GF95">
        <v>2007</v>
      </c>
      <c r="GG95">
        <v>183</v>
      </c>
      <c r="GM95">
        <v>183</v>
      </c>
      <c r="GN95">
        <v>84</v>
      </c>
      <c r="GO95">
        <v>375</v>
      </c>
      <c r="GP95">
        <v>1200</v>
      </c>
      <c r="GR95">
        <v>139</v>
      </c>
      <c r="GT95">
        <v>1798</v>
      </c>
      <c r="GU95">
        <v>21</v>
      </c>
      <c r="GY95">
        <v>91</v>
      </c>
      <c r="HA95">
        <v>112</v>
      </c>
      <c r="HB95">
        <v>262</v>
      </c>
      <c r="HH95">
        <v>262</v>
      </c>
      <c r="HJ95">
        <v>31</v>
      </c>
      <c r="HM95">
        <v>6</v>
      </c>
      <c r="HO95">
        <v>37</v>
      </c>
      <c r="HQ95">
        <v>432</v>
      </c>
      <c r="HS95">
        <v>23</v>
      </c>
      <c r="HU95">
        <v>220</v>
      </c>
      <c r="HW95">
        <v>675</v>
      </c>
      <c r="HX95">
        <v>2654</v>
      </c>
      <c r="HY95">
        <v>1124</v>
      </c>
      <c r="HZ95">
        <v>4650</v>
      </c>
      <c r="IA95">
        <v>16</v>
      </c>
      <c r="IB95">
        <v>1276</v>
      </c>
      <c r="IC95">
        <v>0</v>
      </c>
      <c r="ID95">
        <v>9720</v>
      </c>
      <c r="IE95">
        <v>167</v>
      </c>
      <c r="IG95">
        <v>1664</v>
      </c>
      <c r="II95">
        <v>277</v>
      </c>
      <c r="IK95">
        <v>2108</v>
      </c>
      <c r="IL95">
        <v>1129</v>
      </c>
      <c r="IM95">
        <v>835</v>
      </c>
      <c r="IN95">
        <v>2886</v>
      </c>
      <c r="IO95">
        <v>16</v>
      </c>
      <c r="IP95">
        <v>540</v>
      </c>
      <c r="IR95">
        <v>5406</v>
      </c>
      <c r="IS95">
        <v>1359</v>
      </c>
      <c r="IT95">
        <v>289</v>
      </c>
      <c r="IU95">
        <v>100</v>
      </c>
      <c r="IW95">
        <v>458</v>
      </c>
      <c r="IY95">
        <v>2206</v>
      </c>
      <c r="JF95">
        <v>0</v>
      </c>
      <c r="JM95">
        <v>0</v>
      </c>
      <c r="JN95">
        <v>2655</v>
      </c>
      <c r="JO95">
        <v>1124</v>
      </c>
      <c r="JP95">
        <v>4650</v>
      </c>
      <c r="JQ95">
        <v>16</v>
      </c>
      <c r="JR95">
        <v>1275</v>
      </c>
      <c r="JS95">
        <v>0</v>
      </c>
      <c r="JT95">
        <v>9720</v>
      </c>
      <c r="JW95">
        <v>100</v>
      </c>
      <c r="JZ95">
        <v>2</v>
      </c>
      <c r="KA95">
        <v>3</v>
      </c>
      <c r="KB95">
        <v>1</v>
      </c>
      <c r="KC95" t="s">
        <v>407</v>
      </c>
      <c r="KF95">
        <v>54</v>
      </c>
      <c r="KJ95">
        <v>54</v>
      </c>
      <c r="KM95">
        <v>8</v>
      </c>
      <c r="KN95">
        <v>16</v>
      </c>
      <c r="KQ95">
        <v>24</v>
      </c>
      <c r="KX95">
        <v>0</v>
      </c>
      <c r="LE95">
        <v>0</v>
      </c>
      <c r="LL95">
        <v>0</v>
      </c>
      <c r="LS95">
        <v>0</v>
      </c>
      <c r="LZ95">
        <v>0</v>
      </c>
      <c r="MH95">
        <v>0</v>
      </c>
      <c r="MI95">
        <v>0</v>
      </c>
      <c r="MJ95">
        <v>0</v>
      </c>
      <c r="MK95">
        <v>62</v>
      </c>
      <c r="ML95">
        <v>16</v>
      </c>
      <c r="MM95">
        <v>0</v>
      </c>
      <c r="MN95">
        <v>0</v>
      </c>
      <c r="MO95">
        <v>78</v>
      </c>
      <c r="MR95">
        <v>62</v>
      </c>
      <c r="MS95">
        <v>16</v>
      </c>
      <c r="MV95">
        <v>78</v>
      </c>
      <c r="NC95">
        <v>0</v>
      </c>
      <c r="NJ95">
        <v>0</v>
      </c>
      <c r="NQ95">
        <v>0</v>
      </c>
      <c r="NX95">
        <v>0</v>
      </c>
      <c r="NY95">
        <v>0</v>
      </c>
      <c r="NZ95">
        <v>0</v>
      </c>
      <c r="OA95">
        <v>62</v>
      </c>
      <c r="OB95">
        <v>16</v>
      </c>
      <c r="OC95">
        <v>0</v>
      </c>
      <c r="OD95">
        <v>0</v>
      </c>
      <c r="OE95">
        <v>78</v>
      </c>
      <c r="OF95" t="s">
        <v>408</v>
      </c>
      <c r="OG95">
        <v>1003</v>
      </c>
      <c r="OH95">
        <v>365</v>
      </c>
      <c r="OI95">
        <v>408</v>
      </c>
      <c r="OK95">
        <v>17</v>
      </c>
      <c r="OM95">
        <v>1793</v>
      </c>
      <c r="ON95">
        <v>228</v>
      </c>
      <c r="OO95">
        <v>64</v>
      </c>
      <c r="OP95">
        <v>975</v>
      </c>
      <c r="OR95">
        <v>60</v>
      </c>
      <c r="OT95">
        <v>1327</v>
      </c>
      <c r="OU95">
        <v>183</v>
      </c>
      <c r="PA95">
        <v>183</v>
      </c>
      <c r="PB95">
        <v>59</v>
      </c>
      <c r="PC95">
        <v>375</v>
      </c>
      <c r="PH95">
        <v>434</v>
      </c>
      <c r="PI95">
        <v>21</v>
      </c>
      <c r="PO95">
        <v>21</v>
      </c>
      <c r="PP95">
        <v>70</v>
      </c>
      <c r="PV95">
        <v>70</v>
      </c>
      <c r="QC95">
        <v>0</v>
      </c>
      <c r="QE95">
        <v>119</v>
      </c>
      <c r="QK95">
        <v>119</v>
      </c>
      <c r="QL95">
        <v>1683</v>
      </c>
      <c r="QM95">
        <v>804</v>
      </c>
      <c r="QN95">
        <v>1383</v>
      </c>
      <c r="QO95">
        <v>0</v>
      </c>
      <c r="QP95">
        <v>77</v>
      </c>
      <c r="QQ95">
        <v>0</v>
      </c>
      <c r="QR95">
        <v>3947</v>
      </c>
      <c r="QS95">
        <v>1129</v>
      </c>
      <c r="QT95">
        <v>804</v>
      </c>
      <c r="QU95">
        <v>1201</v>
      </c>
      <c r="QW95">
        <v>77</v>
      </c>
      <c r="QY95">
        <v>3211</v>
      </c>
      <c r="QZ95">
        <v>116</v>
      </c>
      <c r="RB95">
        <v>182</v>
      </c>
      <c r="RF95">
        <v>298</v>
      </c>
      <c r="RG95">
        <v>438</v>
      </c>
      <c r="RM95">
        <v>438</v>
      </c>
      <c r="RT95">
        <v>0</v>
      </c>
      <c r="SA95">
        <v>0</v>
      </c>
      <c r="SB95">
        <v>1683</v>
      </c>
      <c r="SC95">
        <v>804</v>
      </c>
      <c r="SD95">
        <v>1383</v>
      </c>
      <c r="SE95">
        <v>0</v>
      </c>
      <c r="SF95">
        <v>77</v>
      </c>
      <c r="SG95">
        <v>0</v>
      </c>
      <c r="SH95">
        <v>3947</v>
      </c>
      <c r="SI95" t="s">
        <v>409</v>
      </c>
      <c r="SJ95">
        <v>391</v>
      </c>
      <c r="SK95">
        <v>270</v>
      </c>
      <c r="SL95">
        <v>100</v>
      </c>
      <c r="SP95">
        <v>761</v>
      </c>
      <c r="SQ95">
        <v>50</v>
      </c>
      <c r="SR95">
        <v>19</v>
      </c>
      <c r="SW95">
        <v>69</v>
      </c>
      <c r="TD95">
        <v>0</v>
      </c>
      <c r="TE95">
        <v>25</v>
      </c>
      <c r="TK95">
        <v>25</v>
      </c>
      <c r="TR95">
        <v>0</v>
      </c>
      <c r="TS95">
        <v>192</v>
      </c>
      <c r="TY95">
        <v>192</v>
      </c>
      <c r="UF95">
        <v>0</v>
      </c>
      <c r="UH95">
        <v>313</v>
      </c>
      <c r="UN95">
        <v>313</v>
      </c>
      <c r="UO95">
        <v>971</v>
      </c>
      <c r="UP95">
        <v>289</v>
      </c>
      <c r="UQ95">
        <v>100</v>
      </c>
      <c r="UR95">
        <v>0</v>
      </c>
      <c r="US95">
        <v>0</v>
      </c>
      <c r="UT95">
        <v>0</v>
      </c>
      <c r="UU95">
        <v>1360</v>
      </c>
      <c r="VB95">
        <v>0</v>
      </c>
      <c r="VC95">
        <v>50</v>
      </c>
      <c r="VI95">
        <v>50</v>
      </c>
      <c r="VJ95">
        <v>921</v>
      </c>
      <c r="VK95">
        <v>289</v>
      </c>
      <c r="VL95">
        <v>100</v>
      </c>
      <c r="VP95">
        <v>1310</v>
      </c>
      <c r="VW95">
        <v>0</v>
      </c>
      <c r="WD95">
        <v>0</v>
      </c>
      <c r="WE95">
        <v>971</v>
      </c>
      <c r="WF95">
        <v>289</v>
      </c>
      <c r="WG95">
        <v>100</v>
      </c>
      <c r="WH95">
        <v>0</v>
      </c>
      <c r="WI95">
        <v>0</v>
      </c>
      <c r="WJ95">
        <v>0</v>
      </c>
      <c r="WK95">
        <v>1360</v>
      </c>
      <c r="WL95" t="s">
        <v>410</v>
      </c>
      <c r="WO95">
        <v>1404</v>
      </c>
      <c r="WQ95">
        <v>634</v>
      </c>
      <c r="WS95">
        <v>2038</v>
      </c>
      <c r="WV95">
        <v>478</v>
      </c>
      <c r="WX95">
        <v>109</v>
      </c>
      <c r="WZ95">
        <v>587</v>
      </c>
      <c r="XG95">
        <v>0</v>
      </c>
      <c r="XJ95">
        <v>1200</v>
      </c>
      <c r="XL95">
        <v>139</v>
      </c>
      <c r="XN95">
        <v>1339</v>
      </c>
      <c r="XS95">
        <v>91</v>
      </c>
      <c r="XU95">
        <v>91</v>
      </c>
      <c r="YB95">
        <v>0</v>
      </c>
      <c r="YD95">
        <v>31</v>
      </c>
      <c r="YG95">
        <v>6</v>
      </c>
      <c r="YI95">
        <v>37</v>
      </c>
      <c r="YM95">
        <v>23</v>
      </c>
      <c r="YO95">
        <v>220</v>
      </c>
      <c r="YQ95">
        <v>243</v>
      </c>
      <c r="YR95">
        <v>0</v>
      </c>
      <c r="YS95">
        <v>31</v>
      </c>
      <c r="YT95">
        <v>3105</v>
      </c>
      <c r="YU95">
        <v>0</v>
      </c>
      <c r="YV95">
        <v>1199</v>
      </c>
      <c r="YW95">
        <v>0</v>
      </c>
      <c r="YX95">
        <v>4335</v>
      </c>
      <c r="YZ95">
        <v>31</v>
      </c>
      <c r="ZA95">
        <v>1623</v>
      </c>
      <c r="ZC95">
        <v>464</v>
      </c>
      <c r="ZE95">
        <v>2118</v>
      </c>
      <c r="ZH95">
        <v>1482</v>
      </c>
      <c r="ZJ95">
        <v>277</v>
      </c>
      <c r="ZL95">
        <v>1759</v>
      </c>
      <c r="ZQ95">
        <v>458</v>
      </c>
      <c r="ZS95">
        <v>458</v>
      </c>
      <c r="ZZ95">
        <v>0</v>
      </c>
      <c r="AAG95">
        <v>0</v>
      </c>
      <c r="AAH95">
        <v>0</v>
      </c>
      <c r="AAI95">
        <v>31</v>
      </c>
      <c r="AAJ95">
        <v>3105</v>
      </c>
      <c r="AAK95">
        <v>0</v>
      </c>
      <c r="AAL95">
        <v>1199</v>
      </c>
      <c r="AAM95">
        <v>0</v>
      </c>
      <c r="AAN95">
        <v>4335</v>
      </c>
      <c r="AAO95" t="s">
        <v>411</v>
      </c>
      <c r="AER95" t="s">
        <v>412</v>
      </c>
    </row>
    <row r="96" spans="1:824" x14ac:dyDescent="0.2">
      <c r="A96" t="s">
        <v>1109</v>
      </c>
      <c r="B96" t="s">
        <v>396</v>
      </c>
      <c r="C96" t="s">
        <v>1110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>
        <v>562</v>
      </c>
      <c r="W96" s="3">
        <v>43475.462500000001</v>
      </c>
      <c r="X96" t="s">
        <v>1111</v>
      </c>
      <c r="Y96">
        <v>2019</v>
      </c>
      <c r="Z96" t="s">
        <v>1112</v>
      </c>
      <c r="AA96" t="s">
        <v>1113</v>
      </c>
      <c r="AB96" t="s">
        <v>685</v>
      </c>
      <c r="AC96" t="s">
        <v>1114</v>
      </c>
      <c r="AD96">
        <v>653215834</v>
      </c>
      <c r="AE96" t="s">
        <v>611</v>
      </c>
      <c r="AF96" t="s">
        <v>403</v>
      </c>
      <c r="AH96">
        <v>1</v>
      </c>
      <c r="AK96">
        <v>300</v>
      </c>
      <c r="AL96">
        <v>300</v>
      </c>
      <c r="AM96">
        <v>250</v>
      </c>
      <c r="AN96">
        <v>250</v>
      </c>
      <c r="AU96">
        <v>0</v>
      </c>
      <c r="AV96">
        <v>250</v>
      </c>
      <c r="BB96">
        <v>250</v>
      </c>
      <c r="BI96">
        <v>0</v>
      </c>
      <c r="BP96">
        <v>0</v>
      </c>
      <c r="BW96">
        <v>0</v>
      </c>
      <c r="CD96">
        <v>0</v>
      </c>
      <c r="CE96">
        <v>250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250</v>
      </c>
      <c r="CR96">
        <v>0</v>
      </c>
      <c r="CS96">
        <v>2</v>
      </c>
      <c r="CY96">
        <v>2</v>
      </c>
      <c r="DF96">
        <v>0</v>
      </c>
      <c r="DM96">
        <v>0</v>
      </c>
      <c r="DT96">
        <v>0</v>
      </c>
      <c r="EA96">
        <v>0</v>
      </c>
      <c r="EB96">
        <v>2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2</v>
      </c>
      <c r="EI96" t="s">
        <v>404</v>
      </c>
      <c r="EJ96" t="s">
        <v>404</v>
      </c>
      <c r="EK96" t="s">
        <v>404</v>
      </c>
      <c r="EL96" t="s">
        <v>404</v>
      </c>
      <c r="EM96" t="s">
        <v>404</v>
      </c>
      <c r="EN96" t="s">
        <v>404</v>
      </c>
      <c r="EO96" t="s">
        <v>405</v>
      </c>
      <c r="EP96" t="s">
        <v>404</v>
      </c>
      <c r="EQ96" t="s">
        <v>404</v>
      </c>
      <c r="ER96" t="s">
        <v>404</v>
      </c>
      <c r="ES96" t="s">
        <v>404</v>
      </c>
      <c r="ET96" t="s">
        <v>404</v>
      </c>
      <c r="EU96" t="s">
        <v>404</v>
      </c>
      <c r="EV96" t="s">
        <v>404</v>
      </c>
      <c r="EW96" t="s">
        <v>404</v>
      </c>
      <c r="EX96" t="s">
        <v>404</v>
      </c>
      <c r="EY96" t="s">
        <v>404</v>
      </c>
      <c r="EZ96" t="s">
        <v>404</v>
      </c>
      <c r="FA96" t="s">
        <v>404</v>
      </c>
      <c r="FB96" t="s">
        <v>404</v>
      </c>
      <c r="FC96" t="s">
        <v>404</v>
      </c>
      <c r="FD96" t="s">
        <v>404</v>
      </c>
      <c r="FE96" t="s">
        <v>404</v>
      </c>
      <c r="FF96" t="s">
        <v>404</v>
      </c>
      <c r="FG96" t="s">
        <v>404</v>
      </c>
      <c r="FH96" t="s">
        <v>404</v>
      </c>
      <c r="FI96" t="s">
        <v>404</v>
      </c>
      <c r="FJ96" t="s">
        <v>404</v>
      </c>
      <c r="FK96" t="s">
        <v>404</v>
      </c>
      <c r="FL96" t="s">
        <v>404</v>
      </c>
      <c r="FM96" t="s">
        <v>404</v>
      </c>
      <c r="FN96" t="s">
        <v>404</v>
      </c>
      <c r="FO96" t="s">
        <v>404</v>
      </c>
      <c r="FP96" t="s">
        <v>404</v>
      </c>
      <c r="FQ96" t="s">
        <v>404</v>
      </c>
      <c r="FR96" t="s">
        <v>404</v>
      </c>
      <c r="FS96">
        <v>150</v>
      </c>
      <c r="FY96">
        <v>150</v>
      </c>
      <c r="FZ96">
        <v>50</v>
      </c>
      <c r="GF96">
        <v>50</v>
      </c>
      <c r="GM96">
        <v>0</v>
      </c>
      <c r="GT96">
        <v>0</v>
      </c>
      <c r="HA96">
        <v>0</v>
      </c>
      <c r="HB96">
        <v>50</v>
      </c>
      <c r="HH96">
        <v>50</v>
      </c>
      <c r="HO96">
        <v>0</v>
      </c>
      <c r="HW96">
        <v>0</v>
      </c>
      <c r="HX96">
        <v>250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250</v>
      </c>
      <c r="IK96">
        <v>0</v>
      </c>
      <c r="IL96">
        <v>250</v>
      </c>
      <c r="IR96">
        <v>250</v>
      </c>
      <c r="IY96">
        <v>0</v>
      </c>
      <c r="JF96">
        <v>0</v>
      </c>
      <c r="JM96">
        <v>0</v>
      </c>
      <c r="JN96">
        <v>250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250</v>
      </c>
      <c r="JU96">
        <v>20</v>
      </c>
      <c r="JV96">
        <v>50</v>
      </c>
      <c r="JW96">
        <v>30</v>
      </c>
      <c r="JZ96">
        <v>1</v>
      </c>
      <c r="KA96">
        <v>3</v>
      </c>
      <c r="KB96">
        <v>1</v>
      </c>
      <c r="KC96" t="s">
        <v>407</v>
      </c>
      <c r="OF96" t="s">
        <v>408</v>
      </c>
      <c r="SI96" t="s">
        <v>409</v>
      </c>
      <c r="WL96" t="s">
        <v>410</v>
      </c>
      <c r="AAO96" t="s">
        <v>411</v>
      </c>
      <c r="AER96" t="s">
        <v>412</v>
      </c>
    </row>
    <row r="97" spans="1:824" x14ac:dyDescent="0.2">
      <c r="A97" t="s">
        <v>1115</v>
      </c>
      <c r="B97" t="s">
        <v>396</v>
      </c>
      <c r="C97" t="s">
        <v>1116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>
        <v>776</v>
      </c>
      <c r="W97" s="3">
        <v>43525.593055555553</v>
      </c>
      <c r="X97" t="s">
        <v>1117</v>
      </c>
      <c r="Y97">
        <v>2019</v>
      </c>
      <c r="Z97" t="s">
        <v>1118</v>
      </c>
      <c r="AA97" t="s">
        <v>1119</v>
      </c>
      <c r="AB97" t="s">
        <v>852</v>
      </c>
      <c r="AC97" t="s">
        <v>1120</v>
      </c>
      <c r="AD97">
        <v>2031022388</v>
      </c>
      <c r="AE97" t="s">
        <v>1073</v>
      </c>
      <c r="AF97" t="s">
        <v>403</v>
      </c>
      <c r="AH97">
        <v>1</v>
      </c>
      <c r="AK97">
        <v>2021.335</v>
      </c>
      <c r="AL97">
        <v>2021.335</v>
      </c>
      <c r="AM97">
        <v>0</v>
      </c>
      <c r="AN97">
        <v>0</v>
      </c>
      <c r="AU97">
        <v>0</v>
      </c>
      <c r="AV97">
        <v>2021.335</v>
      </c>
      <c r="BB97">
        <v>2021.34</v>
      </c>
      <c r="BI97">
        <v>0</v>
      </c>
      <c r="BP97">
        <v>0</v>
      </c>
      <c r="BW97">
        <v>0</v>
      </c>
      <c r="CD97">
        <v>0</v>
      </c>
      <c r="CE97">
        <v>2021.34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2021.34</v>
      </c>
      <c r="CR97">
        <v>0</v>
      </c>
      <c r="CS97">
        <v>1</v>
      </c>
      <c r="CY97">
        <v>1</v>
      </c>
      <c r="DF97">
        <v>0</v>
      </c>
      <c r="DM97">
        <v>0</v>
      </c>
      <c r="DT97">
        <v>0</v>
      </c>
      <c r="EA97">
        <v>0</v>
      </c>
      <c r="EB97">
        <v>1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1</v>
      </c>
      <c r="EI97" t="s">
        <v>404</v>
      </c>
      <c r="EJ97" t="s">
        <v>404</v>
      </c>
      <c r="EK97" t="s">
        <v>404</v>
      </c>
      <c r="EL97" t="s">
        <v>404</v>
      </c>
      <c r="EM97" t="s">
        <v>404</v>
      </c>
      <c r="EN97" t="s">
        <v>404</v>
      </c>
      <c r="EO97" t="s">
        <v>405</v>
      </c>
      <c r="EP97" t="s">
        <v>404</v>
      </c>
      <c r="EQ97" t="s">
        <v>404</v>
      </c>
      <c r="ER97" t="s">
        <v>404</v>
      </c>
      <c r="ES97" t="s">
        <v>404</v>
      </c>
      <c r="ET97" t="s">
        <v>404</v>
      </c>
      <c r="EU97" t="s">
        <v>404</v>
      </c>
      <c r="EV97" t="s">
        <v>404</v>
      </c>
      <c r="EW97" t="s">
        <v>404</v>
      </c>
      <c r="EX97" t="s">
        <v>404</v>
      </c>
      <c r="EY97" t="s">
        <v>404</v>
      </c>
      <c r="EZ97" t="s">
        <v>404</v>
      </c>
      <c r="FA97" t="s">
        <v>404</v>
      </c>
      <c r="FB97" t="s">
        <v>404</v>
      </c>
      <c r="FC97" t="s">
        <v>404</v>
      </c>
      <c r="FD97" t="s">
        <v>404</v>
      </c>
      <c r="FE97" t="s">
        <v>404</v>
      </c>
      <c r="FF97" t="s">
        <v>404</v>
      </c>
      <c r="FG97" t="s">
        <v>404</v>
      </c>
      <c r="FH97" t="s">
        <v>404</v>
      </c>
      <c r="FI97" t="s">
        <v>404</v>
      </c>
      <c r="FJ97" t="s">
        <v>404</v>
      </c>
      <c r="FK97" t="s">
        <v>404</v>
      </c>
      <c r="FL97" t="s">
        <v>404</v>
      </c>
      <c r="FM97" t="s">
        <v>404</v>
      </c>
      <c r="FN97" t="s">
        <v>404</v>
      </c>
      <c r="FO97" t="s">
        <v>404</v>
      </c>
      <c r="FP97" t="s">
        <v>404</v>
      </c>
      <c r="FQ97" t="s">
        <v>404</v>
      </c>
      <c r="FR97" t="s">
        <v>404</v>
      </c>
      <c r="FS97">
        <v>1185</v>
      </c>
      <c r="FY97">
        <v>1185</v>
      </c>
      <c r="GF97">
        <v>0</v>
      </c>
      <c r="GG97">
        <v>450</v>
      </c>
      <c r="GM97">
        <v>450</v>
      </c>
      <c r="GT97">
        <v>0</v>
      </c>
      <c r="HA97">
        <v>0</v>
      </c>
      <c r="HH97">
        <v>0</v>
      </c>
      <c r="HI97">
        <v>132</v>
      </c>
      <c r="HO97">
        <v>132</v>
      </c>
      <c r="HQ97">
        <v>254.33500000000001</v>
      </c>
      <c r="HW97">
        <v>254.34</v>
      </c>
      <c r="HX97">
        <v>2021.34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2021.34</v>
      </c>
      <c r="IE97">
        <v>455</v>
      </c>
      <c r="IK97">
        <v>455</v>
      </c>
      <c r="IL97">
        <v>676.33500000000004</v>
      </c>
      <c r="IR97">
        <v>676.34</v>
      </c>
      <c r="IS97">
        <v>890</v>
      </c>
      <c r="IY97">
        <v>890</v>
      </c>
      <c r="JF97">
        <v>0</v>
      </c>
      <c r="JM97">
        <v>0</v>
      </c>
      <c r="JN97">
        <v>2021.34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2021.34</v>
      </c>
      <c r="JW97">
        <v>100</v>
      </c>
      <c r="JZ97">
        <v>1</v>
      </c>
      <c r="KA97">
        <v>3</v>
      </c>
      <c r="KB97">
        <v>2</v>
      </c>
      <c r="KC97" t="s">
        <v>407</v>
      </c>
      <c r="OF97" t="s">
        <v>408</v>
      </c>
      <c r="SI97" t="s">
        <v>409</v>
      </c>
      <c r="WL97" t="s">
        <v>410</v>
      </c>
      <c r="AAO97" t="s">
        <v>411</v>
      </c>
      <c r="AER97" t="s">
        <v>412</v>
      </c>
    </row>
    <row r="98" spans="1:824" x14ac:dyDescent="0.2">
      <c r="A98" t="s">
        <v>1121</v>
      </c>
      <c r="B98" t="s">
        <v>414</v>
      </c>
      <c r="C98" t="s">
        <v>1122</v>
      </c>
      <c r="P98" t="b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>
        <v>583</v>
      </c>
      <c r="W98" s="3">
        <v>43523.302083333336</v>
      </c>
      <c r="X98" t="s">
        <v>1123</v>
      </c>
      <c r="Y98">
        <v>2019</v>
      </c>
      <c r="Z98" t="s">
        <v>1124</v>
      </c>
      <c r="AA98" t="s">
        <v>1125</v>
      </c>
      <c r="AB98" t="s">
        <v>1126</v>
      </c>
      <c r="AC98" t="s">
        <v>1127</v>
      </c>
      <c r="AE98" t="s">
        <v>420</v>
      </c>
      <c r="AF98" t="s">
        <v>421</v>
      </c>
      <c r="AH98">
        <v>1</v>
      </c>
      <c r="AK98">
        <v>599</v>
      </c>
      <c r="AL98">
        <v>599</v>
      </c>
      <c r="AM98">
        <v>599</v>
      </c>
      <c r="AN98">
        <v>599</v>
      </c>
      <c r="AR98">
        <v>599.70000000000005</v>
      </c>
      <c r="AU98">
        <v>599.70000000000005</v>
      </c>
      <c r="BB98">
        <v>0</v>
      </c>
      <c r="BI98">
        <v>0</v>
      </c>
      <c r="BP98">
        <v>0</v>
      </c>
      <c r="BW98">
        <v>0</v>
      </c>
      <c r="CD98">
        <v>0</v>
      </c>
      <c r="CE98">
        <v>0</v>
      </c>
      <c r="CF98">
        <v>0</v>
      </c>
      <c r="CG98">
        <v>0</v>
      </c>
      <c r="CH98">
        <v>599.70000000000005</v>
      </c>
      <c r="CI98">
        <v>0</v>
      </c>
      <c r="CJ98">
        <v>0</v>
      </c>
      <c r="CK98">
        <v>599.70000000000005</v>
      </c>
      <c r="CO98">
        <v>3</v>
      </c>
      <c r="CR98">
        <v>3</v>
      </c>
      <c r="CY98">
        <v>0</v>
      </c>
      <c r="DF98">
        <v>0</v>
      </c>
      <c r="DM98">
        <v>0</v>
      </c>
      <c r="DT98">
        <v>0</v>
      </c>
      <c r="EA98">
        <v>0</v>
      </c>
      <c r="EB98">
        <v>0</v>
      </c>
      <c r="EC98">
        <v>0</v>
      </c>
      <c r="ED98">
        <v>0</v>
      </c>
      <c r="EE98">
        <v>3</v>
      </c>
      <c r="EF98">
        <v>0</v>
      </c>
      <c r="EG98">
        <v>0</v>
      </c>
      <c r="EH98">
        <v>3</v>
      </c>
      <c r="EI98" t="s">
        <v>404</v>
      </c>
      <c r="EJ98" t="s">
        <v>404</v>
      </c>
      <c r="EK98" t="s">
        <v>404</v>
      </c>
      <c r="EL98" t="s">
        <v>405</v>
      </c>
      <c r="EM98" t="s">
        <v>404</v>
      </c>
      <c r="EN98" t="s">
        <v>404</v>
      </c>
      <c r="EO98" t="s">
        <v>404</v>
      </c>
      <c r="EP98" t="s">
        <v>404</v>
      </c>
      <c r="EQ98" t="s">
        <v>404</v>
      </c>
      <c r="ER98" t="s">
        <v>404</v>
      </c>
      <c r="ES98" t="s">
        <v>404</v>
      </c>
      <c r="ET98" t="s">
        <v>404</v>
      </c>
      <c r="EU98" t="s">
        <v>404</v>
      </c>
      <c r="EV98" t="s">
        <v>404</v>
      </c>
      <c r="EW98" t="s">
        <v>404</v>
      </c>
      <c r="EX98" t="s">
        <v>404</v>
      </c>
      <c r="EY98" t="s">
        <v>404</v>
      </c>
      <c r="EZ98" t="s">
        <v>404</v>
      </c>
      <c r="FA98" t="s">
        <v>404</v>
      </c>
      <c r="FB98" t="s">
        <v>404</v>
      </c>
      <c r="FC98" t="s">
        <v>404</v>
      </c>
      <c r="FD98" t="s">
        <v>404</v>
      </c>
      <c r="FE98" t="s">
        <v>404</v>
      </c>
      <c r="FF98" t="s">
        <v>404</v>
      </c>
      <c r="FG98" t="s">
        <v>404</v>
      </c>
      <c r="FH98" t="s">
        <v>404</v>
      </c>
      <c r="FI98" t="s">
        <v>404</v>
      </c>
      <c r="FJ98" t="s">
        <v>404</v>
      </c>
      <c r="FK98" t="s">
        <v>404</v>
      </c>
      <c r="FL98" t="s">
        <v>404</v>
      </c>
      <c r="FM98" t="s">
        <v>404</v>
      </c>
      <c r="FN98" t="s">
        <v>404</v>
      </c>
      <c r="FO98" t="s">
        <v>404</v>
      </c>
      <c r="FP98" t="s">
        <v>404</v>
      </c>
      <c r="FQ98" t="s">
        <v>404</v>
      </c>
      <c r="FR98" t="s">
        <v>404</v>
      </c>
      <c r="FV98">
        <v>182.7</v>
      </c>
      <c r="FY98">
        <v>182.7</v>
      </c>
      <c r="GF98">
        <v>0</v>
      </c>
      <c r="GJ98">
        <v>401.5</v>
      </c>
      <c r="GM98">
        <v>401.5</v>
      </c>
      <c r="GT98">
        <v>0</v>
      </c>
      <c r="HA98">
        <v>0</v>
      </c>
      <c r="HE98">
        <v>15.5</v>
      </c>
      <c r="HH98">
        <v>15.5</v>
      </c>
      <c r="HO98">
        <v>0</v>
      </c>
      <c r="HW98">
        <v>0</v>
      </c>
      <c r="HX98">
        <v>0</v>
      </c>
      <c r="HY98">
        <v>0</v>
      </c>
      <c r="HZ98">
        <v>0</v>
      </c>
      <c r="IA98">
        <v>599.70000000000005</v>
      </c>
      <c r="IB98">
        <v>0</v>
      </c>
      <c r="IC98">
        <v>0</v>
      </c>
      <c r="ID98">
        <v>599.70000000000005</v>
      </c>
      <c r="IH98">
        <v>417</v>
      </c>
      <c r="IK98">
        <v>417</v>
      </c>
      <c r="IR98">
        <v>0</v>
      </c>
      <c r="IV98">
        <v>182.7</v>
      </c>
      <c r="IY98">
        <v>182.7</v>
      </c>
      <c r="JF98">
        <v>0</v>
      </c>
      <c r="JM98">
        <v>0</v>
      </c>
      <c r="JN98">
        <v>0</v>
      </c>
      <c r="JO98">
        <v>0</v>
      </c>
      <c r="JP98">
        <v>0</v>
      </c>
      <c r="JQ98">
        <v>599.70000000000005</v>
      </c>
      <c r="JR98">
        <v>0</v>
      </c>
      <c r="JS98">
        <v>0</v>
      </c>
      <c r="JT98">
        <v>599.70000000000005</v>
      </c>
      <c r="JW98">
        <v>95</v>
      </c>
      <c r="JX98" t="s">
        <v>1128</v>
      </c>
      <c r="JY98">
        <v>5</v>
      </c>
      <c r="JZ98">
        <v>1</v>
      </c>
      <c r="KA98">
        <v>1</v>
      </c>
      <c r="KB98">
        <v>1</v>
      </c>
      <c r="KC98" t="s">
        <v>407</v>
      </c>
      <c r="OF98" t="s">
        <v>408</v>
      </c>
      <c r="SI98" t="s">
        <v>409</v>
      </c>
      <c r="WL98" t="s">
        <v>410</v>
      </c>
      <c r="AAO98" t="s">
        <v>411</v>
      </c>
      <c r="AER98" t="s">
        <v>412</v>
      </c>
    </row>
    <row r="99" spans="1:824" x14ac:dyDescent="0.2">
      <c r="A99" t="s">
        <v>1129</v>
      </c>
      <c r="B99" t="s">
        <v>396</v>
      </c>
      <c r="C99" t="s">
        <v>1130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>
        <v>742</v>
      </c>
      <c r="W99" s="3">
        <v>43525.559027777781</v>
      </c>
      <c r="X99" t="s">
        <v>1131</v>
      </c>
      <c r="Y99">
        <v>2019</v>
      </c>
      <c r="Z99" t="s">
        <v>1132</v>
      </c>
      <c r="AA99" t="s">
        <v>1133</v>
      </c>
      <c r="AB99" t="s">
        <v>1134</v>
      </c>
      <c r="AC99" t="s">
        <v>1135</v>
      </c>
      <c r="AD99">
        <v>4940349194451</v>
      </c>
      <c r="AE99" t="s">
        <v>444</v>
      </c>
      <c r="AF99" t="s">
        <v>403</v>
      </c>
      <c r="AH99">
        <v>1</v>
      </c>
      <c r="AK99">
        <v>73.2</v>
      </c>
      <c r="AL99">
        <v>73.2</v>
      </c>
      <c r="AU99">
        <v>0</v>
      </c>
      <c r="AV99">
        <v>73.2</v>
      </c>
      <c r="BB99">
        <v>73.2</v>
      </c>
      <c r="BI99">
        <v>0</v>
      </c>
      <c r="BP99">
        <v>0</v>
      </c>
      <c r="BW99">
        <v>0</v>
      </c>
      <c r="CD99">
        <v>0</v>
      </c>
      <c r="CE99">
        <v>73.2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73.2</v>
      </c>
      <c r="CR99">
        <v>0</v>
      </c>
      <c r="CS99">
        <v>3</v>
      </c>
      <c r="CY99">
        <v>3</v>
      </c>
      <c r="DF99">
        <v>0</v>
      </c>
      <c r="DM99">
        <v>0</v>
      </c>
      <c r="DT99">
        <v>0</v>
      </c>
      <c r="EA99">
        <v>0</v>
      </c>
      <c r="EB99">
        <v>3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3</v>
      </c>
      <c r="EI99" t="s">
        <v>404</v>
      </c>
      <c r="EJ99" t="s">
        <v>404</v>
      </c>
      <c r="EK99" t="s">
        <v>404</v>
      </c>
      <c r="EL99" t="s">
        <v>404</v>
      </c>
      <c r="EM99" t="s">
        <v>404</v>
      </c>
      <c r="EN99" t="s">
        <v>404</v>
      </c>
      <c r="EO99" t="s">
        <v>405</v>
      </c>
      <c r="EP99" t="s">
        <v>404</v>
      </c>
      <c r="EQ99" t="s">
        <v>404</v>
      </c>
      <c r="ER99" t="s">
        <v>404</v>
      </c>
      <c r="ES99" t="s">
        <v>404</v>
      </c>
      <c r="ET99" t="s">
        <v>404</v>
      </c>
      <c r="EU99" t="s">
        <v>404</v>
      </c>
      <c r="EV99" t="s">
        <v>404</v>
      </c>
      <c r="EW99" t="s">
        <v>404</v>
      </c>
      <c r="EX99" t="s">
        <v>404</v>
      </c>
      <c r="EY99" t="s">
        <v>404</v>
      </c>
      <c r="EZ99" t="s">
        <v>404</v>
      </c>
      <c r="FA99" t="s">
        <v>404</v>
      </c>
      <c r="FB99" t="s">
        <v>404</v>
      </c>
      <c r="FC99" t="s">
        <v>404</v>
      </c>
      <c r="FD99" t="s">
        <v>404</v>
      </c>
      <c r="FE99" t="s">
        <v>404</v>
      </c>
      <c r="FF99" t="s">
        <v>404</v>
      </c>
      <c r="FG99" t="s">
        <v>404</v>
      </c>
      <c r="FH99" t="s">
        <v>404</v>
      </c>
      <c r="FI99" t="s">
        <v>404</v>
      </c>
      <c r="FJ99" t="s">
        <v>404</v>
      </c>
      <c r="FK99" t="s">
        <v>404</v>
      </c>
      <c r="FL99" t="s">
        <v>404</v>
      </c>
      <c r="FM99" t="s">
        <v>404</v>
      </c>
      <c r="FN99" t="s">
        <v>404</v>
      </c>
      <c r="FO99" t="s">
        <v>404</v>
      </c>
      <c r="FP99" t="s">
        <v>404</v>
      </c>
      <c r="FQ99" t="s">
        <v>404</v>
      </c>
      <c r="FR99" t="s">
        <v>404</v>
      </c>
      <c r="FS99">
        <v>7.3</v>
      </c>
      <c r="FY99">
        <v>7.3</v>
      </c>
      <c r="FZ99">
        <v>0.3</v>
      </c>
      <c r="GF99">
        <v>0.3</v>
      </c>
      <c r="GG99">
        <v>0</v>
      </c>
      <c r="GM99">
        <v>0</v>
      </c>
      <c r="GN99">
        <v>0</v>
      </c>
      <c r="GT99">
        <v>0</v>
      </c>
      <c r="GU99">
        <v>0</v>
      </c>
      <c r="HA99">
        <v>0</v>
      </c>
      <c r="HB99">
        <v>33.5</v>
      </c>
      <c r="HH99">
        <v>33.5</v>
      </c>
      <c r="HI99">
        <v>0</v>
      </c>
      <c r="HO99">
        <v>0</v>
      </c>
      <c r="HP99" t="s">
        <v>1136</v>
      </c>
      <c r="HQ99">
        <v>32.1</v>
      </c>
      <c r="HW99">
        <v>32.1</v>
      </c>
      <c r="HX99">
        <v>73.2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73.2</v>
      </c>
      <c r="IK99">
        <v>0</v>
      </c>
      <c r="IL99">
        <v>73.2</v>
      </c>
      <c r="IR99">
        <v>73.2</v>
      </c>
      <c r="IY99">
        <v>0</v>
      </c>
      <c r="JF99">
        <v>0</v>
      </c>
      <c r="JM99">
        <v>0</v>
      </c>
      <c r="JN99">
        <v>73.2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73.2</v>
      </c>
      <c r="JU99">
        <v>0</v>
      </c>
      <c r="JV99">
        <v>0</v>
      </c>
      <c r="JW99">
        <v>100</v>
      </c>
      <c r="JZ99">
        <v>1</v>
      </c>
      <c r="KA99">
        <v>3</v>
      </c>
      <c r="KB99">
        <v>1</v>
      </c>
      <c r="KC99" t="s">
        <v>407</v>
      </c>
      <c r="OF99" t="s">
        <v>408</v>
      </c>
      <c r="SI99" t="s">
        <v>409</v>
      </c>
      <c r="WL99" t="s">
        <v>410</v>
      </c>
      <c r="AAO99" t="s">
        <v>411</v>
      </c>
      <c r="AER99" t="s">
        <v>412</v>
      </c>
    </row>
    <row r="100" spans="1:824" x14ac:dyDescent="0.2">
      <c r="A100" t="s">
        <v>1137</v>
      </c>
      <c r="B100" t="s">
        <v>396</v>
      </c>
      <c r="C100" t="s">
        <v>1138</v>
      </c>
      <c r="D100" t="s">
        <v>478</v>
      </c>
      <c r="E100" s="3">
        <v>43522.375</v>
      </c>
      <c r="F100" t="s">
        <v>1139</v>
      </c>
      <c r="G100" s="3">
        <v>43522.376388888886</v>
      </c>
      <c r="J100" t="s">
        <v>392</v>
      </c>
      <c r="K100" s="3">
        <v>43522.377083333333</v>
      </c>
      <c r="P100" t="b">
        <v>1</v>
      </c>
      <c r="Q100" t="b">
        <v>1</v>
      </c>
      <c r="R100" t="b">
        <v>0</v>
      </c>
      <c r="S100" t="b">
        <v>1</v>
      </c>
      <c r="T100" t="b">
        <v>0</v>
      </c>
      <c r="U100" t="b">
        <v>0</v>
      </c>
      <c r="V100">
        <v>700</v>
      </c>
      <c r="W100" s="3">
        <v>43522.370833333334</v>
      </c>
      <c r="X100" t="s">
        <v>1140</v>
      </c>
      <c r="Y100">
        <v>2019</v>
      </c>
      <c r="Z100" t="s">
        <v>1141</v>
      </c>
      <c r="AA100" t="s">
        <v>1142</v>
      </c>
      <c r="AC100" t="s">
        <v>1143</v>
      </c>
      <c r="AE100" t="s">
        <v>592</v>
      </c>
      <c r="AF100" t="s">
        <v>403</v>
      </c>
      <c r="AH100">
        <v>1</v>
      </c>
      <c r="AK100">
        <v>5043.7</v>
      </c>
      <c r="AL100">
        <v>4713.3</v>
      </c>
      <c r="AP100">
        <v>137.30000000000001</v>
      </c>
      <c r="AU100">
        <v>137.30000000000001</v>
      </c>
      <c r="AV100">
        <v>1397.5</v>
      </c>
      <c r="AW100">
        <v>1336.5</v>
      </c>
      <c r="AY100">
        <v>303.8</v>
      </c>
      <c r="BA100">
        <v>435</v>
      </c>
      <c r="BB100">
        <v>3472.8</v>
      </c>
      <c r="BI100">
        <v>0</v>
      </c>
      <c r="BK100">
        <v>27</v>
      </c>
      <c r="BO100">
        <v>1076.2</v>
      </c>
      <c r="BP100">
        <v>1103.2</v>
      </c>
      <c r="BW100">
        <v>0</v>
      </c>
      <c r="CD100">
        <v>0</v>
      </c>
      <c r="CE100">
        <v>1397.5</v>
      </c>
      <c r="CF100">
        <v>1500.8</v>
      </c>
      <c r="CG100">
        <v>0</v>
      </c>
      <c r="CH100">
        <v>303.8</v>
      </c>
      <c r="CI100">
        <v>0</v>
      </c>
      <c r="CJ100">
        <v>1511.2</v>
      </c>
      <c r="CK100">
        <v>4713.3</v>
      </c>
      <c r="CM100">
        <v>3</v>
      </c>
      <c r="CR100">
        <v>3</v>
      </c>
      <c r="CS100">
        <v>6</v>
      </c>
      <c r="CT100">
        <v>8</v>
      </c>
      <c r="CV100">
        <v>3</v>
      </c>
      <c r="CX100">
        <v>1</v>
      </c>
      <c r="CY100">
        <v>18</v>
      </c>
      <c r="DF100">
        <v>0</v>
      </c>
      <c r="DH100">
        <v>1</v>
      </c>
      <c r="DL100">
        <v>3</v>
      </c>
      <c r="DM100">
        <v>4</v>
      </c>
      <c r="DT100">
        <v>0</v>
      </c>
      <c r="EA100">
        <v>0</v>
      </c>
      <c r="EB100">
        <v>6</v>
      </c>
      <c r="EC100">
        <v>12</v>
      </c>
      <c r="ED100">
        <v>0</v>
      </c>
      <c r="EE100">
        <v>3</v>
      </c>
      <c r="EF100">
        <v>0</v>
      </c>
      <c r="EG100">
        <v>4</v>
      </c>
      <c r="EH100">
        <v>25</v>
      </c>
      <c r="EI100" t="s">
        <v>404</v>
      </c>
      <c r="EJ100" t="s">
        <v>405</v>
      </c>
      <c r="EK100" t="s">
        <v>404</v>
      </c>
      <c r="EL100" t="s">
        <v>404</v>
      </c>
      <c r="EM100" t="s">
        <v>404</v>
      </c>
      <c r="EN100" t="s">
        <v>404</v>
      </c>
      <c r="EO100" t="s">
        <v>405</v>
      </c>
      <c r="EP100" t="s">
        <v>405</v>
      </c>
      <c r="EQ100" t="s">
        <v>404</v>
      </c>
      <c r="ER100" t="s">
        <v>405</v>
      </c>
      <c r="ES100" t="s">
        <v>404</v>
      </c>
      <c r="ET100" t="s">
        <v>405</v>
      </c>
      <c r="EU100" t="s">
        <v>404</v>
      </c>
      <c r="EV100" t="s">
        <v>404</v>
      </c>
      <c r="EW100" t="s">
        <v>404</v>
      </c>
      <c r="EX100" t="s">
        <v>404</v>
      </c>
      <c r="EY100" t="s">
        <v>404</v>
      </c>
      <c r="EZ100" t="s">
        <v>404</v>
      </c>
      <c r="FA100" t="s">
        <v>404</v>
      </c>
      <c r="FB100" t="s">
        <v>405</v>
      </c>
      <c r="FC100" t="s">
        <v>404</v>
      </c>
      <c r="FD100" t="s">
        <v>404</v>
      </c>
      <c r="FE100" t="s">
        <v>404</v>
      </c>
      <c r="FF100" t="s">
        <v>405</v>
      </c>
      <c r="FG100" t="s">
        <v>404</v>
      </c>
      <c r="FH100" t="s">
        <v>404</v>
      </c>
      <c r="FI100" t="s">
        <v>404</v>
      </c>
      <c r="FJ100" t="s">
        <v>404</v>
      </c>
      <c r="FK100" t="s">
        <v>404</v>
      </c>
      <c r="FL100" t="s">
        <v>404</v>
      </c>
      <c r="FM100" t="s">
        <v>404</v>
      </c>
      <c r="FN100" t="s">
        <v>404</v>
      </c>
      <c r="FO100" t="s">
        <v>404</v>
      </c>
      <c r="FP100" t="s">
        <v>404</v>
      </c>
      <c r="FQ100" t="s">
        <v>404</v>
      </c>
      <c r="FR100" t="s">
        <v>404</v>
      </c>
      <c r="FS100">
        <v>398.8</v>
      </c>
      <c r="FT100">
        <v>100.5</v>
      </c>
      <c r="FV100">
        <v>37</v>
      </c>
      <c r="FX100">
        <v>100.2</v>
      </c>
      <c r="FY100">
        <v>636.5</v>
      </c>
      <c r="FZ100">
        <v>807.7</v>
      </c>
      <c r="GA100">
        <v>1294</v>
      </c>
      <c r="GC100">
        <v>37.799999999999997</v>
      </c>
      <c r="GE100">
        <v>635</v>
      </c>
      <c r="GF100">
        <v>2774.5</v>
      </c>
      <c r="GM100">
        <v>0</v>
      </c>
      <c r="GT100">
        <v>0</v>
      </c>
      <c r="GU100">
        <v>50</v>
      </c>
      <c r="HA100">
        <v>50</v>
      </c>
      <c r="HH100">
        <v>0</v>
      </c>
      <c r="HI100">
        <v>11.1</v>
      </c>
      <c r="HO100">
        <v>11.1</v>
      </c>
      <c r="HP100" t="s">
        <v>1144</v>
      </c>
      <c r="HQ100">
        <v>130</v>
      </c>
      <c r="HR100">
        <v>106.3</v>
      </c>
      <c r="HT100">
        <v>229</v>
      </c>
      <c r="HV100">
        <v>776</v>
      </c>
      <c r="HW100">
        <v>1241.3</v>
      </c>
      <c r="HX100">
        <v>1397.6</v>
      </c>
      <c r="HY100">
        <v>1500.8</v>
      </c>
      <c r="HZ100">
        <v>0</v>
      </c>
      <c r="IA100">
        <v>303.8</v>
      </c>
      <c r="IB100">
        <v>0</v>
      </c>
      <c r="IC100">
        <v>1511.2</v>
      </c>
      <c r="ID100">
        <v>4713.3999999999996</v>
      </c>
      <c r="IE100">
        <v>277</v>
      </c>
      <c r="IF100">
        <v>76.2</v>
      </c>
      <c r="IH100">
        <v>91.8</v>
      </c>
      <c r="IJ100">
        <v>776</v>
      </c>
      <c r="IK100">
        <v>1221</v>
      </c>
      <c r="IL100">
        <v>1020.5</v>
      </c>
      <c r="IM100">
        <v>1359.6</v>
      </c>
      <c r="IO100">
        <v>212</v>
      </c>
      <c r="IQ100">
        <v>735.2</v>
      </c>
      <c r="IR100">
        <v>3327.3</v>
      </c>
      <c r="IS100">
        <v>100</v>
      </c>
      <c r="IT100">
        <v>65</v>
      </c>
      <c r="IY100">
        <v>165</v>
      </c>
      <c r="JF100">
        <v>0</v>
      </c>
      <c r="JM100">
        <v>0</v>
      </c>
      <c r="JN100">
        <v>1397.5</v>
      </c>
      <c r="JO100">
        <v>1500.8</v>
      </c>
      <c r="JP100">
        <v>0</v>
      </c>
      <c r="JQ100">
        <v>303.8</v>
      </c>
      <c r="JR100">
        <v>0</v>
      </c>
      <c r="JS100">
        <v>1511.2</v>
      </c>
      <c r="JT100">
        <v>4713.3</v>
      </c>
      <c r="JW100">
        <v>100</v>
      </c>
      <c r="JZ100">
        <v>3</v>
      </c>
      <c r="KA100">
        <v>3</v>
      </c>
      <c r="KB100">
        <v>1</v>
      </c>
      <c r="KC100" t="s">
        <v>407</v>
      </c>
      <c r="KJ100">
        <v>0</v>
      </c>
      <c r="KL100">
        <v>31</v>
      </c>
      <c r="KQ100">
        <v>31</v>
      </c>
      <c r="KX100">
        <v>0</v>
      </c>
      <c r="LE100">
        <v>0</v>
      </c>
      <c r="LL100">
        <v>0</v>
      </c>
      <c r="LS100">
        <v>0</v>
      </c>
      <c r="LZ100">
        <v>0</v>
      </c>
      <c r="MA100" t="s">
        <v>1145</v>
      </c>
      <c r="MB100">
        <v>106.3</v>
      </c>
      <c r="MH100">
        <v>106.3</v>
      </c>
      <c r="MI100">
        <v>106.3</v>
      </c>
      <c r="MJ100">
        <v>31</v>
      </c>
      <c r="MK100">
        <v>0</v>
      </c>
      <c r="ML100">
        <v>0</v>
      </c>
      <c r="MM100">
        <v>0</v>
      </c>
      <c r="MN100">
        <v>0</v>
      </c>
      <c r="MO100">
        <v>137.30000000000001</v>
      </c>
      <c r="MP100">
        <v>88.1</v>
      </c>
      <c r="MV100">
        <v>88.1</v>
      </c>
      <c r="MW100">
        <v>18.2</v>
      </c>
      <c r="MX100">
        <v>31</v>
      </c>
      <c r="NC100">
        <v>49.2</v>
      </c>
      <c r="NJ100">
        <v>0</v>
      </c>
      <c r="NQ100">
        <v>0</v>
      </c>
      <c r="NX100">
        <v>0</v>
      </c>
      <c r="NY100">
        <v>106.3</v>
      </c>
      <c r="NZ100">
        <v>31</v>
      </c>
      <c r="OA100">
        <v>0</v>
      </c>
      <c r="OB100">
        <v>0</v>
      </c>
      <c r="OC100">
        <v>0</v>
      </c>
      <c r="OD100">
        <v>0</v>
      </c>
      <c r="OE100">
        <v>137.30000000000001</v>
      </c>
      <c r="OF100" t="s">
        <v>408</v>
      </c>
      <c r="OG100">
        <v>398.8</v>
      </c>
      <c r="OH100">
        <v>100.5</v>
      </c>
      <c r="OJ100">
        <v>37</v>
      </c>
      <c r="OL100">
        <v>10</v>
      </c>
      <c r="OM100">
        <v>546.29999999999995</v>
      </c>
      <c r="ON100">
        <v>845.5</v>
      </c>
      <c r="OO100">
        <v>1236</v>
      </c>
      <c r="OS100">
        <v>425</v>
      </c>
      <c r="OT100">
        <v>2506.5</v>
      </c>
      <c r="PA100">
        <v>0</v>
      </c>
      <c r="PH100">
        <v>0</v>
      </c>
      <c r="PI100">
        <v>50</v>
      </c>
      <c r="PO100">
        <v>50</v>
      </c>
      <c r="PV100">
        <v>0</v>
      </c>
      <c r="PW100">
        <v>11.1</v>
      </c>
      <c r="QC100">
        <v>11.1</v>
      </c>
      <c r="QD100" t="s">
        <v>1145</v>
      </c>
      <c r="QE100">
        <v>130</v>
      </c>
      <c r="QH100">
        <v>229</v>
      </c>
      <c r="QK100">
        <v>359</v>
      </c>
      <c r="QL100">
        <v>1435.4</v>
      </c>
      <c r="QM100">
        <v>1336.5</v>
      </c>
      <c r="QN100">
        <v>0</v>
      </c>
      <c r="QO100">
        <v>266</v>
      </c>
      <c r="QP100">
        <v>0</v>
      </c>
      <c r="QQ100">
        <v>435</v>
      </c>
      <c r="QR100">
        <v>3472.9</v>
      </c>
      <c r="QS100">
        <v>1020.5</v>
      </c>
      <c r="QT100">
        <v>1271.5</v>
      </c>
      <c r="QV100">
        <v>212</v>
      </c>
      <c r="QX100">
        <v>435</v>
      </c>
      <c r="QY100">
        <v>2939</v>
      </c>
      <c r="QZ100">
        <v>314.8</v>
      </c>
      <c r="RC100">
        <v>54</v>
      </c>
      <c r="RF100">
        <v>368.8</v>
      </c>
      <c r="RG100">
        <v>100</v>
      </c>
      <c r="RH100">
        <v>65</v>
      </c>
      <c r="RM100">
        <v>165</v>
      </c>
      <c r="RT100">
        <v>0</v>
      </c>
      <c r="SA100">
        <v>0</v>
      </c>
      <c r="SB100">
        <v>1435.3</v>
      </c>
      <c r="SC100">
        <v>1336.5</v>
      </c>
      <c r="SD100">
        <v>0</v>
      </c>
      <c r="SE100">
        <v>266</v>
      </c>
      <c r="SF100">
        <v>0</v>
      </c>
      <c r="SG100">
        <v>435</v>
      </c>
      <c r="SH100">
        <v>3472.8</v>
      </c>
      <c r="SI100" t="s">
        <v>409</v>
      </c>
      <c r="WL100" t="s">
        <v>410</v>
      </c>
      <c r="WR100">
        <v>90.2</v>
      </c>
      <c r="WS100">
        <v>90.2</v>
      </c>
      <c r="WU100">
        <v>27</v>
      </c>
      <c r="WY100">
        <v>210</v>
      </c>
      <c r="WZ100">
        <v>237</v>
      </c>
      <c r="XG100">
        <v>0</v>
      </c>
      <c r="XN100">
        <v>0</v>
      </c>
      <c r="XU100">
        <v>0</v>
      </c>
      <c r="YB100">
        <v>0</v>
      </c>
      <c r="YI100">
        <v>0</v>
      </c>
      <c r="YJ100" t="s">
        <v>1074</v>
      </c>
      <c r="YP100">
        <v>776</v>
      </c>
      <c r="YQ100">
        <v>776</v>
      </c>
      <c r="YR100">
        <v>0</v>
      </c>
      <c r="YS100">
        <v>27</v>
      </c>
      <c r="YT100">
        <v>0</v>
      </c>
      <c r="YU100">
        <v>0</v>
      </c>
      <c r="YV100">
        <v>0</v>
      </c>
      <c r="YW100">
        <v>1076.2</v>
      </c>
      <c r="YX100">
        <v>1103.2</v>
      </c>
      <c r="ZD100">
        <v>300.2</v>
      </c>
      <c r="ZE100">
        <v>300.2</v>
      </c>
      <c r="ZG100">
        <v>27</v>
      </c>
      <c r="ZK100">
        <v>776</v>
      </c>
      <c r="ZL100">
        <v>803</v>
      </c>
      <c r="ZS100">
        <v>0</v>
      </c>
      <c r="ZZ100">
        <v>0</v>
      </c>
      <c r="AAG100">
        <v>0</v>
      </c>
      <c r="AAH100">
        <v>0</v>
      </c>
      <c r="AAI100">
        <v>27</v>
      </c>
      <c r="AAJ100">
        <v>0</v>
      </c>
      <c r="AAK100">
        <v>0</v>
      </c>
      <c r="AAL100">
        <v>0</v>
      </c>
      <c r="AAM100">
        <v>1076.2</v>
      </c>
      <c r="AAN100">
        <v>1103.2</v>
      </c>
      <c r="AAO100" t="s">
        <v>411</v>
      </c>
      <c r="AER100" t="s">
        <v>412</v>
      </c>
    </row>
    <row r="101" spans="1:824" x14ac:dyDescent="0.2">
      <c r="A101" t="s">
        <v>1146</v>
      </c>
      <c r="B101" t="s">
        <v>414</v>
      </c>
      <c r="C101" t="s">
        <v>1147</v>
      </c>
      <c r="P101" t="b">
        <v>1</v>
      </c>
      <c r="Q101" t="b">
        <v>0</v>
      </c>
      <c r="R101" t="b">
        <v>1</v>
      </c>
      <c r="S101" t="b">
        <v>0</v>
      </c>
      <c r="T101" t="b">
        <v>0</v>
      </c>
      <c r="U101" t="b">
        <v>0</v>
      </c>
      <c r="V101">
        <v>660</v>
      </c>
      <c r="W101" s="3">
        <v>43508.763888888891</v>
      </c>
      <c r="X101" t="s">
        <v>1148</v>
      </c>
      <c r="Y101">
        <v>2019</v>
      </c>
      <c r="Z101" t="s">
        <v>1149</v>
      </c>
      <c r="AA101" t="s">
        <v>1147</v>
      </c>
      <c r="AB101" t="s">
        <v>1150</v>
      </c>
      <c r="AC101" t="s">
        <v>1151</v>
      </c>
      <c r="AD101">
        <v>2123597829</v>
      </c>
      <c r="AE101" t="s">
        <v>571</v>
      </c>
      <c r="AF101" t="s">
        <v>538</v>
      </c>
      <c r="AH101">
        <v>1</v>
      </c>
      <c r="AK101">
        <v>439</v>
      </c>
      <c r="AL101">
        <v>439</v>
      </c>
      <c r="AM101">
        <v>295</v>
      </c>
      <c r="AN101">
        <v>295</v>
      </c>
      <c r="AU101">
        <v>0</v>
      </c>
      <c r="AV101">
        <v>295</v>
      </c>
      <c r="BB101">
        <v>295</v>
      </c>
      <c r="BC101">
        <v>144</v>
      </c>
      <c r="BI101">
        <v>144</v>
      </c>
      <c r="BP101">
        <v>0</v>
      </c>
      <c r="BW101">
        <v>0</v>
      </c>
      <c r="CD101">
        <v>0</v>
      </c>
      <c r="CE101">
        <v>439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439</v>
      </c>
      <c r="CR101">
        <v>0</v>
      </c>
      <c r="CS101">
        <v>2</v>
      </c>
      <c r="CY101">
        <v>2</v>
      </c>
      <c r="CZ101">
        <v>1</v>
      </c>
      <c r="DF101">
        <v>1</v>
      </c>
      <c r="DM101">
        <v>0</v>
      </c>
      <c r="DT101">
        <v>0</v>
      </c>
      <c r="EA101">
        <v>0</v>
      </c>
      <c r="EB101">
        <v>3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3</v>
      </c>
      <c r="EI101" t="s">
        <v>404</v>
      </c>
      <c r="EJ101" t="s">
        <v>404</v>
      </c>
      <c r="EK101" t="s">
        <v>404</v>
      </c>
      <c r="EL101" t="s">
        <v>404</v>
      </c>
      <c r="EM101" t="s">
        <v>404</v>
      </c>
      <c r="EN101" t="s">
        <v>404</v>
      </c>
      <c r="EO101" t="s">
        <v>405</v>
      </c>
      <c r="EP101" t="s">
        <v>404</v>
      </c>
      <c r="EQ101" t="s">
        <v>404</v>
      </c>
      <c r="ER101" t="s">
        <v>404</v>
      </c>
      <c r="ES101" t="s">
        <v>404</v>
      </c>
      <c r="ET101" t="s">
        <v>404</v>
      </c>
      <c r="EU101" t="s">
        <v>405</v>
      </c>
      <c r="EV101" t="s">
        <v>404</v>
      </c>
      <c r="EW101" t="s">
        <v>404</v>
      </c>
      <c r="EX101" t="s">
        <v>404</v>
      </c>
      <c r="EY101" t="s">
        <v>404</v>
      </c>
      <c r="EZ101" t="s">
        <v>404</v>
      </c>
      <c r="FA101" t="s">
        <v>404</v>
      </c>
      <c r="FB101" t="s">
        <v>404</v>
      </c>
      <c r="FC101" t="s">
        <v>404</v>
      </c>
      <c r="FD101" t="s">
        <v>404</v>
      </c>
      <c r="FE101" t="s">
        <v>404</v>
      </c>
      <c r="FF101" t="s">
        <v>404</v>
      </c>
      <c r="FG101" t="s">
        <v>404</v>
      </c>
      <c r="FH101" t="s">
        <v>404</v>
      </c>
      <c r="FI101" t="s">
        <v>404</v>
      </c>
      <c r="FJ101" t="s">
        <v>404</v>
      </c>
      <c r="FK101" t="s">
        <v>404</v>
      </c>
      <c r="FL101" t="s">
        <v>404</v>
      </c>
      <c r="FM101" t="s">
        <v>404</v>
      </c>
      <c r="FN101" t="s">
        <v>404</v>
      </c>
      <c r="FO101" t="s">
        <v>404</v>
      </c>
      <c r="FP101" t="s">
        <v>404</v>
      </c>
      <c r="FQ101" t="s">
        <v>404</v>
      </c>
      <c r="FR101" t="s">
        <v>404</v>
      </c>
      <c r="FS101">
        <v>147.6</v>
      </c>
      <c r="FY101">
        <v>147.6</v>
      </c>
      <c r="FZ101">
        <v>51</v>
      </c>
      <c r="GF101">
        <v>51</v>
      </c>
      <c r="GG101">
        <v>100</v>
      </c>
      <c r="GM101">
        <v>100</v>
      </c>
      <c r="GN101">
        <v>0</v>
      </c>
      <c r="GT101">
        <v>0</v>
      </c>
      <c r="GU101">
        <v>18.3</v>
      </c>
      <c r="HA101">
        <v>18.3</v>
      </c>
      <c r="HB101">
        <v>106.9</v>
      </c>
      <c r="HH101">
        <v>106.9</v>
      </c>
      <c r="HI101">
        <v>10.8</v>
      </c>
      <c r="HO101">
        <v>10.8</v>
      </c>
      <c r="HP101" t="s">
        <v>1152</v>
      </c>
      <c r="HQ101">
        <v>4.4000000000000004</v>
      </c>
      <c r="HW101">
        <v>4.4000000000000004</v>
      </c>
      <c r="HX101">
        <v>439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439</v>
      </c>
      <c r="IE101">
        <v>148.30000000000001</v>
      </c>
      <c r="IK101">
        <v>148.30000000000001</v>
      </c>
      <c r="IL101">
        <v>97.4</v>
      </c>
      <c r="IR101">
        <v>97.4</v>
      </c>
      <c r="IS101">
        <v>193.3</v>
      </c>
      <c r="IY101">
        <v>193.3</v>
      </c>
      <c r="JF101">
        <v>0</v>
      </c>
      <c r="JM101">
        <v>0</v>
      </c>
      <c r="JN101">
        <v>439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439</v>
      </c>
      <c r="JU101">
        <v>19</v>
      </c>
      <c r="JW101">
        <v>81</v>
      </c>
      <c r="JZ101">
        <v>1</v>
      </c>
      <c r="KA101">
        <v>3</v>
      </c>
      <c r="KB101">
        <v>2</v>
      </c>
      <c r="KC101" t="s">
        <v>407</v>
      </c>
      <c r="OF101" t="s">
        <v>408</v>
      </c>
      <c r="SI101" t="s">
        <v>409</v>
      </c>
      <c r="WL101" t="s">
        <v>410</v>
      </c>
      <c r="AAO101" t="s">
        <v>411</v>
      </c>
      <c r="AER101" t="s">
        <v>412</v>
      </c>
    </row>
    <row r="102" spans="1:824" x14ac:dyDescent="0.2">
      <c r="A102" t="s">
        <v>1153</v>
      </c>
      <c r="B102" t="s">
        <v>396</v>
      </c>
      <c r="C102" t="s">
        <v>1154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>
        <v>702</v>
      </c>
      <c r="W102" s="3">
        <v>43504.439583333333</v>
      </c>
      <c r="X102" t="s">
        <v>1155</v>
      </c>
      <c r="Y102">
        <v>2019</v>
      </c>
      <c r="Z102" t="s">
        <v>1156</v>
      </c>
      <c r="AA102" t="s">
        <v>1157</v>
      </c>
      <c r="AB102" t="s">
        <v>1158</v>
      </c>
      <c r="AC102" t="s">
        <v>1159</v>
      </c>
      <c r="AD102">
        <v>491724284435</v>
      </c>
      <c r="AE102" t="s">
        <v>444</v>
      </c>
      <c r="AF102" t="s">
        <v>403</v>
      </c>
      <c r="AH102">
        <v>1</v>
      </c>
      <c r="AK102">
        <v>177</v>
      </c>
      <c r="AL102">
        <v>177</v>
      </c>
      <c r="AM102">
        <v>175</v>
      </c>
      <c r="AN102">
        <v>175</v>
      </c>
      <c r="AU102">
        <v>0</v>
      </c>
      <c r="AV102">
        <v>120</v>
      </c>
      <c r="AX102">
        <v>57</v>
      </c>
      <c r="BB102">
        <v>177</v>
      </c>
      <c r="BI102">
        <v>0</v>
      </c>
      <c r="BP102">
        <v>0</v>
      </c>
      <c r="BW102">
        <v>0</v>
      </c>
      <c r="CD102">
        <v>0</v>
      </c>
      <c r="CE102">
        <v>120</v>
      </c>
      <c r="CF102">
        <v>0</v>
      </c>
      <c r="CG102">
        <v>57</v>
      </c>
      <c r="CH102">
        <v>0</v>
      </c>
      <c r="CI102">
        <v>0</v>
      </c>
      <c r="CJ102">
        <v>0</v>
      </c>
      <c r="CK102">
        <v>177</v>
      </c>
      <c r="CR102">
        <v>0</v>
      </c>
      <c r="CS102">
        <v>1</v>
      </c>
      <c r="CU102">
        <v>1</v>
      </c>
      <c r="CY102">
        <v>2</v>
      </c>
      <c r="DF102">
        <v>0</v>
      </c>
      <c r="DM102">
        <v>0</v>
      </c>
      <c r="DT102">
        <v>0</v>
      </c>
      <c r="EA102">
        <v>0</v>
      </c>
      <c r="EB102">
        <v>1</v>
      </c>
      <c r="EC102">
        <v>0</v>
      </c>
      <c r="ED102">
        <v>1</v>
      </c>
      <c r="EE102">
        <v>0</v>
      </c>
      <c r="EF102">
        <v>0</v>
      </c>
      <c r="EG102">
        <v>0</v>
      </c>
      <c r="EH102">
        <v>2</v>
      </c>
      <c r="EI102" t="s">
        <v>404</v>
      </c>
      <c r="EJ102" t="s">
        <v>404</v>
      </c>
      <c r="EK102" t="s">
        <v>404</v>
      </c>
      <c r="EL102" t="s">
        <v>404</v>
      </c>
      <c r="EM102" t="s">
        <v>404</v>
      </c>
      <c r="EN102" t="s">
        <v>404</v>
      </c>
      <c r="EO102" t="s">
        <v>405</v>
      </c>
      <c r="EP102" t="s">
        <v>404</v>
      </c>
      <c r="EQ102" t="s">
        <v>405</v>
      </c>
      <c r="ER102" t="s">
        <v>404</v>
      </c>
      <c r="ES102" t="s">
        <v>404</v>
      </c>
      <c r="ET102" t="s">
        <v>404</v>
      </c>
      <c r="EU102" t="s">
        <v>404</v>
      </c>
      <c r="EV102" t="s">
        <v>404</v>
      </c>
      <c r="EW102" t="s">
        <v>404</v>
      </c>
      <c r="EX102" t="s">
        <v>404</v>
      </c>
      <c r="EY102" t="s">
        <v>404</v>
      </c>
      <c r="EZ102" t="s">
        <v>404</v>
      </c>
      <c r="FA102" t="s">
        <v>404</v>
      </c>
      <c r="FB102" t="s">
        <v>404</v>
      </c>
      <c r="FC102" t="s">
        <v>404</v>
      </c>
      <c r="FD102" t="s">
        <v>404</v>
      </c>
      <c r="FE102" t="s">
        <v>404</v>
      </c>
      <c r="FF102" t="s">
        <v>404</v>
      </c>
      <c r="FG102" t="s">
        <v>404</v>
      </c>
      <c r="FH102" t="s">
        <v>404</v>
      </c>
      <c r="FI102" t="s">
        <v>404</v>
      </c>
      <c r="FJ102" t="s">
        <v>404</v>
      </c>
      <c r="FK102" t="s">
        <v>404</v>
      </c>
      <c r="FL102" t="s">
        <v>404</v>
      </c>
      <c r="FM102" t="s">
        <v>404</v>
      </c>
      <c r="FN102" t="s">
        <v>404</v>
      </c>
      <c r="FO102" t="s">
        <v>404</v>
      </c>
      <c r="FP102" t="s">
        <v>404</v>
      </c>
      <c r="FQ102" t="s">
        <v>404</v>
      </c>
      <c r="FR102" t="s">
        <v>404</v>
      </c>
      <c r="FY102">
        <v>0</v>
      </c>
      <c r="FZ102">
        <v>120</v>
      </c>
      <c r="GB102">
        <v>57</v>
      </c>
      <c r="GF102">
        <v>177</v>
      </c>
      <c r="GM102">
        <v>0</v>
      </c>
      <c r="GT102">
        <v>0</v>
      </c>
      <c r="HA102">
        <v>0</v>
      </c>
      <c r="HH102">
        <v>0</v>
      </c>
      <c r="HO102">
        <v>0</v>
      </c>
      <c r="HW102">
        <v>0</v>
      </c>
      <c r="HX102">
        <v>120</v>
      </c>
      <c r="HY102">
        <v>0</v>
      </c>
      <c r="HZ102">
        <v>57</v>
      </c>
      <c r="IA102">
        <v>0</v>
      </c>
      <c r="IB102">
        <v>0</v>
      </c>
      <c r="IC102">
        <v>0</v>
      </c>
      <c r="ID102">
        <v>177</v>
      </c>
      <c r="IK102">
        <v>0</v>
      </c>
      <c r="IL102">
        <v>120</v>
      </c>
      <c r="IN102">
        <v>57</v>
      </c>
      <c r="IR102">
        <v>177</v>
      </c>
      <c r="IY102">
        <v>0</v>
      </c>
      <c r="JF102">
        <v>0</v>
      </c>
      <c r="JM102">
        <v>0</v>
      </c>
      <c r="JN102">
        <v>120</v>
      </c>
      <c r="JO102">
        <v>0</v>
      </c>
      <c r="JP102">
        <v>57</v>
      </c>
      <c r="JQ102">
        <v>0</v>
      </c>
      <c r="JR102">
        <v>0</v>
      </c>
      <c r="JS102">
        <v>0</v>
      </c>
      <c r="JT102">
        <v>177</v>
      </c>
      <c r="JU102">
        <v>100</v>
      </c>
      <c r="JZ102">
        <v>1</v>
      </c>
      <c r="KA102">
        <v>3</v>
      </c>
      <c r="KB102">
        <v>1</v>
      </c>
      <c r="KC102" t="s">
        <v>407</v>
      </c>
      <c r="OF102" t="s">
        <v>408</v>
      </c>
      <c r="SI102" t="s">
        <v>409</v>
      </c>
      <c r="WL102" t="s">
        <v>410</v>
      </c>
      <c r="AAO102" t="s">
        <v>411</v>
      </c>
      <c r="AER102" t="s">
        <v>412</v>
      </c>
    </row>
    <row r="103" spans="1:824" x14ac:dyDescent="0.2">
      <c r="A103" t="s">
        <v>1160</v>
      </c>
      <c r="B103" t="s">
        <v>396</v>
      </c>
      <c r="C103" t="s">
        <v>1161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>
        <v>761</v>
      </c>
      <c r="W103" s="3">
        <v>43515.688888888886</v>
      </c>
      <c r="X103" t="s">
        <v>1162</v>
      </c>
      <c r="Y103">
        <v>2019</v>
      </c>
      <c r="Z103" t="s">
        <v>1163</v>
      </c>
      <c r="AA103" t="s">
        <v>1164</v>
      </c>
      <c r="AB103" t="s">
        <v>1165</v>
      </c>
      <c r="AC103" t="s">
        <v>1166</v>
      </c>
      <c r="AD103">
        <v>49693535630230</v>
      </c>
      <c r="AE103" t="s">
        <v>1073</v>
      </c>
      <c r="AF103" t="s">
        <v>403</v>
      </c>
      <c r="AH103">
        <v>1</v>
      </c>
      <c r="AK103">
        <v>700</v>
      </c>
      <c r="AL103">
        <v>700</v>
      </c>
      <c r="AM103">
        <v>570</v>
      </c>
      <c r="AN103">
        <v>570</v>
      </c>
      <c r="AU103">
        <v>0</v>
      </c>
      <c r="AW103">
        <v>340</v>
      </c>
      <c r="AY103">
        <v>300</v>
      </c>
      <c r="BA103">
        <v>110</v>
      </c>
      <c r="BB103">
        <v>750</v>
      </c>
      <c r="BI103">
        <v>0</v>
      </c>
      <c r="BP103">
        <v>0</v>
      </c>
      <c r="BW103">
        <v>0</v>
      </c>
      <c r="CD103">
        <v>0</v>
      </c>
      <c r="CE103">
        <v>0</v>
      </c>
      <c r="CF103">
        <v>340</v>
      </c>
      <c r="CG103">
        <v>0</v>
      </c>
      <c r="CH103">
        <v>300</v>
      </c>
      <c r="CI103">
        <v>0</v>
      </c>
      <c r="CJ103">
        <v>110</v>
      </c>
      <c r="CK103">
        <v>750</v>
      </c>
      <c r="CR103">
        <v>0</v>
      </c>
      <c r="CT103">
        <v>4</v>
      </c>
      <c r="CV103">
        <v>14</v>
      </c>
      <c r="CX103">
        <v>3</v>
      </c>
      <c r="CY103">
        <v>21</v>
      </c>
      <c r="DF103">
        <v>0</v>
      </c>
      <c r="DM103">
        <v>0</v>
      </c>
      <c r="DT103">
        <v>0</v>
      </c>
      <c r="EA103">
        <v>0</v>
      </c>
      <c r="EB103">
        <v>0</v>
      </c>
      <c r="EC103">
        <v>4</v>
      </c>
      <c r="ED103">
        <v>0</v>
      </c>
      <c r="EE103">
        <v>14</v>
      </c>
      <c r="EF103">
        <v>0</v>
      </c>
      <c r="EG103">
        <v>3</v>
      </c>
      <c r="EH103">
        <v>21</v>
      </c>
      <c r="EI103" t="s">
        <v>404</v>
      </c>
      <c r="EJ103" t="s">
        <v>404</v>
      </c>
      <c r="EK103" t="s">
        <v>404</v>
      </c>
      <c r="EL103" t="s">
        <v>404</v>
      </c>
      <c r="EM103" t="s">
        <v>404</v>
      </c>
      <c r="EN103" t="s">
        <v>404</v>
      </c>
      <c r="EO103" t="s">
        <v>404</v>
      </c>
      <c r="EP103" t="s">
        <v>405</v>
      </c>
      <c r="EQ103" t="s">
        <v>404</v>
      </c>
      <c r="ER103" t="s">
        <v>405</v>
      </c>
      <c r="ES103" t="s">
        <v>404</v>
      </c>
      <c r="ET103" t="s">
        <v>405</v>
      </c>
      <c r="EU103" t="s">
        <v>404</v>
      </c>
      <c r="EV103" t="s">
        <v>404</v>
      </c>
      <c r="EW103" t="s">
        <v>404</v>
      </c>
      <c r="EX103" t="s">
        <v>404</v>
      </c>
      <c r="EY103" t="s">
        <v>404</v>
      </c>
      <c r="EZ103" t="s">
        <v>404</v>
      </c>
      <c r="FA103" t="s">
        <v>404</v>
      </c>
      <c r="FB103" t="s">
        <v>404</v>
      </c>
      <c r="FC103" t="s">
        <v>404</v>
      </c>
      <c r="FD103" t="s">
        <v>404</v>
      </c>
      <c r="FE103" t="s">
        <v>404</v>
      </c>
      <c r="FF103" t="s">
        <v>404</v>
      </c>
      <c r="FG103" t="s">
        <v>404</v>
      </c>
      <c r="FH103" t="s">
        <v>404</v>
      </c>
      <c r="FI103" t="s">
        <v>404</v>
      </c>
      <c r="FJ103" t="s">
        <v>404</v>
      </c>
      <c r="FK103" t="s">
        <v>404</v>
      </c>
      <c r="FL103" t="s">
        <v>404</v>
      </c>
      <c r="FM103" t="s">
        <v>404</v>
      </c>
      <c r="FN103" t="s">
        <v>404</v>
      </c>
      <c r="FO103" t="s">
        <v>404</v>
      </c>
      <c r="FP103" t="s">
        <v>404</v>
      </c>
      <c r="FQ103" t="s">
        <v>404</v>
      </c>
      <c r="FR103" t="s">
        <v>404</v>
      </c>
      <c r="FT103">
        <v>280</v>
      </c>
      <c r="FV103">
        <v>70</v>
      </c>
      <c r="FX103">
        <v>40</v>
      </c>
      <c r="FY103">
        <v>390</v>
      </c>
      <c r="GA103">
        <v>60</v>
      </c>
      <c r="GC103">
        <v>80</v>
      </c>
      <c r="GE103">
        <v>50</v>
      </c>
      <c r="GF103">
        <v>190</v>
      </c>
      <c r="GM103">
        <v>0</v>
      </c>
      <c r="GT103">
        <v>0</v>
      </c>
      <c r="GZ103">
        <v>20</v>
      </c>
      <c r="HA103">
        <v>20</v>
      </c>
      <c r="HH103">
        <v>0</v>
      </c>
      <c r="HL103">
        <v>150</v>
      </c>
      <c r="HO103">
        <v>150</v>
      </c>
      <c r="HW103">
        <v>0</v>
      </c>
      <c r="HX103">
        <v>0</v>
      </c>
      <c r="HY103">
        <v>340</v>
      </c>
      <c r="HZ103">
        <v>0</v>
      </c>
      <c r="IA103">
        <v>300</v>
      </c>
      <c r="IB103">
        <v>0</v>
      </c>
      <c r="IC103">
        <v>110</v>
      </c>
      <c r="ID103">
        <v>750</v>
      </c>
      <c r="IK103">
        <v>0</v>
      </c>
      <c r="IM103">
        <v>340</v>
      </c>
      <c r="IO103">
        <v>300</v>
      </c>
      <c r="IQ103">
        <v>110</v>
      </c>
      <c r="IR103">
        <v>750</v>
      </c>
      <c r="IY103">
        <v>0</v>
      </c>
      <c r="JF103">
        <v>0</v>
      </c>
      <c r="JM103">
        <v>0</v>
      </c>
      <c r="JN103">
        <v>0</v>
      </c>
      <c r="JO103">
        <v>340</v>
      </c>
      <c r="JP103">
        <v>0</v>
      </c>
      <c r="JQ103">
        <v>300</v>
      </c>
      <c r="JR103">
        <v>0</v>
      </c>
      <c r="JS103">
        <v>110</v>
      </c>
      <c r="JT103">
        <v>750</v>
      </c>
      <c r="JW103">
        <v>100</v>
      </c>
      <c r="JZ103">
        <v>1</v>
      </c>
      <c r="KA103">
        <v>3</v>
      </c>
      <c r="KB103">
        <v>2</v>
      </c>
      <c r="KC103" t="s">
        <v>407</v>
      </c>
      <c r="OF103" t="s">
        <v>408</v>
      </c>
      <c r="SI103" t="s">
        <v>409</v>
      </c>
      <c r="WL103" t="s">
        <v>410</v>
      </c>
      <c r="AAO103" t="s">
        <v>411</v>
      </c>
      <c r="AER103" t="s">
        <v>412</v>
      </c>
    </row>
    <row r="104" spans="1:824" x14ac:dyDescent="0.2">
      <c r="A104" t="s">
        <v>1167</v>
      </c>
      <c r="B104" t="s">
        <v>563</v>
      </c>
      <c r="C104" t="s">
        <v>1168</v>
      </c>
      <c r="P104" t="b">
        <v>0</v>
      </c>
      <c r="Q104" t="b">
        <v>0</v>
      </c>
      <c r="R104" t="b">
        <v>1</v>
      </c>
      <c r="S104" t="b">
        <v>0</v>
      </c>
      <c r="T104" t="b">
        <v>0</v>
      </c>
      <c r="U104" t="b">
        <v>0</v>
      </c>
      <c r="V104">
        <v>661</v>
      </c>
      <c r="W104" s="3">
        <v>43493.82708333333</v>
      </c>
      <c r="X104" t="s">
        <v>1169</v>
      </c>
      <c r="Y104">
        <v>2019</v>
      </c>
      <c r="Z104" t="s">
        <v>1170</v>
      </c>
      <c r="AA104" t="s">
        <v>1171</v>
      </c>
      <c r="AB104" t="s">
        <v>1172</v>
      </c>
      <c r="AC104" t="s">
        <v>1173</v>
      </c>
      <c r="AD104">
        <v>3124772497</v>
      </c>
      <c r="AE104" t="s">
        <v>571</v>
      </c>
      <c r="AF104" t="s">
        <v>538</v>
      </c>
      <c r="AH104">
        <v>1</v>
      </c>
      <c r="AK104">
        <v>453</v>
      </c>
      <c r="AL104">
        <v>453</v>
      </c>
      <c r="AM104">
        <v>453</v>
      </c>
      <c r="AN104">
        <v>186</v>
      </c>
      <c r="AU104">
        <v>0</v>
      </c>
      <c r="BB104">
        <v>0</v>
      </c>
      <c r="BC104">
        <v>328</v>
      </c>
      <c r="BD104">
        <v>75</v>
      </c>
      <c r="BF104">
        <v>50</v>
      </c>
      <c r="BI104">
        <v>453</v>
      </c>
      <c r="BP104">
        <v>0</v>
      </c>
      <c r="BW104">
        <v>0</v>
      </c>
      <c r="CD104">
        <v>0</v>
      </c>
      <c r="CE104">
        <v>328</v>
      </c>
      <c r="CF104">
        <v>75</v>
      </c>
      <c r="CG104">
        <v>0</v>
      </c>
      <c r="CH104">
        <v>50</v>
      </c>
      <c r="CI104">
        <v>0</v>
      </c>
      <c r="CJ104">
        <v>0</v>
      </c>
      <c r="CK104">
        <v>453</v>
      </c>
      <c r="CR104">
        <v>0</v>
      </c>
      <c r="CY104">
        <v>0</v>
      </c>
      <c r="CZ104">
        <v>1</v>
      </c>
      <c r="DA104">
        <v>1</v>
      </c>
      <c r="DC104">
        <v>3</v>
      </c>
      <c r="DF104">
        <v>5</v>
      </c>
      <c r="DM104">
        <v>0</v>
      </c>
      <c r="DT104">
        <v>0</v>
      </c>
      <c r="EA104">
        <v>0</v>
      </c>
      <c r="EB104">
        <v>1</v>
      </c>
      <c r="EC104">
        <v>1</v>
      </c>
      <c r="ED104">
        <v>0</v>
      </c>
      <c r="EE104">
        <v>3</v>
      </c>
      <c r="EF104">
        <v>0</v>
      </c>
      <c r="EG104">
        <v>0</v>
      </c>
      <c r="EH104">
        <v>5</v>
      </c>
      <c r="EI104" t="s">
        <v>404</v>
      </c>
      <c r="EJ104" t="s">
        <v>404</v>
      </c>
      <c r="EK104" t="s">
        <v>404</v>
      </c>
      <c r="EL104" t="s">
        <v>404</v>
      </c>
      <c r="EM104" t="s">
        <v>404</v>
      </c>
      <c r="EN104" t="s">
        <v>404</v>
      </c>
      <c r="EO104" t="s">
        <v>404</v>
      </c>
      <c r="EP104" t="s">
        <v>404</v>
      </c>
      <c r="EQ104" t="s">
        <v>404</v>
      </c>
      <c r="ER104" t="s">
        <v>404</v>
      </c>
      <c r="ES104" t="s">
        <v>404</v>
      </c>
      <c r="ET104" t="s">
        <v>404</v>
      </c>
      <c r="EU104" t="s">
        <v>405</v>
      </c>
      <c r="EV104" t="s">
        <v>405</v>
      </c>
      <c r="EW104" t="s">
        <v>404</v>
      </c>
      <c r="EX104" t="s">
        <v>405</v>
      </c>
      <c r="EY104" t="s">
        <v>404</v>
      </c>
      <c r="EZ104" t="s">
        <v>404</v>
      </c>
      <c r="FA104" t="s">
        <v>404</v>
      </c>
      <c r="FB104" t="s">
        <v>404</v>
      </c>
      <c r="FC104" t="s">
        <v>404</v>
      </c>
      <c r="FD104" t="s">
        <v>404</v>
      </c>
      <c r="FE104" t="s">
        <v>404</v>
      </c>
      <c r="FF104" t="s">
        <v>404</v>
      </c>
      <c r="FG104" t="s">
        <v>404</v>
      </c>
      <c r="FH104" t="s">
        <v>404</v>
      </c>
      <c r="FI104" t="s">
        <v>404</v>
      </c>
      <c r="FJ104" t="s">
        <v>404</v>
      </c>
      <c r="FK104" t="s">
        <v>404</v>
      </c>
      <c r="FL104" t="s">
        <v>404</v>
      </c>
      <c r="FM104" t="s">
        <v>404</v>
      </c>
      <c r="FN104" t="s">
        <v>404</v>
      </c>
      <c r="FO104" t="s">
        <v>404</v>
      </c>
      <c r="FP104" t="s">
        <v>404</v>
      </c>
      <c r="FQ104" t="s">
        <v>404</v>
      </c>
      <c r="FR104" t="s">
        <v>404</v>
      </c>
      <c r="FS104">
        <v>125</v>
      </c>
      <c r="FT104">
        <v>75</v>
      </c>
      <c r="FY104">
        <v>200</v>
      </c>
      <c r="FZ104">
        <v>140</v>
      </c>
      <c r="GF104">
        <v>140</v>
      </c>
      <c r="GM104">
        <v>0</v>
      </c>
      <c r="GT104">
        <v>0</v>
      </c>
      <c r="GU104">
        <v>50</v>
      </c>
      <c r="GX104">
        <v>50</v>
      </c>
      <c r="HA104">
        <v>100</v>
      </c>
      <c r="HH104">
        <v>0</v>
      </c>
      <c r="HI104">
        <v>7</v>
      </c>
      <c r="HO104">
        <v>7</v>
      </c>
      <c r="HP104" t="s">
        <v>643</v>
      </c>
      <c r="HQ104">
        <v>6</v>
      </c>
      <c r="HW104">
        <v>6</v>
      </c>
      <c r="HX104">
        <v>328</v>
      </c>
      <c r="HY104">
        <v>75</v>
      </c>
      <c r="HZ104">
        <v>0</v>
      </c>
      <c r="IA104">
        <v>50</v>
      </c>
      <c r="IB104">
        <v>0</v>
      </c>
      <c r="IC104">
        <v>0</v>
      </c>
      <c r="ID104">
        <v>453</v>
      </c>
      <c r="IK104">
        <v>0</v>
      </c>
      <c r="IL104">
        <v>41</v>
      </c>
      <c r="IR104">
        <v>41</v>
      </c>
      <c r="IS104">
        <v>287</v>
      </c>
      <c r="IT104">
        <v>75</v>
      </c>
      <c r="IV104">
        <v>50</v>
      </c>
      <c r="IY104">
        <v>412</v>
      </c>
      <c r="JF104">
        <v>0</v>
      </c>
      <c r="JM104">
        <v>0</v>
      </c>
      <c r="JN104">
        <v>328</v>
      </c>
      <c r="JO104">
        <v>75</v>
      </c>
      <c r="JP104">
        <v>0</v>
      </c>
      <c r="JQ104">
        <v>50</v>
      </c>
      <c r="JR104">
        <v>0</v>
      </c>
      <c r="JS104">
        <v>0</v>
      </c>
      <c r="JT104">
        <v>453</v>
      </c>
      <c r="JW104">
        <v>75</v>
      </c>
      <c r="JX104" t="s">
        <v>1174</v>
      </c>
      <c r="JY104">
        <v>25</v>
      </c>
      <c r="JZ104">
        <v>3</v>
      </c>
      <c r="KA104">
        <v>3</v>
      </c>
      <c r="KB104">
        <v>1</v>
      </c>
      <c r="KC104" t="s">
        <v>407</v>
      </c>
      <c r="OF104" t="s">
        <v>408</v>
      </c>
      <c r="SI104" t="s">
        <v>409</v>
      </c>
      <c r="WL104" t="s">
        <v>410</v>
      </c>
      <c r="AAO104" t="s">
        <v>411</v>
      </c>
      <c r="AER104" t="s">
        <v>412</v>
      </c>
    </row>
    <row r="105" spans="1:824" x14ac:dyDescent="0.2">
      <c r="A105" t="s">
        <v>1175</v>
      </c>
      <c r="B105" t="s">
        <v>563</v>
      </c>
      <c r="C105" t="s">
        <v>1176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b">
        <v>0</v>
      </c>
      <c r="V105">
        <v>614</v>
      </c>
      <c r="W105" s="3">
        <v>43482.814583333333</v>
      </c>
      <c r="X105" t="s">
        <v>1177</v>
      </c>
      <c r="Y105">
        <v>2019</v>
      </c>
      <c r="Z105" t="s">
        <v>1178</v>
      </c>
      <c r="AA105" t="s">
        <v>1179</v>
      </c>
      <c r="AB105" t="s">
        <v>1179</v>
      </c>
      <c r="AC105" t="s">
        <v>1180</v>
      </c>
      <c r="AE105" t="s">
        <v>571</v>
      </c>
      <c r="AF105" t="s">
        <v>538</v>
      </c>
      <c r="AH105">
        <v>1</v>
      </c>
      <c r="AK105">
        <v>144</v>
      </c>
      <c r="AL105">
        <v>144</v>
      </c>
      <c r="AM105">
        <v>144</v>
      </c>
      <c r="AN105">
        <v>144</v>
      </c>
      <c r="AU105">
        <v>0</v>
      </c>
      <c r="BB105">
        <v>0</v>
      </c>
      <c r="BC105">
        <v>144</v>
      </c>
      <c r="BI105">
        <v>144</v>
      </c>
      <c r="BP105">
        <v>0</v>
      </c>
      <c r="BW105">
        <v>0</v>
      </c>
      <c r="CD105">
        <v>0</v>
      </c>
      <c r="CE105">
        <v>144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144</v>
      </c>
      <c r="CR105">
        <v>0</v>
      </c>
      <c r="CY105">
        <v>0</v>
      </c>
      <c r="CZ105">
        <v>1</v>
      </c>
      <c r="DF105">
        <v>1</v>
      </c>
      <c r="DM105">
        <v>0</v>
      </c>
      <c r="DT105">
        <v>0</v>
      </c>
      <c r="EA105">
        <v>0</v>
      </c>
      <c r="EB105">
        <v>1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1</v>
      </c>
      <c r="EI105" t="s">
        <v>404</v>
      </c>
      <c r="EJ105" t="s">
        <v>404</v>
      </c>
      <c r="EK105" t="s">
        <v>404</v>
      </c>
      <c r="EL105" t="s">
        <v>404</v>
      </c>
      <c r="EM105" t="s">
        <v>404</v>
      </c>
      <c r="EN105" t="s">
        <v>404</v>
      </c>
      <c r="EO105" t="s">
        <v>404</v>
      </c>
      <c r="EP105" t="s">
        <v>404</v>
      </c>
      <c r="EQ105" t="s">
        <v>404</v>
      </c>
      <c r="ER105" t="s">
        <v>404</v>
      </c>
      <c r="ES105" t="s">
        <v>404</v>
      </c>
      <c r="ET105" t="s">
        <v>404</v>
      </c>
      <c r="EU105" t="s">
        <v>405</v>
      </c>
      <c r="EV105" t="s">
        <v>404</v>
      </c>
      <c r="EW105" t="s">
        <v>404</v>
      </c>
      <c r="EX105" t="s">
        <v>404</v>
      </c>
      <c r="EY105" t="s">
        <v>404</v>
      </c>
      <c r="EZ105" t="s">
        <v>404</v>
      </c>
      <c r="FA105" t="s">
        <v>404</v>
      </c>
      <c r="FB105" t="s">
        <v>404</v>
      </c>
      <c r="FC105" t="s">
        <v>404</v>
      </c>
      <c r="FD105" t="s">
        <v>404</v>
      </c>
      <c r="FE105" t="s">
        <v>404</v>
      </c>
      <c r="FF105" t="s">
        <v>404</v>
      </c>
      <c r="FG105" t="s">
        <v>404</v>
      </c>
      <c r="FH105" t="s">
        <v>404</v>
      </c>
      <c r="FI105" t="s">
        <v>404</v>
      </c>
      <c r="FJ105" t="s">
        <v>404</v>
      </c>
      <c r="FK105" t="s">
        <v>404</v>
      </c>
      <c r="FL105" t="s">
        <v>404</v>
      </c>
      <c r="FM105" t="s">
        <v>404</v>
      </c>
      <c r="FN105" t="s">
        <v>404</v>
      </c>
      <c r="FO105" t="s">
        <v>404</v>
      </c>
      <c r="FP105" t="s">
        <v>404</v>
      </c>
      <c r="FQ105" t="s">
        <v>404</v>
      </c>
      <c r="FR105" t="s">
        <v>404</v>
      </c>
      <c r="FS105">
        <v>144</v>
      </c>
      <c r="FY105">
        <v>144</v>
      </c>
      <c r="GF105">
        <v>0</v>
      </c>
      <c r="GM105">
        <v>0</v>
      </c>
      <c r="GT105">
        <v>0</v>
      </c>
      <c r="HA105">
        <v>0</v>
      </c>
      <c r="HH105">
        <v>0</v>
      </c>
      <c r="HO105">
        <v>0</v>
      </c>
      <c r="HW105">
        <v>0</v>
      </c>
      <c r="HX105">
        <v>144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144</v>
      </c>
      <c r="IK105">
        <v>0</v>
      </c>
      <c r="IR105">
        <v>0</v>
      </c>
      <c r="IS105">
        <v>144</v>
      </c>
      <c r="IY105">
        <v>144</v>
      </c>
      <c r="JF105">
        <v>0</v>
      </c>
      <c r="JM105">
        <v>0</v>
      </c>
      <c r="JN105">
        <v>144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144</v>
      </c>
      <c r="JU105">
        <v>100</v>
      </c>
      <c r="JZ105">
        <v>1</v>
      </c>
      <c r="KA105">
        <v>3</v>
      </c>
      <c r="KB105">
        <v>1</v>
      </c>
      <c r="KC105" t="s">
        <v>407</v>
      </c>
      <c r="OF105" t="s">
        <v>408</v>
      </c>
      <c r="SI105" t="s">
        <v>409</v>
      </c>
      <c r="WL105" t="s">
        <v>410</v>
      </c>
      <c r="AAO105" t="s">
        <v>411</v>
      </c>
      <c r="AER105" t="s">
        <v>412</v>
      </c>
    </row>
    <row r="106" spans="1:824" x14ac:dyDescent="0.2">
      <c r="A106" t="s">
        <v>1181</v>
      </c>
      <c r="B106" t="s">
        <v>396</v>
      </c>
      <c r="C106" t="s">
        <v>1182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>
        <v>619</v>
      </c>
      <c r="W106" s="3">
        <v>43487.431944444441</v>
      </c>
      <c r="X106" t="s">
        <v>1183</v>
      </c>
      <c r="Y106">
        <v>2019</v>
      </c>
      <c r="Z106" t="s">
        <v>1184</v>
      </c>
      <c r="AA106" t="s">
        <v>1185</v>
      </c>
      <c r="AB106" t="s">
        <v>685</v>
      </c>
      <c r="AC106" t="s">
        <v>1186</v>
      </c>
      <c r="AD106">
        <v>4521430996</v>
      </c>
      <c r="AE106" t="s">
        <v>402</v>
      </c>
      <c r="AF106" t="s">
        <v>1187</v>
      </c>
      <c r="AH106">
        <v>2</v>
      </c>
      <c r="AI106">
        <v>6</v>
      </c>
      <c r="AJ106" t="s">
        <v>1188</v>
      </c>
      <c r="AU106">
        <v>0</v>
      </c>
      <c r="BB106">
        <v>0</v>
      </c>
      <c r="BI106">
        <v>0</v>
      </c>
      <c r="BP106">
        <v>0</v>
      </c>
      <c r="BW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R106">
        <v>0</v>
      </c>
      <c r="CY106">
        <v>0</v>
      </c>
      <c r="DF106">
        <v>0</v>
      </c>
      <c r="DM106">
        <v>0</v>
      </c>
      <c r="DT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 t="s">
        <v>404</v>
      </c>
      <c r="EJ106" t="s">
        <v>404</v>
      </c>
      <c r="EK106" t="s">
        <v>404</v>
      </c>
      <c r="EL106" t="s">
        <v>404</v>
      </c>
      <c r="EM106" t="s">
        <v>404</v>
      </c>
      <c r="EN106" t="s">
        <v>404</v>
      </c>
      <c r="EO106" t="s">
        <v>404</v>
      </c>
      <c r="EP106" t="s">
        <v>404</v>
      </c>
      <c r="EQ106" t="s">
        <v>404</v>
      </c>
      <c r="ER106" t="s">
        <v>404</v>
      </c>
      <c r="ES106" t="s">
        <v>404</v>
      </c>
      <c r="ET106" t="s">
        <v>404</v>
      </c>
      <c r="EU106" t="s">
        <v>404</v>
      </c>
      <c r="EV106" t="s">
        <v>404</v>
      </c>
      <c r="EW106" t="s">
        <v>404</v>
      </c>
      <c r="EX106" t="s">
        <v>404</v>
      </c>
      <c r="EY106" t="s">
        <v>404</v>
      </c>
      <c r="EZ106" t="s">
        <v>404</v>
      </c>
      <c r="FA106" t="s">
        <v>404</v>
      </c>
      <c r="FB106" t="s">
        <v>404</v>
      </c>
      <c r="FC106" t="s">
        <v>404</v>
      </c>
      <c r="FD106" t="s">
        <v>404</v>
      </c>
      <c r="FE106" t="s">
        <v>404</v>
      </c>
      <c r="FF106" t="s">
        <v>404</v>
      </c>
      <c r="FG106" t="s">
        <v>404</v>
      </c>
      <c r="FH106" t="s">
        <v>404</v>
      </c>
      <c r="FI106" t="s">
        <v>404</v>
      </c>
      <c r="FJ106" t="s">
        <v>404</v>
      </c>
      <c r="FK106" t="s">
        <v>404</v>
      </c>
      <c r="FL106" t="s">
        <v>404</v>
      </c>
      <c r="FM106" t="s">
        <v>404</v>
      </c>
      <c r="FN106" t="s">
        <v>404</v>
      </c>
      <c r="FO106" t="s">
        <v>404</v>
      </c>
      <c r="FP106" t="s">
        <v>404</v>
      </c>
      <c r="FQ106" t="s">
        <v>404</v>
      </c>
      <c r="FR106" t="s">
        <v>404</v>
      </c>
      <c r="FY106">
        <v>0</v>
      </c>
      <c r="GF106">
        <v>0</v>
      </c>
      <c r="GM106">
        <v>0</v>
      </c>
      <c r="GT106">
        <v>0</v>
      </c>
      <c r="HA106">
        <v>0</v>
      </c>
      <c r="HH106">
        <v>0</v>
      </c>
      <c r="HO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K106">
        <v>0</v>
      </c>
      <c r="IR106">
        <v>0</v>
      </c>
      <c r="IY106">
        <v>0</v>
      </c>
      <c r="JF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Z106">
        <v>1</v>
      </c>
      <c r="KA106">
        <v>3</v>
      </c>
      <c r="KB106">
        <v>2</v>
      </c>
      <c r="KC106" t="s">
        <v>407</v>
      </c>
      <c r="OF106" t="s">
        <v>408</v>
      </c>
      <c r="SI106" t="s">
        <v>409</v>
      </c>
      <c r="WL106" t="s">
        <v>410</v>
      </c>
      <c r="AAO106" t="s">
        <v>411</v>
      </c>
      <c r="AER106" t="s">
        <v>412</v>
      </c>
    </row>
    <row r="107" spans="1:824" x14ac:dyDescent="0.2">
      <c r="A107" t="s">
        <v>1189</v>
      </c>
      <c r="B107" t="s">
        <v>396</v>
      </c>
      <c r="C107" t="s">
        <v>1190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>
        <v>674</v>
      </c>
      <c r="W107" s="3">
        <v>43494.492361111108</v>
      </c>
      <c r="X107" t="s">
        <v>1191</v>
      </c>
      <c r="Y107">
        <v>2019</v>
      </c>
      <c r="Z107" t="s">
        <v>1192</v>
      </c>
      <c r="AA107" t="s">
        <v>1190</v>
      </c>
      <c r="AB107" t="s">
        <v>1193</v>
      </c>
      <c r="AC107" t="s">
        <v>1194</v>
      </c>
      <c r="AD107">
        <v>49692740331220</v>
      </c>
      <c r="AE107" t="s">
        <v>444</v>
      </c>
      <c r="AF107" t="s">
        <v>403</v>
      </c>
      <c r="AH107">
        <v>1</v>
      </c>
      <c r="AK107">
        <v>500</v>
      </c>
      <c r="AL107">
        <v>500</v>
      </c>
      <c r="AM107">
        <v>375</v>
      </c>
      <c r="AN107">
        <v>375</v>
      </c>
      <c r="AU107">
        <v>0</v>
      </c>
      <c r="AX107">
        <v>375</v>
      </c>
      <c r="AY107">
        <v>125</v>
      </c>
      <c r="BB107">
        <v>500</v>
      </c>
      <c r="BI107">
        <v>0</v>
      </c>
      <c r="BP107">
        <v>0</v>
      </c>
      <c r="BW107">
        <v>0</v>
      </c>
      <c r="CD107">
        <v>0</v>
      </c>
      <c r="CE107">
        <v>0</v>
      </c>
      <c r="CF107">
        <v>0</v>
      </c>
      <c r="CG107">
        <v>375</v>
      </c>
      <c r="CH107">
        <v>125</v>
      </c>
      <c r="CI107">
        <v>0</v>
      </c>
      <c r="CJ107">
        <v>0</v>
      </c>
      <c r="CK107">
        <v>500</v>
      </c>
      <c r="CR107">
        <v>0</v>
      </c>
      <c r="CU107">
        <v>1</v>
      </c>
      <c r="CV107">
        <v>2</v>
      </c>
      <c r="CY107">
        <v>3</v>
      </c>
      <c r="DF107">
        <v>0</v>
      </c>
      <c r="DM107">
        <v>0</v>
      </c>
      <c r="DT107">
        <v>0</v>
      </c>
      <c r="EA107">
        <v>0</v>
      </c>
      <c r="EB107">
        <v>0</v>
      </c>
      <c r="EC107">
        <v>0</v>
      </c>
      <c r="ED107">
        <v>1</v>
      </c>
      <c r="EE107">
        <v>2</v>
      </c>
      <c r="EF107">
        <v>0</v>
      </c>
      <c r="EG107">
        <v>0</v>
      </c>
      <c r="EH107">
        <v>3</v>
      </c>
      <c r="EI107" t="s">
        <v>404</v>
      </c>
      <c r="EJ107" t="s">
        <v>404</v>
      </c>
      <c r="EK107" t="s">
        <v>404</v>
      </c>
      <c r="EL107" t="s">
        <v>404</v>
      </c>
      <c r="EM107" t="s">
        <v>404</v>
      </c>
      <c r="EN107" t="s">
        <v>404</v>
      </c>
      <c r="EO107" t="s">
        <v>404</v>
      </c>
      <c r="EP107" t="s">
        <v>404</v>
      </c>
      <c r="EQ107" t="s">
        <v>405</v>
      </c>
      <c r="ER107" t="s">
        <v>405</v>
      </c>
      <c r="ES107" t="s">
        <v>404</v>
      </c>
      <c r="ET107" t="s">
        <v>404</v>
      </c>
      <c r="EU107" t="s">
        <v>404</v>
      </c>
      <c r="EV107" t="s">
        <v>404</v>
      </c>
      <c r="EW107" t="s">
        <v>404</v>
      </c>
      <c r="EX107" t="s">
        <v>404</v>
      </c>
      <c r="EY107" t="s">
        <v>404</v>
      </c>
      <c r="EZ107" t="s">
        <v>404</v>
      </c>
      <c r="FA107" t="s">
        <v>404</v>
      </c>
      <c r="FB107" t="s">
        <v>404</v>
      </c>
      <c r="FC107" t="s">
        <v>404</v>
      </c>
      <c r="FD107" t="s">
        <v>404</v>
      </c>
      <c r="FE107" t="s">
        <v>404</v>
      </c>
      <c r="FF107" t="s">
        <v>404</v>
      </c>
      <c r="FG107" t="s">
        <v>404</v>
      </c>
      <c r="FH107" t="s">
        <v>404</v>
      </c>
      <c r="FI107" t="s">
        <v>404</v>
      </c>
      <c r="FJ107" t="s">
        <v>404</v>
      </c>
      <c r="FK107" t="s">
        <v>404</v>
      </c>
      <c r="FL107" t="s">
        <v>404</v>
      </c>
      <c r="FM107" t="s">
        <v>404</v>
      </c>
      <c r="FN107" t="s">
        <v>404</v>
      </c>
      <c r="FO107" t="s">
        <v>404</v>
      </c>
      <c r="FP107" t="s">
        <v>404</v>
      </c>
      <c r="FQ107" t="s">
        <v>404</v>
      </c>
      <c r="FR107" t="s">
        <v>404</v>
      </c>
      <c r="FU107">
        <v>375</v>
      </c>
      <c r="FV107">
        <v>40</v>
      </c>
      <c r="FY107">
        <v>415</v>
      </c>
      <c r="GC107">
        <v>85</v>
      </c>
      <c r="GF107">
        <v>85</v>
      </c>
      <c r="GM107">
        <v>0</v>
      </c>
      <c r="GT107">
        <v>0</v>
      </c>
      <c r="HA107">
        <v>0</v>
      </c>
      <c r="HH107">
        <v>0</v>
      </c>
      <c r="HO107">
        <v>0</v>
      </c>
      <c r="HW107">
        <v>0</v>
      </c>
      <c r="HX107">
        <v>0</v>
      </c>
      <c r="HY107">
        <v>0</v>
      </c>
      <c r="HZ107">
        <v>375</v>
      </c>
      <c r="IA107">
        <v>125</v>
      </c>
      <c r="IB107">
        <v>0</v>
      </c>
      <c r="IC107">
        <v>0</v>
      </c>
      <c r="ID107">
        <v>500</v>
      </c>
      <c r="IK107">
        <v>0</v>
      </c>
      <c r="IN107">
        <v>375</v>
      </c>
      <c r="IO107">
        <v>125</v>
      </c>
      <c r="IR107">
        <v>500</v>
      </c>
      <c r="IY107">
        <v>0</v>
      </c>
      <c r="JF107">
        <v>0</v>
      </c>
      <c r="JM107">
        <v>0</v>
      </c>
      <c r="JN107">
        <v>0</v>
      </c>
      <c r="JO107">
        <v>0</v>
      </c>
      <c r="JP107">
        <v>375</v>
      </c>
      <c r="JQ107">
        <v>125</v>
      </c>
      <c r="JR107">
        <v>0</v>
      </c>
      <c r="JS107">
        <v>0</v>
      </c>
      <c r="JT107">
        <v>500</v>
      </c>
      <c r="JU107">
        <v>4</v>
      </c>
      <c r="JW107">
        <v>96</v>
      </c>
      <c r="JZ107">
        <v>1</v>
      </c>
      <c r="KA107">
        <v>1</v>
      </c>
      <c r="KB107">
        <v>1</v>
      </c>
      <c r="KC107" t="s">
        <v>407</v>
      </c>
      <c r="OF107" t="s">
        <v>408</v>
      </c>
      <c r="SI107" t="s">
        <v>409</v>
      </c>
      <c r="WL107" t="s">
        <v>410</v>
      </c>
      <c r="AAO107" t="s">
        <v>411</v>
      </c>
      <c r="AER107" t="s">
        <v>412</v>
      </c>
    </row>
    <row r="108" spans="1:824" x14ac:dyDescent="0.2">
      <c r="A108" t="s">
        <v>1195</v>
      </c>
      <c r="B108" t="s">
        <v>396</v>
      </c>
      <c r="C108" t="s">
        <v>1196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>
        <v>551</v>
      </c>
      <c r="W108" s="3">
        <v>43475.363888888889</v>
      </c>
      <c r="X108" t="s">
        <v>1197</v>
      </c>
      <c r="Y108">
        <v>2019</v>
      </c>
      <c r="Z108" t="s">
        <v>1198</v>
      </c>
      <c r="AA108" t="s">
        <v>1199</v>
      </c>
      <c r="AB108" t="s">
        <v>1200</v>
      </c>
      <c r="AC108" t="s">
        <v>1201</v>
      </c>
      <c r="AE108" t="s">
        <v>1073</v>
      </c>
      <c r="AF108" t="s">
        <v>403</v>
      </c>
      <c r="AH108">
        <v>2</v>
      </c>
      <c r="AI108">
        <v>6</v>
      </c>
      <c r="AJ108" t="s">
        <v>1202</v>
      </c>
      <c r="AU108">
        <v>0</v>
      </c>
      <c r="BB108">
        <v>0</v>
      </c>
      <c r="BI108">
        <v>0</v>
      </c>
      <c r="BP108">
        <v>0</v>
      </c>
      <c r="BW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R108">
        <v>0</v>
      </c>
      <c r="CY108">
        <v>0</v>
      </c>
      <c r="DF108">
        <v>0</v>
      </c>
      <c r="DM108">
        <v>0</v>
      </c>
      <c r="DT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 t="s">
        <v>404</v>
      </c>
      <c r="EJ108" t="s">
        <v>404</v>
      </c>
      <c r="EK108" t="s">
        <v>404</v>
      </c>
      <c r="EL108" t="s">
        <v>404</v>
      </c>
      <c r="EM108" t="s">
        <v>404</v>
      </c>
      <c r="EN108" t="s">
        <v>404</v>
      </c>
      <c r="EO108" t="s">
        <v>404</v>
      </c>
      <c r="EP108" t="s">
        <v>404</v>
      </c>
      <c r="EQ108" t="s">
        <v>404</v>
      </c>
      <c r="ER108" t="s">
        <v>404</v>
      </c>
      <c r="ES108" t="s">
        <v>404</v>
      </c>
      <c r="ET108" t="s">
        <v>404</v>
      </c>
      <c r="EU108" t="s">
        <v>404</v>
      </c>
      <c r="EV108" t="s">
        <v>404</v>
      </c>
      <c r="EW108" t="s">
        <v>404</v>
      </c>
      <c r="EX108" t="s">
        <v>404</v>
      </c>
      <c r="EY108" t="s">
        <v>404</v>
      </c>
      <c r="EZ108" t="s">
        <v>404</v>
      </c>
      <c r="FA108" t="s">
        <v>404</v>
      </c>
      <c r="FB108" t="s">
        <v>404</v>
      </c>
      <c r="FC108" t="s">
        <v>404</v>
      </c>
      <c r="FD108" t="s">
        <v>404</v>
      </c>
      <c r="FE108" t="s">
        <v>404</v>
      </c>
      <c r="FF108" t="s">
        <v>404</v>
      </c>
      <c r="FG108" t="s">
        <v>404</v>
      </c>
      <c r="FH108" t="s">
        <v>404</v>
      </c>
      <c r="FI108" t="s">
        <v>404</v>
      </c>
      <c r="FJ108" t="s">
        <v>404</v>
      </c>
      <c r="FK108" t="s">
        <v>404</v>
      </c>
      <c r="FL108" t="s">
        <v>404</v>
      </c>
      <c r="FM108" t="s">
        <v>404</v>
      </c>
      <c r="FN108" t="s">
        <v>404</v>
      </c>
      <c r="FO108" t="s">
        <v>404</v>
      </c>
      <c r="FP108" t="s">
        <v>404</v>
      </c>
      <c r="FQ108" t="s">
        <v>404</v>
      </c>
      <c r="FR108" t="s">
        <v>404</v>
      </c>
      <c r="FY108">
        <v>0</v>
      </c>
      <c r="GF108">
        <v>0</v>
      </c>
      <c r="GM108">
        <v>0</v>
      </c>
      <c r="GT108">
        <v>0</v>
      </c>
      <c r="HA108">
        <v>0</v>
      </c>
      <c r="HH108">
        <v>0</v>
      </c>
      <c r="HO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K108">
        <v>0</v>
      </c>
      <c r="IR108">
        <v>0</v>
      </c>
      <c r="IY108">
        <v>0</v>
      </c>
      <c r="JF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Z108">
        <v>1</v>
      </c>
      <c r="KA108">
        <v>3</v>
      </c>
      <c r="KB108">
        <v>1</v>
      </c>
      <c r="KC108" t="s">
        <v>407</v>
      </c>
      <c r="OF108" t="s">
        <v>408</v>
      </c>
      <c r="SI108" t="s">
        <v>409</v>
      </c>
      <c r="WL108" t="s">
        <v>410</v>
      </c>
      <c r="AAO108" t="s">
        <v>411</v>
      </c>
      <c r="AER108" t="s">
        <v>412</v>
      </c>
    </row>
    <row r="109" spans="1:824" x14ac:dyDescent="0.2">
      <c r="A109" t="s">
        <v>1203</v>
      </c>
      <c r="B109" t="s">
        <v>396</v>
      </c>
      <c r="C109" t="s">
        <v>1204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b">
        <v>0</v>
      </c>
      <c r="V109">
        <v>707</v>
      </c>
      <c r="W109" s="3">
        <v>43518.820833333331</v>
      </c>
      <c r="X109" t="s">
        <v>1205</v>
      </c>
      <c r="Y109">
        <v>2019</v>
      </c>
      <c r="Z109" t="s">
        <v>1206</v>
      </c>
      <c r="AA109" t="s">
        <v>1204</v>
      </c>
      <c r="AB109" t="s">
        <v>713</v>
      </c>
      <c r="AC109" t="s">
        <v>1207</v>
      </c>
      <c r="AD109">
        <v>6174378400</v>
      </c>
      <c r="AE109" t="s">
        <v>571</v>
      </c>
      <c r="AF109" t="s">
        <v>538</v>
      </c>
      <c r="AH109">
        <v>1</v>
      </c>
      <c r="AK109">
        <v>1634.2</v>
      </c>
      <c r="AL109">
        <v>1634.2</v>
      </c>
      <c r="AM109">
        <v>257.8</v>
      </c>
      <c r="AN109">
        <v>257.8</v>
      </c>
      <c r="AU109">
        <v>0</v>
      </c>
      <c r="BB109">
        <v>0</v>
      </c>
      <c r="BC109">
        <v>1634.2</v>
      </c>
      <c r="BI109">
        <v>1634.2</v>
      </c>
      <c r="BP109">
        <v>0</v>
      </c>
      <c r="BW109">
        <v>0</v>
      </c>
      <c r="CD109">
        <v>0</v>
      </c>
      <c r="CE109">
        <v>1634.2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1634.2</v>
      </c>
      <c r="CR109">
        <v>0</v>
      </c>
      <c r="CY109">
        <v>0</v>
      </c>
      <c r="CZ109">
        <v>3</v>
      </c>
      <c r="DF109">
        <v>3</v>
      </c>
      <c r="DM109">
        <v>0</v>
      </c>
      <c r="DT109">
        <v>0</v>
      </c>
      <c r="EA109">
        <v>0</v>
      </c>
      <c r="EB109">
        <v>3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3</v>
      </c>
      <c r="EI109" t="s">
        <v>404</v>
      </c>
      <c r="EJ109" t="s">
        <v>404</v>
      </c>
      <c r="EK109" t="s">
        <v>404</v>
      </c>
      <c r="EL109" t="s">
        <v>404</v>
      </c>
      <c r="EM109" t="s">
        <v>404</v>
      </c>
      <c r="EN109" t="s">
        <v>404</v>
      </c>
      <c r="EO109" t="s">
        <v>404</v>
      </c>
      <c r="EP109" t="s">
        <v>404</v>
      </c>
      <c r="EQ109" t="s">
        <v>404</v>
      </c>
      <c r="ER109" t="s">
        <v>404</v>
      </c>
      <c r="ES109" t="s">
        <v>404</v>
      </c>
      <c r="ET109" t="s">
        <v>404</v>
      </c>
      <c r="EU109" t="s">
        <v>405</v>
      </c>
      <c r="EV109" t="s">
        <v>404</v>
      </c>
      <c r="EW109" t="s">
        <v>404</v>
      </c>
      <c r="EX109" t="s">
        <v>404</v>
      </c>
      <c r="EY109" t="s">
        <v>404</v>
      </c>
      <c r="EZ109" t="s">
        <v>404</v>
      </c>
      <c r="FA109" t="s">
        <v>404</v>
      </c>
      <c r="FB109" t="s">
        <v>404</v>
      </c>
      <c r="FC109" t="s">
        <v>404</v>
      </c>
      <c r="FD109" t="s">
        <v>404</v>
      </c>
      <c r="FE109" t="s">
        <v>404</v>
      </c>
      <c r="FF109" t="s">
        <v>404</v>
      </c>
      <c r="FG109" t="s">
        <v>404</v>
      </c>
      <c r="FH109" t="s">
        <v>404</v>
      </c>
      <c r="FI109" t="s">
        <v>404</v>
      </c>
      <c r="FJ109" t="s">
        <v>404</v>
      </c>
      <c r="FK109" t="s">
        <v>404</v>
      </c>
      <c r="FL109" t="s">
        <v>404</v>
      </c>
      <c r="FM109" t="s">
        <v>404</v>
      </c>
      <c r="FN109" t="s">
        <v>404</v>
      </c>
      <c r="FO109" t="s">
        <v>404</v>
      </c>
      <c r="FP109" t="s">
        <v>404</v>
      </c>
      <c r="FQ109" t="s">
        <v>404</v>
      </c>
      <c r="FR109" t="s">
        <v>404</v>
      </c>
      <c r="FS109">
        <v>41.3</v>
      </c>
      <c r="FY109">
        <v>41.3</v>
      </c>
      <c r="FZ109">
        <v>0</v>
      </c>
      <c r="GF109">
        <v>0</v>
      </c>
      <c r="GG109">
        <v>893.7</v>
      </c>
      <c r="GM109">
        <v>893.7</v>
      </c>
      <c r="GN109">
        <v>492.5</v>
      </c>
      <c r="GT109">
        <v>492.5</v>
      </c>
      <c r="GU109">
        <v>0</v>
      </c>
      <c r="HA109">
        <v>0</v>
      </c>
      <c r="HB109">
        <v>0</v>
      </c>
      <c r="HH109">
        <v>0</v>
      </c>
      <c r="HI109">
        <v>1.5</v>
      </c>
      <c r="HO109">
        <v>1.5</v>
      </c>
      <c r="HP109" t="s">
        <v>1208</v>
      </c>
      <c r="HQ109">
        <v>205.2</v>
      </c>
      <c r="HW109">
        <v>205.2</v>
      </c>
      <c r="HX109">
        <v>1634.2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1634.2</v>
      </c>
      <c r="IE109">
        <v>361.8</v>
      </c>
      <c r="IK109">
        <v>361.8</v>
      </c>
      <c r="IL109">
        <v>0</v>
      </c>
      <c r="IR109">
        <v>0</v>
      </c>
      <c r="IS109">
        <v>1272.4000000000001</v>
      </c>
      <c r="IY109">
        <v>1272.4000000000001</v>
      </c>
      <c r="IZ109">
        <v>0</v>
      </c>
      <c r="JF109">
        <v>0</v>
      </c>
      <c r="JG109">
        <v>0</v>
      </c>
      <c r="JM109">
        <v>0</v>
      </c>
      <c r="JN109">
        <v>1634.2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1634.2</v>
      </c>
      <c r="JW109">
        <v>98.9</v>
      </c>
      <c r="JX109" t="s">
        <v>1209</v>
      </c>
      <c r="JY109">
        <v>1.1000000000000001</v>
      </c>
      <c r="JZ109">
        <v>1</v>
      </c>
      <c r="KA109">
        <v>3</v>
      </c>
      <c r="KB109">
        <v>2</v>
      </c>
      <c r="KC109" t="s">
        <v>407</v>
      </c>
      <c r="OF109" t="s">
        <v>408</v>
      </c>
      <c r="SI109" t="s">
        <v>409</v>
      </c>
      <c r="WL109" t="s">
        <v>410</v>
      </c>
      <c r="AAO109" t="s">
        <v>411</v>
      </c>
      <c r="AER109" t="s">
        <v>412</v>
      </c>
    </row>
    <row r="110" spans="1:824" x14ac:dyDescent="0.2">
      <c r="A110" t="s">
        <v>1210</v>
      </c>
      <c r="B110" t="s">
        <v>396</v>
      </c>
      <c r="C110" t="s">
        <v>1211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>
        <v>548</v>
      </c>
      <c r="W110" s="3">
        <v>43521.51666666667</v>
      </c>
      <c r="X110" t="s">
        <v>1212</v>
      </c>
      <c r="Y110">
        <v>2019</v>
      </c>
      <c r="Z110" t="s">
        <v>1213</v>
      </c>
      <c r="AA110" t="s">
        <v>1214</v>
      </c>
      <c r="AB110" t="s">
        <v>1215</v>
      </c>
      <c r="AC110" t="s">
        <v>1216</v>
      </c>
      <c r="AD110" t="s">
        <v>1217</v>
      </c>
      <c r="AE110" t="s">
        <v>516</v>
      </c>
      <c r="AF110" t="s">
        <v>403</v>
      </c>
      <c r="AH110">
        <v>1</v>
      </c>
      <c r="AK110">
        <v>114</v>
      </c>
      <c r="AL110">
        <v>114</v>
      </c>
      <c r="AM110">
        <v>106</v>
      </c>
      <c r="AN110">
        <v>106</v>
      </c>
      <c r="AU110">
        <v>0</v>
      </c>
      <c r="AV110">
        <v>114</v>
      </c>
      <c r="BB110">
        <v>114</v>
      </c>
      <c r="BI110">
        <v>0</v>
      </c>
      <c r="BP110">
        <v>0</v>
      </c>
      <c r="BW110">
        <v>0</v>
      </c>
      <c r="CD110">
        <v>0</v>
      </c>
      <c r="CE110">
        <v>114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114</v>
      </c>
      <c r="CR110">
        <v>0</v>
      </c>
      <c r="CS110">
        <v>1</v>
      </c>
      <c r="CY110">
        <v>1</v>
      </c>
      <c r="DF110">
        <v>0</v>
      </c>
      <c r="DM110">
        <v>0</v>
      </c>
      <c r="DT110">
        <v>0</v>
      </c>
      <c r="EA110">
        <v>0</v>
      </c>
      <c r="EB110">
        <v>1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1</v>
      </c>
      <c r="EI110" t="s">
        <v>404</v>
      </c>
      <c r="EJ110" t="s">
        <v>404</v>
      </c>
      <c r="EK110" t="s">
        <v>404</v>
      </c>
      <c r="EL110" t="s">
        <v>404</v>
      </c>
      <c r="EM110" t="s">
        <v>404</v>
      </c>
      <c r="EN110" t="s">
        <v>404</v>
      </c>
      <c r="EO110" t="s">
        <v>405</v>
      </c>
      <c r="EP110" t="s">
        <v>404</v>
      </c>
      <c r="EQ110" t="s">
        <v>404</v>
      </c>
      <c r="ER110" t="s">
        <v>404</v>
      </c>
      <c r="ES110" t="s">
        <v>404</v>
      </c>
      <c r="ET110" t="s">
        <v>404</v>
      </c>
      <c r="EU110" t="s">
        <v>404</v>
      </c>
      <c r="EV110" t="s">
        <v>404</v>
      </c>
      <c r="EW110" t="s">
        <v>404</v>
      </c>
      <c r="EX110" t="s">
        <v>404</v>
      </c>
      <c r="EY110" t="s">
        <v>404</v>
      </c>
      <c r="EZ110" t="s">
        <v>404</v>
      </c>
      <c r="FA110" t="s">
        <v>404</v>
      </c>
      <c r="FB110" t="s">
        <v>404</v>
      </c>
      <c r="FC110" t="s">
        <v>404</v>
      </c>
      <c r="FD110" t="s">
        <v>404</v>
      </c>
      <c r="FE110" t="s">
        <v>404</v>
      </c>
      <c r="FF110" t="s">
        <v>404</v>
      </c>
      <c r="FG110" t="s">
        <v>404</v>
      </c>
      <c r="FH110" t="s">
        <v>404</v>
      </c>
      <c r="FI110" t="s">
        <v>404</v>
      </c>
      <c r="FJ110" t="s">
        <v>404</v>
      </c>
      <c r="FK110" t="s">
        <v>404</v>
      </c>
      <c r="FL110" t="s">
        <v>404</v>
      </c>
      <c r="FM110" t="s">
        <v>404</v>
      </c>
      <c r="FN110" t="s">
        <v>404</v>
      </c>
      <c r="FO110" t="s">
        <v>404</v>
      </c>
      <c r="FP110" t="s">
        <v>404</v>
      </c>
      <c r="FQ110" t="s">
        <v>404</v>
      </c>
      <c r="FR110" t="s">
        <v>404</v>
      </c>
      <c r="FY110">
        <v>0</v>
      </c>
      <c r="GF110">
        <v>0</v>
      </c>
      <c r="GM110">
        <v>0</v>
      </c>
      <c r="GT110">
        <v>0</v>
      </c>
      <c r="HA110">
        <v>0</v>
      </c>
      <c r="HH110">
        <v>0</v>
      </c>
      <c r="HO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K110">
        <v>0</v>
      </c>
      <c r="IL110">
        <v>114</v>
      </c>
      <c r="IR110">
        <v>114</v>
      </c>
      <c r="IY110">
        <v>0</v>
      </c>
      <c r="JF110">
        <v>0</v>
      </c>
      <c r="JM110">
        <v>0</v>
      </c>
      <c r="JN110">
        <v>114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114</v>
      </c>
      <c r="JZ110">
        <v>1</v>
      </c>
      <c r="KA110">
        <v>3</v>
      </c>
      <c r="KB110">
        <v>1</v>
      </c>
      <c r="KC110" t="s">
        <v>407</v>
      </c>
      <c r="OF110" t="s">
        <v>408</v>
      </c>
      <c r="SI110" t="s">
        <v>409</v>
      </c>
      <c r="WL110" t="s">
        <v>410</v>
      </c>
      <c r="AAO110" t="s">
        <v>411</v>
      </c>
      <c r="AER110" t="s">
        <v>412</v>
      </c>
    </row>
    <row r="111" spans="1:824" x14ac:dyDescent="0.2">
      <c r="A111" t="s">
        <v>1218</v>
      </c>
      <c r="B111" t="s">
        <v>396</v>
      </c>
      <c r="C111" t="s">
        <v>1219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>
        <v>565</v>
      </c>
      <c r="W111" s="3">
        <v>43516.722916666666</v>
      </c>
      <c r="X111" t="s">
        <v>1220</v>
      </c>
      <c r="Y111">
        <v>2019</v>
      </c>
      <c r="Z111" t="s">
        <v>1221</v>
      </c>
      <c r="AA111" t="s">
        <v>1222</v>
      </c>
      <c r="AB111" t="s">
        <v>1223</v>
      </c>
      <c r="AC111" t="s">
        <v>1224</v>
      </c>
      <c r="AD111" t="s">
        <v>1225</v>
      </c>
      <c r="AE111" t="s">
        <v>491</v>
      </c>
      <c r="AF111" t="s">
        <v>403</v>
      </c>
      <c r="AH111">
        <v>1</v>
      </c>
      <c r="AK111">
        <v>86.3</v>
      </c>
      <c r="AL111">
        <v>86.3</v>
      </c>
      <c r="AM111">
        <v>30.204999999999998</v>
      </c>
      <c r="AN111">
        <v>30.204999999999998</v>
      </c>
      <c r="AU111">
        <v>0</v>
      </c>
      <c r="AV111">
        <v>86.3</v>
      </c>
      <c r="BB111">
        <v>86.3</v>
      </c>
      <c r="BI111">
        <v>0</v>
      </c>
      <c r="BP111">
        <v>0</v>
      </c>
      <c r="BW111">
        <v>0</v>
      </c>
      <c r="CD111">
        <v>0</v>
      </c>
      <c r="CE111">
        <v>86.3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86.3</v>
      </c>
      <c r="CR111">
        <v>0</v>
      </c>
      <c r="CS111">
        <v>1</v>
      </c>
      <c r="CY111">
        <v>1</v>
      </c>
      <c r="DF111">
        <v>0</v>
      </c>
      <c r="DM111">
        <v>0</v>
      </c>
      <c r="DT111">
        <v>0</v>
      </c>
      <c r="EA111">
        <v>0</v>
      </c>
      <c r="EB111">
        <v>1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1</v>
      </c>
      <c r="EI111" t="s">
        <v>404</v>
      </c>
      <c r="EJ111" t="s">
        <v>404</v>
      </c>
      <c r="EK111" t="s">
        <v>404</v>
      </c>
      <c r="EL111" t="s">
        <v>404</v>
      </c>
      <c r="EM111" t="s">
        <v>404</v>
      </c>
      <c r="EN111" t="s">
        <v>404</v>
      </c>
      <c r="EO111" t="s">
        <v>405</v>
      </c>
      <c r="EP111" t="s">
        <v>404</v>
      </c>
      <c r="EQ111" t="s">
        <v>404</v>
      </c>
      <c r="ER111" t="s">
        <v>404</v>
      </c>
      <c r="ES111" t="s">
        <v>404</v>
      </c>
      <c r="ET111" t="s">
        <v>404</v>
      </c>
      <c r="EU111" t="s">
        <v>404</v>
      </c>
      <c r="EV111" t="s">
        <v>404</v>
      </c>
      <c r="EW111" t="s">
        <v>404</v>
      </c>
      <c r="EX111" t="s">
        <v>404</v>
      </c>
      <c r="EY111" t="s">
        <v>404</v>
      </c>
      <c r="EZ111" t="s">
        <v>404</v>
      </c>
      <c r="FA111" t="s">
        <v>404</v>
      </c>
      <c r="FB111" t="s">
        <v>404</v>
      </c>
      <c r="FC111" t="s">
        <v>404</v>
      </c>
      <c r="FD111" t="s">
        <v>404</v>
      </c>
      <c r="FE111" t="s">
        <v>404</v>
      </c>
      <c r="FF111" t="s">
        <v>404</v>
      </c>
      <c r="FG111" t="s">
        <v>404</v>
      </c>
      <c r="FH111" t="s">
        <v>404</v>
      </c>
      <c r="FI111" t="s">
        <v>404</v>
      </c>
      <c r="FJ111" t="s">
        <v>404</v>
      </c>
      <c r="FK111" t="s">
        <v>404</v>
      </c>
      <c r="FL111" t="s">
        <v>404</v>
      </c>
      <c r="FM111" t="s">
        <v>404</v>
      </c>
      <c r="FN111" t="s">
        <v>404</v>
      </c>
      <c r="FO111" t="s">
        <v>404</v>
      </c>
      <c r="FP111" t="s">
        <v>404</v>
      </c>
      <c r="FQ111" t="s">
        <v>404</v>
      </c>
      <c r="FR111" t="s">
        <v>404</v>
      </c>
      <c r="FY111">
        <v>0</v>
      </c>
      <c r="GF111">
        <v>0</v>
      </c>
      <c r="GM111">
        <v>0</v>
      </c>
      <c r="GT111">
        <v>0</v>
      </c>
      <c r="HA111">
        <v>0</v>
      </c>
      <c r="HH111">
        <v>0</v>
      </c>
      <c r="HI111">
        <v>81.3</v>
      </c>
      <c r="HO111">
        <v>81.3</v>
      </c>
      <c r="HP111" t="s">
        <v>1226</v>
      </c>
      <c r="HQ111">
        <v>5</v>
      </c>
      <c r="HW111">
        <v>5</v>
      </c>
      <c r="HX111">
        <v>86.3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86.3</v>
      </c>
      <c r="IK111">
        <v>0</v>
      </c>
      <c r="IL111">
        <v>86.3</v>
      </c>
      <c r="IR111">
        <v>86.3</v>
      </c>
      <c r="IY111">
        <v>0</v>
      </c>
      <c r="JF111">
        <v>0</v>
      </c>
      <c r="JM111">
        <v>0</v>
      </c>
      <c r="JN111">
        <v>86.3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86.3</v>
      </c>
      <c r="JU111">
        <v>100</v>
      </c>
      <c r="JZ111">
        <v>1</v>
      </c>
      <c r="KA111">
        <v>3</v>
      </c>
      <c r="KB111">
        <v>1</v>
      </c>
      <c r="KC111" t="s">
        <v>407</v>
      </c>
      <c r="OF111" t="s">
        <v>408</v>
      </c>
      <c r="SI111" t="s">
        <v>409</v>
      </c>
      <c r="WL111" t="s">
        <v>410</v>
      </c>
      <c r="AAO111" t="s">
        <v>411</v>
      </c>
      <c r="AER111" t="s">
        <v>412</v>
      </c>
    </row>
    <row r="112" spans="1:824" x14ac:dyDescent="0.2">
      <c r="A112" t="s">
        <v>1227</v>
      </c>
      <c r="B112" t="s">
        <v>396</v>
      </c>
      <c r="C112" t="s">
        <v>1228</v>
      </c>
      <c r="P112" t="b">
        <v>0</v>
      </c>
      <c r="Q112" t="b">
        <v>0</v>
      </c>
      <c r="R112" t="b">
        <v>0</v>
      </c>
      <c r="S112" t="b">
        <v>1</v>
      </c>
      <c r="T112" t="b">
        <v>0</v>
      </c>
      <c r="U112" t="b">
        <v>0</v>
      </c>
      <c r="V112">
        <v>577</v>
      </c>
      <c r="W112" s="3">
        <v>43517.445138888892</v>
      </c>
      <c r="X112" t="s">
        <v>674</v>
      </c>
      <c r="Y112">
        <v>2019</v>
      </c>
      <c r="Z112" t="s">
        <v>1229</v>
      </c>
      <c r="AA112" t="s">
        <v>1230</v>
      </c>
      <c r="AC112" t="s">
        <v>1231</v>
      </c>
      <c r="AE112" t="s">
        <v>402</v>
      </c>
      <c r="AF112" t="s">
        <v>403</v>
      </c>
      <c r="AH112">
        <v>1</v>
      </c>
      <c r="AK112">
        <v>194</v>
      </c>
      <c r="AL112">
        <v>194</v>
      </c>
      <c r="AM112">
        <v>76.8</v>
      </c>
      <c r="AN112">
        <v>76.8</v>
      </c>
      <c r="AU112">
        <v>0</v>
      </c>
      <c r="BB112">
        <v>0</v>
      </c>
      <c r="BI112">
        <v>0</v>
      </c>
      <c r="BN112">
        <v>194</v>
      </c>
      <c r="BP112">
        <v>194</v>
      </c>
      <c r="BW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194</v>
      </c>
      <c r="CJ112">
        <v>0</v>
      </c>
      <c r="CK112">
        <v>194</v>
      </c>
      <c r="CR112">
        <v>0</v>
      </c>
      <c r="CY112">
        <v>0</v>
      </c>
      <c r="DF112">
        <v>0</v>
      </c>
      <c r="DK112">
        <v>1</v>
      </c>
      <c r="DM112">
        <v>1</v>
      </c>
      <c r="DT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1</v>
      </c>
      <c r="EG112">
        <v>0</v>
      </c>
      <c r="EH112">
        <v>1</v>
      </c>
      <c r="EI112" t="s">
        <v>404</v>
      </c>
      <c r="EJ112" t="s">
        <v>404</v>
      </c>
      <c r="EK112" t="s">
        <v>404</v>
      </c>
      <c r="EL112" t="s">
        <v>404</v>
      </c>
      <c r="EM112" t="s">
        <v>404</v>
      </c>
      <c r="EN112" t="s">
        <v>404</v>
      </c>
      <c r="EO112" t="s">
        <v>404</v>
      </c>
      <c r="EP112" t="s">
        <v>404</v>
      </c>
      <c r="EQ112" t="s">
        <v>404</v>
      </c>
      <c r="ER112" t="s">
        <v>404</v>
      </c>
      <c r="ES112" t="s">
        <v>404</v>
      </c>
      <c r="ET112" t="s">
        <v>404</v>
      </c>
      <c r="EU112" t="s">
        <v>404</v>
      </c>
      <c r="EV112" t="s">
        <v>404</v>
      </c>
      <c r="EW112" t="s">
        <v>404</v>
      </c>
      <c r="EX112" t="s">
        <v>404</v>
      </c>
      <c r="EY112" t="s">
        <v>404</v>
      </c>
      <c r="EZ112" t="s">
        <v>404</v>
      </c>
      <c r="FA112" t="s">
        <v>404</v>
      </c>
      <c r="FB112" t="s">
        <v>404</v>
      </c>
      <c r="FC112" t="s">
        <v>404</v>
      </c>
      <c r="FD112" t="s">
        <v>404</v>
      </c>
      <c r="FE112" t="s">
        <v>405</v>
      </c>
      <c r="FF112" t="s">
        <v>404</v>
      </c>
      <c r="FG112" t="s">
        <v>404</v>
      </c>
      <c r="FH112" t="s">
        <v>404</v>
      </c>
      <c r="FI112" t="s">
        <v>404</v>
      </c>
      <c r="FJ112" t="s">
        <v>404</v>
      </c>
      <c r="FK112" t="s">
        <v>404</v>
      </c>
      <c r="FL112" t="s">
        <v>404</v>
      </c>
      <c r="FM112" t="s">
        <v>404</v>
      </c>
      <c r="FN112" t="s">
        <v>404</v>
      </c>
      <c r="FO112" t="s">
        <v>404</v>
      </c>
      <c r="FP112" t="s">
        <v>404</v>
      </c>
      <c r="FQ112" t="s">
        <v>404</v>
      </c>
      <c r="FR112" t="s">
        <v>404</v>
      </c>
      <c r="FW112">
        <v>125</v>
      </c>
      <c r="FY112">
        <v>125</v>
      </c>
      <c r="GF112">
        <v>0</v>
      </c>
      <c r="GM112">
        <v>0</v>
      </c>
      <c r="GT112">
        <v>0</v>
      </c>
      <c r="GY112">
        <v>20</v>
      </c>
      <c r="HA112">
        <v>20</v>
      </c>
      <c r="HH112">
        <v>0</v>
      </c>
      <c r="HM112">
        <v>44</v>
      </c>
      <c r="HO112">
        <v>44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189</v>
      </c>
      <c r="IC112">
        <v>0</v>
      </c>
      <c r="ID112">
        <v>189</v>
      </c>
      <c r="IK112">
        <v>0</v>
      </c>
      <c r="IP112">
        <v>194</v>
      </c>
      <c r="IR112">
        <v>194</v>
      </c>
      <c r="IY112">
        <v>0</v>
      </c>
      <c r="JF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194</v>
      </c>
      <c r="JS112">
        <v>0</v>
      </c>
      <c r="JT112">
        <v>194</v>
      </c>
      <c r="JW112">
        <v>100</v>
      </c>
      <c r="JZ112">
        <v>1</v>
      </c>
      <c r="KA112">
        <v>2</v>
      </c>
      <c r="KB112">
        <v>1</v>
      </c>
      <c r="KC112" t="s">
        <v>407</v>
      </c>
      <c r="OF112" t="s">
        <v>408</v>
      </c>
      <c r="SI112" t="s">
        <v>409</v>
      </c>
      <c r="WL112" t="s">
        <v>410</v>
      </c>
      <c r="AAO112" t="s">
        <v>411</v>
      </c>
      <c r="AER112" t="s">
        <v>412</v>
      </c>
    </row>
    <row r="113" spans="1:824" x14ac:dyDescent="0.2">
      <c r="A113" t="s">
        <v>1232</v>
      </c>
      <c r="B113" t="s">
        <v>414</v>
      </c>
      <c r="C113" t="s">
        <v>1233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>
        <v>779</v>
      </c>
      <c r="W113" s="3">
        <v>43516.77847222222</v>
      </c>
      <c r="X113" t="s">
        <v>1234</v>
      </c>
      <c r="Y113">
        <v>2019</v>
      </c>
      <c r="Z113" t="s">
        <v>1235</v>
      </c>
      <c r="AA113" t="s">
        <v>1233</v>
      </c>
      <c r="AB113" t="s">
        <v>1236</v>
      </c>
      <c r="AC113" t="s">
        <v>1237</v>
      </c>
      <c r="AD113" t="s">
        <v>1238</v>
      </c>
      <c r="AE113" t="s">
        <v>571</v>
      </c>
      <c r="AF113" t="s">
        <v>538</v>
      </c>
      <c r="AH113">
        <v>2</v>
      </c>
      <c r="AI113">
        <v>6</v>
      </c>
      <c r="AU113">
        <v>0</v>
      </c>
      <c r="BB113">
        <v>0</v>
      </c>
      <c r="BI113">
        <v>0</v>
      </c>
      <c r="BP113">
        <v>0</v>
      </c>
      <c r="BW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R113">
        <v>0</v>
      </c>
      <c r="CY113">
        <v>0</v>
      </c>
      <c r="DF113">
        <v>0</v>
      </c>
      <c r="DM113">
        <v>0</v>
      </c>
      <c r="DT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 t="s">
        <v>404</v>
      </c>
      <c r="EJ113" t="s">
        <v>404</v>
      </c>
      <c r="EK113" t="s">
        <v>404</v>
      </c>
      <c r="EL113" t="s">
        <v>404</v>
      </c>
      <c r="EM113" t="s">
        <v>404</v>
      </c>
      <c r="EN113" t="s">
        <v>404</v>
      </c>
      <c r="EO113" t="s">
        <v>404</v>
      </c>
      <c r="EP113" t="s">
        <v>404</v>
      </c>
      <c r="EQ113" t="s">
        <v>404</v>
      </c>
      <c r="ER113" t="s">
        <v>404</v>
      </c>
      <c r="ES113" t="s">
        <v>404</v>
      </c>
      <c r="ET113" t="s">
        <v>404</v>
      </c>
      <c r="EU113" t="s">
        <v>404</v>
      </c>
      <c r="EV113" t="s">
        <v>404</v>
      </c>
      <c r="EW113" t="s">
        <v>404</v>
      </c>
      <c r="EX113" t="s">
        <v>404</v>
      </c>
      <c r="EY113" t="s">
        <v>404</v>
      </c>
      <c r="EZ113" t="s">
        <v>404</v>
      </c>
      <c r="FA113" t="s">
        <v>404</v>
      </c>
      <c r="FB113" t="s">
        <v>404</v>
      </c>
      <c r="FC113" t="s">
        <v>404</v>
      </c>
      <c r="FD113" t="s">
        <v>404</v>
      </c>
      <c r="FE113" t="s">
        <v>404</v>
      </c>
      <c r="FF113" t="s">
        <v>404</v>
      </c>
      <c r="FG113" t="s">
        <v>404</v>
      </c>
      <c r="FH113" t="s">
        <v>404</v>
      </c>
      <c r="FI113" t="s">
        <v>404</v>
      </c>
      <c r="FJ113" t="s">
        <v>404</v>
      </c>
      <c r="FK113" t="s">
        <v>404</v>
      </c>
      <c r="FL113" t="s">
        <v>404</v>
      </c>
      <c r="FM113" t="s">
        <v>404</v>
      </c>
      <c r="FN113" t="s">
        <v>404</v>
      </c>
      <c r="FO113" t="s">
        <v>404</v>
      </c>
      <c r="FP113" t="s">
        <v>404</v>
      </c>
      <c r="FQ113" t="s">
        <v>404</v>
      </c>
      <c r="FR113" t="s">
        <v>404</v>
      </c>
      <c r="FY113">
        <v>0</v>
      </c>
      <c r="GF113">
        <v>0</v>
      </c>
      <c r="GM113">
        <v>0</v>
      </c>
      <c r="GT113">
        <v>0</v>
      </c>
      <c r="HA113">
        <v>0</v>
      </c>
      <c r="HH113">
        <v>0</v>
      </c>
      <c r="HO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K113">
        <v>0</v>
      </c>
      <c r="IR113">
        <v>0</v>
      </c>
      <c r="IY113">
        <v>0</v>
      </c>
      <c r="JF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Z113">
        <v>1</v>
      </c>
      <c r="KA113">
        <v>3</v>
      </c>
      <c r="KB113">
        <v>1</v>
      </c>
      <c r="KC113" t="s">
        <v>407</v>
      </c>
      <c r="OF113" t="s">
        <v>408</v>
      </c>
      <c r="SI113" t="s">
        <v>409</v>
      </c>
      <c r="WL113" t="s">
        <v>410</v>
      </c>
      <c r="AAO113" t="s">
        <v>411</v>
      </c>
      <c r="AER113" t="s">
        <v>412</v>
      </c>
    </row>
    <row r="114" spans="1:824" x14ac:dyDescent="0.2">
      <c r="A114" t="s">
        <v>1239</v>
      </c>
      <c r="B114" t="s">
        <v>396</v>
      </c>
      <c r="C114" t="s">
        <v>1240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>
        <v>633</v>
      </c>
      <c r="W114" s="3">
        <v>43488.729861111111</v>
      </c>
      <c r="X114" t="s">
        <v>1241</v>
      </c>
      <c r="Y114">
        <v>2019</v>
      </c>
      <c r="Z114" t="s">
        <v>1242</v>
      </c>
      <c r="AA114" t="s">
        <v>1243</v>
      </c>
      <c r="AB114" t="s">
        <v>1244</v>
      </c>
      <c r="AC114" t="s">
        <v>1245</v>
      </c>
      <c r="AD114">
        <v>2078816857</v>
      </c>
      <c r="AE114" t="s">
        <v>491</v>
      </c>
      <c r="AF114" t="s">
        <v>403</v>
      </c>
      <c r="AH114">
        <v>1</v>
      </c>
      <c r="AK114">
        <v>375</v>
      </c>
      <c r="AL114">
        <v>375</v>
      </c>
      <c r="AM114">
        <v>300</v>
      </c>
      <c r="AN114">
        <v>300</v>
      </c>
      <c r="AU114">
        <v>0</v>
      </c>
      <c r="AV114">
        <v>175</v>
      </c>
      <c r="AW114">
        <v>200</v>
      </c>
      <c r="BB114">
        <v>375</v>
      </c>
      <c r="BI114">
        <v>0</v>
      </c>
      <c r="BP114">
        <v>0</v>
      </c>
      <c r="BW114">
        <v>0</v>
      </c>
      <c r="CD114">
        <v>0</v>
      </c>
      <c r="CE114">
        <v>175</v>
      </c>
      <c r="CF114">
        <v>200</v>
      </c>
      <c r="CG114">
        <v>0</v>
      </c>
      <c r="CH114">
        <v>0</v>
      </c>
      <c r="CI114">
        <v>0</v>
      </c>
      <c r="CJ114">
        <v>0</v>
      </c>
      <c r="CK114">
        <v>375</v>
      </c>
      <c r="CR114">
        <v>0</v>
      </c>
      <c r="CS114">
        <v>2</v>
      </c>
      <c r="CT114">
        <v>1</v>
      </c>
      <c r="CY114">
        <v>3</v>
      </c>
      <c r="DF114">
        <v>0</v>
      </c>
      <c r="DM114">
        <v>0</v>
      </c>
      <c r="DT114">
        <v>0</v>
      </c>
      <c r="EA114">
        <v>0</v>
      </c>
      <c r="EB114">
        <v>2</v>
      </c>
      <c r="EC114">
        <v>1</v>
      </c>
      <c r="ED114">
        <v>0</v>
      </c>
      <c r="EE114">
        <v>0</v>
      </c>
      <c r="EF114">
        <v>0</v>
      </c>
      <c r="EG114">
        <v>0</v>
      </c>
      <c r="EH114">
        <v>3</v>
      </c>
      <c r="EI114" t="s">
        <v>404</v>
      </c>
      <c r="EJ114" t="s">
        <v>404</v>
      </c>
      <c r="EK114" t="s">
        <v>404</v>
      </c>
      <c r="EL114" t="s">
        <v>404</v>
      </c>
      <c r="EM114" t="s">
        <v>404</v>
      </c>
      <c r="EN114" t="s">
        <v>404</v>
      </c>
      <c r="EO114" t="s">
        <v>405</v>
      </c>
      <c r="EP114" t="s">
        <v>405</v>
      </c>
      <c r="EQ114" t="s">
        <v>404</v>
      </c>
      <c r="ER114" t="s">
        <v>404</v>
      </c>
      <c r="ES114" t="s">
        <v>404</v>
      </c>
      <c r="ET114" t="s">
        <v>404</v>
      </c>
      <c r="EU114" t="s">
        <v>404</v>
      </c>
      <c r="EV114" t="s">
        <v>404</v>
      </c>
      <c r="EW114" t="s">
        <v>404</v>
      </c>
      <c r="EX114" t="s">
        <v>404</v>
      </c>
      <c r="EY114" t="s">
        <v>404</v>
      </c>
      <c r="EZ114" t="s">
        <v>404</v>
      </c>
      <c r="FA114" t="s">
        <v>404</v>
      </c>
      <c r="FB114" t="s">
        <v>404</v>
      </c>
      <c r="FC114" t="s">
        <v>404</v>
      </c>
      <c r="FD114" t="s">
        <v>404</v>
      </c>
      <c r="FE114" t="s">
        <v>404</v>
      </c>
      <c r="FF114" t="s">
        <v>404</v>
      </c>
      <c r="FG114" t="s">
        <v>404</v>
      </c>
      <c r="FH114" t="s">
        <v>404</v>
      </c>
      <c r="FI114" t="s">
        <v>404</v>
      </c>
      <c r="FJ114" t="s">
        <v>404</v>
      </c>
      <c r="FK114" t="s">
        <v>404</v>
      </c>
      <c r="FL114" t="s">
        <v>404</v>
      </c>
      <c r="FM114" t="s">
        <v>404</v>
      </c>
      <c r="FN114" t="s">
        <v>404</v>
      </c>
      <c r="FO114" t="s">
        <v>404</v>
      </c>
      <c r="FP114" t="s">
        <v>404</v>
      </c>
      <c r="FQ114" t="s">
        <v>404</v>
      </c>
      <c r="FR114" t="s">
        <v>404</v>
      </c>
      <c r="FS114">
        <v>175</v>
      </c>
      <c r="FY114">
        <v>175</v>
      </c>
      <c r="GF114">
        <v>0</v>
      </c>
      <c r="GM114">
        <v>0</v>
      </c>
      <c r="GT114">
        <v>0</v>
      </c>
      <c r="HA114">
        <v>0</v>
      </c>
      <c r="HH114">
        <v>0</v>
      </c>
      <c r="HO114">
        <v>0</v>
      </c>
      <c r="HP114" t="s">
        <v>1246</v>
      </c>
      <c r="HR114">
        <v>200</v>
      </c>
      <c r="HW114">
        <v>200</v>
      </c>
      <c r="HX114">
        <v>175</v>
      </c>
      <c r="HY114">
        <v>200</v>
      </c>
      <c r="HZ114">
        <v>0</v>
      </c>
      <c r="IA114">
        <v>0</v>
      </c>
      <c r="IB114">
        <v>0</v>
      </c>
      <c r="IC114">
        <v>0</v>
      </c>
      <c r="ID114">
        <v>375</v>
      </c>
      <c r="IF114">
        <v>200</v>
      </c>
      <c r="IK114">
        <v>200</v>
      </c>
      <c r="IR114">
        <v>0</v>
      </c>
      <c r="IS114">
        <v>175</v>
      </c>
      <c r="IY114">
        <v>175</v>
      </c>
      <c r="JF114">
        <v>0</v>
      </c>
      <c r="JM114">
        <v>0</v>
      </c>
      <c r="JN114">
        <v>175</v>
      </c>
      <c r="JO114">
        <v>200</v>
      </c>
      <c r="JP114">
        <v>0</v>
      </c>
      <c r="JQ114">
        <v>0</v>
      </c>
      <c r="JR114">
        <v>0</v>
      </c>
      <c r="JS114">
        <v>0</v>
      </c>
      <c r="JT114">
        <v>375</v>
      </c>
      <c r="JW114">
        <v>100</v>
      </c>
      <c r="JZ114">
        <v>1</v>
      </c>
      <c r="KA114">
        <v>3</v>
      </c>
      <c r="KB114">
        <v>2</v>
      </c>
      <c r="KC114" t="s">
        <v>407</v>
      </c>
      <c r="OF114" t="s">
        <v>408</v>
      </c>
      <c r="SI114" t="s">
        <v>409</v>
      </c>
      <c r="WL114" t="s">
        <v>410</v>
      </c>
      <c r="AAO114" t="s">
        <v>411</v>
      </c>
      <c r="AER114" t="s">
        <v>412</v>
      </c>
    </row>
    <row r="115" spans="1:824" x14ac:dyDescent="0.2">
      <c r="A115" t="s">
        <v>1247</v>
      </c>
      <c r="B115" t="s">
        <v>396</v>
      </c>
      <c r="C115" t="s">
        <v>1248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>
        <v>817</v>
      </c>
      <c r="W115" s="3">
        <v>43523.652083333334</v>
      </c>
      <c r="X115" t="s">
        <v>1249</v>
      </c>
      <c r="Y115">
        <v>2019</v>
      </c>
      <c r="Z115" t="s">
        <v>1250</v>
      </c>
      <c r="AA115" t="s">
        <v>1251</v>
      </c>
      <c r="AB115" t="s">
        <v>852</v>
      </c>
      <c r="AC115" t="s">
        <v>1252</v>
      </c>
      <c r="AD115">
        <v>7493170122</v>
      </c>
      <c r="AE115" t="s">
        <v>491</v>
      </c>
      <c r="AF115" t="s">
        <v>492</v>
      </c>
      <c r="AH115">
        <v>1</v>
      </c>
      <c r="AK115">
        <v>355</v>
      </c>
      <c r="AL115">
        <v>355</v>
      </c>
      <c r="AU115">
        <v>0</v>
      </c>
      <c r="AV115">
        <v>155</v>
      </c>
      <c r="BA115">
        <v>200</v>
      </c>
      <c r="BB115">
        <v>355</v>
      </c>
      <c r="BI115">
        <v>0</v>
      </c>
      <c r="BP115">
        <v>0</v>
      </c>
      <c r="BW115">
        <v>0</v>
      </c>
      <c r="CD115">
        <v>0</v>
      </c>
      <c r="CE115">
        <v>155</v>
      </c>
      <c r="CF115">
        <v>0</v>
      </c>
      <c r="CG115">
        <v>0</v>
      </c>
      <c r="CH115">
        <v>0</v>
      </c>
      <c r="CI115">
        <v>0</v>
      </c>
      <c r="CJ115">
        <v>200</v>
      </c>
      <c r="CK115">
        <v>355</v>
      </c>
      <c r="CR115">
        <v>0</v>
      </c>
      <c r="CS115">
        <v>1</v>
      </c>
      <c r="CX115">
        <v>1</v>
      </c>
      <c r="CY115">
        <v>2</v>
      </c>
      <c r="DF115">
        <v>0</v>
      </c>
      <c r="DM115">
        <v>0</v>
      </c>
      <c r="DT115">
        <v>0</v>
      </c>
      <c r="EA115">
        <v>0</v>
      </c>
      <c r="EB115">
        <v>1</v>
      </c>
      <c r="EC115">
        <v>0</v>
      </c>
      <c r="ED115">
        <v>0</v>
      </c>
      <c r="EE115">
        <v>0</v>
      </c>
      <c r="EF115">
        <v>0</v>
      </c>
      <c r="EG115">
        <v>1</v>
      </c>
      <c r="EH115">
        <v>2</v>
      </c>
      <c r="EI115" t="s">
        <v>404</v>
      </c>
      <c r="EJ115" t="s">
        <v>404</v>
      </c>
      <c r="EK115" t="s">
        <v>404</v>
      </c>
      <c r="EL115" t="s">
        <v>404</v>
      </c>
      <c r="EM115" t="s">
        <v>404</v>
      </c>
      <c r="EN115" t="s">
        <v>404</v>
      </c>
      <c r="EO115" t="s">
        <v>405</v>
      </c>
      <c r="EP115" t="s">
        <v>404</v>
      </c>
      <c r="EQ115" t="s">
        <v>404</v>
      </c>
      <c r="ER115" t="s">
        <v>404</v>
      </c>
      <c r="ES115" t="s">
        <v>404</v>
      </c>
      <c r="ET115" t="s">
        <v>405</v>
      </c>
      <c r="EU115" t="s">
        <v>404</v>
      </c>
      <c r="EV115" t="s">
        <v>404</v>
      </c>
      <c r="EW115" t="s">
        <v>404</v>
      </c>
      <c r="EX115" t="s">
        <v>404</v>
      </c>
      <c r="EY115" t="s">
        <v>404</v>
      </c>
      <c r="EZ115" t="s">
        <v>404</v>
      </c>
      <c r="FA115" t="s">
        <v>404</v>
      </c>
      <c r="FB115" t="s">
        <v>404</v>
      </c>
      <c r="FC115" t="s">
        <v>404</v>
      </c>
      <c r="FD115" t="s">
        <v>404</v>
      </c>
      <c r="FE115" t="s">
        <v>404</v>
      </c>
      <c r="FF115" t="s">
        <v>404</v>
      </c>
      <c r="FG115" t="s">
        <v>404</v>
      </c>
      <c r="FH115" t="s">
        <v>404</v>
      </c>
      <c r="FI115" t="s">
        <v>404</v>
      </c>
      <c r="FJ115" t="s">
        <v>404</v>
      </c>
      <c r="FK115" t="s">
        <v>404</v>
      </c>
      <c r="FL115" t="s">
        <v>404</v>
      </c>
      <c r="FM115" t="s">
        <v>404</v>
      </c>
      <c r="FN115" t="s">
        <v>404</v>
      </c>
      <c r="FO115" t="s">
        <v>404</v>
      </c>
      <c r="FP115" t="s">
        <v>404</v>
      </c>
      <c r="FQ115" t="s">
        <v>404</v>
      </c>
      <c r="FR115" t="s">
        <v>404</v>
      </c>
      <c r="FY115">
        <v>0</v>
      </c>
      <c r="GF115">
        <v>0</v>
      </c>
      <c r="GM115">
        <v>0</v>
      </c>
      <c r="GT115">
        <v>0</v>
      </c>
      <c r="HA115">
        <v>0</v>
      </c>
      <c r="HH115">
        <v>0</v>
      </c>
      <c r="HO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K115">
        <v>0</v>
      </c>
      <c r="IL115">
        <v>155</v>
      </c>
      <c r="IQ115">
        <v>200</v>
      </c>
      <c r="IR115">
        <v>355</v>
      </c>
      <c r="IY115">
        <v>0</v>
      </c>
      <c r="JF115">
        <v>0</v>
      </c>
      <c r="JM115">
        <v>0</v>
      </c>
      <c r="JN115">
        <v>155</v>
      </c>
      <c r="JO115">
        <v>0</v>
      </c>
      <c r="JP115">
        <v>0</v>
      </c>
      <c r="JQ115">
        <v>0</v>
      </c>
      <c r="JR115">
        <v>0</v>
      </c>
      <c r="JS115">
        <v>200</v>
      </c>
      <c r="JT115">
        <v>355</v>
      </c>
      <c r="JZ115">
        <v>1</v>
      </c>
      <c r="KA115">
        <v>3</v>
      </c>
      <c r="KB115">
        <v>1</v>
      </c>
      <c r="KC115" t="s">
        <v>407</v>
      </c>
      <c r="OF115" t="s">
        <v>408</v>
      </c>
      <c r="SI115" t="s">
        <v>409</v>
      </c>
      <c r="WL115" t="s">
        <v>410</v>
      </c>
      <c r="AAO115" t="s">
        <v>411</v>
      </c>
      <c r="AER115" t="s">
        <v>412</v>
      </c>
    </row>
    <row r="116" spans="1:824" x14ac:dyDescent="0.2">
      <c r="A116" t="s">
        <v>1253</v>
      </c>
      <c r="B116" t="s">
        <v>414</v>
      </c>
      <c r="C116" t="s">
        <v>1254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>
        <v>540</v>
      </c>
      <c r="W116" s="3">
        <v>43486.325694444444</v>
      </c>
      <c r="X116" t="s">
        <v>1255</v>
      </c>
      <c r="Y116">
        <v>2019</v>
      </c>
      <c r="Z116" t="s">
        <v>1256</v>
      </c>
      <c r="AA116" t="s">
        <v>1257</v>
      </c>
      <c r="AB116" t="s">
        <v>1258</v>
      </c>
      <c r="AC116" t="s">
        <v>1259</v>
      </c>
      <c r="AD116">
        <v>26008616</v>
      </c>
      <c r="AE116" t="s">
        <v>537</v>
      </c>
      <c r="AF116" t="s">
        <v>538</v>
      </c>
      <c r="AH116">
        <v>2</v>
      </c>
      <c r="AU116">
        <v>0</v>
      </c>
      <c r="BB116">
        <v>0</v>
      </c>
      <c r="BI116">
        <v>0</v>
      </c>
      <c r="BP116">
        <v>0</v>
      </c>
      <c r="BW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R116">
        <v>0</v>
      </c>
      <c r="CY116">
        <v>0</v>
      </c>
      <c r="DF116">
        <v>0</v>
      </c>
      <c r="DM116">
        <v>0</v>
      </c>
      <c r="DT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 t="s">
        <v>404</v>
      </c>
      <c r="EJ116" t="s">
        <v>404</v>
      </c>
      <c r="EK116" t="s">
        <v>404</v>
      </c>
      <c r="EL116" t="s">
        <v>404</v>
      </c>
      <c r="EM116" t="s">
        <v>404</v>
      </c>
      <c r="EN116" t="s">
        <v>404</v>
      </c>
      <c r="EO116" t="s">
        <v>404</v>
      </c>
      <c r="EP116" t="s">
        <v>404</v>
      </c>
      <c r="EQ116" t="s">
        <v>404</v>
      </c>
      <c r="ER116" t="s">
        <v>404</v>
      </c>
      <c r="ES116" t="s">
        <v>404</v>
      </c>
      <c r="ET116" t="s">
        <v>404</v>
      </c>
      <c r="EU116" t="s">
        <v>404</v>
      </c>
      <c r="EV116" t="s">
        <v>404</v>
      </c>
      <c r="EW116" t="s">
        <v>404</v>
      </c>
      <c r="EX116" t="s">
        <v>404</v>
      </c>
      <c r="EY116" t="s">
        <v>404</v>
      </c>
      <c r="EZ116" t="s">
        <v>404</v>
      </c>
      <c r="FA116" t="s">
        <v>404</v>
      </c>
      <c r="FB116" t="s">
        <v>404</v>
      </c>
      <c r="FC116" t="s">
        <v>404</v>
      </c>
      <c r="FD116" t="s">
        <v>404</v>
      </c>
      <c r="FE116" t="s">
        <v>404</v>
      </c>
      <c r="FF116" t="s">
        <v>404</v>
      </c>
      <c r="FG116" t="s">
        <v>404</v>
      </c>
      <c r="FH116" t="s">
        <v>404</v>
      </c>
      <c r="FI116" t="s">
        <v>404</v>
      </c>
      <c r="FJ116" t="s">
        <v>404</v>
      </c>
      <c r="FK116" t="s">
        <v>404</v>
      </c>
      <c r="FL116" t="s">
        <v>404</v>
      </c>
      <c r="FM116" t="s">
        <v>404</v>
      </c>
      <c r="FN116" t="s">
        <v>404</v>
      </c>
      <c r="FO116" t="s">
        <v>404</v>
      </c>
      <c r="FP116" t="s">
        <v>404</v>
      </c>
      <c r="FQ116" t="s">
        <v>404</v>
      </c>
      <c r="FR116" t="s">
        <v>404</v>
      </c>
      <c r="FY116">
        <v>0</v>
      </c>
      <c r="GF116">
        <v>0</v>
      </c>
      <c r="GM116">
        <v>0</v>
      </c>
      <c r="GT116">
        <v>0</v>
      </c>
      <c r="HA116">
        <v>0</v>
      </c>
      <c r="HH116">
        <v>0</v>
      </c>
      <c r="HO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K116">
        <v>0</v>
      </c>
      <c r="IR116">
        <v>0</v>
      </c>
      <c r="IY116">
        <v>0</v>
      </c>
      <c r="JF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Z116">
        <v>1</v>
      </c>
      <c r="KA116">
        <v>1</v>
      </c>
      <c r="KB116">
        <v>2</v>
      </c>
      <c r="KC116" t="s">
        <v>407</v>
      </c>
      <c r="OF116" t="s">
        <v>408</v>
      </c>
      <c r="SI116" t="s">
        <v>409</v>
      </c>
      <c r="WL116" t="s">
        <v>410</v>
      </c>
      <c r="AAO116" t="s">
        <v>411</v>
      </c>
      <c r="AER116" t="s">
        <v>412</v>
      </c>
    </row>
    <row r="117" spans="1:824" x14ac:dyDescent="0.2">
      <c r="A117" t="s">
        <v>1260</v>
      </c>
      <c r="B117" t="s">
        <v>414</v>
      </c>
      <c r="C117" t="s">
        <v>1261</v>
      </c>
      <c r="D117" t="s">
        <v>478</v>
      </c>
      <c r="E117" s="3">
        <v>43528.269444444442</v>
      </c>
      <c r="H117" t="s">
        <v>1262</v>
      </c>
      <c r="I117" s="3">
        <v>43528.270138888889</v>
      </c>
      <c r="P117" t="b">
        <v>0</v>
      </c>
      <c r="Q117" t="b">
        <v>1</v>
      </c>
      <c r="R117" t="b">
        <v>1</v>
      </c>
      <c r="S117" t="b">
        <v>0</v>
      </c>
      <c r="T117" t="b">
        <v>0</v>
      </c>
      <c r="U117" t="b">
        <v>0</v>
      </c>
      <c r="V117">
        <v>655</v>
      </c>
      <c r="W117" s="3">
        <v>43528.268055555556</v>
      </c>
      <c r="X117" t="s">
        <v>978</v>
      </c>
      <c r="Y117">
        <v>2019</v>
      </c>
      <c r="Z117" t="s">
        <v>1263</v>
      </c>
      <c r="AA117" t="s">
        <v>1264</v>
      </c>
      <c r="AB117" t="s">
        <v>1265</v>
      </c>
      <c r="AC117" t="s">
        <v>1266</v>
      </c>
      <c r="AD117">
        <v>439884241</v>
      </c>
      <c r="AE117" t="s">
        <v>420</v>
      </c>
      <c r="AF117" t="s">
        <v>421</v>
      </c>
      <c r="AH117">
        <v>1</v>
      </c>
      <c r="AK117">
        <v>2187</v>
      </c>
      <c r="AL117">
        <v>1729</v>
      </c>
      <c r="AM117">
        <v>2187</v>
      </c>
      <c r="AN117">
        <v>1729</v>
      </c>
      <c r="AO117">
        <v>1298</v>
      </c>
      <c r="AP117">
        <v>419</v>
      </c>
      <c r="AU117">
        <v>1717</v>
      </c>
      <c r="BB117">
        <v>0</v>
      </c>
      <c r="BC117">
        <v>12</v>
      </c>
      <c r="BI117">
        <v>12</v>
      </c>
      <c r="BP117">
        <v>0</v>
      </c>
      <c r="BW117">
        <v>0</v>
      </c>
      <c r="CD117">
        <v>0</v>
      </c>
      <c r="CE117">
        <v>1310</v>
      </c>
      <c r="CF117">
        <v>419</v>
      </c>
      <c r="CG117">
        <v>0</v>
      </c>
      <c r="CH117">
        <v>0</v>
      </c>
      <c r="CI117">
        <v>0</v>
      </c>
      <c r="CJ117">
        <v>0</v>
      </c>
      <c r="CK117">
        <v>1729</v>
      </c>
      <c r="CL117">
        <v>3</v>
      </c>
      <c r="CM117">
        <v>3</v>
      </c>
      <c r="CR117">
        <v>6</v>
      </c>
      <c r="CY117">
        <v>0</v>
      </c>
      <c r="CZ117">
        <v>1</v>
      </c>
      <c r="DF117">
        <v>1</v>
      </c>
      <c r="DM117">
        <v>0</v>
      </c>
      <c r="DT117">
        <v>0</v>
      </c>
      <c r="EA117">
        <v>0</v>
      </c>
      <c r="EB117">
        <v>4</v>
      </c>
      <c r="EC117">
        <v>3</v>
      </c>
      <c r="ED117">
        <v>0</v>
      </c>
      <c r="EE117">
        <v>0</v>
      </c>
      <c r="EF117">
        <v>0</v>
      </c>
      <c r="EG117">
        <v>0</v>
      </c>
      <c r="EH117">
        <v>7</v>
      </c>
      <c r="EI117" t="s">
        <v>405</v>
      </c>
      <c r="EJ117" t="s">
        <v>405</v>
      </c>
      <c r="EK117" t="s">
        <v>404</v>
      </c>
      <c r="EL117" t="s">
        <v>404</v>
      </c>
      <c r="EM117" t="s">
        <v>404</v>
      </c>
      <c r="EN117" t="s">
        <v>404</v>
      </c>
      <c r="EO117" t="s">
        <v>404</v>
      </c>
      <c r="EP117" t="s">
        <v>404</v>
      </c>
      <c r="EQ117" t="s">
        <v>404</v>
      </c>
      <c r="ER117" t="s">
        <v>404</v>
      </c>
      <c r="ES117" t="s">
        <v>404</v>
      </c>
      <c r="ET117" t="s">
        <v>404</v>
      </c>
      <c r="EU117" t="s">
        <v>405</v>
      </c>
      <c r="EV117" t="s">
        <v>404</v>
      </c>
      <c r="EW117" t="s">
        <v>404</v>
      </c>
      <c r="EX117" t="s">
        <v>404</v>
      </c>
      <c r="EY117" t="s">
        <v>404</v>
      </c>
      <c r="EZ117" t="s">
        <v>404</v>
      </c>
      <c r="FA117" t="s">
        <v>404</v>
      </c>
      <c r="FB117" t="s">
        <v>404</v>
      </c>
      <c r="FC117" t="s">
        <v>404</v>
      </c>
      <c r="FD117" t="s">
        <v>404</v>
      </c>
      <c r="FE117" t="s">
        <v>404</v>
      </c>
      <c r="FF117" t="s">
        <v>404</v>
      </c>
      <c r="FG117" t="s">
        <v>404</v>
      </c>
      <c r="FH117" t="s">
        <v>404</v>
      </c>
      <c r="FI117" t="s">
        <v>404</v>
      </c>
      <c r="FJ117" t="s">
        <v>404</v>
      </c>
      <c r="FK117" t="s">
        <v>404</v>
      </c>
      <c r="FL117" t="s">
        <v>404</v>
      </c>
      <c r="FM117" t="s">
        <v>404</v>
      </c>
      <c r="FN117" t="s">
        <v>404</v>
      </c>
      <c r="FO117" t="s">
        <v>404</v>
      </c>
      <c r="FP117" t="s">
        <v>404</v>
      </c>
      <c r="FQ117" t="s">
        <v>404</v>
      </c>
      <c r="FR117" t="s">
        <v>404</v>
      </c>
      <c r="FS117">
        <v>903</v>
      </c>
      <c r="FT117">
        <v>163</v>
      </c>
      <c r="FY117">
        <v>1066</v>
      </c>
      <c r="FZ117">
        <v>5</v>
      </c>
      <c r="GA117">
        <v>256</v>
      </c>
      <c r="GF117">
        <v>261</v>
      </c>
      <c r="GG117">
        <v>5</v>
      </c>
      <c r="GM117">
        <v>5</v>
      </c>
      <c r="GN117">
        <v>283</v>
      </c>
      <c r="GT117">
        <v>283</v>
      </c>
      <c r="GU117">
        <v>8</v>
      </c>
      <c r="HA117">
        <v>8</v>
      </c>
      <c r="HH117">
        <v>0</v>
      </c>
      <c r="HO117">
        <v>0</v>
      </c>
      <c r="HP117" t="s">
        <v>1267</v>
      </c>
      <c r="HQ117">
        <v>106</v>
      </c>
      <c r="HW117">
        <v>106</v>
      </c>
      <c r="HX117">
        <v>1310</v>
      </c>
      <c r="HY117">
        <v>419</v>
      </c>
      <c r="HZ117">
        <v>0</v>
      </c>
      <c r="IA117">
        <v>0</v>
      </c>
      <c r="IB117">
        <v>0</v>
      </c>
      <c r="IC117">
        <v>0</v>
      </c>
      <c r="ID117">
        <v>1729</v>
      </c>
      <c r="IE117">
        <v>1176</v>
      </c>
      <c r="IF117">
        <v>163</v>
      </c>
      <c r="IK117">
        <v>1339</v>
      </c>
      <c r="IL117">
        <v>134</v>
      </c>
      <c r="IM117">
        <v>256</v>
      </c>
      <c r="IR117">
        <v>390</v>
      </c>
      <c r="IY117">
        <v>0</v>
      </c>
      <c r="JF117">
        <v>0</v>
      </c>
      <c r="JM117">
        <v>0</v>
      </c>
      <c r="JN117">
        <v>1310</v>
      </c>
      <c r="JO117">
        <v>419</v>
      </c>
      <c r="JP117">
        <v>0</v>
      </c>
      <c r="JQ117">
        <v>0</v>
      </c>
      <c r="JR117">
        <v>0</v>
      </c>
      <c r="JS117">
        <v>0</v>
      </c>
      <c r="JT117">
        <v>1729</v>
      </c>
      <c r="JX117" t="s">
        <v>1268</v>
      </c>
      <c r="JY117">
        <v>100</v>
      </c>
      <c r="JZ117">
        <v>2</v>
      </c>
      <c r="KA117">
        <v>2</v>
      </c>
      <c r="KB117">
        <v>1</v>
      </c>
      <c r="KC117" t="s">
        <v>407</v>
      </c>
      <c r="KD117">
        <v>891</v>
      </c>
      <c r="KE117">
        <v>163</v>
      </c>
      <c r="KJ117">
        <v>1054</v>
      </c>
      <c r="KK117">
        <v>5</v>
      </c>
      <c r="KL117">
        <v>256</v>
      </c>
      <c r="KQ117">
        <v>261</v>
      </c>
      <c r="KR117">
        <v>5</v>
      </c>
      <c r="KX117">
        <v>5</v>
      </c>
      <c r="KY117">
        <v>283</v>
      </c>
      <c r="LE117">
        <v>283</v>
      </c>
      <c r="LF117">
        <v>8</v>
      </c>
      <c r="LL117">
        <v>8</v>
      </c>
      <c r="LS117">
        <v>0</v>
      </c>
      <c r="LZ117">
        <v>0</v>
      </c>
      <c r="MA117" t="s">
        <v>1267</v>
      </c>
      <c r="MB117">
        <v>106</v>
      </c>
      <c r="MH117">
        <v>106</v>
      </c>
      <c r="MI117">
        <v>1298</v>
      </c>
      <c r="MJ117">
        <v>419</v>
      </c>
      <c r="MK117">
        <v>0</v>
      </c>
      <c r="ML117">
        <v>0</v>
      </c>
      <c r="MM117">
        <v>0</v>
      </c>
      <c r="MN117">
        <v>0</v>
      </c>
      <c r="MO117">
        <v>1717</v>
      </c>
      <c r="MP117">
        <v>134</v>
      </c>
      <c r="MQ117">
        <v>256</v>
      </c>
      <c r="MV117">
        <v>390</v>
      </c>
      <c r="MW117">
        <v>1164</v>
      </c>
      <c r="MX117">
        <v>163</v>
      </c>
      <c r="NC117">
        <v>1327</v>
      </c>
      <c r="NJ117">
        <v>0</v>
      </c>
      <c r="NQ117">
        <v>0</v>
      </c>
      <c r="NX117">
        <v>0</v>
      </c>
      <c r="NY117">
        <v>1298</v>
      </c>
      <c r="NZ117">
        <v>419</v>
      </c>
      <c r="OA117">
        <v>0</v>
      </c>
      <c r="OB117">
        <v>0</v>
      </c>
      <c r="OC117">
        <v>0</v>
      </c>
      <c r="OD117">
        <v>0</v>
      </c>
      <c r="OE117">
        <v>1717</v>
      </c>
      <c r="OF117" t="s">
        <v>408</v>
      </c>
      <c r="SI117" t="s">
        <v>409</v>
      </c>
      <c r="SJ117">
        <v>12</v>
      </c>
      <c r="SP117">
        <v>12</v>
      </c>
      <c r="SW117">
        <v>0</v>
      </c>
      <c r="TD117">
        <v>0</v>
      </c>
      <c r="TK117">
        <v>0</v>
      </c>
      <c r="TR117">
        <v>0</v>
      </c>
      <c r="TY117">
        <v>0</v>
      </c>
      <c r="UF117">
        <v>0</v>
      </c>
      <c r="UN117">
        <v>0</v>
      </c>
      <c r="UO117">
        <v>12</v>
      </c>
      <c r="UP117">
        <v>0</v>
      </c>
      <c r="UQ117">
        <v>0</v>
      </c>
      <c r="UR117">
        <v>0</v>
      </c>
      <c r="US117">
        <v>0</v>
      </c>
      <c r="UT117">
        <v>0</v>
      </c>
      <c r="UU117">
        <v>12</v>
      </c>
      <c r="VB117">
        <v>0</v>
      </c>
      <c r="VC117">
        <v>12</v>
      </c>
      <c r="VI117">
        <v>12</v>
      </c>
      <c r="VP117">
        <v>0</v>
      </c>
      <c r="VW117">
        <v>0</v>
      </c>
      <c r="WD117">
        <v>0</v>
      </c>
      <c r="WE117">
        <v>12</v>
      </c>
      <c r="WF117">
        <v>0</v>
      </c>
      <c r="WG117">
        <v>0</v>
      </c>
      <c r="WH117">
        <v>0</v>
      </c>
      <c r="WI117">
        <v>0</v>
      </c>
      <c r="WJ117">
        <v>0</v>
      </c>
      <c r="WK117">
        <v>12</v>
      </c>
      <c r="WL117" t="s">
        <v>410</v>
      </c>
      <c r="AAO117" t="s">
        <v>411</v>
      </c>
      <c r="AER117" t="s">
        <v>412</v>
      </c>
    </row>
    <row r="118" spans="1:824" x14ac:dyDescent="0.2">
      <c r="A118" t="s">
        <v>1269</v>
      </c>
      <c r="B118" t="s">
        <v>414</v>
      </c>
      <c r="C118" t="s">
        <v>1270</v>
      </c>
      <c r="P118" t="b">
        <v>0</v>
      </c>
      <c r="Q118" t="b">
        <v>1</v>
      </c>
      <c r="R118" t="b">
        <v>1</v>
      </c>
      <c r="S118" t="b">
        <v>0</v>
      </c>
      <c r="T118" t="b">
        <v>0</v>
      </c>
      <c r="U118" t="b">
        <v>0</v>
      </c>
      <c r="V118">
        <v>780</v>
      </c>
      <c r="W118" s="3">
        <v>43521.282638888886</v>
      </c>
      <c r="X118" t="s">
        <v>1271</v>
      </c>
      <c r="Y118">
        <v>2019</v>
      </c>
      <c r="Z118" t="s">
        <v>1272</v>
      </c>
      <c r="AA118" t="s">
        <v>1273</v>
      </c>
      <c r="AB118" t="s">
        <v>1274</v>
      </c>
      <c r="AC118" t="s">
        <v>1275</v>
      </c>
      <c r="AD118">
        <v>424173318</v>
      </c>
      <c r="AE118" t="s">
        <v>420</v>
      </c>
      <c r="AF118" t="s">
        <v>421</v>
      </c>
      <c r="AH118">
        <v>1</v>
      </c>
      <c r="AK118">
        <v>615</v>
      </c>
      <c r="AL118">
        <v>384</v>
      </c>
      <c r="AM118">
        <v>465</v>
      </c>
      <c r="AN118">
        <v>384</v>
      </c>
      <c r="AO118">
        <v>357</v>
      </c>
      <c r="AU118">
        <v>357</v>
      </c>
      <c r="BB118">
        <v>0</v>
      </c>
      <c r="BC118">
        <v>27</v>
      </c>
      <c r="BI118">
        <v>27</v>
      </c>
      <c r="BP118">
        <v>0</v>
      </c>
      <c r="BW118">
        <v>0</v>
      </c>
      <c r="CD118">
        <v>0</v>
      </c>
      <c r="CE118">
        <v>384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384</v>
      </c>
      <c r="CL118">
        <v>3</v>
      </c>
      <c r="CR118">
        <v>3</v>
      </c>
      <c r="CY118">
        <v>0</v>
      </c>
      <c r="CZ118">
        <v>1</v>
      </c>
      <c r="DF118">
        <v>1</v>
      </c>
      <c r="DM118">
        <v>0</v>
      </c>
      <c r="DT118">
        <v>0</v>
      </c>
      <c r="EA118">
        <v>0</v>
      </c>
      <c r="EB118">
        <v>4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4</v>
      </c>
      <c r="EI118" t="s">
        <v>405</v>
      </c>
      <c r="EJ118" t="s">
        <v>404</v>
      </c>
      <c r="EK118" t="s">
        <v>404</v>
      </c>
      <c r="EL118" t="s">
        <v>404</v>
      </c>
      <c r="EM118" t="s">
        <v>404</v>
      </c>
      <c r="EN118" t="s">
        <v>404</v>
      </c>
      <c r="EO118" t="s">
        <v>404</v>
      </c>
      <c r="EP118" t="s">
        <v>404</v>
      </c>
      <c r="EQ118" t="s">
        <v>404</v>
      </c>
      <c r="ER118" t="s">
        <v>404</v>
      </c>
      <c r="ES118" t="s">
        <v>404</v>
      </c>
      <c r="ET118" t="s">
        <v>404</v>
      </c>
      <c r="EU118" t="s">
        <v>405</v>
      </c>
      <c r="EV118" t="s">
        <v>404</v>
      </c>
      <c r="EW118" t="s">
        <v>404</v>
      </c>
      <c r="EX118" t="s">
        <v>404</v>
      </c>
      <c r="EY118" t="s">
        <v>404</v>
      </c>
      <c r="EZ118" t="s">
        <v>404</v>
      </c>
      <c r="FA118" t="s">
        <v>404</v>
      </c>
      <c r="FB118" t="s">
        <v>404</v>
      </c>
      <c r="FC118" t="s">
        <v>404</v>
      </c>
      <c r="FD118" t="s">
        <v>404</v>
      </c>
      <c r="FE118" t="s">
        <v>404</v>
      </c>
      <c r="FF118" t="s">
        <v>404</v>
      </c>
      <c r="FG118" t="s">
        <v>404</v>
      </c>
      <c r="FH118" t="s">
        <v>404</v>
      </c>
      <c r="FI118" t="s">
        <v>404</v>
      </c>
      <c r="FJ118" t="s">
        <v>404</v>
      </c>
      <c r="FK118" t="s">
        <v>404</v>
      </c>
      <c r="FL118" t="s">
        <v>404</v>
      </c>
      <c r="FM118" t="s">
        <v>404</v>
      </c>
      <c r="FN118" t="s">
        <v>404</v>
      </c>
      <c r="FO118" t="s">
        <v>404</v>
      </c>
      <c r="FP118" t="s">
        <v>404</v>
      </c>
      <c r="FQ118" t="s">
        <v>404</v>
      </c>
      <c r="FR118" t="s">
        <v>404</v>
      </c>
      <c r="FS118">
        <v>25</v>
      </c>
      <c r="FY118">
        <v>25</v>
      </c>
      <c r="FZ118">
        <v>38</v>
      </c>
      <c r="GF118">
        <v>38</v>
      </c>
      <c r="GM118">
        <v>0</v>
      </c>
      <c r="GT118">
        <v>0</v>
      </c>
      <c r="HA118">
        <v>0</v>
      </c>
      <c r="HH118">
        <v>0</v>
      </c>
      <c r="HO118">
        <v>0</v>
      </c>
      <c r="HP118" t="s">
        <v>1276</v>
      </c>
      <c r="HQ118">
        <v>321</v>
      </c>
      <c r="HW118">
        <v>321</v>
      </c>
      <c r="HX118">
        <v>384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384</v>
      </c>
      <c r="IE118">
        <v>359</v>
      </c>
      <c r="IK118">
        <v>359</v>
      </c>
      <c r="IL118">
        <v>25</v>
      </c>
      <c r="IR118">
        <v>25</v>
      </c>
      <c r="IY118">
        <v>0</v>
      </c>
      <c r="JF118">
        <v>0</v>
      </c>
      <c r="JM118">
        <v>0</v>
      </c>
      <c r="JN118">
        <v>384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384</v>
      </c>
      <c r="JU118">
        <v>0</v>
      </c>
      <c r="JW118">
        <v>100</v>
      </c>
      <c r="JZ118">
        <v>1</v>
      </c>
      <c r="KA118">
        <v>3</v>
      </c>
      <c r="KB118">
        <v>1</v>
      </c>
      <c r="KC118" t="s">
        <v>407</v>
      </c>
      <c r="OF118" t="s">
        <v>408</v>
      </c>
      <c r="SI118" t="s">
        <v>409</v>
      </c>
      <c r="WL118" t="s">
        <v>410</v>
      </c>
      <c r="AAO118" t="s">
        <v>411</v>
      </c>
      <c r="AER118" t="s">
        <v>412</v>
      </c>
    </row>
    <row r="119" spans="1:824" x14ac:dyDescent="0.2">
      <c r="A119" t="s">
        <v>1277</v>
      </c>
      <c r="B119" t="s">
        <v>396</v>
      </c>
      <c r="C119" t="s">
        <v>1278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>
        <v>561</v>
      </c>
      <c r="W119" s="3">
        <v>43475.45416666667</v>
      </c>
      <c r="X119" t="s">
        <v>1279</v>
      </c>
      <c r="Y119">
        <v>2019</v>
      </c>
      <c r="Z119" t="s">
        <v>1280</v>
      </c>
      <c r="AA119" t="s">
        <v>1281</v>
      </c>
      <c r="AB119" t="s">
        <v>685</v>
      </c>
      <c r="AC119" t="s">
        <v>1282</v>
      </c>
      <c r="AD119" t="s">
        <v>1283</v>
      </c>
      <c r="AE119" t="s">
        <v>491</v>
      </c>
      <c r="AF119" t="s">
        <v>403</v>
      </c>
      <c r="AH119">
        <v>2</v>
      </c>
      <c r="AI119">
        <v>6</v>
      </c>
      <c r="AJ119" t="s">
        <v>1284</v>
      </c>
      <c r="AU119">
        <v>0</v>
      </c>
      <c r="BB119">
        <v>0</v>
      </c>
      <c r="BI119">
        <v>0</v>
      </c>
      <c r="BP119">
        <v>0</v>
      </c>
      <c r="BW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R119">
        <v>0</v>
      </c>
      <c r="CY119">
        <v>0</v>
      </c>
      <c r="DF119">
        <v>0</v>
      </c>
      <c r="DM119">
        <v>0</v>
      </c>
      <c r="DT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 t="s">
        <v>404</v>
      </c>
      <c r="EJ119" t="s">
        <v>404</v>
      </c>
      <c r="EK119" t="s">
        <v>404</v>
      </c>
      <c r="EL119" t="s">
        <v>404</v>
      </c>
      <c r="EM119" t="s">
        <v>404</v>
      </c>
      <c r="EN119" t="s">
        <v>404</v>
      </c>
      <c r="EO119" t="s">
        <v>404</v>
      </c>
      <c r="EP119" t="s">
        <v>404</v>
      </c>
      <c r="EQ119" t="s">
        <v>404</v>
      </c>
      <c r="ER119" t="s">
        <v>404</v>
      </c>
      <c r="ES119" t="s">
        <v>404</v>
      </c>
      <c r="ET119" t="s">
        <v>404</v>
      </c>
      <c r="EU119" t="s">
        <v>404</v>
      </c>
      <c r="EV119" t="s">
        <v>404</v>
      </c>
      <c r="EW119" t="s">
        <v>404</v>
      </c>
      <c r="EX119" t="s">
        <v>404</v>
      </c>
      <c r="EY119" t="s">
        <v>404</v>
      </c>
      <c r="EZ119" t="s">
        <v>404</v>
      </c>
      <c r="FA119" t="s">
        <v>404</v>
      </c>
      <c r="FB119" t="s">
        <v>404</v>
      </c>
      <c r="FC119" t="s">
        <v>404</v>
      </c>
      <c r="FD119" t="s">
        <v>404</v>
      </c>
      <c r="FE119" t="s">
        <v>404</v>
      </c>
      <c r="FF119" t="s">
        <v>404</v>
      </c>
      <c r="FG119" t="s">
        <v>404</v>
      </c>
      <c r="FH119" t="s">
        <v>404</v>
      </c>
      <c r="FI119" t="s">
        <v>404</v>
      </c>
      <c r="FJ119" t="s">
        <v>404</v>
      </c>
      <c r="FK119" t="s">
        <v>404</v>
      </c>
      <c r="FL119" t="s">
        <v>404</v>
      </c>
      <c r="FM119" t="s">
        <v>404</v>
      </c>
      <c r="FN119" t="s">
        <v>404</v>
      </c>
      <c r="FO119" t="s">
        <v>404</v>
      </c>
      <c r="FP119" t="s">
        <v>404</v>
      </c>
      <c r="FQ119" t="s">
        <v>404</v>
      </c>
      <c r="FR119" t="s">
        <v>404</v>
      </c>
      <c r="FY119">
        <v>0</v>
      </c>
      <c r="GF119">
        <v>0</v>
      </c>
      <c r="GM119">
        <v>0</v>
      </c>
      <c r="GT119">
        <v>0</v>
      </c>
      <c r="HA119">
        <v>0</v>
      </c>
      <c r="HH119">
        <v>0</v>
      </c>
      <c r="HO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K119">
        <v>0</v>
      </c>
      <c r="IR119">
        <v>0</v>
      </c>
      <c r="IY119">
        <v>0</v>
      </c>
      <c r="JF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Z119">
        <v>3</v>
      </c>
      <c r="KA119">
        <v>3</v>
      </c>
      <c r="KB119">
        <v>1</v>
      </c>
      <c r="KC119" t="s">
        <v>407</v>
      </c>
      <c r="OF119" t="s">
        <v>408</v>
      </c>
      <c r="SI119" t="s">
        <v>409</v>
      </c>
      <c r="WL119" t="s">
        <v>410</v>
      </c>
      <c r="AAO119" t="s">
        <v>411</v>
      </c>
      <c r="AER119" t="s">
        <v>412</v>
      </c>
    </row>
    <row r="120" spans="1:824" x14ac:dyDescent="0.2">
      <c r="A120" t="s">
        <v>1285</v>
      </c>
      <c r="B120" t="s">
        <v>563</v>
      </c>
      <c r="C120" t="s">
        <v>1286</v>
      </c>
      <c r="P120" t="b">
        <v>0</v>
      </c>
      <c r="Q120" t="b">
        <v>0</v>
      </c>
      <c r="R120" t="b">
        <v>1</v>
      </c>
      <c r="S120" t="b">
        <v>0</v>
      </c>
      <c r="T120" t="b">
        <v>0</v>
      </c>
      <c r="U120" t="b">
        <v>0</v>
      </c>
      <c r="V120">
        <v>634</v>
      </c>
      <c r="W120" s="3">
        <v>43510.894444444442</v>
      </c>
      <c r="X120" t="s">
        <v>1287</v>
      </c>
      <c r="Y120">
        <v>2019</v>
      </c>
      <c r="Z120" t="s">
        <v>1288</v>
      </c>
      <c r="AA120" t="s">
        <v>1289</v>
      </c>
      <c r="AB120" t="s">
        <v>1290</v>
      </c>
      <c r="AC120" t="s">
        <v>1291</v>
      </c>
      <c r="AD120" t="s">
        <v>1292</v>
      </c>
      <c r="AE120" t="s">
        <v>571</v>
      </c>
      <c r="AF120" t="s">
        <v>538</v>
      </c>
      <c r="AH120">
        <v>1</v>
      </c>
      <c r="AK120">
        <v>153.19999999999999</v>
      </c>
      <c r="AL120">
        <v>153.19999999999999</v>
      </c>
      <c r="AM120">
        <v>46.2</v>
      </c>
      <c r="AN120">
        <v>46.2</v>
      </c>
      <c r="AU120">
        <v>0</v>
      </c>
      <c r="BB120">
        <v>0</v>
      </c>
      <c r="BC120">
        <v>153.19999999999999</v>
      </c>
      <c r="BI120">
        <v>153.19999999999999</v>
      </c>
      <c r="BP120">
        <v>0</v>
      </c>
      <c r="BW120">
        <v>0</v>
      </c>
      <c r="CD120">
        <v>0</v>
      </c>
      <c r="CE120">
        <v>153.19999999999999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153.19999999999999</v>
      </c>
      <c r="CR120">
        <v>0</v>
      </c>
      <c r="CY120">
        <v>0</v>
      </c>
      <c r="CZ120">
        <v>2</v>
      </c>
      <c r="DF120">
        <v>2</v>
      </c>
      <c r="DM120">
        <v>0</v>
      </c>
      <c r="DT120">
        <v>0</v>
      </c>
      <c r="EA120">
        <v>0</v>
      </c>
      <c r="EB120">
        <v>2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2</v>
      </c>
      <c r="EI120" t="s">
        <v>404</v>
      </c>
      <c r="EJ120" t="s">
        <v>404</v>
      </c>
      <c r="EK120" t="s">
        <v>404</v>
      </c>
      <c r="EL120" t="s">
        <v>404</v>
      </c>
      <c r="EM120" t="s">
        <v>404</v>
      </c>
      <c r="EN120" t="s">
        <v>404</v>
      </c>
      <c r="EO120" t="s">
        <v>404</v>
      </c>
      <c r="EP120" t="s">
        <v>404</v>
      </c>
      <c r="EQ120" t="s">
        <v>404</v>
      </c>
      <c r="ER120" t="s">
        <v>404</v>
      </c>
      <c r="ES120" t="s">
        <v>404</v>
      </c>
      <c r="ET120" t="s">
        <v>404</v>
      </c>
      <c r="EU120" t="s">
        <v>405</v>
      </c>
      <c r="EV120" t="s">
        <v>404</v>
      </c>
      <c r="EW120" t="s">
        <v>404</v>
      </c>
      <c r="EX120" t="s">
        <v>404</v>
      </c>
      <c r="EY120" t="s">
        <v>404</v>
      </c>
      <c r="EZ120" t="s">
        <v>404</v>
      </c>
      <c r="FA120" t="s">
        <v>404</v>
      </c>
      <c r="FB120" t="s">
        <v>404</v>
      </c>
      <c r="FC120" t="s">
        <v>404</v>
      </c>
      <c r="FD120" t="s">
        <v>404</v>
      </c>
      <c r="FE120" t="s">
        <v>404</v>
      </c>
      <c r="FF120" t="s">
        <v>404</v>
      </c>
      <c r="FG120" t="s">
        <v>404</v>
      </c>
      <c r="FH120" t="s">
        <v>404</v>
      </c>
      <c r="FI120" t="s">
        <v>404</v>
      </c>
      <c r="FJ120" t="s">
        <v>404</v>
      </c>
      <c r="FK120" t="s">
        <v>404</v>
      </c>
      <c r="FL120" t="s">
        <v>404</v>
      </c>
      <c r="FM120" t="s">
        <v>404</v>
      </c>
      <c r="FN120" t="s">
        <v>404</v>
      </c>
      <c r="FO120" t="s">
        <v>404</v>
      </c>
      <c r="FP120" t="s">
        <v>404</v>
      </c>
      <c r="FQ120" t="s">
        <v>404</v>
      </c>
      <c r="FR120" t="s">
        <v>404</v>
      </c>
      <c r="FS120">
        <v>5.2</v>
      </c>
      <c r="FY120">
        <v>5.2</v>
      </c>
      <c r="FZ120">
        <v>148</v>
      </c>
      <c r="GF120">
        <v>148</v>
      </c>
      <c r="GM120">
        <v>0</v>
      </c>
      <c r="GT120">
        <v>0</v>
      </c>
      <c r="HA120">
        <v>0</v>
      </c>
      <c r="HH120">
        <v>0</v>
      </c>
      <c r="HO120">
        <v>0</v>
      </c>
      <c r="HW120">
        <v>0</v>
      </c>
      <c r="HX120">
        <v>153.19999999999999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153.19999999999999</v>
      </c>
      <c r="IK120">
        <v>0</v>
      </c>
      <c r="IR120">
        <v>0</v>
      </c>
      <c r="IS120">
        <v>153.19999999999999</v>
      </c>
      <c r="IY120">
        <v>153.19999999999999</v>
      </c>
      <c r="JF120">
        <v>0</v>
      </c>
      <c r="JM120">
        <v>0</v>
      </c>
      <c r="JN120">
        <v>153.19999999999999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153.19999999999999</v>
      </c>
      <c r="JW120">
        <v>100</v>
      </c>
      <c r="JZ120">
        <v>1</v>
      </c>
      <c r="KA120">
        <v>3</v>
      </c>
      <c r="KB120">
        <v>1</v>
      </c>
      <c r="KC120" t="s">
        <v>407</v>
      </c>
      <c r="OF120" t="s">
        <v>408</v>
      </c>
      <c r="SI120" t="s">
        <v>409</v>
      </c>
      <c r="WL120" t="s">
        <v>410</v>
      </c>
      <c r="AAO120" t="s">
        <v>411</v>
      </c>
      <c r="AER120" t="s">
        <v>412</v>
      </c>
    </row>
    <row r="121" spans="1:824" x14ac:dyDescent="0.2">
      <c r="A121" t="s">
        <v>1293</v>
      </c>
      <c r="B121" t="s">
        <v>414</v>
      </c>
      <c r="C121" t="s">
        <v>1294</v>
      </c>
      <c r="P121" t="b">
        <v>1</v>
      </c>
      <c r="Q121" t="b">
        <v>0</v>
      </c>
      <c r="R121" t="b">
        <v>1</v>
      </c>
      <c r="S121" t="b">
        <v>0</v>
      </c>
      <c r="T121" t="b">
        <v>0</v>
      </c>
      <c r="U121" t="b">
        <v>0</v>
      </c>
      <c r="V121">
        <v>617</v>
      </c>
      <c r="W121" s="3">
        <v>43509.210416666669</v>
      </c>
      <c r="X121" t="s">
        <v>1295</v>
      </c>
      <c r="Y121">
        <v>2019</v>
      </c>
      <c r="Z121" t="s">
        <v>1296</v>
      </c>
      <c r="AA121" t="s">
        <v>1297</v>
      </c>
      <c r="AB121" t="s">
        <v>685</v>
      </c>
      <c r="AC121" t="s">
        <v>1298</v>
      </c>
      <c r="AD121">
        <v>822</v>
      </c>
      <c r="AE121" t="s">
        <v>1299</v>
      </c>
      <c r="AF121" t="s">
        <v>538</v>
      </c>
      <c r="AH121">
        <v>1</v>
      </c>
      <c r="AK121">
        <v>1100</v>
      </c>
      <c r="AL121">
        <v>1100</v>
      </c>
      <c r="AM121">
        <v>1100</v>
      </c>
      <c r="AN121">
        <v>1100</v>
      </c>
      <c r="AU121">
        <v>0</v>
      </c>
      <c r="AZ121">
        <v>50</v>
      </c>
      <c r="BB121">
        <v>50</v>
      </c>
      <c r="BC121">
        <v>600</v>
      </c>
      <c r="BF121">
        <v>200</v>
      </c>
      <c r="BG121">
        <v>250</v>
      </c>
      <c r="BI121">
        <v>1050</v>
      </c>
      <c r="BP121">
        <v>0</v>
      </c>
      <c r="BW121">
        <v>0</v>
      </c>
      <c r="CD121">
        <v>0</v>
      </c>
      <c r="CE121">
        <v>600</v>
      </c>
      <c r="CF121">
        <v>0</v>
      </c>
      <c r="CG121">
        <v>0</v>
      </c>
      <c r="CH121">
        <v>200</v>
      </c>
      <c r="CI121">
        <v>300</v>
      </c>
      <c r="CJ121">
        <v>0</v>
      </c>
      <c r="CK121">
        <v>1100</v>
      </c>
      <c r="CR121">
        <v>0</v>
      </c>
      <c r="CW121">
        <v>1</v>
      </c>
      <c r="CY121">
        <v>1</v>
      </c>
      <c r="CZ121">
        <v>6</v>
      </c>
      <c r="DC121">
        <v>2</v>
      </c>
      <c r="DD121">
        <v>1</v>
      </c>
      <c r="DF121">
        <v>9</v>
      </c>
      <c r="DM121">
        <v>0</v>
      </c>
      <c r="DT121">
        <v>0</v>
      </c>
      <c r="EA121">
        <v>0</v>
      </c>
      <c r="EB121">
        <v>6</v>
      </c>
      <c r="EC121">
        <v>0</v>
      </c>
      <c r="ED121">
        <v>0</v>
      </c>
      <c r="EE121">
        <v>2</v>
      </c>
      <c r="EF121">
        <v>2</v>
      </c>
      <c r="EG121">
        <v>0</v>
      </c>
      <c r="EH121">
        <v>10</v>
      </c>
      <c r="EI121" t="s">
        <v>404</v>
      </c>
      <c r="EJ121" t="s">
        <v>404</v>
      </c>
      <c r="EK121" t="s">
        <v>404</v>
      </c>
      <c r="EL121" t="s">
        <v>404</v>
      </c>
      <c r="EM121" t="s">
        <v>404</v>
      </c>
      <c r="EN121" t="s">
        <v>404</v>
      </c>
      <c r="EO121" t="s">
        <v>404</v>
      </c>
      <c r="EP121" t="s">
        <v>404</v>
      </c>
      <c r="EQ121" t="s">
        <v>404</v>
      </c>
      <c r="ER121" t="s">
        <v>404</v>
      </c>
      <c r="ES121" t="s">
        <v>405</v>
      </c>
      <c r="ET121" t="s">
        <v>404</v>
      </c>
      <c r="EU121" t="s">
        <v>405</v>
      </c>
      <c r="EV121" t="s">
        <v>404</v>
      </c>
      <c r="EW121" t="s">
        <v>404</v>
      </c>
      <c r="EX121" t="s">
        <v>405</v>
      </c>
      <c r="EY121" t="s">
        <v>405</v>
      </c>
      <c r="EZ121" t="s">
        <v>404</v>
      </c>
      <c r="FA121" t="s">
        <v>404</v>
      </c>
      <c r="FB121" t="s">
        <v>404</v>
      </c>
      <c r="FC121" t="s">
        <v>404</v>
      </c>
      <c r="FD121" t="s">
        <v>404</v>
      </c>
      <c r="FE121" t="s">
        <v>404</v>
      </c>
      <c r="FF121" t="s">
        <v>404</v>
      </c>
      <c r="FG121" t="s">
        <v>404</v>
      </c>
      <c r="FH121" t="s">
        <v>404</v>
      </c>
      <c r="FI121" t="s">
        <v>404</v>
      </c>
      <c r="FJ121" t="s">
        <v>404</v>
      </c>
      <c r="FK121" t="s">
        <v>404</v>
      </c>
      <c r="FL121" t="s">
        <v>404</v>
      </c>
      <c r="FM121" t="s">
        <v>404</v>
      </c>
      <c r="FN121" t="s">
        <v>404</v>
      </c>
      <c r="FO121" t="s">
        <v>404</v>
      </c>
      <c r="FP121" t="s">
        <v>404</v>
      </c>
      <c r="FQ121" t="s">
        <v>404</v>
      </c>
      <c r="FR121" t="s">
        <v>404</v>
      </c>
      <c r="FS121">
        <v>500</v>
      </c>
      <c r="FY121">
        <v>500</v>
      </c>
      <c r="FZ121">
        <v>500</v>
      </c>
      <c r="GF121">
        <v>500</v>
      </c>
      <c r="GG121">
        <v>100</v>
      </c>
      <c r="GM121">
        <v>100</v>
      </c>
      <c r="GT121">
        <v>0</v>
      </c>
      <c r="HA121">
        <v>0</v>
      </c>
      <c r="HH121">
        <v>0</v>
      </c>
      <c r="HO121">
        <v>0</v>
      </c>
      <c r="HW121">
        <v>0</v>
      </c>
      <c r="HX121">
        <v>1100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1100</v>
      </c>
      <c r="IE121">
        <v>500</v>
      </c>
      <c r="IH121">
        <v>500</v>
      </c>
      <c r="II121">
        <v>100</v>
      </c>
      <c r="IK121">
        <v>1100</v>
      </c>
      <c r="IR121">
        <v>0</v>
      </c>
      <c r="IY121">
        <v>0</v>
      </c>
      <c r="JF121">
        <v>0</v>
      </c>
      <c r="JM121">
        <v>0</v>
      </c>
      <c r="JN121">
        <v>500</v>
      </c>
      <c r="JO121">
        <v>0</v>
      </c>
      <c r="JP121">
        <v>0</v>
      </c>
      <c r="JQ121">
        <v>500</v>
      </c>
      <c r="JR121">
        <v>100</v>
      </c>
      <c r="JS121">
        <v>0</v>
      </c>
      <c r="JT121">
        <v>1100</v>
      </c>
      <c r="JW121">
        <v>100</v>
      </c>
      <c r="JZ121">
        <v>1</v>
      </c>
      <c r="KA121">
        <v>3</v>
      </c>
      <c r="KB121">
        <v>1</v>
      </c>
      <c r="KC121" t="s">
        <v>407</v>
      </c>
      <c r="OF121" t="s">
        <v>408</v>
      </c>
      <c r="SI121" t="s">
        <v>409</v>
      </c>
      <c r="WL121" t="s">
        <v>410</v>
      </c>
      <c r="AAO121" t="s">
        <v>411</v>
      </c>
      <c r="AER121" t="s">
        <v>412</v>
      </c>
    </row>
    <row r="122" spans="1:824" x14ac:dyDescent="0.2">
      <c r="A122" t="s">
        <v>1300</v>
      </c>
      <c r="B122" t="s">
        <v>396</v>
      </c>
      <c r="C122" t="s">
        <v>1301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>
        <v>580</v>
      </c>
      <c r="W122" s="3">
        <v>43489.467361111114</v>
      </c>
      <c r="X122" t="s">
        <v>1302</v>
      </c>
      <c r="Y122">
        <v>2019</v>
      </c>
      <c r="Z122" t="s">
        <v>1303</v>
      </c>
      <c r="AA122" t="s">
        <v>1304</v>
      </c>
      <c r="AB122" t="s">
        <v>1305</v>
      </c>
      <c r="AC122" t="s">
        <v>1306</v>
      </c>
      <c r="AD122" t="s">
        <v>1307</v>
      </c>
      <c r="AE122" t="s">
        <v>491</v>
      </c>
      <c r="AF122" t="s">
        <v>403</v>
      </c>
      <c r="AH122">
        <v>1</v>
      </c>
      <c r="AK122">
        <v>196.21</v>
      </c>
      <c r="AL122">
        <v>196.21</v>
      </c>
      <c r="AM122">
        <v>196.21</v>
      </c>
      <c r="AN122">
        <v>196.21</v>
      </c>
      <c r="AU122">
        <v>0</v>
      </c>
      <c r="AV122">
        <v>146.21</v>
      </c>
      <c r="AX122">
        <v>50</v>
      </c>
      <c r="BB122">
        <v>196.21</v>
      </c>
      <c r="BI122">
        <v>0</v>
      </c>
      <c r="BP122">
        <v>0</v>
      </c>
      <c r="BW122">
        <v>0</v>
      </c>
      <c r="CD122">
        <v>0</v>
      </c>
      <c r="CE122">
        <v>146.21</v>
      </c>
      <c r="CF122">
        <v>0</v>
      </c>
      <c r="CG122">
        <v>50</v>
      </c>
      <c r="CH122">
        <v>0</v>
      </c>
      <c r="CI122">
        <v>0</v>
      </c>
      <c r="CJ122">
        <v>0</v>
      </c>
      <c r="CK122">
        <v>196.21</v>
      </c>
      <c r="CR122">
        <v>0</v>
      </c>
      <c r="CS122">
        <v>6</v>
      </c>
      <c r="CU122">
        <v>1</v>
      </c>
      <c r="CY122">
        <v>7</v>
      </c>
      <c r="DF122">
        <v>0</v>
      </c>
      <c r="DM122">
        <v>0</v>
      </c>
      <c r="DT122">
        <v>0</v>
      </c>
      <c r="EA122">
        <v>0</v>
      </c>
      <c r="EB122">
        <v>6</v>
      </c>
      <c r="EC122">
        <v>0</v>
      </c>
      <c r="ED122">
        <v>1</v>
      </c>
      <c r="EE122">
        <v>0</v>
      </c>
      <c r="EF122">
        <v>0</v>
      </c>
      <c r="EG122">
        <v>0</v>
      </c>
      <c r="EH122">
        <v>7</v>
      </c>
      <c r="EI122" t="s">
        <v>404</v>
      </c>
      <c r="EJ122" t="s">
        <v>404</v>
      </c>
      <c r="EK122" t="s">
        <v>404</v>
      </c>
      <c r="EL122" t="s">
        <v>404</v>
      </c>
      <c r="EM122" t="s">
        <v>404</v>
      </c>
      <c r="EN122" t="s">
        <v>404</v>
      </c>
      <c r="EO122" t="s">
        <v>405</v>
      </c>
      <c r="EP122" t="s">
        <v>404</v>
      </c>
      <c r="EQ122" t="s">
        <v>405</v>
      </c>
      <c r="ER122" t="s">
        <v>404</v>
      </c>
      <c r="ES122" t="s">
        <v>404</v>
      </c>
      <c r="ET122" t="s">
        <v>404</v>
      </c>
      <c r="EU122" t="s">
        <v>404</v>
      </c>
      <c r="EV122" t="s">
        <v>404</v>
      </c>
      <c r="EW122" t="s">
        <v>404</v>
      </c>
      <c r="EX122" t="s">
        <v>404</v>
      </c>
      <c r="EY122" t="s">
        <v>404</v>
      </c>
      <c r="EZ122" t="s">
        <v>404</v>
      </c>
      <c r="FA122" t="s">
        <v>404</v>
      </c>
      <c r="FB122" t="s">
        <v>404</v>
      </c>
      <c r="FC122" t="s">
        <v>404</v>
      </c>
      <c r="FD122" t="s">
        <v>404</v>
      </c>
      <c r="FE122" t="s">
        <v>404</v>
      </c>
      <c r="FF122" t="s">
        <v>404</v>
      </c>
      <c r="FG122" t="s">
        <v>404</v>
      </c>
      <c r="FH122" t="s">
        <v>404</v>
      </c>
      <c r="FI122" t="s">
        <v>404</v>
      </c>
      <c r="FJ122" t="s">
        <v>404</v>
      </c>
      <c r="FK122" t="s">
        <v>404</v>
      </c>
      <c r="FL122" t="s">
        <v>404</v>
      </c>
      <c r="FM122" t="s">
        <v>404</v>
      </c>
      <c r="FN122" t="s">
        <v>404</v>
      </c>
      <c r="FO122" t="s">
        <v>404</v>
      </c>
      <c r="FP122" t="s">
        <v>404</v>
      </c>
      <c r="FQ122" t="s">
        <v>404</v>
      </c>
      <c r="FR122" t="s">
        <v>404</v>
      </c>
      <c r="FS122">
        <v>2.6680000000000001</v>
      </c>
      <c r="FY122">
        <v>2.67</v>
      </c>
      <c r="GF122">
        <v>0</v>
      </c>
      <c r="GI122">
        <v>50</v>
      </c>
      <c r="GM122">
        <v>50</v>
      </c>
      <c r="GT122">
        <v>0</v>
      </c>
      <c r="HA122">
        <v>0</v>
      </c>
      <c r="HH122">
        <v>0</v>
      </c>
      <c r="HI122">
        <v>131.19999999999999</v>
      </c>
      <c r="HO122">
        <v>131.19999999999999</v>
      </c>
      <c r="HP122" t="s">
        <v>1308</v>
      </c>
      <c r="HQ122">
        <v>12.34</v>
      </c>
      <c r="HW122">
        <v>12.34</v>
      </c>
      <c r="HX122">
        <v>146.21</v>
      </c>
      <c r="HY122">
        <v>0</v>
      </c>
      <c r="HZ122">
        <v>50</v>
      </c>
      <c r="IA122">
        <v>0</v>
      </c>
      <c r="IB122">
        <v>0</v>
      </c>
      <c r="IC122">
        <v>0</v>
      </c>
      <c r="ID122">
        <v>196.21</v>
      </c>
      <c r="IE122">
        <v>63.722999999999999</v>
      </c>
      <c r="IG122">
        <v>50</v>
      </c>
      <c r="IK122">
        <v>113.72</v>
      </c>
      <c r="IL122">
        <v>72.701999999999998</v>
      </c>
      <c r="IR122">
        <v>72.7</v>
      </c>
      <c r="IS122">
        <v>9.75</v>
      </c>
      <c r="IY122">
        <v>9.75</v>
      </c>
      <c r="JF122">
        <v>0</v>
      </c>
      <c r="JG122">
        <v>0.03</v>
      </c>
      <c r="JM122">
        <v>0.03</v>
      </c>
      <c r="JN122">
        <v>146.21</v>
      </c>
      <c r="JO122">
        <v>0</v>
      </c>
      <c r="JP122">
        <v>50</v>
      </c>
      <c r="JQ122">
        <v>0</v>
      </c>
      <c r="JR122">
        <v>0</v>
      </c>
      <c r="JS122">
        <v>0</v>
      </c>
      <c r="JT122">
        <v>196.21</v>
      </c>
      <c r="JU122">
        <v>30</v>
      </c>
      <c r="JV122">
        <v>2</v>
      </c>
      <c r="JW122">
        <v>68</v>
      </c>
      <c r="JZ122">
        <v>1</v>
      </c>
      <c r="KA122">
        <v>3</v>
      </c>
      <c r="KB122">
        <v>1</v>
      </c>
      <c r="KC122" t="s">
        <v>407</v>
      </c>
      <c r="OF122" t="s">
        <v>408</v>
      </c>
      <c r="SI122" t="s">
        <v>409</v>
      </c>
      <c r="WL122" t="s">
        <v>410</v>
      </c>
      <c r="AAO122" t="s">
        <v>411</v>
      </c>
      <c r="AER122" t="s">
        <v>412</v>
      </c>
    </row>
    <row r="123" spans="1:824" x14ac:dyDescent="0.2">
      <c r="A123" t="s">
        <v>1309</v>
      </c>
      <c r="B123" t="s">
        <v>563</v>
      </c>
      <c r="C123" t="s">
        <v>1310</v>
      </c>
      <c r="P123" t="b">
        <v>1</v>
      </c>
      <c r="Q123" t="b">
        <v>1</v>
      </c>
      <c r="R123" t="b">
        <v>1</v>
      </c>
      <c r="S123" t="b">
        <v>1</v>
      </c>
      <c r="T123" t="b">
        <v>0</v>
      </c>
      <c r="U123" t="b">
        <v>0</v>
      </c>
      <c r="V123">
        <v>685</v>
      </c>
      <c r="W123" s="3">
        <v>43511.870833333334</v>
      </c>
      <c r="X123" t="s">
        <v>1311</v>
      </c>
      <c r="Y123">
        <v>2019</v>
      </c>
      <c r="Z123" t="s">
        <v>1312</v>
      </c>
      <c r="AA123" t="s">
        <v>1310</v>
      </c>
      <c r="AB123" t="s">
        <v>1223</v>
      </c>
      <c r="AC123" t="s">
        <v>1313</v>
      </c>
      <c r="AD123">
        <v>16467619631</v>
      </c>
      <c r="AE123" t="s">
        <v>571</v>
      </c>
      <c r="AF123" t="s">
        <v>538</v>
      </c>
      <c r="AH123">
        <v>1</v>
      </c>
      <c r="AK123">
        <v>5523</v>
      </c>
      <c r="AL123">
        <v>5523</v>
      </c>
      <c r="AO123">
        <v>442.4</v>
      </c>
      <c r="AP123">
        <v>74.5</v>
      </c>
      <c r="AU123">
        <v>516.9</v>
      </c>
      <c r="AV123">
        <v>988.1</v>
      </c>
      <c r="AW123">
        <v>803</v>
      </c>
      <c r="BB123">
        <v>1791.1</v>
      </c>
      <c r="BC123">
        <v>1594.9</v>
      </c>
      <c r="BD123">
        <v>1490.4</v>
      </c>
      <c r="BI123">
        <v>3085.3</v>
      </c>
      <c r="BJ123">
        <v>204.1</v>
      </c>
      <c r="BP123">
        <v>204.1</v>
      </c>
      <c r="BW123">
        <v>0</v>
      </c>
      <c r="CD123">
        <v>0</v>
      </c>
      <c r="CE123">
        <v>3229.5</v>
      </c>
      <c r="CF123">
        <v>2367.9</v>
      </c>
      <c r="CG123">
        <v>0</v>
      </c>
      <c r="CH123">
        <v>0</v>
      </c>
      <c r="CI123">
        <v>0</v>
      </c>
      <c r="CJ123">
        <v>0</v>
      </c>
      <c r="CK123">
        <v>5597.4</v>
      </c>
      <c r="CL123">
        <v>1</v>
      </c>
      <c r="CM123">
        <v>2</v>
      </c>
      <c r="CR123">
        <v>3</v>
      </c>
      <c r="CS123">
        <v>3</v>
      </c>
      <c r="CT123">
        <v>6</v>
      </c>
      <c r="CY123">
        <v>9</v>
      </c>
      <c r="CZ123">
        <v>4</v>
      </c>
      <c r="DA123">
        <v>2</v>
      </c>
      <c r="DF123">
        <v>6</v>
      </c>
      <c r="DG123">
        <v>3</v>
      </c>
      <c r="DM123">
        <v>3</v>
      </c>
      <c r="DT123">
        <v>0</v>
      </c>
      <c r="EA123">
        <v>0</v>
      </c>
      <c r="EB123">
        <v>11</v>
      </c>
      <c r="EC123">
        <v>10</v>
      </c>
      <c r="ED123">
        <v>0</v>
      </c>
      <c r="EE123">
        <v>0</v>
      </c>
      <c r="EF123">
        <v>0</v>
      </c>
      <c r="EG123">
        <v>0</v>
      </c>
      <c r="EH123">
        <v>21</v>
      </c>
      <c r="EI123" t="s">
        <v>405</v>
      </c>
      <c r="EJ123" t="s">
        <v>405</v>
      </c>
      <c r="EK123" t="s">
        <v>404</v>
      </c>
      <c r="EL123" t="s">
        <v>404</v>
      </c>
      <c r="EM123" t="s">
        <v>404</v>
      </c>
      <c r="EN123" t="s">
        <v>404</v>
      </c>
      <c r="EO123" t="s">
        <v>405</v>
      </c>
      <c r="EP123" t="s">
        <v>405</v>
      </c>
      <c r="EQ123" t="s">
        <v>404</v>
      </c>
      <c r="ER123" t="s">
        <v>404</v>
      </c>
      <c r="ES123" t="s">
        <v>404</v>
      </c>
      <c r="ET123" t="s">
        <v>404</v>
      </c>
      <c r="EU123" t="s">
        <v>405</v>
      </c>
      <c r="EV123" t="s">
        <v>405</v>
      </c>
      <c r="EW123" t="s">
        <v>404</v>
      </c>
      <c r="EX123" t="s">
        <v>404</v>
      </c>
      <c r="EY123" t="s">
        <v>404</v>
      </c>
      <c r="EZ123" t="s">
        <v>404</v>
      </c>
      <c r="FA123" t="s">
        <v>405</v>
      </c>
      <c r="FB123" t="s">
        <v>404</v>
      </c>
      <c r="FC123" t="s">
        <v>404</v>
      </c>
      <c r="FD123" t="s">
        <v>404</v>
      </c>
      <c r="FE123" t="s">
        <v>404</v>
      </c>
      <c r="FF123" t="s">
        <v>404</v>
      </c>
      <c r="FG123" t="s">
        <v>404</v>
      </c>
      <c r="FH123" t="s">
        <v>404</v>
      </c>
      <c r="FI123" t="s">
        <v>404</v>
      </c>
      <c r="FJ123" t="s">
        <v>404</v>
      </c>
      <c r="FK123" t="s">
        <v>404</v>
      </c>
      <c r="FL123" t="s">
        <v>404</v>
      </c>
      <c r="FM123" t="s">
        <v>404</v>
      </c>
      <c r="FN123" t="s">
        <v>404</v>
      </c>
      <c r="FO123" t="s">
        <v>404</v>
      </c>
      <c r="FP123" t="s">
        <v>404</v>
      </c>
      <c r="FQ123" t="s">
        <v>404</v>
      </c>
      <c r="FR123" t="s">
        <v>404</v>
      </c>
      <c r="FY123">
        <v>0</v>
      </c>
      <c r="GF123">
        <v>0</v>
      </c>
      <c r="GM123">
        <v>0</v>
      </c>
      <c r="GT123">
        <v>0</v>
      </c>
      <c r="HA123">
        <v>0</v>
      </c>
      <c r="HH123">
        <v>0</v>
      </c>
      <c r="HO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K123">
        <v>0</v>
      </c>
      <c r="IR123">
        <v>0</v>
      </c>
      <c r="IY123">
        <v>0</v>
      </c>
      <c r="JF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W123">
        <v>100</v>
      </c>
      <c r="JZ123">
        <v>3</v>
      </c>
      <c r="KA123">
        <v>2</v>
      </c>
      <c r="KB123">
        <v>1</v>
      </c>
      <c r="KC123" t="s">
        <v>407</v>
      </c>
      <c r="OF123" t="s">
        <v>408</v>
      </c>
      <c r="SI123" t="s">
        <v>409</v>
      </c>
      <c r="WL123" t="s">
        <v>410</v>
      </c>
      <c r="AAO123" t="s">
        <v>411</v>
      </c>
      <c r="AER123" t="s">
        <v>412</v>
      </c>
    </row>
    <row r="124" spans="1:824" x14ac:dyDescent="0.2">
      <c r="A124" t="s">
        <v>1314</v>
      </c>
      <c r="B124" t="s">
        <v>563</v>
      </c>
      <c r="C124" t="s">
        <v>1315</v>
      </c>
      <c r="D124" t="s">
        <v>478</v>
      </c>
      <c r="E124" s="3">
        <v>43530.500694444447</v>
      </c>
      <c r="F124" t="s">
        <v>479</v>
      </c>
      <c r="G124" s="3">
        <v>43530.504166666666</v>
      </c>
      <c r="H124" t="s">
        <v>502</v>
      </c>
      <c r="I124" s="3">
        <v>43530.509722222225</v>
      </c>
      <c r="P124" t="b">
        <v>1</v>
      </c>
      <c r="Q124" t="b">
        <v>1</v>
      </c>
      <c r="R124" t="b">
        <v>1</v>
      </c>
      <c r="S124" t="b">
        <v>0</v>
      </c>
      <c r="T124" t="b">
        <v>0</v>
      </c>
      <c r="U124" t="b">
        <v>0</v>
      </c>
      <c r="V124">
        <v>649</v>
      </c>
      <c r="W124" s="3">
        <v>43530.486111111109</v>
      </c>
      <c r="X124" t="s">
        <v>1316</v>
      </c>
      <c r="Y124">
        <v>2019</v>
      </c>
      <c r="Z124" t="s">
        <v>1317</v>
      </c>
      <c r="AA124" t="s">
        <v>1318</v>
      </c>
      <c r="AB124" t="s">
        <v>1319</v>
      </c>
      <c r="AC124" t="s">
        <v>1320</v>
      </c>
      <c r="AD124" t="s">
        <v>1321</v>
      </c>
      <c r="AE124" t="s">
        <v>571</v>
      </c>
      <c r="AF124" t="s">
        <v>538</v>
      </c>
      <c r="AH124">
        <v>1</v>
      </c>
      <c r="AK124">
        <v>5438.2</v>
      </c>
      <c r="AL124">
        <v>5367.3</v>
      </c>
      <c r="AO124">
        <v>123.4</v>
      </c>
      <c r="AP124">
        <v>1458.1</v>
      </c>
      <c r="AU124">
        <v>1581.5</v>
      </c>
      <c r="AV124">
        <v>290.7</v>
      </c>
      <c r="AW124">
        <v>557.5</v>
      </c>
      <c r="BB124">
        <v>848.2</v>
      </c>
      <c r="BC124">
        <v>1544.2</v>
      </c>
      <c r="BD124">
        <v>819.3</v>
      </c>
      <c r="BH124">
        <v>574.1</v>
      </c>
      <c r="BI124">
        <v>2937.6</v>
      </c>
      <c r="BP124">
        <v>0</v>
      </c>
      <c r="BW124">
        <v>0</v>
      </c>
      <c r="CD124">
        <v>0</v>
      </c>
      <c r="CE124">
        <v>1958.3</v>
      </c>
      <c r="CF124">
        <v>2834.9</v>
      </c>
      <c r="CG124">
        <v>0</v>
      </c>
      <c r="CH124">
        <v>0</v>
      </c>
      <c r="CI124">
        <v>0</v>
      </c>
      <c r="CJ124">
        <v>574.1</v>
      </c>
      <c r="CK124">
        <v>5367.3</v>
      </c>
      <c r="CL124">
        <v>2</v>
      </c>
      <c r="CM124">
        <v>5</v>
      </c>
      <c r="CR124">
        <v>7</v>
      </c>
      <c r="CS124">
        <v>3</v>
      </c>
      <c r="CT124">
        <v>5</v>
      </c>
      <c r="CY124">
        <v>8</v>
      </c>
      <c r="CZ124">
        <v>6</v>
      </c>
      <c r="DA124">
        <v>6</v>
      </c>
      <c r="DE124">
        <v>1</v>
      </c>
      <c r="DF124">
        <v>13</v>
      </c>
      <c r="DM124">
        <v>0</v>
      </c>
      <c r="DT124">
        <v>0</v>
      </c>
      <c r="EA124">
        <v>0</v>
      </c>
      <c r="EB124">
        <v>11</v>
      </c>
      <c r="EC124">
        <v>16</v>
      </c>
      <c r="ED124">
        <v>0</v>
      </c>
      <c r="EE124">
        <v>0</v>
      </c>
      <c r="EF124">
        <v>0</v>
      </c>
      <c r="EG124">
        <v>1</v>
      </c>
      <c r="EH124">
        <v>28</v>
      </c>
      <c r="EI124" t="s">
        <v>405</v>
      </c>
      <c r="EJ124" t="s">
        <v>405</v>
      </c>
      <c r="EK124" t="s">
        <v>404</v>
      </c>
      <c r="EL124" t="s">
        <v>404</v>
      </c>
      <c r="EM124" t="s">
        <v>404</v>
      </c>
      <c r="EN124" t="s">
        <v>404</v>
      </c>
      <c r="EO124" t="s">
        <v>405</v>
      </c>
      <c r="EP124" t="s">
        <v>405</v>
      </c>
      <c r="EQ124" t="s">
        <v>404</v>
      </c>
      <c r="ER124" t="s">
        <v>404</v>
      </c>
      <c r="ES124" t="s">
        <v>404</v>
      </c>
      <c r="ET124" t="s">
        <v>404</v>
      </c>
      <c r="EU124" t="s">
        <v>405</v>
      </c>
      <c r="EV124" t="s">
        <v>405</v>
      </c>
      <c r="EW124" t="s">
        <v>404</v>
      </c>
      <c r="EX124" t="s">
        <v>404</v>
      </c>
      <c r="EY124" t="s">
        <v>404</v>
      </c>
      <c r="EZ124" t="s">
        <v>405</v>
      </c>
      <c r="FA124" t="s">
        <v>404</v>
      </c>
      <c r="FB124" t="s">
        <v>404</v>
      </c>
      <c r="FC124" t="s">
        <v>404</v>
      </c>
      <c r="FD124" t="s">
        <v>404</v>
      </c>
      <c r="FE124" t="s">
        <v>404</v>
      </c>
      <c r="FF124" t="s">
        <v>404</v>
      </c>
      <c r="FG124" t="s">
        <v>404</v>
      </c>
      <c r="FH124" t="s">
        <v>404</v>
      </c>
      <c r="FI124" t="s">
        <v>404</v>
      </c>
      <c r="FJ124" t="s">
        <v>404</v>
      </c>
      <c r="FK124" t="s">
        <v>404</v>
      </c>
      <c r="FL124" t="s">
        <v>404</v>
      </c>
      <c r="FM124" t="s">
        <v>404</v>
      </c>
      <c r="FN124" t="s">
        <v>404</v>
      </c>
      <c r="FO124" t="s">
        <v>404</v>
      </c>
      <c r="FP124" t="s">
        <v>404</v>
      </c>
      <c r="FQ124" t="s">
        <v>404</v>
      </c>
      <c r="FR124" t="s">
        <v>404</v>
      </c>
      <c r="FS124">
        <v>1271.5</v>
      </c>
      <c r="FT124">
        <v>1137.0999999999999</v>
      </c>
      <c r="FX124">
        <v>343.7</v>
      </c>
      <c r="FY124">
        <v>2752.3</v>
      </c>
      <c r="FZ124">
        <v>256.3</v>
      </c>
      <c r="GA124">
        <v>591.70000000000005</v>
      </c>
      <c r="GE124">
        <v>50</v>
      </c>
      <c r="GF124">
        <v>898</v>
      </c>
      <c r="GG124">
        <v>150</v>
      </c>
      <c r="GM124">
        <v>150</v>
      </c>
      <c r="GT124">
        <v>0</v>
      </c>
      <c r="GU124">
        <v>18.3</v>
      </c>
      <c r="HA124">
        <v>18.3</v>
      </c>
      <c r="HB124">
        <v>22.4</v>
      </c>
      <c r="HG124">
        <v>155.4</v>
      </c>
      <c r="HH124">
        <v>177.8</v>
      </c>
      <c r="HI124">
        <v>34.799999999999997</v>
      </c>
      <c r="HJ124">
        <v>100</v>
      </c>
      <c r="HN124">
        <v>25</v>
      </c>
      <c r="HO124">
        <v>159.80000000000001</v>
      </c>
      <c r="HP124" t="s">
        <v>1322</v>
      </c>
      <c r="HQ124">
        <v>205.1</v>
      </c>
      <c r="HR124">
        <v>1006</v>
      </c>
      <c r="HW124">
        <v>1211.0999999999999</v>
      </c>
      <c r="HX124">
        <v>1958.4</v>
      </c>
      <c r="HY124">
        <v>2834.8</v>
      </c>
      <c r="HZ124">
        <v>0</v>
      </c>
      <c r="IA124">
        <v>0</v>
      </c>
      <c r="IB124">
        <v>0</v>
      </c>
      <c r="IC124">
        <v>574.1</v>
      </c>
      <c r="ID124">
        <v>5367.3</v>
      </c>
      <c r="IE124">
        <v>429.9</v>
      </c>
      <c r="IF124">
        <v>1032.8</v>
      </c>
      <c r="IJ124">
        <v>333.6</v>
      </c>
      <c r="IK124">
        <v>1796.3</v>
      </c>
      <c r="IL124">
        <v>698.6</v>
      </c>
      <c r="IM124">
        <v>509.3</v>
      </c>
      <c r="IR124">
        <v>1207.9000000000001</v>
      </c>
      <c r="IS124">
        <v>820.6</v>
      </c>
      <c r="IT124">
        <v>1292.5999999999999</v>
      </c>
      <c r="IX124">
        <v>240.5</v>
      </c>
      <c r="IY124">
        <v>2353.6999999999998</v>
      </c>
      <c r="IZ124">
        <v>9.4</v>
      </c>
      <c r="JF124">
        <v>9.4</v>
      </c>
      <c r="JM124">
        <v>0</v>
      </c>
      <c r="JN124">
        <v>1958.5</v>
      </c>
      <c r="JO124">
        <v>2834.7</v>
      </c>
      <c r="JP124">
        <v>0</v>
      </c>
      <c r="JQ124">
        <v>0</v>
      </c>
      <c r="JR124">
        <v>0</v>
      </c>
      <c r="JS124">
        <v>574.1</v>
      </c>
      <c r="JT124">
        <v>5367.3</v>
      </c>
      <c r="JU124">
        <v>0.9</v>
      </c>
      <c r="JW124">
        <v>99.1</v>
      </c>
      <c r="JZ124">
        <v>1</v>
      </c>
      <c r="KA124">
        <v>3</v>
      </c>
      <c r="KB124">
        <v>1</v>
      </c>
      <c r="KC124" t="s">
        <v>407</v>
      </c>
      <c r="KD124">
        <v>50</v>
      </c>
      <c r="KE124">
        <v>221.4</v>
      </c>
      <c r="KI124">
        <v>0</v>
      </c>
      <c r="KJ124">
        <v>271.39999999999998</v>
      </c>
      <c r="KK124">
        <v>73.5</v>
      </c>
      <c r="KL124">
        <v>320</v>
      </c>
      <c r="KP124">
        <v>0</v>
      </c>
      <c r="KQ124">
        <v>393.5</v>
      </c>
      <c r="KX124">
        <v>0</v>
      </c>
      <c r="LE124">
        <v>0</v>
      </c>
      <c r="LL124">
        <v>0</v>
      </c>
      <c r="LS124">
        <v>0</v>
      </c>
      <c r="LZ124">
        <v>0</v>
      </c>
      <c r="MA124" t="s">
        <v>1322</v>
      </c>
      <c r="MC124">
        <v>916.6</v>
      </c>
      <c r="MH124">
        <v>916.6</v>
      </c>
      <c r="MI124">
        <v>123.5</v>
      </c>
      <c r="MJ124">
        <v>1458</v>
      </c>
      <c r="MK124">
        <v>0</v>
      </c>
      <c r="ML124">
        <v>0</v>
      </c>
      <c r="MM124">
        <v>0</v>
      </c>
      <c r="MN124">
        <v>0</v>
      </c>
      <c r="MO124">
        <v>1581.5</v>
      </c>
      <c r="MQ124">
        <v>16.7</v>
      </c>
      <c r="MV124">
        <v>16.7</v>
      </c>
      <c r="MW124">
        <v>73.5</v>
      </c>
      <c r="MX124">
        <v>943.3</v>
      </c>
      <c r="NC124">
        <v>1016.8</v>
      </c>
      <c r="ND124">
        <v>50</v>
      </c>
      <c r="NE124">
        <v>498</v>
      </c>
      <c r="NJ124">
        <v>548</v>
      </c>
      <c r="NQ124">
        <v>0</v>
      </c>
      <c r="NX124">
        <v>0</v>
      </c>
      <c r="NY124">
        <v>123.5</v>
      </c>
      <c r="NZ124">
        <v>1458</v>
      </c>
      <c r="OA124">
        <v>0</v>
      </c>
      <c r="OB124">
        <v>0</v>
      </c>
      <c r="OC124">
        <v>0</v>
      </c>
      <c r="OD124">
        <v>0</v>
      </c>
      <c r="OE124">
        <v>1581.5</v>
      </c>
      <c r="OF124" t="s">
        <v>408</v>
      </c>
      <c r="OG124">
        <v>157.1</v>
      </c>
      <c r="OH124">
        <v>450.7</v>
      </c>
      <c r="OM124">
        <v>607.79999999999995</v>
      </c>
      <c r="ON124">
        <v>52.8</v>
      </c>
      <c r="OO124">
        <v>106.8</v>
      </c>
      <c r="OT124">
        <v>159.6</v>
      </c>
      <c r="PA124">
        <v>0</v>
      </c>
      <c r="PH124">
        <v>0</v>
      </c>
      <c r="PI124">
        <v>2.4</v>
      </c>
      <c r="PO124">
        <v>2.4</v>
      </c>
      <c r="PP124">
        <v>22.4</v>
      </c>
      <c r="PV124">
        <v>22.4</v>
      </c>
      <c r="QC124">
        <v>0</v>
      </c>
      <c r="QD124" t="s">
        <v>1322</v>
      </c>
      <c r="QE124">
        <v>56</v>
      </c>
      <c r="QK124">
        <v>56</v>
      </c>
      <c r="QL124">
        <v>290.7</v>
      </c>
      <c r="QM124">
        <v>557.5</v>
      </c>
      <c r="QN124">
        <v>0</v>
      </c>
      <c r="QO124">
        <v>0</v>
      </c>
      <c r="QP124">
        <v>0</v>
      </c>
      <c r="QQ124">
        <v>0</v>
      </c>
      <c r="QR124">
        <v>848.2</v>
      </c>
      <c r="QS124">
        <v>234.7</v>
      </c>
      <c r="QT124">
        <v>492.7</v>
      </c>
      <c r="QY124">
        <v>727.4</v>
      </c>
      <c r="QZ124">
        <v>56</v>
      </c>
      <c r="RF124">
        <v>56</v>
      </c>
      <c r="RH124">
        <v>64.8</v>
      </c>
      <c r="RM124">
        <v>64.8</v>
      </c>
      <c r="RT124">
        <v>0</v>
      </c>
      <c r="SA124">
        <v>0</v>
      </c>
      <c r="SB124">
        <v>290.7</v>
      </c>
      <c r="SC124">
        <v>557.5</v>
      </c>
      <c r="SD124">
        <v>0</v>
      </c>
      <c r="SE124">
        <v>0</v>
      </c>
      <c r="SF124">
        <v>0</v>
      </c>
      <c r="SG124">
        <v>0</v>
      </c>
      <c r="SH124">
        <v>848.2</v>
      </c>
      <c r="SI124" t="s">
        <v>409</v>
      </c>
      <c r="SJ124">
        <v>1064.4000000000001</v>
      </c>
      <c r="SK124">
        <v>465</v>
      </c>
      <c r="SO124">
        <v>343.7</v>
      </c>
      <c r="SP124">
        <v>1873.1</v>
      </c>
      <c r="SQ124">
        <v>130</v>
      </c>
      <c r="SR124">
        <v>164.9</v>
      </c>
      <c r="SV124">
        <v>50</v>
      </c>
      <c r="SW124">
        <v>344.9</v>
      </c>
      <c r="SX124">
        <v>150</v>
      </c>
      <c r="TD124">
        <v>150</v>
      </c>
      <c r="TK124">
        <v>0</v>
      </c>
      <c r="TM124">
        <v>15.9</v>
      </c>
      <c r="TR124">
        <v>15.9</v>
      </c>
      <c r="TX124">
        <v>155.4</v>
      </c>
      <c r="TY124">
        <v>155.4</v>
      </c>
      <c r="TZ124">
        <v>34.799999999999997</v>
      </c>
      <c r="UA124">
        <v>100</v>
      </c>
      <c r="UE124">
        <v>25</v>
      </c>
      <c r="UF124">
        <v>159.80000000000001</v>
      </c>
      <c r="UH124">
        <v>149.1</v>
      </c>
      <c r="UI124">
        <v>89.4</v>
      </c>
      <c r="UN124">
        <v>238.5</v>
      </c>
      <c r="UO124">
        <v>1528.3</v>
      </c>
      <c r="UP124">
        <v>835.2</v>
      </c>
      <c r="UQ124">
        <v>0</v>
      </c>
      <c r="UR124">
        <v>0</v>
      </c>
      <c r="US124">
        <v>0</v>
      </c>
      <c r="UT124">
        <v>574.1</v>
      </c>
      <c r="UU124">
        <v>2937.6</v>
      </c>
      <c r="UV124">
        <v>463.9</v>
      </c>
      <c r="VB124">
        <v>463.9</v>
      </c>
      <c r="VC124">
        <v>300.39999999999998</v>
      </c>
      <c r="VD124">
        <v>89.4</v>
      </c>
      <c r="VH124">
        <v>333.6</v>
      </c>
      <c r="VI124">
        <v>723.4</v>
      </c>
      <c r="VJ124">
        <v>770.5</v>
      </c>
      <c r="VK124">
        <v>729.9</v>
      </c>
      <c r="VO124">
        <v>240.5</v>
      </c>
      <c r="VP124">
        <v>1740.9</v>
      </c>
      <c r="VQ124">
        <v>9.4</v>
      </c>
      <c r="VW124">
        <v>9.4</v>
      </c>
      <c r="WD124">
        <v>0</v>
      </c>
      <c r="WE124">
        <v>1544.2</v>
      </c>
      <c r="WF124">
        <v>819.3</v>
      </c>
      <c r="WG124">
        <v>0</v>
      </c>
      <c r="WH124">
        <v>0</v>
      </c>
      <c r="WI124">
        <v>0</v>
      </c>
      <c r="WJ124">
        <v>574.1</v>
      </c>
      <c r="WK124">
        <v>2937.6</v>
      </c>
      <c r="WL124" t="s">
        <v>410</v>
      </c>
      <c r="AAO124" t="s">
        <v>411</v>
      </c>
      <c r="AER124" t="s">
        <v>412</v>
      </c>
    </row>
    <row r="125" spans="1:824" x14ac:dyDescent="0.2">
      <c r="A125" t="s">
        <v>1323</v>
      </c>
      <c r="B125" t="s">
        <v>414</v>
      </c>
      <c r="C125" t="s">
        <v>1324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>
        <v>696</v>
      </c>
      <c r="W125" s="3">
        <v>43521.395833333336</v>
      </c>
      <c r="X125" t="s">
        <v>1325</v>
      </c>
      <c r="Y125">
        <v>2019</v>
      </c>
      <c r="Z125" t="s">
        <v>1326</v>
      </c>
      <c r="AA125" t="s">
        <v>1327</v>
      </c>
      <c r="AB125" t="s">
        <v>1328</v>
      </c>
      <c r="AC125" t="s">
        <v>1329</v>
      </c>
      <c r="AD125">
        <v>61402058182</v>
      </c>
      <c r="AE125" t="s">
        <v>420</v>
      </c>
      <c r="AF125" t="s">
        <v>421</v>
      </c>
      <c r="AH125">
        <v>2</v>
      </c>
      <c r="AI125">
        <v>6</v>
      </c>
      <c r="AJ125" t="s">
        <v>1330</v>
      </c>
      <c r="AU125">
        <v>0</v>
      </c>
      <c r="BB125">
        <v>0</v>
      </c>
      <c r="BI125">
        <v>0</v>
      </c>
      <c r="BP125">
        <v>0</v>
      </c>
      <c r="BW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R125">
        <v>0</v>
      </c>
      <c r="CY125">
        <v>0</v>
      </c>
      <c r="DF125">
        <v>0</v>
      </c>
      <c r="DM125">
        <v>0</v>
      </c>
      <c r="DT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 t="s">
        <v>404</v>
      </c>
      <c r="EJ125" t="s">
        <v>404</v>
      </c>
      <c r="EK125" t="s">
        <v>404</v>
      </c>
      <c r="EL125" t="s">
        <v>404</v>
      </c>
      <c r="EM125" t="s">
        <v>404</v>
      </c>
      <c r="EN125" t="s">
        <v>404</v>
      </c>
      <c r="EO125" t="s">
        <v>404</v>
      </c>
      <c r="EP125" t="s">
        <v>404</v>
      </c>
      <c r="EQ125" t="s">
        <v>404</v>
      </c>
      <c r="ER125" t="s">
        <v>404</v>
      </c>
      <c r="ES125" t="s">
        <v>404</v>
      </c>
      <c r="ET125" t="s">
        <v>404</v>
      </c>
      <c r="EU125" t="s">
        <v>404</v>
      </c>
      <c r="EV125" t="s">
        <v>404</v>
      </c>
      <c r="EW125" t="s">
        <v>404</v>
      </c>
      <c r="EX125" t="s">
        <v>404</v>
      </c>
      <c r="EY125" t="s">
        <v>404</v>
      </c>
      <c r="EZ125" t="s">
        <v>404</v>
      </c>
      <c r="FA125" t="s">
        <v>404</v>
      </c>
      <c r="FB125" t="s">
        <v>404</v>
      </c>
      <c r="FC125" t="s">
        <v>404</v>
      </c>
      <c r="FD125" t="s">
        <v>404</v>
      </c>
      <c r="FE125" t="s">
        <v>404</v>
      </c>
      <c r="FF125" t="s">
        <v>404</v>
      </c>
      <c r="FG125" t="s">
        <v>404</v>
      </c>
      <c r="FH125" t="s">
        <v>404</v>
      </c>
      <c r="FI125" t="s">
        <v>404</v>
      </c>
      <c r="FJ125" t="s">
        <v>404</v>
      </c>
      <c r="FK125" t="s">
        <v>404</v>
      </c>
      <c r="FL125" t="s">
        <v>404</v>
      </c>
      <c r="FM125" t="s">
        <v>404</v>
      </c>
      <c r="FN125" t="s">
        <v>404</v>
      </c>
      <c r="FO125" t="s">
        <v>404</v>
      </c>
      <c r="FP125" t="s">
        <v>404</v>
      </c>
      <c r="FQ125" t="s">
        <v>404</v>
      </c>
      <c r="FR125" t="s">
        <v>404</v>
      </c>
      <c r="FY125">
        <v>0</v>
      </c>
      <c r="GF125">
        <v>0</v>
      </c>
      <c r="GM125">
        <v>0</v>
      </c>
      <c r="GT125">
        <v>0</v>
      </c>
      <c r="HA125">
        <v>0</v>
      </c>
      <c r="HH125">
        <v>0</v>
      </c>
      <c r="HO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K125">
        <v>0</v>
      </c>
      <c r="IR125">
        <v>0</v>
      </c>
      <c r="IY125">
        <v>0</v>
      </c>
      <c r="JF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Z125">
        <v>1</v>
      </c>
      <c r="KA125">
        <v>3</v>
      </c>
      <c r="KB125">
        <v>2</v>
      </c>
      <c r="KC125" t="s">
        <v>407</v>
      </c>
      <c r="OF125" t="s">
        <v>408</v>
      </c>
      <c r="SI125" t="s">
        <v>409</v>
      </c>
      <c r="WL125" t="s">
        <v>410</v>
      </c>
      <c r="AAO125" t="s">
        <v>411</v>
      </c>
      <c r="AER125" t="s">
        <v>412</v>
      </c>
    </row>
    <row r="126" spans="1:824" x14ac:dyDescent="0.2">
      <c r="A126" t="s">
        <v>1331</v>
      </c>
      <c r="B126" t="s">
        <v>396</v>
      </c>
      <c r="C126" t="s">
        <v>1332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>
        <v>681</v>
      </c>
      <c r="W126" s="3">
        <v>43494.831250000003</v>
      </c>
      <c r="X126" t="s">
        <v>1333</v>
      </c>
      <c r="Y126">
        <v>2019</v>
      </c>
      <c r="Z126" t="s">
        <v>1334</v>
      </c>
      <c r="AA126" t="s">
        <v>1332</v>
      </c>
      <c r="AB126" t="s">
        <v>1335</v>
      </c>
      <c r="AC126" t="s">
        <v>1336</v>
      </c>
      <c r="AD126" t="s">
        <v>1337</v>
      </c>
      <c r="AE126" t="s">
        <v>491</v>
      </c>
      <c r="AF126" t="s">
        <v>403</v>
      </c>
      <c r="AH126">
        <v>2</v>
      </c>
      <c r="AI126">
        <v>6</v>
      </c>
      <c r="AJ126" t="s">
        <v>1338</v>
      </c>
      <c r="AU126">
        <v>0</v>
      </c>
      <c r="BB126">
        <v>0</v>
      </c>
      <c r="BI126">
        <v>0</v>
      </c>
      <c r="BP126">
        <v>0</v>
      </c>
      <c r="BW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R126">
        <v>0</v>
      </c>
      <c r="CY126">
        <v>0</v>
      </c>
      <c r="DF126">
        <v>0</v>
      </c>
      <c r="DM126">
        <v>0</v>
      </c>
      <c r="DT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 t="s">
        <v>404</v>
      </c>
      <c r="EJ126" t="s">
        <v>404</v>
      </c>
      <c r="EK126" t="s">
        <v>404</v>
      </c>
      <c r="EL126" t="s">
        <v>404</v>
      </c>
      <c r="EM126" t="s">
        <v>404</v>
      </c>
      <c r="EN126" t="s">
        <v>404</v>
      </c>
      <c r="EO126" t="s">
        <v>404</v>
      </c>
      <c r="EP126" t="s">
        <v>404</v>
      </c>
      <c r="EQ126" t="s">
        <v>404</v>
      </c>
      <c r="ER126" t="s">
        <v>404</v>
      </c>
      <c r="ES126" t="s">
        <v>404</v>
      </c>
      <c r="ET126" t="s">
        <v>404</v>
      </c>
      <c r="EU126" t="s">
        <v>404</v>
      </c>
      <c r="EV126" t="s">
        <v>404</v>
      </c>
      <c r="EW126" t="s">
        <v>404</v>
      </c>
      <c r="EX126" t="s">
        <v>404</v>
      </c>
      <c r="EY126" t="s">
        <v>404</v>
      </c>
      <c r="EZ126" t="s">
        <v>404</v>
      </c>
      <c r="FA126" t="s">
        <v>404</v>
      </c>
      <c r="FB126" t="s">
        <v>404</v>
      </c>
      <c r="FC126" t="s">
        <v>404</v>
      </c>
      <c r="FD126" t="s">
        <v>404</v>
      </c>
      <c r="FE126" t="s">
        <v>404</v>
      </c>
      <c r="FF126" t="s">
        <v>404</v>
      </c>
      <c r="FG126" t="s">
        <v>404</v>
      </c>
      <c r="FH126" t="s">
        <v>404</v>
      </c>
      <c r="FI126" t="s">
        <v>404</v>
      </c>
      <c r="FJ126" t="s">
        <v>404</v>
      </c>
      <c r="FK126" t="s">
        <v>404</v>
      </c>
      <c r="FL126" t="s">
        <v>404</v>
      </c>
      <c r="FM126" t="s">
        <v>404</v>
      </c>
      <c r="FN126" t="s">
        <v>404</v>
      </c>
      <c r="FO126" t="s">
        <v>404</v>
      </c>
      <c r="FP126" t="s">
        <v>404</v>
      </c>
      <c r="FQ126" t="s">
        <v>404</v>
      </c>
      <c r="FR126" t="s">
        <v>404</v>
      </c>
      <c r="FY126">
        <v>0</v>
      </c>
      <c r="GF126">
        <v>0</v>
      </c>
      <c r="GM126">
        <v>0</v>
      </c>
      <c r="GT126">
        <v>0</v>
      </c>
      <c r="HA126">
        <v>0</v>
      </c>
      <c r="HH126">
        <v>0</v>
      </c>
      <c r="HO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K126">
        <v>0</v>
      </c>
      <c r="IR126">
        <v>0</v>
      </c>
      <c r="IY126">
        <v>0</v>
      </c>
      <c r="JF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Z126">
        <v>1</v>
      </c>
      <c r="KA126">
        <v>3</v>
      </c>
      <c r="KB126">
        <v>1</v>
      </c>
      <c r="KC126" t="s">
        <v>407</v>
      </c>
      <c r="OF126" t="s">
        <v>408</v>
      </c>
      <c r="SI126" t="s">
        <v>409</v>
      </c>
      <c r="WL126" t="s">
        <v>410</v>
      </c>
      <c r="AAO126" t="s">
        <v>411</v>
      </c>
      <c r="AER126" t="s">
        <v>412</v>
      </c>
    </row>
    <row r="127" spans="1:824" x14ac:dyDescent="0.2">
      <c r="A127" t="s">
        <v>1339</v>
      </c>
      <c r="B127" t="s">
        <v>414</v>
      </c>
      <c r="C127" t="s">
        <v>1340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>
        <v>616</v>
      </c>
      <c r="W127" s="3">
        <v>43489.993750000001</v>
      </c>
      <c r="X127" t="s">
        <v>1341</v>
      </c>
      <c r="Y127">
        <v>2019</v>
      </c>
      <c r="Z127" t="s">
        <v>1342</v>
      </c>
      <c r="AA127" t="s">
        <v>1343</v>
      </c>
      <c r="AB127" t="s">
        <v>1094</v>
      </c>
      <c r="AC127" t="s">
        <v>1344</v>
      </c>
      <c r="AD127">
        <v>421336846</v>
      </c>
      <c r="AE127" t="s">
        <v>420</v>
      </c>
      <c r="AF127" t="s">
        <v>421</v>
      </c>
      <c r="AH127">
        <v>2</v>
      </c>
      <c r="AI127">
        <v>6</v>
      </c>
      <c r="AJ127" t="s">
        <v>1345</v>
      </c>
      <c r="AU127">
        <v>0</v>
      </c>
      <c r="BB127">
        <v>0</v>
      </c>
      <c r="BI127">
        <v>0</v>
      </c>
      <c r="BP127">
        <v>0</v>
      </c>
      <c r="BW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R127">
        <v>0</v>
      </c>
      <c r="CY127">
        <v>0</v>
      </c>
      <c r="DF127">
        <v>0</v>
      </c>
      <c r="DM127">
        <v>0</v>
      </c>
      <c r="DT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 t="s">
        <v>404</v>
      </c>
      <c r="EJ127" t="s">
        <v>404</v>
      </c>
      <c r="EK127" t="s">
        <v>404</v>
      </c>
      <c r="EL127" t="s">
        <v>404</v>
      </c>
      <c r="EM127" t="s">
        <v>404</v>
      </c>
      <c r="EN127" t="s">
        <v>404</v>
      </c>
      <c r="EO127" t="s">
        <v>404</v>
      </c>
      <c r="EP127" t="s">
        <v>404</v>
      </c>
      <c r="EQ127" t="s">
        <v>404</v>
      </c>
      <c r="ER127" t="s">
        <v>404</v>
      </c>
      <c r="ES127" t="s">
        <v>404</v>
      </c>
      <c r="ET127" t="s">
        <v>404</v>
      </c>
      <c r="EU127" t="s">
        <v>404</v>
      </c>
      <c r="EV127" t="s">
        <v>404</v>
      </c>
      <c r="EW127" t="s">
        <v>404</v>
      </c>
      <c r="EX127" t="s">
        <v>404</v>
      </c>
      <c r="EY127" t="s">
        <v>404</v>
      </c>
      <c r="EZ127" t="s">
        <v>404</v>
      </c>
      <c r="FA127" t="s">
        <v>404</v>
      </c>
      <c r="FB127" t="s">
        <v>404</v>
      </c>
      <c r="FC127" t="s">
        <v>404</v>
      </c>
      <c r="FD127" t="s">
        <v>404</v>
      </c>
      <c r="FE127" t="s">
        <v>404</v>
      </c>
      <c r="FF127" t="s">
        <v>404</v>
      </c>
      <c r="FG127" t="s">
        <v>404</v>
      </c>
      <c r="FH127" t="s">
        <v>404</v>
      </c>
      <c r="FI127" t="s">
        <v>404</v>
      </c>
      <c r="FJ127" t="s">
        <v>404</v>
      </c>
      <c r="FK127" t="s">
        <v>404</v>
      </c>
      <c r="FL127" t="s">
        <v>404</v>
      </c>
      <c r="FM127" t="s">
        <v>404</v>
      </c>
      <c r="FN127" t="s">
        <v>404</v>
      </c>
      <c r="FO127" t="s">
        <v>404</v>
      </c>
      <c r="FP127" t="s">
        <v>404</v>
      </c>
      <c r="FQ127" t="s">
        <v>404</v>
      </c>
      <c r="FR127" t="s">
        <v>404</v>
      </c>
      <c r="FY127">
        <v>0</v>
      </c>
      <c r="GF127">
        <v>0</v>
      </c>
      <c r="GM127">
        <v>0</v>
      </c>
      <c r="GT127">
        <v>0</v>
      </c>
      <c r="HA127">
        <v>0</v>
      </c>
      <c r="HH127">
        <v>0</v>
      </c>
      <c r="HO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K127">
        <v>0</v>
      </c>
      <c r="IR127">
        <v>0</v>
      </c>
      <c r="IY127">
        <v>0</v>
      </c>
      <c r="JF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Z127">
        <v>1</v>
      </c>
      <c r="KA127">
        <v>3</v>
      </c>
      <c r="KB127">
        <v>1</v>
      </c>
      <c r="KC127" t="s">
        <v>407</v>
      </c>
      <c r="OF127" t="s">
        <v>408</v>
      </c>
      <c r="SI127" t="s">
        <v>409</v>
      </c>
      <c r="WL127" t="s">
        <v>410</v>
      </c>
      <c r="AAO127" t="s">
        <v>411</v>
      </c>
      <c r="AER127" t="s">
        <v>412</v>
      </c>
    </row>
    <row r="128" spans="1:824" x14ac:dyDescent="0.2">
      <c r="A128" t="s">
        <v>1346</v>
      </c>
      <c r="B128" t="s">
        <v>414</v>
      </c>
      <c r="C128" t="s">
        <v>1347</v>
      </c>
      <c r="P128" t="b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>
        <v>637</v>
      </c>
      <c r="W128" s="3">
        <v>43511.512499999997</v>
      </c>
      <c r="X128" t="s">
        <v>1348</v>
      </c>
      <c r="Y128">
        <v>2019</v>
      </c>
      <c r="Z128" t="s">
        <v>1349</v>
      </c>
      <c r="AA128" t="s">
        <v>1350</v>
      </c>
      <c r="AB128" t="s">
        <v>1351</v>
      </c>
      <c r="AC128" t="s">
        <v>1352</v>
      </c>
      <c r="AD128" t="s">
        <v>1353</v>
      </c>
      <c r="AE128" t="s">
        <v>884</v>
      </c>
      <c r="AF128" t="s">
        <v>538</v>
      </c>
      <c r="AH128">
        <v>1</v>
      </c>
      <c r="AK128">
        <v>377</v>
      </c>
      <c r="AL128">
        <v>0</v>
      </c>
      <c r="AM128">
        <v>0</v>
      </c>
      <c r="AN128">
        <v>0</v>
      </c>
      <c r="AO128">
        <v>377</v>
      </c>
      <c r="AU128">
        <v>377</v>
      </c>
      <c r="BB128">
        <v>0</v>
      </c>
      <c r="BI128">
        <v>0</v>
      </c>
      <c r="BP128">
        <v>0</v>
      </c>
      <c r="BW128">
        <v>0</v>
      </c>
      <c r="CD128">
        <v>0</v>
      </c>
      <c r="CE128">
        <v>377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377</v>
      </c>
      <c r="CL128">
        <v>1</v>
      </c>
      <c r="CR128">
        <v>1</v>
      </c>
      <c r="CY128">
        <v>0</v>
      </c>
      <c r="DF128">
        <v>0</v>
      </c>
      <c r="DM128">
        <v>0</v>
      </c>
      <c r="DT128">
        <v>0</v>
      </c>
      <c r="EA128">
        <v>0</v>
      </c>
      <c r="EB128">
        <v>1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1</v>
      </c>
      <c r="EI128" t="s">
        <v>405</v>
      </c>
      <c r="EJ128" t="s">
        <v>404</v>
      </c>
      <c r="EK128" t="s">
        <v>404</v>
      </c>
      <c r="EL128" t="s">
        <v>404</v>
      </c>
      <c r="EM128" t="s">
        <v>404</v>
      </c>
      <c r="EN128" t="s">
        <v>404</v>
      </c>
      <c r="EO128" t="s">
        <v>404</v>
      </c>
      <c r="EP128" t="s">
        <v>404</v>
      </c>
      <c r="EQ128" t="s">
        <v>404</v>
      </c>
      <c r="ER128" t="s">
        <v>404</v>
      </c>
      <c r="ES128" t="s">
        <v>404</v>
      </c>
      <c r="ET128" t="s">
        <v>404</v>
      </c>
      <c r="EU128" t="s">
        <v>404</v>
      </c>
      <c r="EV128" t="s">
        <v>404</v>
      </c>
      <c r="EW128" t="s">
        <v>404</v>
      </c>
      <c r="EX128" t="s">
        <v>404</v>
      </c>
      <c r="EY128" t="s">
        <v>404</v>
      </c>
      <c r="EZ128" t="s">
        <v>404</v>
      </c>
      <c r="FA128" t="s">
        <v>404</v>
      </c>
      <c r="FB128" t="s">
        <v>404</v>
      </c>
      <c r="FC128" t="s">
        <v>404</v>
      </c>
      <c r="FD128" t="s">
        <v>404</v>
      </c>
      <c r="FE128" t="s">
        <v>404</v>
      </c>
      <c r="FF128" t="s">
        <v>404</v>
      </c>
      <c r="FG128" t="s">
        <v>404</v>
      </c>
      <c r="FH128" t="s">
        <v>404</v>
      </c>
      <c r="FI128" t="s">
        <v>404</v>
      </c>
      <c r="FJ128" t="s">
        <v>404</v>
      </c>
      <c r="FK128" t="s">
        <v>404</v>
      </c>
      <c r="FL128" t="s">
        <v>404</v>
      </c>
      <c r="FM128" t="s">
        <v>404</v>
      </c>
      <c r="FN128" t="s">
        <v>404</v>
      </c>
      <c r="FO128" t="s">
        <v>404</v>
      </c>
      <c r="FP128" t="s">
        <v>404</v>
      </c>
      <c r="FQ128" t="s">
        <v>404</v>
      </c>
      <c r="FR128" t="s">
        <v>404</v>
      </c>
      <c r="FS128">
        <v>293</v>
      </c>
      <c r="FY128">
        <v>293</v>
      </c>
      <c r="FZ128">
        <v>55</v>
      </c>
      <c r="GF128">
        <v>55</v>
      </c>
      <c r="GM128">
        <v>0</v>
      </c>
      <c r="GT128">
        <v>0</v>
      </c>
      <c r="GU128">
        <v>25</v>
      </c>
      <c r="HA128">
        <v>25</v>
      </c>
      <c r="HH128">
        <v>0</v>
      </c>
      <c r="HI128">
        <v>2</v>
      </c>
      <c r="HO128">
        <v>2</v>
      </c>
      <c r="HP128" t="s">
        <v>1209</v>
      </c>
      <c r="HQ128">
        <v>2</v>
      </c>
      <c r="HW128">
        <v>2</v>
      </c>
      <c r="HX128">
        <v>377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377</v>
      </c>
      <c r="IE128">
        <v>4</v>
      </c>
      <c r="IK128">
        <v>4</v>
      </c>
      <c r="IL128">
        <v>373</v>
      </c>
      <c r="IR128">
        <v>373</v>
      </c>
      <c r="IY128">
        <v>0</v>
      </c>
      <c r="JF128">
        <v>0</v>
      </c>
      <c r="JM128">
        <v>0</v>
      </c>
      <c r="JN128">
        <v>377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377</v>
      </c>
      <c r="JU128">
        <v>71</v>
      </c>
      <c r="JW128">
        <v>28</v>
      </c>
      <c r="JX128" t="s">
        <v>1209</v>
      </c>
      <c r="JY128">
        <v>1</v>
      </c>
      <c r="JZ128">
        <v>1</v>
      </c>
      <c r="KA128">
        <v>2</v>
      </c>
      <c r="KB128">
        <v>2</v>
      </c>
      <c r="KC128" t="s">
        <v>407</v>
      </c>
      <c r="OF128" t="s">
        <v>408</v>
      </c>
      <c r="SI128" t="s">
        <v>409</v>
      </c>
      <c r="WL128" t="s">
        <v>410</v>
      </c>
      <c r="AAO128" t="s">
        <v>411</v>
      </c>
      <c r="AER128" t="s">
        <v>412</v>
      </c>
    </row>
    <row r="129" spans="1:824" x14ac:dyDescent="0.2">
      <c r="A129" t="s">
        <v>1354</v>
      </c>
      <c r="B129" t="s">
        <v>396</v>
      </c>
      <c r="C129" t="s">
        <v>1355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>
        <v>774</v>
      </c>
      <c r="W129" s="3">
        <v>43521.468055555553</v>
      </c>
      <c r="X129" t="s">
        <v>816</v>
      </c>
      <c r="Y129">
        <v>2019</v>
      </c>
      <c r="Z129" t="s">
        <v>1356</v>
      </c>
      <c r="AA129" t="s">
        <v>1355</v>
      </c>
      <c r="AB129" t="s">
        <v>450</v>
      </c>
      <c r="AC129" t="s">
        <v>1357</v>
      </c>
      <c r="AD129" t="s">
        <v>1358</v>
      </c>
      <c r="AE129" t="s">
        <v>491</v>
      </c>
      <c r="AF129" t="s">
        <v>492</v>
      </c>
      <c r="AH129">
        <v>1</v>
      </c>
      <c r="AK129">
        <v>292</v>
      </c>
      <c r="AL129">
        <v>292</v>
      </c>
      <c r="AM129">
        <v>292</v>
      </c>
      <c r="AN129">
        <v>292</v>
      </c>
      <c r="AU129">
        <v>0</v>
      </c>
      <c r="AW129">
        <v>292</v>
      </c>
      <c r="BB129">
        <v>292</v>
      </c>
      <c r="BI129">
        <v>0</v>
      </c>
      <c r="BP129">
        <v>0</v>
      </c>
      <c r="BW129">
        <v>0</v>
      </c>
      <c r="CD129">
        <v>0</v>
      </c>
      <c r="CE129">
        <v>0</v>
      </c>
      <c r="CF129">
        <v>292</v>
      </c>
      <c r="CG129">
        <v>0</v>
      </c>
      <c r="CH129">
        <v>0</v>
      </c>
      <c r="CI129">
        <v>0</v>
      </c>
      <c r="CJ129">
        <v>0</v>
      </c>
      <c r="CK129">
        <v>292</v>
      </c>
      <c r="CR129">
        <v>0</v>
      </c>
      <c r="CT129">
        <v>2</v>
      </c>
      <c r="CY129">
        <v>2</v>
      </c>
      <c r="DF129">
        <v>0</v>
      </c>
      <c r="DM129">
        <v>0</v>
      </c>
      <c r="DT129">
        <v>0</v>
      </c>
      <c r="EA129">
        <v>0</v>
      </c>
      <c r="EB129">
        <v>0</v>
      </c>
      <c r="EC129">
        <v>2</v>
      </c>
      <c r="ED129">
        <v>0</v>
      </c>
      <c r="EE129">
        <v>0</v>
      </c>
      <c r="EF129">
        <v>0</v>
      </c>
      <c r="EG129">
        <v>0</v>
      </c>
      <c r="EH129">
        <v>2</v>
      </c>
      <c r="EI129" t="s">
        <v>404</v>
      </c>
      <c r="EJ129" t="s">
        <v>404</v>
      </c>
      <c r="EK129" t="s">
        <v>404</v>
      </c>
      <c r="EL129" t="s">
        <v>404</v>
      </c>
      <c r="EM129" t="s">
        <v>404</v>
      </c>
      <c r="EN129" t="s">
        <v>404</v>
      </c>
      <c r="EO129" t="s">
        <v>404</v>
      </c>
      <c r="EP129" t="s">
        <v>405</v>
      </c>
      <c r="EQ129" t="s">
        <v>404</v>
      </c>
      <c r="ER129" t="s">
        <v>404</v>
      </c>
      <c r="ES129" t="s">
        <v>404</v>
      </c>
      <c r="ET129" t="s">
        <v>404</v>
      </c>
      <c r="EU129" t="s">
        <v>404</v>
      </c>
      <c r="EV129" t="s">
        <v>404</v>
      </c>
      <c r="EW129" t="s">
        <v>404</v>
      </c>
      <c r="EX129" t="s">
        <v>404</v>
      </c>
      <c r="EY129" t="s">
        <v>404</v>
      </c>
      <c r="EZ129" t="s">
        <v>404</v>
      </c>
      <c r="FA129" t="s">
        <v>404</v>
      </c>
      <c r="FB129" t="s">
        <v>404</v>
      </c>
      <c r="FC129" t="s">
        <v>404</v>
      </c>
      <c r="FD129" t="s">
        <v>404</v>
      </c>
      <c r="FE129" t="s">
        <v>404</v>
      </c>
      <c r="FF129" t="s">
        <v>404</v>
      </c>
      <c r="FG129" t="s">
        <v>404</v>
      </c>
      <c r="FH129" t="s">
        <v>404</v>
      </c>
      <c r="FI129" t="s">
        <v>404</v>
      </c>
      <c r="FJ129" t="s">
        <v>404</v>
      </c>
      <c r="FK129" t="s">
        <v>404</v>
      </c>
      <c r="FL129" t="s">
        <v>404</v>
      </c>
      <c r="FM129" t="s">
        <v>404</v>
      </c>
      <c r="FN129" t="s">
        <v>404</v>
      </c>
      <c r="FO129" t="s">
        <v>404</v>
      </c>
      <c r="FP129" t="s">
        <v>404</v>
      </c>
      <c r="FQ129" t="s">
        <v>404</v>
      </c>
      <c r="FR129" t="s">
        <v>404</v>
      </c>
      <c r="FT129">
        <v>165</v>
      </c>
      <c r="FY129">
        <v>165</v>
      </c>
      <c r="GA129">
        <v>25</v>
      </c>
      <c r="GF129">
        <v>25</v>
      </c>
      <c r="GM129">
        <v>0</v>
      </c>
      <c r="GT129">
        <v>0</v>
      </c>
      <c r="HA129">
        <v>0</v>
      </c>
      <c r="HH129">
        <v>0</v>
      </c>
      <c r="HO129">
        <v>0</v>
      </c>
      <c r="HP129" t="s">
        <v>1359</v>
      </c>
      <c r="HR129">
        <v>102</v>
      </c>
      <c r="HW129">
        <v>102</v>
      </c>
      <c r="HX129">
        <v>0</v>
      </c>
      <c r="HY129">
        <v>292</v>
      </c>
      <c r="HZ129">
        <v>0</v>
      </c>
      <c r="IA129">
        <v>0</v>
      </c>
      <c r="IB129">
        <v>0</v>
      </c>
      <c r="IC129">
        <v>0</v>
      </c>
      <c r="ID129">
        <v>292</v>
      </c>
      <c r="IK129">
        <v>0</v>
      </c>
      <c r="IM129">
        <v>292</v>
      </c>
      <c r="IR129">
        <v>292</v>
      </c>
      <c r="IY129">
        <v>0</v>
      </c>
      <c r="JF129">
        <v>0</v>
      </c>
      <c r="JM129">
        <v>0</v>
      </c>
      <c r="JN129">
        <v>0</v>
      </c>
      <c r="JO129">
        <v>292</v>
      </c>
      <c r="JP129">
        <v>0</v>
      </c>
      <c r="JQ129">
        <v>0</v>
      </c>
      <c r="JR129">
        <v>0</v>
      </c>
      <c r="JS129">
        <v>0</v>
      </c>
      <c r="JT129">
        <v>292</v>
      </c>
      <c r="JW129">
        <v>100</v>
      </c>
      <c r="JZ129">
        <v>1</v>
      </c>
      <c r="KA129">
        <v>3</v>
      </c>
      <c r="KB129">
        <v>1</v>
      </c>
      <c r="KC129" t="s">
        <v>407</v>
      </c>
      <c r="OF129" t="s">
        <v>408</v>
      </c>
      <c r="SI129" t="s">
        <v>409</v>
      </c>
      <c r="WL129" t="s">
        <v>410</v>
      </c>
      <c r="AAO129" t="s">
        <v>411</v>
      </c>
      <c r="AER129" t="s">
        <v>412</v>
      </c>
    </row>
    <row r="130" spans="1:824" x14ac:dyDescent="0.2">
      <c r="A130" t="s">
        <v>1360</v>
      </c>
      <c r="B130" t="s">
        <v>396</v>
      </c>
      <c r="C130" t="s">
        <v>1361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>
        <v>823</v>
      </c>
      <c r="W130" s="3">
        <v>43529.65347222222</v>
      </c>
      <c r="X130" t="s">
        <v>816</v>
      </c>
      <c r="Y130">
        <v>2019</v>
      </c>
      <c r="Z130" t="s">
        <v>396</v>
      </c>
      <c r="AA130" t="s">
        <v>1362</v>
      </c>
      <c r="AC130" t="s">
        <v>888</v>
      </c>
      <c r="AE130" t="s">
        <v>437</v>
      </c>
      <c r="AF130" t="s">
        <v>403</v>
      </c>
      <c r="AH130">
        <v>1</v>
      </c>
      <c r="AK130">
        <v>523</v>
      </c>
      <c r="AU130">
        <v>0</v>
      </c>
      <c r="AV130">
        <v>523</v>
      </c>
      <c r="BB130">
        <v>523</v>
      </c>
      <c r="BI130">
        <v>0</v>
      </c>
      <c r="BP130">
        <v>0</v>
      </c>
      <c r="BW130">
        <v>0</v>
      </c>
      <c r="CD130">
        <v>0</v>
      </c>
      <c r="CE130">
        <v>523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523</v>
      </c>
      <c r="CR130">
        <v>0</v>
      </c>
      <c r="CS130">
        <v>2</v>
      </c>
      <c r="CY130">
        <v>2</v>
      </c>
      <c r="DF130">
        <v>0</v>
      </c>
      <c r="DM130">
        <v>0</v>
      </c>
      <c r="DT130">
        <v>0</v>
      </c>
      <c r="EA130">
        <v>0</v>
      </c>
      <c r="EB130">
        <v>2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2</v>
      </c>
      <c r="EI130" t="s">
        <v>404</v>
      </c>
      <c r="EJ130" t="s">
        <v>404</v>
      </c>
      <c r="EK130" t="s">
        <v>404</v>
      </c>
      <c r="EL130" t="s">
        <v>404</v>
      </c>
      <c r="EM130" t="s">
        <v>404</v>
      </c>
      <c r="EN130" t="s">
        <v>404</v>
      </c>
      <c r="EO130" t="s">
        <v>405</v>
      </c>
      <c r="EP130" t="s">
        <v>404</v>
      </c>
      <c r="EQ130" t="s">
        <v>404</v>
      </c>
      <c r="ER130" t="s">
        <v>404</v>
      </c>
      <c r="ES130" t="s">
        <v>404</v>
      </c>
      <c r="ET130" t="s">
        <v>404</v>
      </c>
      <c r="EU130" t="s">
        <v>404</v>
      </c>
      <c r="EV130" t="s">
        <v>404</v>
      </c>
      <c r="EW130" t="s">
        <v>404</v>
      </c>
      <c r="EX130" t="s">
        <v>404</v>
      </c>
      <c r="EY130" t="s">
        <v>404</v>
      </c>
      <c r="EZ130" t="s">
        <v>404</v>
      </c>
      <c r="FA130" t="s">
        <v>404</v>
      </c>
      <c r="FB130" t="s">
        <v>404</v>
      </c>
      <c r="FC130" t="s">
        <v>404</v>
      </c>
      <c r="FD130" t="s">
        <v>404</v>
      </c>
      <c r="FE130" t="s">
        <v>404</v>
      </c>
      <c r="FF130" t="s">
        <v>404</v>
      </c>
      <c r="FG130" t="s">
        <v>404</v>
      </c>
      <c r="FH130" t="s">
        <v>404</v>
      </c>
      <c r="FI130" t="s">
        <v>404</v>
      </c>
      <c r="FJ130" t="s">
        <v>404</v>
      </c>
      <c r="FK130" t="s">
        <v>404</v>
      </c>
      <c r="FL130" t="s">
        <v>404</v>
      </c>
      <c r="FM130" t="s">
        <v>404</v>
      </c>
      <c r="FN130" t="s">
        <v>404</v>
      </c>
      <c r="FO130" t="s">
        <v>404</v>
      </c>
      <c r="FP130" t="s">
        <v>404</v>
      </c>
      <c r="FQ130" t="s">
        <v>404</v>
      </c>
      <c r="FR130" t="s">
        <v>404</v>
      </c>
      <c r="FS130">
        <v>417</v>
      </c>
      <c r="FY130">
        <v>417</v>
      </c>
      <c r="FZ130">
        <v>15</v>
      </c>
      <c r="GF130">
        <v>15</v>
      </c>
      <c r="GM130">
        <v>0</v>
      </c>
      <c r="GT130">
        <v>0</v>
      </c>
      <c r="HA130">
        <v>0</v>
      </c>
      <c r="HB130">
        <v>55</v>
      </c>
      <c r="HH130">
        <v>55</v>
      </c>
      <c r="HI130">
        <v>36</v>
      </c>
      <c r="HO130">
        <v>36</v>
      </c>
      <c r="HW130">
        <v>0</v>
      </c>
      <c r="HX130">
        <v>523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523</v>
      </c>
      <c r="IK130">
        <v>0</v>
      </c>
      <c r="IL130">
        <v>523</v>
      </c>
      <c r="IR130">
        <v>523</v>
      </c>
      <c r="IY130">
        <v>0</v>
      </c>
      <c r="JF130">
        <v>0</v>
      </c>
      <c r="JM130">
        <v>0</v>
      </c>
      <c r="JN130">
        <v>523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523</v>
      </c>
      <c r="JW130">
        <v>87.89</v>
      </c>
      <c r="JY130">
        <v>12.11</v>
      </c>
      <c r="JZ130">
        <v>2</v>
      </c>
      <c r="KB130">
        <v>2</v>
      </c>
      <c r="KC130" t="s">
        <v>407</v>
      </c>
      <c r="OF130" t="s">
        <v>408</v>
      </c>
      <c r="SI130" t="s">
        <v>409</v>
      </c>
      <c r="WL130" t="s">
        <v>410</v>
      </c>
      <c r="AAO130" t="s">
        <v>411</v>
      </c>
      <c r="AER130" t="s">
        <v>412</v>
      </c>
    </row>
    <row r="131" spans="1:824" x14ac:dyDescent="0.2">
      <c r="A131" t="s">
        <v>1363</v>
      </c>
      <c r="B131" t="s">
        <v>414</v>
      </c>
      <c r="C131" t="s">
        <v>1364</v>
      </c>
      <c r="D131" t="s">
        <v>697</v>
      </c>
      <c r="E131" s="3">
        <v>43515.237500000003</v>
      </c>
      <c r="F131" t="s">
        <v>479</v>
      </c>
      <c r="G131" s="3">
        <v>43515.240277777775</v>
      </c>
      <c r="H131" t="s">
        <v>502</v>
      </c>
      <c r="I131" s="3">
        <v>43515.242361111108</v>
      </c>
      <c r="J131" t="s">
        <v>709</v>
      </c>
      <c r="K131" s="3">
        <v>43515.244444444441</v>
      </c>
      <c r="P131" t="b">
        <v>1</v>
      </c>
      <c r="Q131" t="b">
        <v>1</v>
      </c>
      <c r="R131" t="b">
        <v>1</v>
      </c>
      <c r="S131" t="b">
        <v>1</v>
      </c>
      <c r="T131" t="b">
        <v>0</v>
      </c>
      <c r="U131" t="b">
        <v>0</v>
      </c>
      <c r="V131">
        <v>542</v>
      </c>
      <c r="W131" s="3">
        <v>43515.231944444444</v>
      </c>
      <c r="X131" t="s">
        <v>1365</v>
      </c>
      <c r="Y131">
        <v>2019</v>
      </c>
      <c r="Z131" t="s">
        <v>1366</v>
      </c>
      <c r="AA131" t="s">
        <v>1364</v>
      </c>
      <c r="AB131" t="s">
        <v>1367</v>
      </c>
      <c r="AC131" t="s">
        <v>1368</v>
      </c>
      <c r="AD131">
        <f>82-2-6959-3102</f>
        <v>-9981</v>
      </c>
      <c r="AE131" t="s">
        <v>1299</v>
      </c>
      <c r="AF131" t="s">
        <v>1369</v>
      </c>
      <c r="AH131">
        <v>1</v>
      </c>
      <c r="AK131">
        <v>3135897.8</v>
      </c>
      <c r="AL131">
        <v>2548574.6</v>
      </c>
      <c r="AM131">
        <v>2701897.8</v>
      </c>
      <c r="AN131">
        <v>2114574.6</v>
      </c>
      <c r="AO131">
        <v>400000</v>
      </c>
      <c r="AP131">
        <v>0</v>
      </c>
      <c r="AQ131">
        <v>0</v>
      </c>
      <c r="AR131">
        <v>1125293.2</v>
      </c>
      <c r="AS131">
        <v>10075</v>
      </c>
      <c r="AT131">
        <v>298500</v>
      </c>
      <c r="AU131">
        <v>1833868.2</v>
      </c>
      <c r="AV131">
        <v>134000</v>
      </c>
      <c r="AW131">
        <v>0</v>
      </c>
      <c r="AX131">
        <v>0</v>
      </c>
      <c r="AY131">
        <v>53172.4</v>
      </c>
      <c r="AZ131">
        <v>0</v>
      </c>
      <c r="BA131">
        <v>0</v>
      </c>
      <c r="BB131">
        <v>187172.4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507082.9</v>
      </c>
      <c r="BI131">
        <v>507082.9</v>
      </c>
      <c r="BJ131">
        <v>0</v>
      </c>
      <c r="BK131">
        <v>0</v>
      </c>
      <c r="BL131">
        <v>0</v>
      </c>
      <c r="BM131">
        <v>0</v>
      </c>
      <c r="BN131">
        <v>20451.099999999999</v>
      </c>
      <c r="BO131">
        <v>0</v>
      </c>
      <c r="BP131">
        <v>20451.099999999999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534000</v>
      </c>
      <c r="CF131">
        <v>0</v>
      </c>
      <c r="CG131">
        <v>0</v>
      </c>
      <c r="CH131">
        <v>1178465.6000000001</v>
      </c>
      <c r="CI131">
        <v>30526.1</v>
      </c>
      <c r="CJ131">
        <v>805582.9</v>
      </c>
      <c r="CK131">
        <v>2548574.6</v>
      </c>
      <c r="CL131">
        <v>1</v>
      </c>
      <c r="CO131">
        <v>11</v>
      </c>
      <c r="CP131">
        <v>2</v>
      </c>
      <c r="CQ131">
        <v>16</v>
      </c>
      <c r="CR131">
        <v>30</v>
      </c>
      <c r="CS131">
        <v>1</v>
      </c>
      <c r="CV131">
        <v>2</v>
      </c>
      <c r="CY131">
        <v>3</v>
      </c>
      <c r="DE131">
        <v>6</v>
      </c>
      <c r="DF131">
        <v>6</v>
      </c>
      <c r="DK131">
        <v>1</v>
      </c>
      <c r="DM131">
        <v>1</v>
      </c>
      <c r="DT131">
        <v>0</v>
      </c>
      <c r="EA131">
        <v>0</v>
      </c>
      <c r="EB131">
        <v>2</v>
      </c>
      <c r="EC131">
        <v>0</v>
      </c>
      <c r="ED131">
        <v>0</v>
      </c>
      <c r="EE131">
        <v>13</v>
      </c>
      <c r="EF131">
        <v>3</v>
      </c>
      <c r="EG131">
        <v>22</v>
      </c>
      <c r="EH131">
        <v>40</v>
      </c>
      <c r="EI131" t="s">
        <v>405</v>
      </c>
      <c r="EJ131" t="s">
        <v>404</v>
      </c>
      <c r="EK131" t="s">
        <v>404</v>
      </c>
      <c r="EL131" t="s">
        <v>405</v>
      </c>
      <c r="EM131" t="s">
        <v>405</v>
      </c>
      <c r="EN131" t="s">
        <v>405</v>
      </c>
      <c r="EO131" t="s">
        <v>405</v>
      </c>
      <c r="EP131" t="s">
        <v>404</v>
      </c>
      <c r="EQ131" t="s">
        <v>404</v>
      </c>
      <c r="ER131" t="s">
        <v>405</v>
      </c>
      <c r="ES131" t="s">
        <v>404</v>
      </c>
      <c r="ET131" t="s">
        <v>404</v>
      </c>
      <c r="EU131" t="s">
        <v>404</v>
      </c>
      <c r="EV131" t="s">
        <v>404</v>
      </c>
      <c r="EW131" t="s">
        <v>404</v>
      </c>
      <c r="EX131" t="s">
        <v>404</v>
      </c>
      <c r="EY131" t="s">
        <v>404</v>
      </c>
      <c r="EZ131" t="s">
        <v>405</v>
      </c>
      <c r="FA131" t="s">
        <v>404</v>
      </c>
      <c r="FB131" t="s">
        <v>404</v>
      </c>
      <c r="FC131" t="s">
        <v>404</v>
      </c>
      <c r="FD131" t="s">
        <v>404</v>
      </c>
      <c r="FE131" t="s">
        <v>405</v>
      </c>
      <c r="FF131" t="s">
        <v>404</v>
      </c>
      <c r="FG131" t="s">
        <v>404</v>
      </c>
      <c r="FH131" t="s">
        <v>404</v>
      </c>
      <c r="FI131" t="s">
        <v>404</v>
      </c>
      <c r="FJ131" t="s">
        <v>404</v>
      </c>
      <c r="FK131" t="s">
        <v>404</v>
      </c>
      <c r="FL131" t="s">
        <v>404</v>
      </c>
      <c r="FM131" t="s">
        <v>404</v>
      </c>
      <c r="FN131" t="s">
        <v>404</v>
      </c>
      <c r="FO131" t="s">
        <v>404</v>
      </c>
      <c r="FP131" t="s">
        <v>404</v>
      </c>
      <c r="FQ131" t="s">
        <v>404</v>
      </c>
      <c r="FR131" t="s">
        <v>404</v>
      </c>
      <c r="FS131">
        <v>200000</v>
      </c>
      <c r="FV131">
        <v>597500</v>
      </c>
      <c r="FW131">
        <v>0</v>
      </c>
      <c r="FX131">
        <v>53500</v>
      </c>
      <c r="FY131">
        <v>851000</v>
      </c>
      <c r="FZ131">
        <v>0</v>
      </c>
      <c r="GC131">
        <v>0</v>
      </c>
      <c r="GD131">
        <v>0</v>
      </c>
      <c r="GE131">
        <v>353780.5</v>
      </c>
      <c r="GF131">
        <v>353780.5</v>
      </c>
      <c r="GG131">
        <v>0</v>
      </c>
      <c r="GJ131">
        <v>0</v>
      </c>
      <c r="GK131">
        <v>0</v>
      </c>
      <c r="GL131">
        <v>0</v>
      </c>
      <c r="GM131">
        <v>0</v>
      </c>
      <c r="GN131">
        <v>192000</v>
      </c>
      <c r="GQ131">
        <v>33846</v>
      </c>
      <c r="GR131">
        <v>7669.2</v>
      </c>
      <c r="GS131">
        <v>0</v>
      </c>
      <c r="GT131">
        <v>233515.2</v>
      </c>
      <c r="GU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L131">
        <v>0</v>
      </c>
      <c r="HM131">
        <v>0</v>
      </c>
      <c r="HN131">
        <v>0</v>
      </c>
      <c r="HO131">
        <v>0</v>
      </c>
      <c r="HP131" t="s">
        <v>1370</v>
      </c>
      <c r="HQ131">
        <v>142000</v>
      </c>
      <c r="HT131">
        <v>547119.6</v>
      </c>
      <c r="HU131">
        <v>22856.9</v>
      </c>
      <c r="HV131">
        <v>398302.4</v>
      </c>
      <c r="HW131">
        <v>1110278.8999999999</v>
      </c>
      <c r="HX131">
        <v>534000</v>
      </c>
      <c r="HY131">
        <v>0</v>
      </c>
      <c r="HZ131">
        <v>0</v>
      </c>
      <c r="IA131">
        <v>1178465.6000000001</v>
      </c>
      <c r="IB131">
        <v>30526.1</v>
      </c>
      <c r="IC131">
        <v>805582.9</v>
      </c>
      <c r="ID131">
        <v>2548574.6</v>
      </c>
      <c r="IE131">
        <v>534000</v>
      </c>
      <c r="IH131">
        <v>914065.6</v>
      </c>
      <c r="II131">
        <v>30526.1</v>
      </c>
      <c r="IJ131">
        <v>805582.9</v>
      </c>
      <c r="IK131">
        <v>2284174.6</v>
      </c>
      <c r="IL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V131">
        <v>264400</v>
      </c>
      <c r="IW131">
        <v>0</v>
      </c>
      <c r="IX131">
        <v>0</v>
      </c>
      <c r="IY131">
        <v>264400</v>
      </c>
      <c r="IZ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J131">
        <v>0</v>
      </c>
      <c r="JK131">
        <v>0</v>
      </c>
      <c r="JL131">
        <v>0</v>
      </c>
      <c r="JM131">
        <v>0</v>
      </c>
      <c r="JN131">
        <v>534000</v>
      </c>
      <c r="JO131">
        <v>0</v>
      </c>
      <c r="JP131">
        <v>0</v>
      </c>
      <c r="JQ131">
        <v>1178465.6000000001</v>
      </c>
      <c r="JR131">
        <v>30526.1</v>
      </c>
      <c r="JS131">
        <v>805582.9</v>
      </c>
      <c r="JT131">
        <v>2548574.6</v>
      </c>
      <c r="JU131">
        <v>15.7</v>
      </c>
      <c r="JV131">
        <v>84.3</v>
      </c>
      <c r="JW131">
        <v>0</v>
      </c>
      <c r="JY131">
        <v>0</v>
      </c>
      <c r="JZ131">
        <v>1</v>
      </c>
      <c r="KA131">
        <v>3</v>
      </c>
      <c r="KB131">
        <v>1</v>
      </c>
      <c r="KC131" t="s">
        <v>407</v>
      </c>
      <c r="KD131">
        <v>200000</v>
      </c>
      <c r="KG131">
        <v>597500</v>
      </c>
      <c r="KH131">
        <v>0</v>
      </c>
      <c r="KI131">
        <v>0</v>
      </c>
      <c r="KJ131">
        <v>797500</v>
      </c>
      <c r="KK131">
        <v>0</v>
      </c>
      <c r="KN131">
        <v>0</v>
      </c>
      <c r="KO131">
        <v>0</v>
      </c>
      <c r="KP131">
        <v>66000</v>
      </c>
      <c r="KQ131">
        <v>66000</v>
      </c>
      <c r="KR131">
        <v>0</v>
      </c>
      <c r="KU131">
        <v>0</v>
      </c>
      <c r="KV131">
        <v>0</v>
      </c>
      <c r="KW131">
        <v>0</v>
      </c>
      <c r="KX131">
        <v>0</v>
      </c>
      <c r="KY131">
        <v>192000</v>
      </c>
      <c r="LB131">
        <v>33846</v>
      </c>
      <c r="LC131">
        <v>0</v>
      </c>
      <c r="LD131">
        <v>0</v>
      </c>
      <c r="LE131">
        <v>225846</v>
      </c>
      <c r="LF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W131">
        <v>0</v>
      </c>
      <c r="LX131">
        <v>0</v>
      </c>
      <c r="LY131">
        <v>0</v>
      </c>
      <c r="LZ131">
        <v>0</v>
      </c>
      <c r="MA131" t="s">
        <v>1370</v>
      </c>
      <c r="MB131">
        <v>8000</v>
      </c>
      <c r="ME131">
        <v>493947.2</v>
      </c>
      <c r="MF131">
        <v>10075</v>
      </c>
      <c r="MG131">
        <v>232500</v>
      </c>
      <c r="MH131">
        <v>744522.2</v>
      </c>
      <c r="MI131">
        <v>400000</v>
      </c>
      <c r="MJ131">
        <v>0</v>
      </c>
      <c r="MK131">
        <v>0</v>
      </c>
      <c r="ML131">
        <v>1125293.2</v>
      </c>
      <c r="MM131">
        <v>10075</v>
      </c>
      <c r="MN131">
        <v>298500</v>
      </c>
      <c r="MO131">
        <v>1833868.2</v>
      </c>
      <c r="MP131">
        <v>0</v>
      </c>
      <c r="MS131">
        <v>0</v>
      </c>
      <c r="MT131">
        <v>0</v>
      </c>
      <c r="MU131">
        <v>0</v>
      </c>
      <c r="MV131">
        <v>0</v>
      </c>
      <c r="MW131">
        <v>400000</v>
      </c>
      <c r="MZ131">
        <v>860893.2</v>
      </c>
      <c r="NA131">
        <v>10075</v>
      </c>
      <c r="NB131">
        <v>298500</v>
      </c>
      <c r="NC131">
        <v>1569468.2</v>
      </c>
      <c r="ND131">
        <v>0</v>
      </c>
      <c r="NG131">
        <v>264400</v>
      </c>
      <c r="NH131">
        <v>0</v>
      </c>
      <c r="NI131">
        <v>0</v>
      </c>
      <c r="NJ131">
        <v>264400</v>
      </c>
      <c r="NK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U131">
        <v>0</v>
      </c>
      <c r="NV131">
        <v>0</v>
      </c>
      <c r="NW131">
        <v>0</v>
      </c>
      <c r="NX131">
        <v>0</v>
      </c>
      <c r="NY131">
        <v>400000</v>
      </c>
      <c r="NZ131">
        <v>0</v>
      </c>
      <c r="OA131">
        <v>0</v>
      </c>
      <c r="OB131">
        <v>1125293.2</v>
      </c>
      <c r="OC131">
        <v>10075</v>
      </c>
      <c r="OD131">
        <v>298500</v>
      </c>
      <c r="OE131">
        <v>1833868.2</v>
      </c>
      <c r="OF131" t="s">
        <v>408</v>
      </c>
      <c r="OG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Z131">
        <v>0</v>
      </c>
      <c r="QA131">
        <v>0</v>
      </c>
      <c r="QB131">
        <v>0</v>
      </c>
      <c r="QC131">
        <v>0</v>
      </c>
      <c r="QD131" t="s">
        <v>1370</v>
      </c>
      <c r="QE131">
        <v>134000</v>
      </c>
      <c r="QH131">
        <v>53172.4</v>
      </c>
      <c r="QK131">
        <v>187172.4</v>
      </c>
      <c r="QL131">
        <v>134000</v>
      </c>
      <c r="QM131">
        <v>0</v>
      </c>
      <c r="QN131">
        <v>0</v>
      </c>
      <c r="QO131">
        <v>53172.4</v>
      </c>
      <c r="QP131">
        <v>0</v>
      </c>
      <c r="QQ131">
        <v>0</v>
      </c>
      <c r="QR131">
        <v>187172.4</v>
      </c>
      <c r="QS131">
        <v>0</v>
      </c>
      <c r="QV131">
        <v>0</v>
      </c>
      <c r="QW131">
        <v>0</v>
      </c>
      <c r="QX131">
        <v>0</v>
      </c>
      <c r="QY131">
        <v>0</v>
      </c>
      <c r="QZ131">
        <v>134000</v>
      </c>
      <c r="RC131">
        <v>53172.4</v>
      </c>
      <c r="RD131">
        <v>0</v>
      </c>
      <c r="RE131">
        <v>0</v>
      </c>
      <c r="RF131">
        <v>187172.4</v>
      </c>
      <c r="RG131">
        <v>0</v>
      </c>
      <c r="RJ131">
        <v>0</v>
      </c>
      <c r="RK131">
        <v>0</v>
      </c>
      <c r="RL131">
        <v>0</v>
      </c>
      <c r="RM131">
        <v>0</v>
      </c>
      <c r="RN131">
        <v>0</v>
      </c>
      <c r="RQ131">
        <v>0</v>
      </c>
      <c r="RR131">
        <v>0</v>
      </c>
      <c r="RS131">
        <v>0</v>
      </c>
      <c r="RT131">
        <v>0</v>
      </c>
      <c r="RU131">
        <v>0</v>
      </c>
      <c r="RX131">
        <v>0</v>
      </c>
      <c r="RY131">
        <v>0</v>
      </c>
      <c r="RZ131">
        <v>0</v>
      </c>
      <c r="SA131">
        <v>0</v>
      </c>
      <c r="SB131">
        <v>134000</v>
      </c>
      <c r="SC131">
        <v>0</v>
      </c>
      <c r="SD131">
        <v>0</v>
      </c>
      <c r="SE131">
        <v>53172.4</v>
      </c>
      <c r="SF131">
        <v>0</v>
      </c>
      <c r="SG131">
        <v>0</v>
      </c>
      <c r="SH131">
        <v>187172.4</v>
      </c>
      <c r="SI131" t="s">
        <v>409</v>
      </c>
      <c r="SJ131">
        <v>0</v>
      </c>
      <c r="SM131">
        <v>0</v>
      </c>
      <c r="SN131">
        <v>0</v>
      </c>
      <c r="SO131">
        <v>53500</v>
      </c>
      <c r="SP131">
        <v>53500</v>
      </c>
      <c r="SQ131">
        <v>0</v>
      </c>
      <c r="ST131">
        <v>0</v>
      </c>
      <c r="SU131">
        <v>0</v>
      </c>
      <c r="SV131">
        <v>287780.59999999998</v>
      </c>
      <c r="SW131">
        <v>287780.59999999998</v>
      </c>
      <c r="SX131">
        <v>0</v>
      </c>
      <c r="TA131">
        <v>0</v>
      </c>
      <c r="TB131">
        <v>0</v>
      </c>
      <c r="TC131">
        <v>0</v>
      </c>
      <c r="TD131">
        <v>0</v>
      </c>
      <c r="TE131">
        <v>0</v>
      </c>
      <c r="TH131">
        <v>0</v>
      </c>
      <c r="TI131">
        <v>0</v>
      </c>
      <c r="TJ131">
        <v>0</v>
      </c>
      <c r="TK131">
        <v>0</v>
      </c>
      <c r="TL131">
        <v>0</v>
      </c>
      <c r="TO131">
        <v>0</v>
      </c>
      <c r="TP131">
        <v>0</v>
      </c>
      <c r="TQ131">
        <v>0</v>
      </c>
      <c r="TR131">
        <v>0</v>
      </c>
      <c r="TS131">
        <v>0</v>
      </c>
      <c r="TV131">
        <v>0</v>
      </c>
      <c r="TW131">
        <v>0</v>
      </c>
      <c r="TX131">
        <v>0</v>
      </c>
      <c r="TY131">
        <v>0</v>
      </c>
      <c r="TZ131">
        <v>0</v>
      </c>
      <c r="UC131">
        <v>0</v>
      </c>
      <c r="UD131">
        <v>0</v>
      </c>
      <c r="UE131">
        <v>0</v>
      </c>
      <c r="UF131">
        <v>0</v>
      </c>
      <c r="UG131" t="s">
        <v>1371</v>
      </c>
      <c r="UH131">
        <v>0</v>
      </c>
      <c r="UK131">
        <v>0</v>
      </c>
      <c r="UL131">
        <v>0</v>
      </c>
      <c r="UM131">
        <v>165802.29999999999</v>
      </c>
      <c r="UN131">
        <v>165802.29999999999</v>
      </c>
      <c r="UO131">
        <v>0</v>
      </c>
      <c r="UP131">
        <v>0</v>
      </c>
      <c r="UQ131">
        <v>0</v>
      </c>
      <c r="UR131">
        <v>0</v>
      </c>
      <c r="US131">
        <v>0</v>
      </c>
      <c r="UT131">
        <v>507082.9</v>
      </c>
      <c r="UU131">
        <v>507082.9</v>
      </c>
      <c r="UV131">
        <v>0</v>
      </c>
      <c r="UY131">
        <v>0</v>
      </c>
      <c r="UZ131">
        <v>0</v>
      </c>
      <c r="VA131">
        <v>0</v>
      </c>
      <c r="VB131">
        <v>0</v>
      </c>
      <c r="VC131">
        <v>0</v>
      </c>
      <c r="VF131">
        <v>0</v>
      </c>
      <c r="VG131">
        <v>0</v>
      </c>
      <c r="VH131">
        <v>507082.9</v>
      </c>
      <c r="VI131">
        <v>507082.9</v>
      </c>
      <c r="VJ131">
        <v>0</v>
      </c>
      <c r="VM131">
        <v>0</v>
      </c>
      <c r="VN131">
        <v>0</v>
      </c>
      <c r="VO131">
        <v>0</v>
      </c>
      <c r="VP131">
        <v>0</v>
      </c>
      <c r="VQ131">
        <v>0</v>
      </c>
      <c r="VT131">
        <v>0</v>
      </c>
      <c r="VU131">
        <v>0</v>
      </c>
      <c r="VV131">
        <v>0</v>
      </c>
      <c r="VW131">
        <v>0</v>
      </c>
      <c r="VX131">
        <v>0</v>
      </c>
      <c r="WA131">
        <v>0</v>
      </c>
      <c r="WB131">
        <v>0</v>
      </c>
      <c r="WC131">
        <v>0</v>
      </c>
      <c r="WD131">
        <v>0</v>
      </c>
      <c r="WE131">
        <v>0</v>
      </c>
      <c r="WF131">
        <v>0</v>
      </c>
      <c r="WG131">
        <v>0</v>
      </c>
      <c r="WH131">
        <v>0</v>
      </c>
      <c r="WI131">
        <v>0</v>
      </c>
      <c r="WJ131">
        <v>507082.9</v>
      </c>
      <c r="WK131">
        <v>507082.9</v>
      </c>
      <c r="WL131" t="s">
        <v>410</v>
      </c>
      <c r="WM131">
        <v>0</v>
      </c>
      <c r="WP131">
        <v>0</v>
      </c>
      <c r="WQ131">
        <v>0</v>
      </c>
      <c r="WR131">
        <v>0</v>
      </c>
      <c r="WS131">
        <v>0</v>
      </c>
      <c r="WT131">
        <v>0</v>
      </c>
      <c r="WW131">
        <v>0</v>
      </c>
      <c r="WX131">
        <v>0</v>
      </c>
      <c r="WY131">
        <v>0</v>
      </c>
      <c r="WZ131">
        <v>0</v>
      </c>
      <c r="XA131">
        <v>0</v>
      </c>
      <c r="XD131">
        <v>0</v>
      </c>
      <c r="XE131">
        <v>0</v>
      </c>
      <c r="XF131">
        <v>0</v>
      </c>
      <c r="XG131">
        <v>0</v>
      </c>
      <c r="XH131">
        <v>0</v>
      </c>
      <c r="XK131">
        <v>0</v>
      </c>
      <c r="XL131">
        <v>7669.2</v>
      </c>
      <c r="XM131">
        <v>0</v>
      </c>
      <c r="XN131">
        <v>7669.2</v>
      </c>
      <c r="XO131">
        <v>0</v>
      </c>
      <c r="XR131">
        <v>0</v>
      </c>
      <c r="XS131">
        <v>0</v>
      </c>
      <c r="XT131">
        <v>0</v>
      </c>
      <c r="XU131">
        <v>0</v>
      </c>
      <c r="XV131">
        <v>0</v>
      </c>
      <c r="XY131">
        <v>0</v>
      </c>
      <c r="XZ131">
        <v>0</v>
      </c>
      <c r="YA131">
        <v>0</v>
      </c>
      <c r="YB131">
        <v>0</v>
      </c>
      <c r="YC131">
        <v>0</v>
      </c>
      <c r="YF131">
        <v>0</v>
      </c>
      <c r="YG131">
        <v>0</v>
      </c>
      <c r="YH131">
        <v>0</v>
      </c>
      <c r="YI131">
        <v>0</v>
      </c>
      <c r="YJ131" t="s">
        <v>1372</v>
      </c>
      <c r="YK131">
        <v>0</v>
      </c>
      <c r="YN131">
        <v>0</v>
      </c>
      <c r="YO131">
        <v>12781.9</v>
      </c>
      <c r="YP131">
        <v>0</v>
      </c>
      <c r="YQ131">
        <v>12781.9</v>
      </c>
      <c r="YR131">
        <v>0</v>
      </c>
      <c r="YS131">
        <v>0</v>
      </c>
      <c r="YT131">
        <v>0</v>
      </c>
      <c r="YU131">
        <v>0</v>
      </c>
      <c r="YV131">
        <v>20451.099999999999</v>
      </c>
      <c r="YW131">
        <v>0</v>
      </c>
      <c r="YX131">
        <v>20451.099999999999</v>
      </c>
      <c r="YY131">
        <v>0</v>
      </c>
      <c r="ZB131">
        <v>0</v>
      </c>
      <c r="ZC131">
        <v>0</v>
      </c>
      <c r="ZD131">
        <v>0</v>
      </c>
      <c r="ZE131">
        <v>0</v>
      </c>
      <c r="ZF131">
        <v>0</v>
      </c>
      <c r="ZI131">
        <v>0</v>
      </c>
      <c r="ZJ131">
        <v>20451.099999999999</v>
      </c>
      <c r="ZK131">
        <v>0</v>
      </c>
      <c r="ZL131">
        <v>20451.099999999999</v>
      </c>
      <c r="ZM131">
        <v>0</v>
      </c>
      <c r="ZP131">
        <v>0</v>
      </c>
      <c r="ZQ131">
        <v>0</v>
      </c>
      <c r="ZR131">
        <v>0</v>
      </c>
      <c r="ZS131">
        <v>0</v>
      </c>
      <c r="ZT131">
        <v>0</v>
      </c>
      <c r="ZW131">
        <v>0</v>
      </c>
      <c r="ZX131">
        <v>0</v>
      </c>
      <c r="ZY131">
        <v>0</v>
      </c>
      <c r="ZZ131">
        <v>0</v>
      </c>
      <c r="AAA131">
        <v>0</v>
      </c>
      <c r="AAD131">
        <v>0</v>
      </c>
      <c r="AAE131">
        <v>0</v>
      </c>
      <c r="AAF131">
        <v>0</v>
      </c>
      <c r="AAG131">
        <v>0</v>
      </c>
      <c r="AAH131">
        <v>0</v>
      </c>
      <c r="AAI131">
        <v>0</v>
      </c>
      <c r="AAJ131">
        <v>0</v>
      </c>
      <c r="AAK131">
        <v>0</v>
      </c>
      <c r="AAL131">
        <v>20451.099999999999</v>
      </c>
      <c r="AAM131">
        <v>0</v>
      </c>
      <c r="AAN131">
        <v>20451.099999999999</v>
      </c>
      <c r="AAO131" t="s">
        <v>411</v>
      </c>
      <c r="AER131" t="s">
        <v>412</v>
      </c>
    </row>
    <row r="132" spans="1:824" x14ac:dyDescent="0.2">
      <c r="A132" t="s">
        <v>1373</v>
      </c>
      <c r="B132" t="s">
        <v>396</v>
      </c>
      <c r="C132" t="s">
        <v>1374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>
        <v>582</v>
      </c>
      <c r="W132" s="3">
        <v>43476.736805555556</v>
      </c>
      <c r="X132" t="s">
        <v>1375</v>
      </c>
      <c r="Y132">
        <v>2019</v>
      </c>
      <c r="Z132" t="s">
        <v>1376</v>
      </c>
      <c r="AA132" t="s">
        <v>1377</v>
      </c>
      <c r="AB132" t="s">
        <v>1378</v>
      </c>
      <c r="AC132" t="s">
        <v>1379</v>
      </c>
      <c r="AE132" t="s">
        <v>491</v>
      </c>
      <c r="AF132" t="s">
        <v>403</v>
      </c>
      <c r="AH132">
        <v>2</v>
      </c>
      <c r="AI132">
        <v>6</v>
      </c>
      <c r="AJ132" t="s">
        <v>1380</v>
      </c>
      <c r="AU132">
        <v>0</v>
      </c>
      <c r="BB132">
        <v>0</v>
      </c>
      <c r="BI132">
        <v>0</v>
      </c>
      <c r="BP132">
        <v>0</v>
      </c>
      <c r="BW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R132">
        <v>0</v>
      </c>
      <c r="CY132">
        <v>0</v>
      </c>
      <c r="DF132">
        <v>0</v>
      </c>
      <c r="DM132">
        <v>0</v>
      </c>
      <c r="DT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 t="s">
        <v>404</v>
      </c>
      <c r="EJ132" t="s">
        <v>404</v>
      </c>
      <c r="EK132" t="s">
        <v>404</v>
      </c>
      <c r="EL132" t="s">
        <v>404</v>
      </c>
      <c r="EM132" t="s">
        <v>404</v>
      </c>
      <c r="EN132" t="s">
        <v>404</v>
      </c>
      <c r="EO132" t="s">
        <v>404</v>
      </c>
      <c r="EP132" t="s">
        <v>404</v>
      </c>
      <c r="EQ132" t="s">
        <v>404</v>
      </c>
      <c r="ER132" t="s">
        <v>404</v>
      </c>
      <c r="ES132" t="s">
        <v>404</v>
      </c>
      <c r="ET132" t="s">
        <v>404</v>
      </c>
      <c r="EU132" t="s">
        <v>404</v>
      </c>
      <c r="EV132" t="s">
        <v>404</v>
      </c>
      <c r="EW132" t="s">
        <v>404</v>
      </c>
      <c r="EX132" t="s">
        <v>404</v>
      </c>
      <c r="EY132" t="s">
        <v>404</v>
      </c>
      <c r="EZ132" t="s">
        <v>404</v>
      </c>
      <c r="FA132" t="s">
        <v>404</v>
      </c>
      <c r="FB132" t="s">
        <v>404</v>
      </c>
      <c r="FC132" t="s">
        <v>404</v>
      </c>
      <c r="FD132" t="s">
        <v>404</v>
      </c>
      <c r="FE132" t="s">
        <v>404</v>
      </c>
      <c r="FF132" t="s">
        <v>404</v>
      </c>
      <c r="FG132" t="s">
        <v>404</v>
      </c>
      <c r="FH132" t="s">
        <v>404</v>
      </c>
      <c r="FI132" t="s">
        <v>404</v>
      </c>
      <c r="FJ132" t="s">
        <v>404</v>
      </c>
      <c r="FK132" t="s">
        <v>404</v>
      </c>
      <c r="FL132" t="s">
        <v>404</v>
      </c>
      <c r="FM132" t="s">
        <v>404</v>
      </c>
      <c r="FN132" t="s">
        <v>404</v>
      </c>
      <c r="FO132" t="s">
        <v>404</v>
      </c>
      <c r="FP132" t="s">
        <v>404</v>
      </c>
      <c r="FQ132" t="s">
        <v>404</v>
      </c>
      <c r="FR132" t="s">
        <v>404</v>
      </c>
      <c r="FY132">
        <v>0</v>
      </c>
      <c r="GF132">
        <v>0</v>
      </c>
      <c r="GM132">
        <v>0</v>
      </c>
      <c r="GT132">
        <v>0</v>
      </c>
      <c r="HA132">
        <v>0</v>
      </c>
      <c r="HH132">
        <v>0</v>
      </c>
      <c r="HO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K132">
        <v>0</v>
      </c>
      <c r="IR132">
        <v>0</v>
      </c>
      <c r="IY132">
        <v>0</v>
      </c>
      <c r="JF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Z132">
        <v>1</v>
      </c>
      <c r="KA132">
        <v>2</v>
      </c>
      <c r="KB132">
        <v>1</v>
      </c>
      <c r="KC132" t="s">
        <v>407</v>
      </c>
      <c r="OF132" t="s">
        <v>408</v>
      </c>
      <c r="SI132" t="s">
        <v>409</v>
      </c>
      <c r="WL132" t="s">
        <v>410</v>
      </c>
      <c r="AAO132" t="s">
        <v>411</v>
      </c>
      <c r="AER132" t="s">
        <v>412</v>
      </c>
    </row>
    <row r="133" spans="1:824" x14ac:dyDescent="0.2">
      <c r="A133" t="s">
        <v>1381</v>
      </c>
      <c r="B133" t="s">
        <v>396</v>
      </c>
      <c r="C133" t="s">
        <v>1382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>
        <v>706</v>
      </c>
      <c r="W133" s="3">
        <v>43505.805555555555</v>
      </c>
      <c r="X133" t="s">
        <v>1383</v>
      </c>
      <c r="Y133">
        <v>2019</v>
      </c>
      <c r="Z133" t="s">
        <v>1384</v>
      </c>
      <c r="AA133" t="s">
        <v>1385</v>
      </c>
      <c r="AB133" t="s">
        <v>1158</v>
      </c>
      <c r="AC133" t="s">
        <v>1386</v>
      </c>
      <c r="AD133">
        <v>26785929</v>
      </c>
      <c r="AE133" t="s">
        <v>1073</v>
      </c>
      <c r="AF133" t="s">
        <v>403</v>
      </c>
      <c r="AH133">
        <v>2</v>
      </c>
      <c r="AI133">
        <v>6</v>
      </c>
      <c r="AJ133" t="s">
        <v>1387</v>
      </c>
      <c r="AU133">
        <v>0</v>
      </c>
      <c r="BB133">
        <v>0</v>
      </c>
      <c r="BI133">
        <v>0</v>
      </c>
      <c r="BP133">
        <v>0</v>
      </c>
      <c r="BW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R133">
        <v>0</v>
      </c>
      <c r="CY133">
        <v>0</v>
      </c>
      <c r="DF133">
        <v>0</v>
      </c>
      <c r="DM133">
        <v>0</v>
      </c>
      <c r="DT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 t="s">
        <v>404</v>
      </c>
      <c r="EJ133" t="s">
        <v>404</v>
      </c>
      <c r="EK133" t="s">
        <v>404</v>
      </c>
      <c r="EL133" t="s">
        <v>404</v>
      </c>
      <c r="EM133" t="s">
        <v>404</v>
      </c>
      <c r="EN133" t="s">
        <v>404</v>
      </c>
      <c r="EO133" t="s">
        <v>404</v>
      </c>
      <c r="EP133" t="s">
        <v>404</v>
      </c>
      <c r="EQ133" t="s">
        <v>404</v>
      </c>
      <c r="ER133" t="s">
        <v>404</v>
      </c>
      <c r="ES133" t="s">
        <v>404</v>
      </c>
      <c r="ET133" t="s">
        <v>404</v>
      </c>
      <c r="EU133" t="s">
        <v>404</v>
      </c>
      <c r="EV133" t="s">
        <v>404</v>
      </c>
      <c r="EW133" t="s">
        <v>404</v>
      </c>
      <c r="EX133" t="s">
        <v>404</v>
      </c>
      <c r="EY133" t="s">
        <v>404</v>
      </c>
      <c r="EZ133" t="s">
        <v>404</v>
      </c>
      <c r="FA133" t="s">
        <v>404</v>
      </c>
      <c r="FB133" t="s">
        <v>404</v>
      </c>
      <c r="FC133" t="s">
        <v>404</v>
      </c>
      <c r="FD133" t="s">
        <v>404</v>
      </c>
      <c r="FE133" t="s">
        <v>404</v>
      </c>
      <c r="FF133" t="s">
        <v>404</v>
      </c>
      <c r="FG133" t="s">
        <v>404</v>
      </c>
      <c r="FH133" t="s">
        <v>404</v>
      </c>
      <c r="FI133" t="s">
        <v>404</v>
      </c>
      <c r="FJ133" t="s">
        <v>404</v>
      </c>
      <c r="FK133" t="s">
        <v>404</v>
      </c>
      <c r="FL133" t="s">
        <v>404</v>
      </c>
      <c r="FM133" t="s">
        <v>404</v>
      </c>
      <c r="FN133" t="s">
        <v>404</v>
      </c>
      <c r="FO133" t="s">
        <v>404</v>
      </c>
      <c r="FP133" t="s">
        <v>404</v>
      </c>
      <c r="FQ133" t="s">
        <v>404</v>
      </c>
      <c r="FR133" t="s">
        <v>404</v>
      </c>
      <c r="FY133">
        <v>0</v>
      </c>
      <c r="GF133">
        <v>0</v>
      </c>
      <c r="GM133">
        <v>0</v>
      </c>
      <c r="GT133">
        <v>0</v>
      </c>
      <c r="HA133">
        <v>0</v>
      </c>
      <c r="HH133">
        <v>0</v>
      </c>
      <c r="HO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K133">
        <v>0</v>
      </c>
      <c r="IR133">
        <v>0</v>
      </c>
      <c r="IY133">
        <v>0</v>
      </c>
      <c r="JF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Z133">
        <v>1</v>
      </c>
      <c r="KA133">
        <v>2</v>
      </c>
      <c r="KB133">
        <v>1</v>
      </c>
      <c r="KC133" t="s">
        <v>407</v>
      </c>
      <c r="OF133" t="s">
        <v>408</v>
      </c>
      <c r="SI133" t="s">
        <v>409</v>
      </c>
      <c r="WL133" t="s">
        <v>410</v>
      </c>
      <c r="AAO133" t="s">
        <v>411</v>
      </c>
      <c r="AER133" t="s">
        <v>412</v>
      </c>
    </row>
    <row r="134" spans="1:824" x14ac:dyDescent="0.2">
      <c r="A134" t="s">
        <v>1388</v>
      </c>
      <c r="B134" t="s">
        <v>396</v>
      </c>
      <c r="C134" t="s">
        <v>1389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>
        <v>773</v>
      </c>
      <c r="W134" s="3">
        <v>43516.644444444442</v>
      </c>
      <c r="X134" t="s">
        <v>1390</v>
      </c>
      <c r="Y134">
        <v>2019</v>
      </c>
      <c r="Z134" t="s">
        <v>1391</v>
      </c>
      <c r="AA134" t="s">
        <v>1392</v>
      </c>
      <c r="AB134" t="s">
        <v>1393</v>
      </c>
      <c r="AC134" t="s">
        <v>1394</v>
      </c>
      <c r="AD134" t="s">
        <v>1395</v>
      </c>
      <c r="AE134" t="s">
        <v>491</v>
      </c>
      <c r="AF134" t="s">
        <v>403</v>
      </c>
      <c r="AH134">
        <v>2</v>
      </c>
      <c r="AI134">
        <v>6</v>
      </c>
      <c r="AJ134" t="s">
        <v>1396</v>
      </c>
      <c r="AU134">
        <v>0</v>
      </c>
      <c r="BB134">
        <v>0</v>
      </c>
      <c r="BI134">
        <v>0</v>
      </c>
      <c r="BP134">
        <v>0</v>
      </c>
      <c r="BW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R134">
        <v>0</v>
      </c>
      <c r="CY134">
        <v>0</v>
      </c>
      <c r="DF134">
        <v>0</v>
      </c>
      <c r="DM134">
        <v>0</v>
      </c>
      <c r="DT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 t="s">
        <v>404</v>
      </c>
      <c r="EJ134" t="s">
        <v>404</v>
      </c>
      <c r="EK134" t="s">
        <v>404</v>
      </c>
      <c r="EL134" t="s">
        <v>404</v>
      </c>
      <c r="EM134" t="s">
        <v>404</v>
      </c>
      <c r="EN134" t="s">
        <v>404</v>
      </c>
      <c r="EO134" t="s">
        <v>404</v>
      </c>
      <c r="EP134" t="s">
        <v>404</v>
      </c>
      <c r="EQ134" t="s">
        <v>404</v>
      </c>
      <c r="ER134" t="s">
        <v>404</v>
      </c>
      <c r="ES134" t="s">
        <v>404</v>
      </c>
      <c r="ET134" t="s">
        <v>404</v>
      </c>
      <c r="EU134" t="s">
        <v>404</v>
      </c>
      <c r="EV134" t="s">
        <v>404</v>
      </c>
      <c r="EW134" t="s">
        <v>404</v>
      </c>
      <c r="EX134" t="s">
        <v>404</v>
      </c>
      <c r="EY134" t="s">
        <v>404</v>
      </c>
      <c r="EZ134" t="s">
        <v>404</v>
      </c>
      <c r="FA134" t="s">
        <v>404</v>
      </c>
      <c r="FB134" t="s">
        <v>404</v>
      </c>
      <c r="FC134" t="s">
        <v>404</v>
      </c>
      <c r="FD134" t="s">
        <v>404</v>
      </c>
      <c r="FE134" t="s">
        <v>404</v>
      </c>
      <c r="FF134" t="s">
        <v>404</v>
      </c>
      <c r="FG134" t="s">
        <v>404</v>
      </c>
      <c r="FH134" t="s">
        <v>404</v>
      </c>
      <c r="FI134" t="s">
        <v>404</v>
      </c>
      <c r="FJ134" t="s">
        <v>404</v>
      </c>
      <c r="FK134" t="s">
        <v>404</v>
      </c>
      <c r="FL134" t="s">
        <v>404</v>
      </c>
      <c r="FM134" t="s">
        <v>404</v>
      </c>
      <c r="FN134" t="s">
        <v>404</v>
      </c>
      <c r="FO134" t="s">
        <v>404</v>
      </c>
      <c r="FP134" t="s">
        <v>404</v>
      </c>
      <c r="FQ134" t="s">
        <v>404</v>
      </c>
      <c r="FR134" t="s">
        <v>404</v>
      </c>
      <c r="FY134">
        <v>0</v>
      </c>
      <c r="GF134">
        <v>0</v>
      </c>
      <c r="GM134">
        <v>0</v>
      </c>
      <c r="GT134">
        <v>0</v>
      </c>
      <c r="HA134">
        <v>0</v>
      </c>
      <c r="HH134">
        <v>0</v>
      </c>
      <c r="HO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K134">
        <v>0</v>
      </c>
      <c r="IR134">
        <v>0</v>
      </c>
      <c r="IY134">
        <v>0</v>
      </c>
      <c r="JF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Z134">
        <v>1</v>
      </c>
      <c r="KA134">
        <v>2</v>
      </c>
      <c r="KB134">
        <v>1</v>
      </c>
      <c r="KC134" t="s">
        <v>407</v>
      </c>
      <c r="OF134" t="s">
        <v>408</v>
      </c>
      <c r="SI134" t="s">
        <v>409</v>
      </c>
      <c r="WL134" t="s">
        <v>410</v>
      </c>
      <c r="AAO134" t="s">
        <v>411</v>
      </c>
      <c r="AER134" t="s">
        <v>412</v>
      </c>
    </row>
    <row r="135" spans="1:824" x14ac:dyDescent="0.2">
      <c r="A135" t="s">
        <v>1397</v>
      </c>
      <c r="B135" t="s">
        <v>563</v>
      </c>
      <c r="C135" t="s">
        <v>1398</v>
      </c>
      <c r="P135" t="b">
        <v>0</v>
      </c>
      <c r="Q135" t="b">
        <v>0</v>
      </c>
      <c r="R135" t="b">
        <v>1</v>
      </c>
      <c r="S135" t="b">
        <v>0</v>
      </c>
      <c r="T135" t="b">
        <v>0</v>
      </c>
      <c r="U135" t="b">
        <v>0</v>
      </c>
      <c r="V135">
        <v>601</v>
      </c>
      <c r="W135" s="3">
        <v>43518.931250000001</v>
      </c>
      <c r="X135" t="s">
        <v>1399</v>
      </c>
      <c r="Y135">
        <v>2019</v>
      </c>
      <c r="Z135" t="s">
        <v>1400</v>
      </c>
      <c r="AA135" t="s">
        <v>1401</v>
      </c>
      <c r="AB135" t="s">
        <v>1402</v>
      </c>
      <c r="AC135" t="s">
        <v>1403</v>
      </c>
      <c r="AD135" t="s">
        <v>1404</v>
      </c>
      <c r="AE135" t="s">
        <v>571</v>
      </c>
      <c r="AF135" t="s">
        <v>538</v>
      </c>
      <c r="AH135">
        <v>1</v>
      </c>
      <c r="AL135">
        <v>112.6</v>
      </c>
      <c r="AN135">
        <v>25.2</v>
      </c>
      <c r="AU135">
        <v>0</v>
      </c>
      <c r="BB135">
        <v>0</v>
      </c>
      <c r="BC135">
        <v>112.6</v>
      </c>
      <c r="BI135">
        <v>112.6</v>
      </c>
      <c r="BP135">
        <v>0</v>
      </c>
      <c r="BW135">
        <v>0</v>
      </c>
      <c r="CD135">
        <v>0</v>
      </c>
      <c r="CE135">
        <v>112.6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112.6</v>
      </c>
      <c r="CR135">
        <v>0</v>
      </c>
      <c r="CY135">
        <v>0</v>
      </c>
      <c r="CZ135">
        <v>2</v>
      </c>
      <c r="DF135">
        <v>2</v>
      </c>
      <c r="DM135">
        <v>0</v>
      </c>
      <c r="DT135">
        <v>0</v>
      </c>
      <c r="EA135">
        <v>0</v>
      </c>
      <c r="EB135">
        <v>2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2</v>
      </c>
      <c r="EI135" t="s">
        <v>404</v>
      </c>
      <c r="EJ135" t="s">
        <v>404</v>
      </c>
      <c r="EK135" t="s">
        <v>404</v>
      </c>
      <c r="EL135" t="s">
        <v>404</v>
      </c>
      <c r="EM135" t="s">
        <v>404</v>
      </c>
      <c r="EN135" t="s">
        <v>404</v>
      </c>
      <c r="EO135" t="s">
        <v>404</v>
      </c>
      <c r="EP135" t="s">
        <v>404</v>
      </c>
      <c r="EQ135" t="s">
        <v>404</v>
      </c>
      <c r="ER135" t="s">
        <v>404</v>
      </c>
      <c r="ES135" t="s">
        <v>404</v>
      </c>
      <c r="ET135" t="s">
        <v>404</v>
      </c>
      <c r="EU135" t="s">
        <v>405</v>
      </c>
      <c r="EV135" t="s">
        <v>404</v>
      </c>
      <c r="EW135" t="s">
        <v>404</v>
      </c>
      <c r="EX135" t="s">
        <v>404</v>
      </c>
      <c r="EY135" t="s">
        <v>404</v>
      </c>
      <c r="EZ135" t="s">
        <v>404</v>
      </c>
      <c r="FA135" t="s">
        <v>404</v>
      </c>
      <c r="FB135" t="s">
        <v>404</v>
      </c>
      <c r="FC135" t="s">
        <v>404</v>
      </c>
      <c r="FD135" t="s">
        <v>404</v>
      </c>
      <c r="FE135" t="s">
        <v>404</v>
      </c>
      <c r="FF135" t="s">
        <v>404</v>
      </c>
      <c r="FG135" t="s">
        <v>404</v>
      </c>
      <c r="FH135" t="s">
        <v>404</v>
      </c>
      <c r="FI135" t="s">
        <v>404</v>
      </c>
      <c r="FJ135" t="s">
        <v>404</v>
      </c>
      <c r="FK135" t="s">
        <v>404</v>
      </c>
      <c r="FL135" t="s">
        <v>404</v>
      </c>
      <c r="FM135" t="s">
        <v>404</v>
      </c>
      <c r="FN135" t="s">
        <v>404</v>
      </c>
      <c r="FO135" t="s">
        <v>404</v>
      </c>
      <c r="FP135" t="s">
        <v>404</v>
      </c>
      <c r="FQ135" t="s">
        <v>404</v>
      </c>
      <c r="FR135" t="s">
        <v>404</v>
      </c>
      <c r="FS135">
        <v>57.45</v>
      </c>
      <c r="FY135">
        <v>57.45</v>
      </c>
      <c r="GF135">
        <v>0</v>
      </c>
      <c r="GM135">
        <v>0</v>
      </c>
      <c r="GT135">
        <v>0</v>
      </c>
      <c r="GU135">
        <v>1.45</v>
      </c>
      <c r="HA135">
        <v>1.45</v>
      </c>
      <c r="HB135">
        <v>50</v>
      </c>
      <c r="HH135">
        <v>50</v>
      </c>
      <c r="HI135">
        <v>0.81</v>
      </c>
      <c r="HO135">
        <v>0.81</v>
      </c>
      <c r="HP135" t="s">
        <v>1405</v>
      </c>
      <c r="HQ135">
        <v>2.85</v>
      </c>
      <c r="HW135">
        <v>2.85</v>
      </c>
      <c r="HX135">
        <v>112.56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112.56</v>
      </c>
      <c r="IK135">
        <v>0</v>
      </c>
      <c r="IL135">
        <v>2.95</v>
      </c>
      <c r="IR135">
        <v>2.95</v>
      </c>
      <c r="IS135">
        <v>109.61</v>
      </c>
      <c r="IY135">
        <v>109.61</v>
      </c>
      <c r="JF135">
        <v>0</v>
      </c>
      <c r="JM135">
        <v>0</v>
      </c>
      <c r="JN135">
        <v>112.56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112.56</v>
      </c>
      <c r="JW135">
        <v>100</v>
      </c>
      <c r="JZ135">
        <v>1</v>
      </c>
      <c r="KA135">
        <v>3</v>
      </c>
      <c r="KB135">
        <v>1</v>
      </c>
      <c r="KC135" t="s">
        <v>407</v>
      </c>
      <c r="OF135" t="s">
        <v>408</v>
      </c>
      <c r="SI135" t="s">
        <v>409</v>
      </c>
      <c r="WL135" t="s">
        <v>410</v>
      </c>
      <c r="AAO135" t="s">
        <v>411</v>
      </c>
      <c r="AER135" t="s">
        <v>412</v>
      </c>
    </row>
    <row r="136" spans="1:824" x14ac:dyDescent="0.2">
      <c r="A136" t="s">
        <v>1406</v>
      </c>
      <c r="B136" t="s">
        <v>396</v>
      </c>
      <c r="C136" t="s">
        <v>1407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>
        <v>555</v>
      </c>
      <c r="W136" s="3">
        <v>43521.438194444447</v>
      </c>
      <c r="X136" t="s">
        <v>1408</v>
      </c>
      <c r="Y136">
        <v>2019</v>
      </c>
      <c r="Z136" t="s">
        <v>1409</v>
      </c>
      <c r="AA136" t="s">
        <v>1410</v>
      </c>
      <c r="AB136" t="s">
        <v>1411</v>
      </c>
      <c r="AC136" t="s">
        <v>1412</v>
      </c>
      <c r="AD136">
        <v>442076583444</v>
      </c>
      <c r="AE136" t="s">
        <v>491</v>
      </c>
      <c r="AF136" t="s">
        <v>492</v>
      </c>
      <c r="AH136">
        <v>1</v>
      </c>
      <c r="AK136">
        <v>485.8</v>
      </c>
      <c r="AL136">
        <v>386.4</v>
      </c>
      <c r="AM136">
        <v>371.4</v>
      </c>
      <c r="AN136">
        <v>272</v>
      </c>
      <c r="AU136">
        <v>0</v>
      </c>
      <c r="AV136">
        <v>94.4</v>
      </c>
      <c r="AY136">
        <v>193.3</v>
      </c>
      <c r="BA136">
        <v>98.7</v>
      </c>
      <c r="BB136">
        <v>386.4</v>
      </c>
      <c r="BI136">
        <v>0</v>
      </c>
      <c r="BP136">
        <v>0</v>
      </c>
      <c r="BW136">
        <v>0</v>
      </c>
      <c r="CD136">
        <v>0</v>
      </c>
      <c r="CE136">
        <v>94.4</v>
      </c>
      <c r="CF136">
        <v>0</v>
      </c>
      <c r="CG136">
        <v>0</v>
      </c>
      <c r="CH136">
        <v>193.3</v>
      </c>
      <c r="CI136">
        <v>0</v>
      </c>
      <c r="CJ136">
        <v>98.7</v>
      </c>
      <c r="CK136">
        <v>386.4</v>
      </c>
      <c r="CR136">
        <v>0</v>
      </c>
      <c r="CS136">
        <v>3</v>
      </c>
      <c r="CV136">
        <v>3</v>
      </c>
      <c r="CX136">
        <v>1</v>
      </c>
      <c r="CY136">
        <v>7</v>
      </c>
      <c r="DF136">
        <v>0</v>
      </c>
      <c r="DM136">
        <v>0</v>
      </c>
      <c r="DT136">
        <v>0</v>
      </c>
      <c r="EA136">
        <v>0</v>
      </c>
      <c r="EB136">
        <v>3</v>
      </c>
      <c r="EC136">
        <v>0</v>
      </c>
      <c r="ED136">
        <v>0</v>
      </c>
      <c r="EE136">
        <v>3</v>
      </c>
      <c r="EF136">
        <v>0</v>
      </c>
      <c r="EG136">
        <v>1</v>
      </c>
      <c r="EH136">
        <v>7</v>
      </c>
      <c r="EI136" t="s">
        <v>404</v>
      </c>
      <c r="EJ136" t="s">
        <v>404</v>
      </c>
      <c r="EK136" t="s">
        <v>404</v>
      </c>
      <c r="EL136" t="s">
        <v>404</v>
      </c>
      <c r="EM136" t="s">
        <v>404</v>
      </c>
      <c r="EN136" t="s">
        <v>404</v>
      </c>
      <c r="EO136" t="s">
        <v>405</v>
      </c>
      <c r="EP136" t="s">
        <v>404</v>
      </c>
      <c r="EQ136" t="s">
        <v>404</v>
      </c>
      <c r="ER136" t="s">
        <v>405</v>
      </c>
      <c r="ES136" t="s">
        <v>404</v>
      </c>
      <c r="ET136" t="s">
        <v>405</v>
      </c>
      <c r="EU136" t="s">
        <v>404</v>
      </c>
      <c r="EV136" t="s">
        <v>404</v>
      </c>
      <c r="EW136" t="s">
        <v>404</v>
      </c>
      <c r="EX136" t="s">
        <v>404</v>
      </c>
      <c r="EY136" t="s">
        <v>404</v>
      </c>
      <c r="EZ136" t="s">
        <v>404</v>
      </c>
      <c r="FA136" t="s">
        <v>404</v>
      </c>
      <c r="FB136" t="s">
        <v>404</v>
      </c>
      <c r="FC136" t="s">
        <v>404</v>
      </c>
      <c r="FD136" t="s">
        <v>404</v>
      </c>
      <c r="FE136" t="s">
        <v>404</v>
      </c>
      <c r="FF136" t="s">
        <v>404</v>
      </c>
      <c r="FG136" t="s">
        <v>404</v>
      </c>
      <c r="FH136" t="s">
        <v>404</v>
      </c>
      <c r="FI136" t="s">
        <v>404</v>
      </c>
      <c r="FJ136" t="s">
        <v>404</v>
      </c>
      <c r="FK136" t="s">
        <v>404</v>
      </c>
      <c r="FL136" t="s">
        <v>404</v>
      </c>
      <c r="FM136" t="s">
        <v>404</v>
      </c>
      <c r="FN136" t="s">
        <v>404</v>
      </c>
      <c r="FO136" t="s">
        <v>404</v>
      </c>
      <c r="FP136" t="s">
        <v>404</v>
      </c>
      <c r="FQ136" t="s">
        <v>404</v>
      </c>
      <c r="FR136" t="s">
        <v>404</v>
      </c>
      <c r="FS136">
        <v>85.9</v>
      </c>
      <c r="FV136">
        <v>61.9</v>
      </c>
      <c r="FX136">
        <v>98.7</v>
      </c>
      <c r="FY136">
        <v>246.5</v>
      </c>
      <c r="FZ136">
        <v>0.5</v>
      </c>
      <c r="GF136">
        <v>0.5</v>
      </c>
      <c r="GM136">
        <v>0</v>
      </c>
      <c r="GT136">
        <v>0</v>
      </c>
      <c r="HA136">
        <v>0</v>
      </c>
      <c r="HB136">
        <v>8</v>
      </c>
      <c r="HH136">
        <v>8</v>
      </c>
      <c r="HL136">
        <v>52.1</v>
      </c>
      <c r="HO136">
        <v>52.1</v>
      </c>
      <c r="HP136" t="s">
        <v>1413</v>
      </c>
      <c r="HT136">
        <v>79.3</v>
      </c>
      <c r="HW136">
        <v>79.3</v>
      </c>
      <c r="HX136">
        <v>94.4</v>
      </c>
      <c r="HY136">
        <v>0</v>
      </c>
      <c r="HZ136">
        <v>0</v>
      </c>
      <c r="IA136">
        <v>193.3</v>
      </c>
      <c r="IB136">
        <v>0</v>
      </c>
      <c r="IC136">
        <v>98.7</v>
      </c>
      <c r="ID136">
        <v>386.4</v>
      </c>
      <c r="IH136">
        <v>61.9</v>
      </c>
      <c r="IK136">
        <v>61.9</v>
      </c>
      <c r="IL136">
        <v>94.4</v>
      </c>
      <c r="IO136">
        <v>114</v>
      </c>
      <c r="IQ136">
        <v>98.7</v>
      </c>
      <c r="IR136">
        <v>307.10000000000002</v>
      </c>
      <c r="IV136">
        <v>17.399999999999999</v>
      </c>
      <c r="IY136">
        <v>17.399999999999999</v>
      </c>
      <c r="JF136">
        <v>0</v>
      </c>
      <c r="JM136">
        <v>0</v>
      </c>
      <c r="JN136">
        <v>94.4</v>
      </c>
      <c r="JO136">
        <v>0</v>
      </c>
      <c r="JP136">
        <v>0</v>
      </c>
      <c r="JQ136">
        <v>193.3</v>
      </c>
      <c r="JR136">
        <v>0</v>
      </c>
      <c r="JS136">
        <v>98.7</v>
      </c>
      <c r="JT136">
        <v>386.4</v>
      </c>
      <c r="JW136">
        <v>100</v>
      </c>
      <c r="JZ136">
        <v>1</v>
      </c>
      <c r="KA136">
        <v>3</v>
      </c>
      <c r="KB136">
        <v>1</v>
      </c>
      <c r="KC136" t="s">
        <v>407</v>
      </c>
      <c r="OF136" t="s">
        <v>408</v>
      </c>
      <c r="SI136" t="s">
        <v>409</v>
      </c>
      <c r="WL136" t="s">
        <v>410</v>
      </c>
      <c r="AAO136" t="s">
        <v>411</v>
      </c>
      <c r="AER136" t="s">
        <v>412</v>
      </c>
    </row>
    <row r="137" spans="1:824" x14ac:dyDescent="0.2">
      <c r="A137" t="s">
        <v>1414</v>
      </c>
      <c r="B137" t="s">
        <v>396</v>
      </c>
      <c r="C137" t="s">
        <v>1415</v>
      </c>
      <c r="P137" t="b">
        <v>1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>
        <v>734</v>
      </c>
      <c r="W137" s="3">
        <v>43514.406944444447</v>
      </c>
      <c r="X137" t="s">
        <v>1416</v>
      </c>
      <c r="Y137">
        <v>2019</v>
      </c>
      <c r="Z137" t="s">
        <v>1417</v>
      </c>
      <c r="AA137" t="s">
        <v>1418</v>
      </c>
      <c r="AB137" t="s">
        <v>1419</v>
      </c>
      <c r="AC137" t="s">
        <v>1420</v>
      </c>
      <c r="AE137" t="s">
        <v>491</v>
      </c>
      <c r="AF137" t="s">
        <v>403</v>
      </c>
      <c r="AH137">
        <v>1</v>
      </c>
      <c r="AK137">
        <v>2677</v>
      </c>
      <c r="AL137">
        <v>2677</v>
      </c>
      <c r="AM137">
        <v>1850</v>
      </c>
      <c r="AN137">
        <v>1850</v>
      </c>
      <c r="AO137">
        <v>302</v>
      </c>
      <c r="AU137">
        <v>302</v>
      </c>
      <c r="AV137">
        <v>520</v>
      </c>
      <c r="AW137">
        <v>1050</v>
      </c>
      <c r="AY137">
        <v>805</v>
      </c>
      <c r="BB137">
        <v>2375</v>
      </c>
      <c r="BI137">
        <v>0</v>
      </c>
      <c r="BP137">
        <v>0</v>
      </c>
      <c r="BW137">
        <v>0</v>
      </c>
      <c r="CD137">
        <v>0</v>
      </c>
      <c r="CE137">
        <v>822</v>
      </c>
      <c r="CF137">
        <v>1050</v>
      </c>
      <c r="CG137">
        <v>0</v>
      </c>
      <c r="CH137">
        <v>805</v>
      </c>
      <c r="CI137">
        <v>0</v>
      </c>
      <c r="CJ137">
        <v>0</v>
      </c>
      <c r="CK137">
        <v>2677</v>
      </c>
      <c r="CL137">
        <v>1</v>
      </c>
      <c r="CR137">
        <v>1</v>
      </c>
      <c r="CS137">
        <v>6</v>
      </c>
      <c r="CT137">
        <v>6</v>
      </c>
      <c r="CV137">
        <v>6</v>
      </c>
      <c r="CY137">
        <v>18</v>
      </c>
      <c r="DF137">
        <v>0</v>
      </c>
      <c r="DM137">
        <v>0</v>
      </c>
      <c r="DT137">
        <v>0</v>
      </c>
      <c r="EA137">
        <v>0</v>
      </c>
      <c r="EB137">
        <v>7</v>
      </c>
      <c r="EC137">
        <v>6</v>
      </c>
      <c r="ED137">
        <v>0</v>
      </c>
      <c r="EE137">
        <v>6</v>
      </c>
      <c r="EF137">
        <v>0</v>
      </c>
      <c r="EG137">
        <v>0</v>
      </c>
      <c r="EH137">
        <v>19</v>
      </c>
      <c r="EI137" t="s">
        <v>405</v>
      </c>
      <c r="EJ137" t="s">
        <v>404</v>
      </c>
      <c r="EK137" t="s">
        <v>404</v>
      </c>
      <c r="EL137" t="s">
        <v>404</v>
      </c>
      <c r="EM137" t="s">
        <v>404</v>
      </c>
      <c r="EN137" t="s">
        <v>404</v>
      </c>
      <c r="EO137" t="s">
        <v>405</v>
      </c>
      <c r="EP137" t="s">
        <v>405</v>
      </c>
      <c r="EQ137" t="s">
        <v>404</v>
      </c>
      <c r="ER137" t="s">
        <v>405</v>
      </c>
      <c r="ES137" t="s">
        <v>404</v>
      </c>
      <c r="ET137" t="s">
        <v>404</v>
      </c>
      <c r="EU137" t="s">
        <v>404</v>
      </c>
      <c r="EV137" t="s">
        <v>404</v>
      </c>
      <c r="EW137" t="s">
        <v>404</v>
      </c>
      <c r="EX137" t="s">
        <v>404</v>
      </c>
      <c r="EY137" t="s">
        <v>404</v>
      </c>
      <c r="EZ137" t="s">
        <v>404</v>
      </c>
      <c r="FA137" t="s">
        <v>404</v>
      </c>
      <c r="FB137" t="s">
        <v>404</v>
      </c>
      <c r="FC137" t="s">
        <v>404</v>
      </c>
      <c r="FD137" t="s">
        <v>404</v>
      </c>
      <c r="FE137" t="s">
        <v>404</v>
      </c>
      <c r="FF137" t="s">
        <v>404</v>
      </c>
      <c r="FG137" t="s">
        <v>404</v>
      </c>
      <c r="FH137" t="s">
        <v>404</v>
      </c>
      <c r="FI137" t="s">
        <v>404</v>
      </c>
      <c r="FJ137" t="s">
        <v>404</v>
      </c>
      <c r="FK137" t="s">
        <v>404</v>
      </c>
      <c r="FL137" t="s">
        <v>404</v>
      </c>
      <c r="FM137" t="s">
        <v>404</v>
      </c>
      <c r="FN137" t="s">
        <v>404</v>
      </c>
      <c r="FO137" t="s">
        <v>404</v>
      </c>
      <c r="FP137" t="s">
        <v>404</v>
      </c>
      <c r="FQ137" t="s">
        <v>404</v>
      </c>
      <c r="FR137" t="s">
        <v>404</v>
      </c>
      <c r="FS137">
        <v>315</v>
      </c>
      <c r="FT137">
        <v>310</v>
      </c>
      <c r="FV137">
        <v>302</v>
      </c>
      <c r="FY137">
        <v>927</v>
      </c>
      <c r="FZ137">
        <v>258</v>
      </c>
      <c r="GA137">
        <v>60</v>
      </c>
      <c r="GC137">
        <v>402</v>
      </c>
      <c r="GF137">
        <v>720</v>
      </c>
      <c r="GG137">
        <v>28</v>
      </c>
      <c r="GH137">
        <v>560</v>
      </c>
      <c r="GJ137">
        <v>65</v>
      </c>
      <c r="GM137">
        <v>653</v>
      </c>
      <c r="GT137">
        <v>0</v>
      </c>
      <c r="GU137">
        <v>72</v>
      </c>
      <c r="HA137">
        <v>72</v>
      </c>
      <c r="HH137">
        <v>0</v>
      </c>
      <c r="HI137">
        <v>29</v>
      </c>
      <c r="HJ137">
        <v>35</v>
      </c>
      <c r="HO137">
        <v>64</v>
      </c>
      <c r="HP137" t="s">
        <v>1421</v>
      </c>
      <c r="HQ137">
        <v>120</v>
      </c>
      <c r="HR137">
        <v>85</v>
      </c>
      <c r="HT137">
        <v>36</v>
      </c>
      <c r="HW137">
        <v>241</v>
      </c>
      <c r="HX137">
        <v>822</v>
      </c>
      <c r="HY137">
        <v>1050</v>
      </c>
      <c r="HZ137">
        <v>0</v>
      </c>
      <c r="IA137">
        <v>805</v>
      </c>
      <c r="IB137">
        <v>0</v>
      </c>
      <c r="IC137">
        <v>0</v>
      </c>
      <c r="ID137">
        <v>2677</v>
      </c>
      <c r="IE137">
        <v>302</v>
      </c>
      <c r="IF137">
        <v>542</v>
      </c>
      <c r="IH137">
        <v>420</v>
      </c>
      <c r="IK137">
        <v>1264</v>
      </c>
      <c r="IL137">
        <v>520</v>
      </c>
      <c r="IM137">
        <v>508</v>
      </c>
      <c r="IO137">
        <v>385</v>
      </c>
      <c r="IR137">
        <v>1413</v>
      </c>
      <c r="IY137">
        <v>0</v>
      </c>
      <c r="JF137">
        <v>0</v>
      </c>
      <c r="JM137">
        <v>0</v>
      </c>
      <c r="JN137">
        <v>822</v>
      </c>
      <c r="JO137">
        <v>1050</v>
      </c>
      <c r="JP137">
        <v>0</v>
      </c>
      <c r="JQ137">
        <v>805</v>
      </c>
      <c r="JR137">
        <v>0</v>
      </c>
      <c r="JS137">
        <v>0</v>
      </c>
      <c r="JT137">
        <v>2677</v>
      </c>
      <c r="JU137">
        <v>5</v>
      </c>
      <c r="JV137">
        <v>8</v>
      </c>
      <c r="JW137">
        <v>87</v>
      </c>
      <c r="JZ137">
        <v>1</v>
      </c>
      <c r="KA137">
        <v>3</v>
      </c>
      <c r="KB137">
        <v>1</v>
      </c>
      <c r="KC137" t="s">
        <v>407</v>
      </c>
      <c r="OF137" t="s">
        <v>408</v>
      </c>
      <c r="SI137" t="s">
        <v>409</v>
      </c>
      <c r="WL137" t="s">
        <v>410</v>
      </c>
      <c r="AAO137" t="s">
        <v>411</v>
      </c>
      <c r="AER137" t="s">
        <v>412</v>
      </c>
    </row>
    <row r="138" spans="1:824" x14ac:dyDescent="0.2">
      <c r="A138" t="s">
        <v>1422</v>
      </c>
      <c r="B138" t="s">
        <v>396</v>
      </c>
      <c r="C138" t="s">
        <v>1423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>
        <v>687</v>
      </c>
      <c r="W138" s="3">
        <v>43495.655555555553</v>
      </c>
      <c r="X138" t="s">
        <v>1424</v>
      </c>
      <c r="Y138">
        <v>2019</v>
      </c>
      <c r="Z138" t="s">
        <v>1425</v>
      </c>
      <c r="AA138" t="s">
        <v>1423</v>
      </c>
      <c r="AB138" t="s">
        <v>450</v>
      </c>
      <c r="AC138" t="s">
        <v>1426</v>
      </c>
      <c r="AD138">
        <v>33140626649</v>
      </c>
      <c r="AE138" t="s">
        <v>592</v>
      </c>
      <c r="AF138" t="s">
        <v>403</v>
      </c>
      <c r="AH138">
        <v>1</v>
      </c>
      <c r="AL138">
        <v>500</v>
      </c>
      <c r="AN138">
        <v>500</v>
      </c>
      <c r="AU138">
        <v>0</v>
      </c>
      <c r="AV138">
        <v>500</v>
      </c>
      <c r="BB138">
        <v>500</v>
      </c>
      <c r="BI138">
        <v>0</v>
      </c>
      <c r="BP138">
        <v>0</v>
      </c>
      <c r="BW138">
        <v>0</v>
      </c>
      <c r="CD138">
        <v>0</v>
      </c>
      <c r="CE138">
        <v>500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500</v>
      </c>
      <c r="CR138">
        <v>0</v>
      </c>
      <c r="CS138">
        <v>1</v>
      </c>
      <c r="CY138">
        <v>1</v>
      </c>
      <c r="DF138">
        <v>0</v>
      </c>
      <c r="DM138">
        <v>0</v>
      </c>
      <c r="DT138">
        <v>0</v>
      </c>
      <c r="EA138">
        <v>0</v>
      </c>
      <c r="EB138">
        <v>1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1</v>
      </c>
      <c r="EI138" t="s">
        <v>404</v>
      </c>
      <c r="EJ138" t="s">
        <v>404</v>
      </c>
      <c r="EK138" t="s">
        <v>404</v>
      </c>
      <c r="EL138" t="s">
        <v>404</v>
      </c>
      <c r="EM138" t="s">
        <v>404</v>
      </c>
      <c r="EN138" t="s">
        <v>404</v>
      </c>
      <c r="EO138" t="s">
        <v>405</v>
      </c>
      <c r="EP138" t="s">
        <v>404</v>
      </c>
      <c r="EQ138" t="s">
        <v>404</v>
      </c>
      <c r="ER138" t="s">
        <v>404</v>
      </c>
      <c r="ES138" t="s">
        <v>404</v>
      </c>
      <c r="ET138" t="s">
        <v>404</v>
      </c>
      <c r="EU138" t="s">
        <v>404</v>
      </c>
      <c r="EV138" t="s">
        <v>404</v>
      </c>
      <c r="EW138" t="s">
        <v>404</v>
      </c>
      <c r="EX138" t="s">
        <v>404</v>
      </c>
      <c r="EY138" t="s">
        <v>404</v>
      </c>
      <c r="EZ138" t="s">
        <v>404</v>
      </c>
      <c r="FA138" t="s">
        <v>404</v>
      </c>
      <c r="FB138" t="s">
        <v>404</v>
      </c>
      <c r="FC138" t="s">
        <v>404</v>
      </c>
      <c r="FD138" t="s">
        <v>404</v>
      </c>
      <c r="FE138" t="s">
        <v>404</v>
      </c>
      <c r="FF138" t="s">
        <v>404</v>
      </c>
      <c r="FG138" t="s">
        <v>404</v>
      </c>
      <c r="FH138" t="s">
        <v>404</v>
      </c>
      <c r="FI138" t="s">
        <v>404</v>
      </c>
      <c r="FJ138" t="s">
        <v>404</v>
      </c>
      <c r="FK138" t="s">
        <v>404</v>
      </c>
      <c r="FL138" t="s">
        <v>404</v>
      </c>
      <c r="FM138" t="s">
        <v>404</v>
      </c>
      <c r="FN138" t="s">
        <v>404</v>
      </c>
      <c r="FO138" t="s">
        <v>404</v>
      </c>
      <c r="FP138" t="s">
        <v>404</v>
      </c>
      <c r="FQ138" t="s">
        <v>404</v>
      </c>
      <c r="FR138" t="s">
        <v>404</v>
      </c>
      <c r="FY138">
        <v>0</v>
      </c>
      <c r="FZ138">
        <v>165</v>
      </c>
      <c r="GF138">
        <v>165</v>
      </c>
      <c r="GM138">
        <v>0</v>
      </c>
      <c r="GT138">
        <v>0</v>
      </c>
      <c r="GU138">
        <v>30</v>
      </c>
      <c r="HA138">
        <v>30</v>
      </c>
      <c r="HH138">
        <v>0</v>
      </c>
      <c r="HI138">
        <v>305</v>
      </c>
      <c r="HO138">
        <v>305</v>
      </c>
      <c r="HW138">
        <v>0</v>
      </c>
      <c r="HX138">
        <v>500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500</v>
      </c>
      <c r="IK138">
        <v>0</v>
      </c>
      <c r="IL138">
        <v>500</v>
      </c>
      <c r="IR138">
        <v>500</v>
      </c>
      <c r="IY138">
        <v>0</v>
      </c>
      <c r="JF138">
        <v>0</v>
      </c>
      <c r="JM138">
        <v>0</v>
      </c>
      <c r="JN138">
        <v>500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500</v>
      </c>
      <c r="JW138">
        <v>100</v>
      </c>
      <c r="JZ138">
        <v>1</v>
      </c>
      <c r="KA138">
        <v>3</v>
      </c>
      <c r="KB138">
        <v>1</v>
      </c>
      <c r="KC138" t="s">
        <v>407</v>
      </c>
      <c r="OF138" t="s">
        <v>408</v>
      </c>
      <c r="SI138" t="s">
        <v>409</v>
      </c>
      <c r="WL138" t="s">
        <v>410</v>
      </c>
      <c r="AAO138" t="s">
        <v>411</v>
      </c>
      <c r="AER138" t="s">
        <v>412</v>
      </c>
    </row>
    <row r="139" spans="1:824" x14ac:dyDescent="0.2">
      <c r="A139" t="s">
        <v>1427</v>
      </c>
      <c r="B139" t="s">
        <v>396</v>
      </c>
      <c r="C139" t="s">
        <v>1428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>
        <v>755</v>
      </c>
      <c r="W139" s="3">
        <v>43523.636111111111</v>
      </c>
      <c r="X139" t="s">
        <v>1429</v>
      </c>
      <c r="Y139">
        <v>2019</v>
      </c>
      <c r="Z139" t="s">
        <v>396</v>
      </c>
      <c r="AA139" t="s">
        <v>1428</v>
      </c>
      <c r="AC139" t="s">
        <v>888</v>
      </c>
      <c r="AE139" t="s">
        <v>1073</v>
      </c>
      <c r="AF139" t="s">
        <v>403</v>
      </c>
      <c r="AH139">
        <v>2</v>
      </c>
      <c r="AU139">
        <v>0</v>
      </c>
      <c r="BB139">
        <v>0</v>
      </c>
      <c r="BI139">
        <v>0</v>
      </c>
      <c r="BP139">
        <v>0</v>
      </c>
      <c r="BW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R139">
        <v>0</v>
      </c>
      <c r="CY139">
        <v>0</v>
      </c>
      <c r="DF139">
        <v>0</v>
      </c>
      <c r="DM139">
        <v>0</v>
      </c>
      <c r="DT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 t="s">
        <v>404</v>
      </c>
      <c r="EJ139" t="s">
        <v>404</v>
      </c>
      <c r="EK139" t="s">
        <v>404</v>
      </c>
      <c r="EL139" t="s">
        <v>404</v>
      </c>
      <c r="EM139" t="s">
        <v>404</v>
      </c>
      <c r="EN139" t="s">
        <v>404</v>
      </c>
      <c r="EO139" t="s">
        <v>404</v>
      </c>
      <c r="EP139" t="s">
        <v>404</v>
      </c>
      <c r="EQ139" t="s">
        <v>404</v>
      </c>
      <c r="ER139" t="s">
        <v>404</v>
      </c>
      <c r="ES139" t="s">
        <v>404</v>
      </c>
      <c r="ET139" t="s">
        <v>404</v>
      </c>
      <c r="EU139" t="s">
        <v>404</v>
      </c>
      <c r="EV139" t="s">
        <v>404</v>
      </c>
      <c r="EW139" t="s">
        <v>404</v>
      </c>
      <c r="EX139" t="s">
        <v>404</v>
      </c>
      <c r="EY139" t="s">
        <v>404</v>
      </c>
      <c r="EZ139" t="s">
        <v>404</v>
      </c>
      <c r="FA139" t="s">
        <v>404</v>
      </c>
      <c r="FB139" t="s">
        <v>404</v>
      </c>
      <c r="FC139" t="s">
        <v>404</v>
      </c>
      <c r="FD139" t="s">
        <v>404</v>
      </c>
      <c r="FE139" t="s">
        <v>404</v>
      </c>
      <c r="FF139" t="s">
        <v>404</v>
      </c>
      <c r="FG139" t="s">
        <v>404</v>
      </c>
      <c r="FH139" t="s">
        <v>404</v>
      </c>
      <c r="FI139" t="s">
        <v>404</v>
      </c>
      <c r="FJ139" t="s">
        <v>404</v>
      </c>
      <c r="FK139" t="s">
        <v>404</v>
      </c>
      <c r="FL139" t="s">
        <v>404</v>
      </c>
      <c r="FM139" t="s">
        <v>404</v>
      </c>
      <c r="FN139" t="s">
        <v>404</v>
      </c>
      <c r="FO139" t="s">
        <v>404</v>
      </c>
      <c r="FP139" t="s">
        <v>404</v>
      </c>
      <c r="FQ139" t="s">
        <v>404</v>
      </c>
      <c r="FR139" t="s">
        <v>404</v>
      </c>
      <c r="FY139">
        <v>0</v>
      </c>
      <c r="GF139">
        <v>0</v>
      </c>
      <c r="GM139">
        <v>0</v>
      </c>
      <c r="GT139">
        <v>0</v>
      </c>
      <c r="HA139">
        <v>0</v>
      </c>
      <c r="HH139">
        <v>0</v>
      </c>
      <c r="HO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K139">
        <v>0</v>
      </c>
      <c r="IR139">
        <v>0</v>
      </c>
      <c r="IY139">
        <v>0</v>
      </c>
      <c r="JF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KB139">
        <v>2</v>
      </c>
      <c r="KC139" t="s">
        <v>407</v>
      </c>
      <c r="OF139" t="s">
        <v>408</v>
      </c>
      <c r="SI139" t="s">
        <v>409</v>
      </c>
      <c r="WL139" t="s">
        <v>410</v>
      </c>
      <c r="AAO139" t="s">
        <v>411</v>
      </c>
      <c r="AER139" t="s">
        <v>412</v>
      </c>
    </row>
    <row r="140" spans="1:824" x14ac:dyDescent="0.2">
      <c r="A140" t="s">
        <v>1430</v>
      </c>
      <c r="B140" t="s">
        <v>396</v>
      </c>
      <c r="C140" t="s">
        <v>1431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>
        <v>689</v>
      </c>
      <c r="W140" s="3">
        <v>43496.59652777778</v>
      </c>
      <c r="X140" t="s">
        <v>1432</v>
      </c>
      <c r="Y140">
        <v>2019</v>
      </c>
      <c r="Z140" t="s">
        <v>1433</v>
      </c>
      <c r="AA140" t="s">
        <v>1434</v>
      </c>
      <c r="AB140" t="s">
        <v>1435</v>
      </c>
      <c r="AC140" t="s">
        <v>1436</v>
      </c>
      <c r="AD140">
        <v>622755282</v>
      </c>
      <c r="AE140" t="s">
        <v>611</v>
      </c>
      <c r="AF140" t="s">
        <v>403</v>
      </c>
      <c r="AH140">
        <v>2</v>
      </c>
      <c r="AI140">
        <v>6</v>
      </c>
      <c r="AJ140" t="s">
        <v>1437</v>
      </c>
      <c r="AU140">
        <v>0</v>
      </c>
      <c r="BB140">
        <v>0</v>
      </c>
      <c r="BI140">
        <v>0</v>
      </c>
      <c r="BP140">
        <v>0</v>
      </c>
      <c r="BW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R140">
        <v>0</v>
      </c>
      <c r="CY140">
        <v>0</v>
      </c>
      <c r="DF140">
        <v>0</v>
      </c>
      <c r="DM140">
        <v>0</v>
      </c>
      <c r="DT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 t="s">
        <v>404</v>
      </c>
      <c r="EJ140" t="s">
        <v>404</v>
      </c>
      <c r="EK140" t="s">
        <v>404</v>
      </c>
      <c r="EL140" t="s">
        <v>404</v>
      </c>
      <c r="EM140" t="s">
        <v>404</v>
      </c>
      <c r="EN140" t="s">
        <v>404</v>
      </c>
      <c r="EO140" t="s">
        <v>404</v>
      </c>
      <c r="EP140" t="s">
        <v>404</v>
      </c>
      <c r="EQ140" t="s">
        <v>404</v>
      </c>
      <c r="ER140" t="s">
        <v>404</v>
      </c>
      <c r="ES140" t="s">
        <v>404</v>
      </c>
      <c r="ET140" t="s">
        <v>404</v>
      </c>
      <c r="EU140" t="s">
        <v>404</v>
      </c>
      <c r="EV140" t="s">
        <v>404</v>
      </c>
      <c r="EW140" t="s">
        <v>404</v>
      </c>
      <c r="EX140" t="s">
        <v>404</v>
      </c>
      <c r="EY140" t="s">
        <v>404</v>
      </c>
      <c r="EZ140" t="s">
        <v>404</v>
      </c>
      <c r="FA140" t="s">
        <v>404</v>
      </c>
      <c r="FB140" t="s">
        <v>404</v>
      </c>
      <c r="FC140" t="s">
        <v>404</v>
      </c>
      <c r="FD140" t="s">
        <v>404</v>
      </c>
      <c r="FE140" t="s">
        <v>404</v>
      </c>
      <c r="FF140" t="s">
        <v>404</v>
      </c>
      <c r="FG140" t="s">
        <v>404</v>
      </c>
      <c r="FH140" t="s">
        <v>404</v>
      </c>
      <c r="FI140" t="s">
        <v>404</v>
      </c>
      <c r="FJ140" t="s">
        <v>404</v>
      </c>
      <c r="FK140" t="s">
        <v>404</v>
      </c>
      <c r="FL140" t="s">
        <v>404</v>
      </c>
      <c r="FM140" t="s">
        <v>404</v>
      </c>
      <c r="FN140" t="s">
        <v>404</v>
      </c>
      <c r="FO140" t="s">
        <v>404</v>
      </c>
      <c r="FP140" t="s">
        <v>404</v>
      </c>
      <c r="FQ140" t="s">
        <v>404</v>
      </c>
      <c r="FR140" t="s">
        <v>404</v>
      </c>
      <c r="FY140">
        <v>0</v>
      </c>
      <c r="GF140">
        <v>0</v>
      </c>
      <c r="GM140">
        <v>0</v>
      </c>
      <c r="GT140">
        <v>0</v>
      </c>
      <c r="HA140">
        <v>0</v>
      </c>
      <c r="HH140">
        <v>0</v>
      </c>
      <c r="HO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K140">
        <v>0</v>
      </c>
      <c r="IR140">
        <v>0</v>
      </c>
      <c r="IY140">
        <v>0</v>
      </c>
      <c r="JF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Z140">
        <v>2</v>
      </c>
      <c r="KA140">
        <v>2</v>
      </c>
      <c r="KB140">
        <v>1</v>
      </c>
      <c r="KC140" t="s">
        <v>407</v>
      </c>
      <c r="OF140" t="s">
        <v>408</v>
      </c>
      <c r="SI140" t="s">
        <v>409</v>
      </c>
      <c r="WL140" t="s">
        <v>410</v>
      </c>
      <c r="AAO140" t="s">
        <v>411</v>
      </c>
      <c r="AER140" t="s">
        <v>412</v>
      </c>
    </row>
    <row r="141" spans="1:824" x14ac:dyDescent="0.2">
      <c r="A141" t="s">
        <v>1438</v>
      </c>
      <c r="B141" t="s">
        <v>563</v>
      </c>
      <c r="C141" t="s">
        <v>1439</v>
      </c>
      <c r="D141" t="s">
        <v>478</v>
      </c>
      <c r="E141" s="3">
        <v>43517.697916666664</v>
      </c>
      <c r="F141" t="s">
        <v>479</v>
      </c>
      <c r="G141" s="3">
        <v>43517.702777777777</v>
      </c>
      <c r="H141" t="s">
        <v>502</v>
      </c>
      <c r="I141" s="3">
        <v>43517.704861111109</v>
      </c>
      <c r="J141" t="s">
        <v>709</v>
      </c>
      <c r="K141" s="3">
        <v>43517.704861111109</v>
      </c>
      <c r="P141" t="b">
        <v>1</v>
      </c>
      <c r="Q141" t="b">
        <v>1</v>
      </c>
      <c r="R141" t="b">
        <v>1</v>
      </c>
      <c r="S141" t="b">
        <v>1</v>
      </c>
      <c r="T141" t="b">
        <v>0</v>
      </c>
      <c r="U141" t="b">
        <v>0</v>
      </c>
      <c r="V141">
        <v>607</v>
      </c>
      <c r="W141" s="3">
        <v>43517.690972222219</v>
      </c>
      <c r="X141" t="s">
        <v>1440</v>
      </c>
      <c r="Y141">
        <v>2019</v>
      </c>
      <c r="Z141" t="s">
        <v>1441</v>
      </c>
      <c r="AA141" t="s">
        <v>1442</v>
      </c>
      <c r="AB141" t="s">
        <v>545</v>
      </c>
      <c r="AC141" t="s">
        <v>1443</v>
      </c>
      <c r="AD141">
        <v>3128974039</v>
      </c>
      <c r="AE141" t="s">
        <v>571</v>
      </c>
      <c r="AF141" t="s">
        <v>538</v>
      </c>
      <c r="AH141">
        <v>1</v>
      </c>
      <c r="AK141">
        <v>7157</v>
      </c>
      <c r="AL141">
        <v>6434</v>
      </c>
      <c r="AM141">
        <v>2492</v>
      </c>
      <c r="AN141">
        <v>2492</v>
      </c>
      <c r="AO141">
        <v>567</v>
      </c>
      <c r="AP141">
        <v>82</v>
      </c>
      <c r="AR141">
        <v>586</v>
      </c>
      <c r="AU141">
        <v>1235</v>
      </c>
      <c r="AV141">
        <v>312</v>
      </c>
      <c r="AW141">
        <v>1594</v>
      </c>
      <c r="AY141">
        <v>433</v>
      </c>
      <c r="BB141">
        <v>2339</v>
      </c>
      <c r="BC141">
        <v>1640</v>
      </c>
      <c r="BD141">
        <v>1025</v>
      </c>
      <c r="BI141">
        <v>2665</v>
      </c>
      <c r="BK141">
        <v>195</v>
      </c>
      <c r="BP141">
        <v>195</v>
      </c>
      <c r="BW141">
        <v>0</v>
      </c>
      <c r="CD141">
        <v>0</v>
      </c>
      <c r="CE141">
        <v>2519</v>
      </c>
      <c r="CF141">
        <v>2896</v>
      </c>
      <c r="CG141">
        <v>0</v>
      </c>
      <c r="CH141">
        <v>1019</v>
      </c>
      <c r="CI141">
        <v>0</v>
      </c>
      <c r="CJ141">
        <v>0</v>
      </c>
      <c r="CK141">
        <v>6434</v>
      </c>
      <c r="CL141">
        <v>3</v>
      </c>
      <c r="CM141">
        <v>1</v>
      </c>
      <c r="CO141">
        <v>7</v>
      </c>
      <c r="CR141">
        <v>11</v>
      </c>
      <c r="CS141">
        <v>2</v>
      </c>
      <c r="CT141">
        <v>4</v>
      </c>
      <c r="CV141">
        <v>2</v>
      </c>
      <c r="CY141">
        <v>8</v>
      </c>
      <c r="CZ141">
        <v>4</v>
      </c>
      <c r="DA141">
        <v>4</v>
      </c>
      <c r="DF141">
        <v>8</v>
      </c>
      <c r="DH141">
        <v>1</v>
      </c>
      <c r="DM141">
        <v>1</v>
      </c>
      <c r="DT141">
        <v>0</v>
      </c>
      <c r="EA141">
        <v>0</v>
      </c>
      <c r="EB141">
        <v>9</v>
      </c>
      <c r="EC141">
        <v>10</v>
      </c>
      <c r="ED141">
        <v>0</v>
      </c>
      <c r="EE141">
        <v>9</v>
      </c>
      <c r="EF141">
        <v>0</v>
      </c>
      <c r="EG141">
        <v>0</v>
      </c>
      <c r="EH141">
        <v>28</v>
      </c>
      <c r="EI141" t="s">
        <v>405</v>
      </c>
      <c r="EJ141" t="s">
        <v>405</v>
      </c>
      <c r="EK141" t="s">
        <v>404</v>
      </c>
      <c r="EL141" t="s">
        <v>405</v>
      </c>
      <c r="EM141" t="s">
        <v>404</v>
      </c>
      <c r="EN141" t="s">
        <v>404</v>
      </c>
      <c r="EO141" t="s">
        <v>405</v>
      </c>
      <c r="EP141" t="s">
        <v>405</v>
      </c>
      <c r="EQ141" t="s">
        <v>404</v>
      </c>
      <c r="ER141" t="s">
        <v>405</v>
      </c>
      <c r="ES141" t="s">
        <v>404</v>
      </c>
      <c r="ET141" t="s">
        <v>404</v>
      </c>
      <c r="EU141" t="s">
        <v>405</v>
      </c>
      <c r="EV141" t="s">
        <v>405</v>
      </c>
      <c r="EW141" t="s">
        <v>404</v>
      </c>
      <c r="EX141" t="s">
        <v>404</v>
      </c>
      <c r="EY141" t="s">
        <v>404</v>
      </c>
      <c r="EZ141" t="s">
        <v>404</v>
      </c>
      <c r="FA141" t="s">
        <v>404</v>
      </c>
      <c r="FB141" t="s">
        <v>405</v>
      </c>
      <c r="FC141" t="s">
        <v>404</v>
      </c>
      <c r="FD141" t="s">
        <v>404</v>
      </c>
      <c r="FE141" t="s">
        <v>404</v>
      </c>
      <c r="FF141" t="s">
        <v>404</v>
      </c>
      <c r="FG141" t="s">
        <v>404</v>
      </c>
      <c r="FH141" t="s">
        <v>404</v>
      </c>
      <c r="FI141" t="s">
        <v>404</v>
      </c>
      <c r="FJ141" t="s">
        <v>404</v>
      </c>
      <c r="FK141" t="s">
        <v>404</v>
      </c>
      <c r="FL141" t="s">
        <v>404</v>
      </c>
      <c r="FM141" t="s">
        <v>404</v>
      </c>
      <c r="FN141" t="s">
        <v>404</v>
      </c>
      <c r="FO141" t="s">
        <v>404</v>
      </c>
      <c r="FP141" t="s">
        <v>404</v>
      </c>
      <c r="FQ141" t="s">
        <v>404</v>
      </c>
      <c r="FR141" t="s">
        <v>404</v>
      </c>
      <c r="FS141">
        <v>1121</v>
      </c>
      <c r="FT141">
        <v>2272</v>
      </c>
      <c r="FV141">
        <v>418</v>
      </c>
      <c r="FY141">
        <v>3811</v>
      </c>
      <c r="FZ141">
        <v>52</v>
      </c>
      <c r="GA141">
        <v>542</v>
      </c>
      <c r="GF141">
        <v>594</v>
      </c>
      <c r="GG141">
        <v>451</v>
      </c>
      <c r="GH141">
        <v>0</v>
      </c>
      <c r="GM141">
        <v>451</v>
      </c>
      <c r="GN141">
        <v>0</v>
      </c>
      <c r="GO141">
        <v>0</v>
      </c>
      <c r="GT141">
        <v>0</v>
      </c>
      <c r="GU141">
        <v>61</v>
      </c>
      <c r="GV141">
        <v>0</v>
      </c>
      <c r="HA141">
        <v>61</v>
      </c>
      <c r="HB141">
        <v>350</v>
      </c>
      <c r="HC141">
        <v>82</v>
      </c>
      <c r="HH141">
        <v>432</v>
      </c>
      <c r="HI141">
        <v>171</v>
      </c>
      <c r="HJ141">
        <v>0</v>
      </c>
      <c r="HL141">
        <v>376</v>
      </c>
      <c r="HO141">
        <v>547</v>
      </c>
      <c r="HP141" t="s">
        <v>1444</v>
      </c>
      <c r="HQ141">
        <v>313</v>
      </c>
      <c r="HR141">
        <v>0</v>
      </c>
      <c r="HT141">
        <v>225</v>
      </c>
      <c r="HW141">
        <v>538</v>
      </c>
      <c r="HX141">
        <v>2519</v>
      </c>
      <c r="HY141">
        <v>2896</v>
      </c>
      <c r="HZ141">
        <v>0</v>
      </c>
      <c r="IA141">
        <v>1019</v>
      </c>
      <c r="IB141">
        <v>0</v>
      </c>
      <c r="IC141">
        <v>0</v>
      </c>
      <c r="ID141">
        <v>6434</v>
      </c>
      <c r="IE141">
        <v>461</v>
      </c>
      <c r="IF141">
        <v>82</v>
      </c>
      <c r="IH141">
        <v>252</v>
      </c>
      <c r="IK141">
        <v>795</v>
      </c>
      <c r="IL141">
        <v>866</v>
      </c>
      <c r="IM141">
        <v>1989</v>
      </c>
      <c r="IO141">
        <v>767</v>
      </c>
      <c r="IR141">
        <v>3622</v>
      </c>
      <c r="IS141">
        <v>1192</v>
      </c>
      <c r="IT141">
        <v>825</v>
      </c>
      <c r="IY141">
        <v>2017</v>
      </c>
      <c r="JF141">
        <v>0</v>
      </c>
      <c r="JM141">
        <v>0</v>
      </c>
      <c r="JN141">
        <v>2519</v>
      </c>
      <c r="JO141">
        <v>2896</v>
      </c>
      <c r="JP141">
        <v>0</v>
      </c>
      <c r="JQ141">
        <v>1019</v>
      </c>
      <c r="JR141">
        <v>0</v>
      </c>
      <c r="JS141">
        <v>0</v>
      </c>
      <c r="JT141">
        <v>6434</v>
      </c>
      <c r="JW141">
        <v>100</v>
      </c>
      <c r="KC141" t="s">
        <v>407</v>
      </c>
      <c r="KD141">
        <v>90</v>
      </c>
      <c r="KE141">
        <v>0</v>
      </c>
      <c r="KG141">
        <v>361</v>
      </c>
      <c r="KJ141">
        <v>451</v>
      </c>
      <c r="KK141">
        <v>0</v>
      </c>
      <c r="KL141">
        <v>0</v>
      </c>
      <c r="KN141">
        <v>0</v>
      </c>
      <c r="KQ141">
        <v>0</v>
      </c>
      <c r="KR141">
        <v>140</v>
      </c>
      <c r="KS141">
        <v>0</v>
      </c>
      <c r="KU141">
        <v>0</v>
      </c>
      <c r="KX141">
        <v>140</v>
      </c>
      <c r="KY141">
        <v>0</v>
      </c>
      <c r="KZ141">
        <v>0</v>
      </c>
      <c r="LB141">
        <v>0</v>
      </c>
      <c r="LE141">
        <v>0</v>
      </c>
      <c r="LF141">
        <v>0</v>
      </c>
      <c r="LG141">
        <v>0</v>
      </c>
      <c r="LI141">
        <v>0</v>
      </c>
      <c r="LL141">
        <v>0</v>
      </c>
      <c r="LM141">
        <v>82</v>
      </c>
      <c r="LN141">
        <v>82</v>
      </c>
      <c r="LP141">
        <v>0</v>
      </c>
      <c r="LS141">
        <v>164</v>
      </c>
      <c r="LT141">
        <v>33</v>
      </c>
      <c r="LU141">
        <v>0</v>
      </c>
      <c r="LW141">
        <v>0</v>
      </c>
      <c r="LZ141">
        <v>33</v>
      </c>
      <c r="MA141" t="s">
        <v>1445</v>
      </c>
      <c r="MB141">
        <v>222</v>
      </c>
      <c r="MC141">
        <v>0</v>
      </c>
      <c r="ME141">
        <v>225</v>
      </c>
      <c r="MH141">
        <v>447</v>
      </c>
      <c r="MI141">
        <v>567</v>
      </c>
      <c r="MJ141">
        <v>82</v>
      </c>
      <c r="MK141">
        <v>0</v>
      </c>
      <c r="ML141">
        <v>586</v>
      </c>
      <c r="MM141">
        <v>0</v>
      </c>
      <c r="MN141">
        <v>0</v>
      </c>
      <c r="MO141">
        <v>1235</v>
      </c>
      <c r="MP141">
        <v>144</v>
      </c>
      <c r="MS141">
        <v>334</v>
      </c>
      <c r="MV141">
        <v>478</v>
      </c>
      <c r="MW141">
        <v>341</v>
      </c>
      <c r="MX141">
        <v>82</v>
      </c>
      <c r="MZ141">
        <v>252</v>
      </c>
      <c r="NC141">
        <v>675</v>
      </c>
      <c r="ND141">
        <v>82</v>
      </c>
      <c r="NJ141">
        <v>82</v>
      </c>
      <c r="NQ141">
        <v>0</v>
      </c>
      <c r="NX141">
        <v>0</v>
      </c>
      <c r="NY141">
        <v>567</v>
      </c>
      <c r="NZ141">
        <v>82</v>
      </c>
      <c r="OA141">
        <v>0</v>
      </c>
      <c r="OB141">
        <v>586</v>
      </c>
      <c r="OC141">
        <v>0</v>
      </c>
      <c r="OD141">
        <v>0</v>
      </c>
      <c r="OE141">
        <v>1235</v>
      </c>
      <c r="OF141" t="s">
        <v>408</v>
      </c>
      <c r="OG141">
        <v>105</v>
      </c>
      <c r="OH141">
        <v>1252</v>
      </c>
      <c r="OJ141">
        <v>57</v>
      </c>
      <c r="OM141">
        <v>1414</v>
      </c>
      <c r="ON141">
        <v>17</v>
      </c>
      <c r="OO141">
        <v>342</v>
      </c>
      <c r="OQ141">
        <v>0</v>
      </c>
      <c r="OT141">
        <v>359</v>
      </c>
      <c r="OU141">
        <v>21</v>
      </c>
      <c r="OV141">
        <v>0</v>
      </c>
      <c r="OX141">
        <v>0</v>
      </c>
      <c r="PA141">
        <v>21</v>
      </c>
      <c r="PB141">
        <v>0</v>
      </c>
      <c r="PC141">
        <v>0</v>
      </c>
      <c r="PE141">
        <v>0</v>
      </c>
      <c r="PH141">
        <v>0</v>
      </c>
      <c r="PI141">
        <v>4</v>
      </c>
      <c r="PJ141">
        <v>0</v>
      </c>
      <c r="PL141">
        <v>0</v>
      </c>
      <c r="PO141">
        <v>4</v>
      </c>
      <c r="PP141">
        <v>140</v>
      </c>
      <c r="PQ141">
        <v>0</v>
      </c>
      <c r="PS141">
        <v>0</v>
      </c>
      <c r="PV141">
        <v>140</v>
      </c>
      <c r="PW141">
        <v>0</v>
      </c>
      <c r="PX141">
        <v>0</v>
      </c>
      <c r="PZ141">
        <v>376</v>
      </c>
      <c r="QC141">
        <v>376</v>
      </c>
      <c r="QD141" t="s">
        <v>1446</v>
      </c>
      <c r="QE141">
        <v>25</v>
      </c>
      <c r="QF141">
        <v>0</v>
      </c>
      <c r="QH141">
        <v>0</v>
      </c>
      <c r="QK141">
        <v>25</v>
      </c>
      <c r="QL141">
        <v>312</v>
      </c>
      <c r="QM141">
        <v>1594</v>
      </c>
      <c r="QN141">
        <v>0</v>
      </c>
      <c r="QO141">
        <v>433</v>
      </c>
      <c r="QP141">
        <v>0</v>
      </c>
      <c r="QQ141">
        <v>0</v>
      </c>
      <c r="QR141">
        <v>2339</v>
      </c>
      <c r="QS141">
        <v>295</v>
      </c>
      <c r="QT141">
        <v>1594</v>
      </c>
      <c r="QV141">
        <v>433</v>
      </c>
      <c r="QY141">
        <v>2322</v>
      </c>
      <c r="QZ141">
        <v>17</v>
      </c>
      <c r="RF141">
        <v>17</v>
      </c>
      <c r="RM141">
        <v>0</v>
      </c>
      <c r="RT141">
        <v>0</v>
      </c>
      <c r="SA141">
        <v>0</v>
      </c>
      <c r="SB141">
        <v>312</v>
      </c>
      <c r="SC141">
        <v>1594</v>
      </c>
      <c r="SD141">
        <v>0</v>
      </c>
      <c r="SE141">
        <v>433</v>
      </c>
      <c r="SF141">
        <v>0</v>
      </c>
      <c r="SG141">
        <v>0</v>
      </c>
      <c r="SH141">
        <v>2339</v>
      </c>
      <c r="SI141" t="s">
        <v>409</v>
      </c>
      <c r="SJ141">
        <v>927</v>
      </c>
      <c r="SK141">
        <v>825</v>
      </c>
      <c r="SP141">
        <v>1752</v>
      </c>
      <c r="SQ141">
        <v>35</v>
      </c>
      <c r="SR141">
        <v>200</v>
      </c>
      <c r="SW141">
        <v>235</v>
      </c>
      <c r="SX141">
        <v>290</v>
      </c>
      <c r="SY141">
        <v>0</v>
      </c>
      <c r="TD141">
        <v>290</v>
      </c>
      <c r="TE141">
        <v>0</v>
      </c>
      <c r="TF141">
        <v>0</v>
      </c>
      <c r="TK141">
        <v>0</v>
      </c>
      <c r="TL141">
        <v>57</v>
      </c>
      <c r="TM141">
        <v>0</v>
      </c>
      <c r="TR141">
        <v>57</v>
      </c>
      <c r="TS141">
        <v>126</v>
      </c>
      <c r="TT141">
        <v>0</v>
      </c>
      <c r="TY141">
        <v>126</v>
      </c>
      <c r="TZ141">
        <v>138</v>
      </c>
      <c r="UA141">
        <v>0</v>
      </c>
      <c r="UF141">
        <v>138</v>
      </c>
      <c r="UG141" t="s">
        <v>643</v>
      </c>
      <c r="UH141">
        <v>67</v>
      </c>
      <c r="UI141">
        <v>0</v>
      </c>
      <c r="UN141">
        <v>67</v>
      </c>
      <c r="UO141">
        <v>1640</v>
      </c>
      <c r="UP141">
        <v>1025</v>
      </c>
      <c r="UQ141">
        <v>0</v>
      </c>
      <c r="UR141">
        <v>0</v>
      </c>
      <c r="US141">
        <v>0</v>
      </c>
      <c r="UT141">
        <v>0</v>
      </c>
      <c r="UU141">
        <v>2665</v>
      </c>
      <c r="UV141">
        <v>427</v>
      </c>
      <c r="UW141">
        <v>200</v>
      </c>
      <c r="VB141">
        <v>627</v>
      </c>
      <c r="VC141">
        <v>102</v>
      </c>
      <c r="VD141">
        <v>0</v>
      </c>
      <c r="VI141">
        <v>102</v>
      </c>
      <c r="VJ141">
        <v>1111</v>
      </c>
      <c r="VK141">
        <v>825</v>
      </c>
      <c r="VP141">
        <v>1936</v>
      </c>
      <c r="VW141">
        <v>0</v>
      </c>
      <c r="WD141">
        <v>0</v>
      </c>
      <c r="WE141">
        <v>1640</v>
      </c>
      <c r="WF141">
        <v>1025</v>
      </c>
      <c r="WG141">
        <v>0</v>
      </c>
      <c r="WH141">
        <v>0</v>
      </c>
      <c r="WI141">
        <v>0</v>
      </c>
      <c r="WJ141">
        <v>0</v>
      </c>
      <c r="WK141">
        <v>2665</v>
      </c>
      <c r="WL141" t="s">
        <v>410</v>
      </c>
      <c r="WN141">
        <v>195</v>
      </c>
      <c r="WS141">
        <v>195</v>
      </c>
      <c r="WZ141">
        <v>0</v>
      </c>
      <c r="XG141">
        <v>0</v>
      </c>
      <c r="XN141">
        <v>0</v>
      </c>
      <c r="XU141">
        <v>0</v>
      </c>
      <c r="YB141">
        <v>0</v>
      </c>
      <c r="YI141">
        <v>0</v>
      </c>
      <c r="YQ141">
        <v>0</v>
      </c>
      <c r="YR141">
        <v>0</v>
      </c>
      <c r="YS141">
        <v>195</v>
      </c>
      <c r="YT141">
        <v>0</v>
      </c>
      <c r="YU141">
        <v>0</v>
      </c>
      <c r="YV141">
        <v>0</v>
      </c>
      <c r="YW141">
        <v>0</v>
      </c>
      <c r="YX141">
        <v>195</v>
      </c>
      <c r="YZ141">
        <v>195</v>
      </c>
      <c r="ZE141">
        <v>195</v>
      </c>
      <c r="ZL141">
        <v>0</v>
      </c>
      <c r="ZS141">
        <v>0</v>
      </c>
      <c r="ZZ141">
        <v>0</v>
      </c>
      <c r="AAG141">
        <v>0</v>
      </c>
      <c r="AAH141">
        <v>0</v>
      </c>
      <c r="AAI141">
        <v>195</v>
      </c>
      <c r="AAJ141">
        <v>0</v>
      </c>
      <c r="AAK141">
        <v>0</v>
      </c>
      <c r="AAL141">
        <v>0</v>
      </c>
      <c r="AAM141">
        <v>0</v>
      </c>
      <c r="AAN141">
        <v>195</v>
      </c>
      <c r="AAO141" t="s">
        <v>411</v>
      </c>
      <c r="AER141" t="s">
        <v>412</v>
      </c>
    </row>
    <row r="142" spans="1:824" x14ac:dyDescent="0.2">
      <c r="A142" t="s">
        <v>1447</v>
      </c>
      <c r="B142" t="s">
        <v>396</v>
      </c>
      <c r="C142" t="s">
        <v>1448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>
        <v>762</v>
      </c>
      <c r="W142" s="3">
        <v>43515.763194444444</v>
      </c>
      <c r="X142" t="s">
        <v>1449</v>
      </c>
      <c r="Y142">
        <v>2019</v>
      </c>
      <c r="Z142" t="s">
        <v>1450</v>
      </c>
      <c r="AA142" t="s">
        <v>1448</v>
      </c>
      <c r="AB142" t="s">
        <v>1451</v>
      </c>
      <c r="AC142" t="s">
        <v>1452</v>
      </c>
      <c r="AD142">
        <v>496994548581180</v>
      </c>
      <c r="AE142" t="s">
        <v>444</v>
      </c>
      <c r="AF142" t="s">
        <v>403</v>
      </c>
      <c r="AH142">
        <v>1</v>
      </c>
      <c r="AK142">
        <v>108</v>
      </c>
      <c r="AL142">
        <v>108</v>
      </c>
      <c r="AM142">
        <v>108</v>
      </c>
      <c r="AN142">
        <v>108</v>
      </c>
      <c r="AU142">
        <v>0</v>
      </c>
      <c r="AV142">
        <v>108</v>
      </c>
      <c r="BB142">
        <v>108</v>
      </c>
      <c r="BI142">
        <v>0</v>
      </c>
      <c r="BP142">
        <v>0</v>
      </c>
      <c r="BW142">
        <v>0</v>
      </c>
      <c r="CD142">
        <v>0</v>
      </c>
      <c r="CE142">
        <v>108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108</v>
      </c>
      <c r="CR142">
        <v>0</v>
      </c>
      <c r="CS142">
        <v>4</v>
      </c>
      <c r="CY142">
        <v>4</v>
      </c>
      <c r="DF142">
        <v>0</v>
      </c>
      <c r="DM142">
        <v>0</v>
      </c>
      <c r="DT142">
        <v>0</v>
      </c>
      <c r="EA142">
        <v>0</v>
      </c>
      <c r="EB142">
        <v>4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4</v>
      </c>
      <c r="EI142" t="s">
        <v>404</v>
      </c>
      <c r="EJ142" t="s">
        <v>404</v>
      </c>
      <c r="EK142" t="s">
        <v>404</v>
      </c>
      <c r="EL142" t="s">
        <v>404</v>
      </c>
      <c r="EM142" t="s">
        <v>404</v>
      </c>
      <c r="EN142" t="s">
        <v>404</v>
      </c>
      <c r="EO142" t="s">
        <v>405</v>
      </c>
      <c r="EP142" t="s">
        <v>404</v>
      </c>
      <c r="EQ142" t="s">
        <v>404</v>
      </c>
      <c r="ER142" t="s">
        <v>404</v>
      </c>
      <c r="ES142" t="s">
        <v>404</v>
      </c>
      <c r="ET142" t="s">
        <v>404</v>
      </c>
      <c r="EU142" t="s">
        <v>404</v>
      </c>
      <c r="EV142" t="s">
        <v>404</v>
      </c>
      <c r="EW142" t="s">
        <v>404</v>
      </c>
      <c r="EX142" t="s">
        <v>404</v>
      </c>
      <c r="EY142" t="s">
        <v>404</v>
      </c>
      <c r="EZ142" t="s">
        <v>404</v>
      </c>
      <c r="FA142" t="s">
        <v>404</v>
      </c>
      <c r="FB142" t="s">
        <v>404</v>
      </c>
      <c r="FC142" t="s">
        <v>404</v>
      </c>
      <c r="FD142" t="s">
        <v>404</v>
      </c>
      <c r="FE142" t="s">
        <v>404</v>
      </c>
      <c r="FF142" t="s">
        <v>404</v>
      </c>
      <c r="FG142" t="s">
        <v>404</v>
      </c>
      <c r="FH142" t="s">
        <v>404</v>
      </c>
      <c r="FI142" t="s">
        <v>404</v>
      </c>
      <c r="FJ142" t="s">
        <v>404</v>
      </c>
      <c r="FK142" t="s">
        <v>404</v>
      </c>
      <c r="FL142" t="s">
        <v>404</v>
      </c>
      <c r="FM142" t="s">
        <v>404</v>
      </c>
      <c r="FN142" t="s">
        <v>404</v>
      </c>
      <c r="FO142" t="s">
        <v>404</v>
      </c>
      <c r="FP142" t="s">
        <v>404</v>
      </c>
      <c r="FQ142" t="s">
        <v>404</v>
      </c>
      <c r="FR142" t="s">
        <v>404</v>
      </c>
      <c r="FS142">
        <v>15</v>
      </c>
      <c r="FY142">
        <v>15</v>
      </c>
      <c r="GF142">
        <v>0</v>
      </c>
      <c r="GM142">
        <v>0</v>
      </c>
      <c r="GT142">
        <v>0</v>
      </c>
      <c r="GU142">
        <v>20</v>
      </c>
      <c r="HA142">
        <v>20</v>
      </c>
      <c r="HH142">
        <v>0</v>
      </c>
      <c r="HO142">
        <v>0</v>
      </c>
      <c r="HP142" t="s">
        <v>1453</v>
      </c>
      <c r="HQ142">
        <v>73</v>
      </c>
      <c r="HW142">
        <v>73</v>
      </c>
      <c r="HX142">
        <v>108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108</v>
      </c>
      <c r="IK142">
        <v>0</v>
      </c>
      <c r="IL142">
        <v>108</v>
      </c>
      <c r="IR142">
        <v>108</v>
      </c>
      <c r="IY142">
        <v>0</v>
      </c>
      <c r="JF142">
        <v>0</v>
      </c>
      <c r="JM142">
        <v>0</v>
      </c>
      <c r="JN142">
        <v>108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108</v>
      </c>
      <c r="JW142">
        <v>100</v>
      </c>
      <c r="JZ142">
        <v>1</v>
      </c>
      <c r="KA142">
        <v>3</v>
      </c>
      <c r="KB142">
        <v>2</v>
      </c>
      <c r="KC142" t="s">
        <v>407</v>
      </c>
      <c r="OF142" t="s">
        <v>408</v>
      </c>
      <c r="SI142" t="s">
        <v>409</v>
      </c>
      <c r="WL142" t="s">
        <v>410</v>
      </c>
      <c r="AAO142" t="s">
        <v>411</v>
      </c>
      <c r="AER142" t="s">
        <v>412</v>
      </c>
    </row>
    <row r="143" spans="1:824" x14ac:dyDescent="0.2">
      <c r="A143" t="s">
        <v>1454</v>
      </c>
      <c r="B143" t="s">
        <v>396</v>
      </c>
      <c r="C143" t="s">
        <v>1455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>
        <v>808</v>
      </c>
      <c r="W143" s="3">
        <v>43522.722222222219</v>
      </c>
      <c r="X143" t="s">
        <v>1456</v>
      </c>
      <c r="Y143">
        <v>2019</v>
      </c>
      <c r="Z143" t="s">
        <v>1457</v>
      </c>
      <c r="AA143" t="s">
        <v>1458</v>
      </c>
      <c r="AB143" t="s">
        <v>1459</v>
      </c>
      <c r="AC143" t="s">
        <v>1460</v>
      </c>
      <c r="AD143">
        <v>653311680</v>
      </c>
      <c r="AE143" t="s">
        <v>611</v>
      </c>
      <c r="AF143" t="s">
        <v>403</v>
      </c>
      <c r="AH143">
        <v>1</v>
      </c>
      <c r="AK143">
        <v>600</v>
      </c>
      <c r="AL143">
        <v>600</v>
      </c>
      <c r="AM143">
        <v>500</v>
      </c>
      <c r="AN143">
        <v>500</v>
      </c>
      <c r="AU143">
        <v>0</v>
      </c>
      <c r="AV143">
        <v>600</v>
      </c>
      <c r="BB143">
        <v>600</v>
      </c>
      <c r="BI143">
        <v>0</v>
      </c>
      <c r="BP143">
        <v>0</v>
      </c>
      <c r="BW143">
        <v>0</v>
      </c>
      <c r="CD143">
        <v>0</v>
      </c>
      <c r="CE143">
        <v>600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600</v>
      </c>
      <c r="CR143">
        <v>0</v>
      </c>
      <c r="CS143">
        <v>3</v>
      </c>
      <c r="CY143">
        <v>3</v>
      </c>
      <c r="DF143">
        <v>0</v>
      </c>
      <c r="DM143">
        <v>0</v>
      </c>
      <c r="DT143">
        <v>0</v>
      </c>
      <c r="EA143">
        <v>0</v>
      </c>
      <c r="EB143">
        <v>3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3</v>
      </c>
      <c r="EI143" t="s">
        <v>404</v>
      </c>
      <c r="EJ143" t="s">
        <v>404</v>
      </c>
      <c r="EK143" t="s">
        <v>404</v>
      </c>
      <c r="EL143" t="s">
        <v>404</v>
      </c>
      <c r="EM143" t="s">
        <v>404</v>
      </c>
      <c r="EN143" t="s">
        <v>404</v>
      </c>
      <c r="EO143" t="s">
        <v>405</v>
      </c>
      <c r="EP143" t="s">
        <v>404</v>
      </c>
      <c r="EQ143" t="s">
        <v>404</v>
      </c>
      <c r="ER143" t="s">
        <v>404</v>
      </c>
      <c r="ES143" t="s">
        <v>404</v>
      </c>
      <c r="ET143" t="s">
        <v>404</v>
      </c>
      <c r="EU143" t="s">
        <v>404</v>
      </c>
      <c r="EV143" t="s">
        <v>404</v>
      </c>
      <c r="EW143" t="s">
        <v>404</v>
      </c>
      <c r="EX143" t="s">
        <v>404</v>
      </c>
      <c r="EY143" t="s">
        <v>404</v>
      </c>
      <c r="EZ143" t="s">
        <v>404</v>
      </c>
      <c r="FA143" t="s">
        <v>404</v>
      </c>
      <c r="FB143" t="s">
        <v>404</v>
      </c>
      <c r="FC143" t="s">
        <v>404</v>
      </c>
      <c r="FD143" t="s">
        <v>404</v>
      </c>
      <c r="FE143" t="s">
        <v>404</v>
      </c>
      <c r="FF143" t="s">
        <v>404</v>
      </c>
      <c r="FG143" t="s">
        <v>404</v>
      </c>
      <c r="FH143" t="s">
        <v>404</v>
      </c>
      <c r="FI143" t="s">
        <v>404</v>
      </c>
      <c r="FJ143" t="s">
        <v>404</v>
      </c>
      <c r="FK143" t="s">
        <v>404</v>
      </c>
      <c r="FL143" t="s">
        <v>404</v>
      </c>
      <c r="FM143" t="s">
        <v>404</v>
      </c>
      <c r="FN143" t="s">
        <v>404</v>
      </c>
      <c r="FO143" t="s">
        <v>404</v>
      </c>
      <c r="FP143" t="s">
        <v>404</v>
      </c>
      <c r="FQ143" t="s">
        <v>404</v>
      </c>
      <c r="FR143" t="s">
        <v>404</v>
      </c>
      <c r="FS143">
        <v>400</v>
      </c>
      <c r="FY143">
        <v>400</v>
      </c>
      <c r="FZ143">
        <v>180</v>
      </c>
      <c r="GF143">
        <v>180</v>
      </c>
      <c r="GM143">
        <v>0</v>
      </c>
      <c r="GT143">
        <v>0</v>
      </c>
      <c r="GU143">
        <v>20</v>
      </c>
      <c r="HA143">
        <v>20</v>
      </c>
      <c r="HH143">
        <v>0</v>
      </c>
      <c r="HO143">
        <v>0</v>
      </c>
      <c r="HW143">
        <v>0</v>
      </c>
      <c r="HX143">
        <v>600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600</v>
      </c>
      <c r="IK143">
        <v>0</v>
      </c>
      <c r="IL143">
        <v>600</v>
      </c>
      <c r="IR143">
        <v>600</v>
      </c>
      <c r="IY143">
        <v>0</v>
      </c>
      <c r="JF143">
        <v>0</v>
      </c>
      <c r="JM143">
        <v>0</v>
      </c>
      <c r="JN143">
        <v>600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600</v>
      </c>
      <c r="JU143">
        <v>5</v>
      </c>
      <c r="JV143">
        <v>5</v>
      </c>
      <c r="JW143">
        <v>90</v>
      </c>
      <c r="JZ143">
        <v>1</v>
      </c>
      <c r="KA143">
        <v>3</v>
      </c>
      <c r="KB143">
        <v>2</v>
      </c>
      <c r="KC143" t="s">
        <v>407</v>
      </c>
      <c r="OF143" t="s">
        <v>408</v>
      </c>
      <c r="SI143" t="s">
        <v>409</v>
      </c>
      <c r="WL143" t="s">
        <v>410</v>
      </c>
      <c r="AAO143" t="s">
        <v>411</v>
      </c>
      <c r="AER143" t="s">
        <v>412</v>
      </c>
    </row>
    <row r="144" spans="1:824" x14ac:dyDescent="0.2">
      <c r="A144" t="s">
        <v>1461</v>
      </c>
      <c r="B144" t="s">
        <v>414</v>
      </c>
      <c r="C144" t="s">
        <v>1462</v>
      </c>
      <c r="P144" t="b">
        <v>0</v>
      </c>
      <c r="Q144" t="b">
        <v>1</v>
      </c>
      <c r="R144" t="b">
        <v>0</v>
      </c>
      <c r="S144" t="b">
        <v>0</v>
      </c>
      <c r="T144" t="b">
        <v>0</v>
      </c>
      <c r="U144" t="b">
        <v>0</v>
      </c>
      <c r="V144">
        <v>665</v>
      </c>
      <c r="W144" s="3">
        <v>43494.383333333331</v>
      </c>
      <c r="X144" t="s">
        <v>1463</v>
      </c>
      <c r="Y144">
        <v>2019</v>
      </c>
      <c r="Z144" t="s">
        <v>1464</v>
      </c>
      <c r="AA144" t="s">
        <v>1462</v>
      </c>
      <c r="AB144" t="s">
        <v>1465</v>
      </c>
      <c r="AC144" t="s">
        <v>1466</v>
      </c>
      <c r="AD144">
        <v>6584286021</v>
      </c>
      <c r="AE144" t="s">
        <v>884</v>
      </c>
      <c r="AF144" t="s">
        <v>538</v>
      </c>
      <c r="AH144">
        <v>1</v>
      </c>
      <c r="AK144">
        <v>560</v>
      </c>
      <c r="AL144">
        <v>560</v>
      </c>
      <c r="AM144">
        <v>183</v>
      </c>
      <c r="AN144">
        <v>183</v>
      </c>
      <c r="AO144">
        <v>560</v>
      </c>
      <c r="AU144">
        <v>560</v>
      </c>
      <c r="BB144">
        <v>0</v>
      </c>
      <c r="BI144">
        <v>0</v>
      </c>
      <c r="BP144">
        <v>0</v>
      </c>
      <c r="BW144">
        <v>0</v>
      </c>
      <c r="CD144">
        <v>0</v>
      </c>
      <c r="CE144">
        <v>560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560</v>
      </c>
      <c r="CL144">
        <v>1</v>
      </c>
      <c r="CR144">
        <v>1</v>
      </c>
      <c r="CY144">
        <v>0</v>
      </c>
      <c r="DF144">
        <v>0</v>
      </c>
      <c r="DM144">
        <v>0</v>
      </c>
      <c r="DT144">
        <v>0</v>
      </c>
      <c r="EA144">
        <v>0</v>
      </c>
      <c r="EB144">
        <v>1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1</v>
      </c>
      <c r="EI144" t="s">
        <v>405</v>
      </c>
      <c r="EJ144" t="s">
        <v>404</v>
      </c>
      <c r="EK144" t="s">
        <v>404</v>
      </c>
      <c r="EL144" t="s">
        <v>404</v>
      </c>
      <c r="EM144" t="s">
        <v>404</v>
      </c>
      <c r="EN144" t="s">
        <v>404</v>
      </c>
      <c r="EO144" t="s">
        <v>404</v>
      </c>
      <c r="EP144" t="s">
        <v>404</v>
      </c>
      <c r="EQ144" t="s">
        <v>404</v>
      </c>
      <c r="ER144" t="s">
        <v>404</v>
      </c>
      <c r="ES144" t="s">
        <v>404</v>
      </c>
      <c r="ET144" t="s">
        <v>404</v>
      </c>
      <c r="EU144" t="s">
        <v>404</v>
      </c>
      <c r="EV144" t="s">
        <v>404</v>
      </c>
      <c r="EW144" t="s">
        <v>404</v>
      </c>
      <c r="EX144" t="s">
        <v>404</v>
      </c>
      <c r="EY144" t="s">
        <v>404</v>
      </c>
      <c r="EZ144" t="s">
        <v>404</v>
      </c>
      <c r="FA144" t="s">
        <v>404</v>
      </c>
      <c r="FB144" t="s">
        <v>404</v>
      </c>
      <c r="FC144" t="s">
        <v>404</v>
      </c>
      <c r="FD144" t="s">
        <v>404</v>
      </c>
      <c r="FE144" t="s">
        <v>404</v>
      </c>
      <c r="FF144" t="s">
        <v>404</v>
      </c>
      <c r="FG144" t="s">
        <v>404</v>
      </c>
      <c r="FH144" t="s">
        <v>404</v>
      </c>
      <c r="FI144" t="s">
        <v>404</v>
      </c>
      <c r="FJ144" t="s">
        <v>404</v>
      </c>
      <c r="FK144" t="s">
        <v>404</v>
      </c>
      <c r="FL144" t="s">
        <v>404</v>
      </c>
      <c r="FM144" t="s">
        <v>404</v>
      </c>
      <c r="FN144" t="s">
        <v>404</v>
      </c>
      <c r="FO144" t="s">
        <v>404</v>
      </c>
      <c r="FP144" t="s">
        <v>404</v>
      </c>
      <c r="FQ144" t="s">
        <v>404</v>
      </c>
      <c r="FR144" t="s">
        <v>404</v>
      </c>
      <c r="FS144">
        <v>277</v>
      </c>
      <c r="FY144">
        <v>277</v>
      </c>
      <c r="FZ144">
        <v>18</v>
      </c>
      <c r="GF144">
        <v>18</v>
      </c>
      <c r="GG144">
        <v>0</v>
      </c>
      <c r="GM144">
        <v>0</v>
      </c>
      <c r="GN144">
        <v>0</v>
      </c>
      <c r="GT144">
        <v>0</v>
      </c>
      <c r="GU144">
        <v>95</v>
      </c>
      <c r="HA144">
        <v>95</v>
      </c>
      <c r="HB144">
        <v>5</v>
      </c>
      <c r="HH144">
        <v>5</v>
      </c>
      <c r="HI144">
        <v>65</v>
      </c>
      <c r="HO144">
        <v>65</v>
      </c>
      <c r="HP144" t="s">
        <v>1413</v>
      </c>
      <c r="HQ144">
        <v>100</v>
      </c>
      <c r="HW144">
        <v>100</v>
      </c>
      <c r="HX144">
        <v>560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560</v>
      </c>
      <c r="IE144">
        <v>167</v>
      </c>
      <c r="IK144">
        <v>167</v>
      </c>
      <c r="IL144">
        <v>233</v>
      </c>
      <c r="IR144">
        <v>233</v>
      </c>
      <c r="IS144">
        <v>160</v>
      </c>
      <c r="IY144">
        <v>160</v>
      </c>
      <c r="JF144">
        <v>0</v>
      </c>
      <c r="JM144">
        <v>0</v>
      </c>
      <c r="JN144">
        <v>560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560</v>
      </c>
      <c r="JU144">
        <v>1.7</v>
      </c>
      <c r="JW144">
        <v>98.3</v>
      </c>
      <c r="JZ144">
        <v>2</v>
      </c>
      <c r="KA144">
        <v>2</v>
      </c>
      <c r="KB144">
        <v>1</v>
      </c>
      <c r="KC144" t="s">
        <v>407</v>
      </c>
      <c r="OF144" t="s">
        <v>408</v>
      </c>
      <c r="SI144" t="s">
        <v>409</v>
      </c>
      <c r="WL144" t="s">
        <v>410</v>
      </c>
      <c r="AAO144" t="s">
        <v>411</v>
      </c>
      <c r="AER144" t="s">
        <v>412</v>
      </c>
    </row>
    <row r="145" spans="1:824" x14ac:dyDescent="0.2">
      <c r="A145" t="s">
        <v>1467</v>
      </c>
      <c r="B145" t="s">
        <v>563</v>
      </c>
      <c r="C145" t="s">
        <v>1468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>
        <v>602</v>
      </c>
      <c r="W145" s="3">
        <v>43482.100694444445</v>
      </c>
      <c r="X145" t="s">
        <v>1469</v>
      </c>
      <c r="Y145">
        <v>2019</v>
      </c>
      <c r="Z145" t="s">
        <v>1470</v>
      </c>
      <c r="AA145" t="s">
        <v>1471</v>
      </c>
      <c r="AB145" t="s">
        <v>1472</v>
      </c>
      <c r="AC145" t="s">
        <v>1473</v>
      </c>
      <c r="AD145">
        <v>8013656227</v>
      </c>
      <c r="AE145" t="s">
        <v>571</v>
      </c>
      <c r="AF145" t="s">
        <v>538</v>
      </c>
      <c r="AH145">
        <v>2</v>
      </c>
      <c r="AI145">
        <v>6</v>
      </c>
      <c r="AJ145" t="s">
        <v>1474</v>
      </c>
      <c r="AU145">
        <v>0</v>
      </c>
      <c r="BB145">
        <v>0</v>
      </c>
      <c r="BI145">
        <v>0</v>
      </c>
      <c r="BP145">
        <v>0</v>
      </c>
      <c r="BW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R145">
        <v>0</v>
      </c>
      <c r="CY145">
        <v>0</v>
      </c>
      <c r="DF145">
        <v>0</v>
      </c>
      <c r="DM145">
        <v>0</v>
      </c>
      <c r="DT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 t="s">
        <v>404</v>
      </c>
      <c r="EJ145" t="s">
        <v>404</v>
      </c>
      <c r="EK145" t="s">
        <v>404</v>
      </c>
      <c r="EL145" t="s">
        <v>404</v>
      </c>
      <c r="EM145" t="s">
        <v>404</v>
      </c>
      <c r="EN145" t="s">
        <v>404</v>
      </c>
      <c r="EO145" t="s">
        <v>404</v>
      </c>
      <c r="EP145" t="s">
        <v>404</v>
      </c>
      <c r="EQ145" t="s">
        <v>404</v>
      </c>
      <c r="ER145" t="s">
        <v>404</v>
      </c>
      <c r="ES145" t="s">
        <v>404</v>
      </c>
      <c r="ET145" t="s">
        <v>404</v>
      </c>
      <c r="EU145" t="s">
        <v>404</v>
      </c>
      <c r="EV145" t="s">
        <v>404</v>
      </c>
      <c r="EW145" t="s">
        <v>404</v>
      </c>
      <c r="EX145" t="s">
        <v>404</v>
      </c>
      <c r="EY145" t="s">
        <v>404</v>
      </c>
      <c r="EZ145" t="s">
        <v>404</v>
      </c>
      <c r="FA145" t="s">
        <v>404</v>
      </c>
      <c r="FB145" t="s">
        <v>404</v>
      </c>
      <c r="FC145" t="s">
        <v>404</v>
      </c>
      <c r="FD145" t="s">
        <v>404</v>
      </c>
      <c r="FE145" t="s">
        <v>404</v>
      </c>
      <c r="FF145" t="s">
        <v>404</v>
      </c>
      <c r="FG145" t="s">
        <v>404</v>
      </c>
      <c r="FH145" t="s">
        <v>404</v>
      </c>
      <c r="FI145" t="s">
        <v>404</v>
      </c>
      <c r="FJ145" t="s">
        <v>404</v>
      </c>
      <c r="FK145" t="s">
        <v>404</v>
      </c>
      <c r="FL145" t="s">
        <v>404</v>
      </c>
      <c r="FM145" t="s">
        <v>404</v>
      </c>
      <c r="FN145" t="s">
        <v>404</v>
      </c>
      <c r="FO145" t="s">
        <v>404</v>
      </c>
      <c r="FP145" t="s">
        <v>404</v>
      </c>
      <c r="FQ145" t="s">
        <v>404</v>
      </c>
      <c r="FR145" t="s">
        <v>404</v>
      </c>
      <c r="FY145">
        <v>0</v>
      </c>
      <c r="GF145">
        <v>0</v>
      </c>
      <c r="GM145">
        <v>0</v>
      </c>
      <c r="GT145">
        <v>0</v>
      </c>
      <c r="HA145">
        <v>0</v>
      </c>
      <c r="HH145">
        <v>0</v>
      </c>
      <c r="HO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K145">
        <v>0</v>
      </c>
      <c r="IR145">
        <v>0</v>
      </c>
      <c r="IY145">
        <v>0</v>
      </c>
      <c r="JF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Z145">
        <v>1</v>
      </c>
      <c r="KA145">
        <v>3</v>
      </c>
      <c r="KB145">
        <v>2</v>
      </c>
      <c r="KC145" t="s">
        <v>407</v>
      </c>
      <c r="OF145" t="s">
        <v>408</v>
      </c>
      <c r="SI145" t="s">
        <v>409</v>
      </c>
      <c r="WL145" t="s">
        <v>410</v>
      </c>
      <c r="AAO145" t="s">
        <v>411</v>
      </c>
      <c r="AER145" t="s">
        <v>412</v>
      </c>
    </row>
    <row r="146" spans="1:824" x14ac:dyDescent="0.2">
      <c r="A146" t="s">
        <v>1475</v>
      </c>
      <c r="B146" t="s">
        <v>396</v>
      </c>
      <c r="C146" t="s">
        <v>1476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>
        <v>680</v>
      </c>
      <c r="W146" s="3">
        <v>43494.680555555555</v>
      </c>
      <c r="X146" t="s">
        <v>1477</v>
      </c>
      <c r="Y146">
        <v>2019</v>
      </c>
      <c r="Z146" t="s">
        <v>1478</v>
      </c>
      <c r="AA146" t="s">
        <v>1476</v>
      </c>
      <c r="AB146" t="s">
        <v>734</v>
      </c>
      <c r="AC146" t="s">
        <v>1479</v>
      </c>
      <c r="AD146">
        <v>2070431005</v>
      </c>
      <c r="AE146" t="s">
        <v>491</v>
      </c>
      <c r="AF146" t="s">
        <v>492</v>
      </c>
      <c r="AH146">
        <v>2</v>
      </c>
      <c r="AI146">
        <v>6</v>
      </c>
      <c r="AJ146" t="s">
        <v>1480</v>
      </c>
      <c r="AU146">
        <v>0</v>
      </c>
      <c r="BB146">
        <v>0</v>
      </c>
      <c r="BI146">
        <v>0</v>
      </c>
      <c r="BP146">
        <v>0</v>
      </c>
      <c r="BW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R146">
        <v>0</v>
      </c>
      <c r="CY146">
        <v>0</v>
      </c>
      <c r="DF146">
        <v>0</v>
      </c>
      <c r="DM146">
        <v>0</v>
      </c>
      <c r="DT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 t="s">
        <v>404</v>
      </c>
      <c r="EJ146" t="s">
        <v>404</v>
      </c>
      <c r="EK146" t="s">
        <v>404</v>
      </c>
      <c r="EL146" t="s">
        <v>404</v>
      </c>
      <c r="EM146" t="s">
        <v>404</v>
      </c>
      <c r="EN146" t="s">
        <v>404</v>
      </c>
      <c r="EO146" t="s">
        <v>404</v>
      </c>
      <c r="EP146" t="s">
        <v>404</v>
      </c>
      <c r="EQ146" t="s">
        <v>404</v>
      </c>
      <c r="ER146" t="s">
        <v>404</v>
      </c>
      <c r="ES146" t="s">
        <v>404</v>
      </c>
      <c r="ET146" t="s">
        <v>404</v>
      </c>
      <c r="EU146" t="s">
        <v>404</v>
      </c>
      <c r="EV146" t="s">
        <v>404</v>
      </c>
      <c r="EW146" t="s">
        <v>404</v>
      </c>
      <c r="EX146" t="s">
        <v>404</v>
      </c>
      <c r="EY146" t="s">
        <v>404</v>
      </c>
      <c r="EZ146" t="s">
        <v>404</v>
      </c>
      <c r="FA146" t="s">
        <v>404</v>
      </c>
      <c r="FB146" t="s">
        <v>404</v>
      </c>
      <c r="FC146" t="s">
        <v>404</v>
      </c>
      <c r="FD146" t="s">
        <v>404</v>
      </c>
      <c r="FE146" t="s">
        <v>404</v>
      </c>
      <c r="FF146" t="s">
        <v>404</v>
      </c>
      <c r="FG146" t="s">
        <v>404</v>
      </c>
      <c r="FH146" t="s">
        <v>404</v>
      </c>
      <c r="FI146" t="s">
        <v>404</v>
      </c>
      <c r="FJ146" t="s">
        <v>404</v>
      </c>
      <c r="FK146" t="s">
        <v>404</v>
      </c>
      <c r="FL146" t="s">
        <v>404</v>
      </c>
      <c r="FM146" t="s">
        <v>404</v>
      </c>
      <c r="FN146" t="s">
        <v>404</v>
      </c>
      <c r="FO146" t="s">
        <v>404</v>
      </c>
      <c r="FP146" t="s">
        <v>404</v>
      </c>
      <c r="FQ146" t="s">
        <v>404</v>
      </c>
      <c r="FR146" t="s">
        <v>404</v>
      </c>
      <c r="FY146">
        <v>0</v>
      </c>
      <c r="GF146">
        <v>0</v>
      </c>
      <c r="GM146">
        <v>0</v>
      </c>
      <c r="GT146">
        <v>0</v>
      </c>
      <c r="HA146">
        <v>0</v>
      </c>
      <c r="HH146">
        <v>0</v>
      </c>
      <c r="HO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K146">
        <v>0</v>
      </c>
      <c r="IR146">
        <v>0</v>
      </c>
      <c r="IY146">
        <v>0</v>
      </c>
      <c r="JF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Z146">
        <v>1</v>
      </c>
      <c r="KA146">
        <v>3</v>
      </c>
      <c r="KB146">
        <v>2</v>
      </c>
      <c r="KC146" t="s">
        <v>407</v>
      </c>
      <c r="OF146" t="s">
        <v>408</v>
      </c>
      <c r="SI146" t="s">
        <v>409</v>
      </c>
      <c r="WL146" t="s">
        <v>410</v>
      </c>
      <c r="AAO146" t="s">
        <v>411</v>
      </c>
      <c r="AER146" t="s">
        <v>412</v>
      </c>
    </row>
    <row r="147" spans="1:824" x14ac:dyDescent="0.2">
      <c r="A147" t="s">
        <v>1481</v>
      </c>
      <c r="B147" t="s">
        <v>396</v>
      </c>
      <c r="C147" t="s">
        <v>1482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>
        <v>676</v>
      </c>
      <c r="W147" s="3">
        <v>43504.276388888888</v>
      </c>
      <c r="X147" t="s">
        <v>1483</v>
      </c>
      <c r="Y147">
        <v>2019</v>
      </c>
      <c r="Z147" t="s">
        <v>1484</v>
      </c>
      <c r="AA147" t="s">
        <v>1482</v>
      </c>
      <c r="AC147" t="s">
        <v>1485</v>
      </c>
      <c r="AE147" t="s">
        <v>437</v>
      </c>
      <c r="AF147" t="s">
        <v>403</v>
      </c>
      <c r="AH147">
        <v>1</v>
      </c>
      <c r="AK147">
        <v>1711</v>
      </c>
      <c r="AL147">
        <v>1711</v>
      </c>
      <c r="AU147">
        <v>0</v>
      </c>
      <c r="BB147">
        <v>0</v>
      </c>
      <c r="BI147">
        <v>0</v>
      </c>
      <c r="BP147">
        <v>0</v>
      </c>
      <c r="BW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R147">
        <v>0</v>
      </c>
      <c r="CY147">
        <v>0</v>
      </c>
      <c r="DF147">
        <v>0</v>
      </c>
      <c r="DM147">
        <v>0</v>
      </c>
      <c r="DT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 t="s">
        <v>404</v>
      </c>
      <c r="EJ147" t="s">
        <v>404</v>
      </c>
      <c r="EK147" t="s">
        <v>404</v>
      </c>
      <c r="EL147" t="s">
        <v>404</v>
      </c>
      <c r="EM147" t="s">
        <v>404</v>
      </c>
      <c r="EN147" t="s">
        <v>404</v>
      </c>
      <c r="EO147" t="s">
        <v>404</v>
      </c>
      <c r="EP147" t="s">
        <v>404</v>
      </c>
      <c r="EQ147" t="s">
        <v>404</v>
      </c>
      <c r="ER147" t="s">
        <v>404</v>
      </c>
      <c r="ES147" t="s">
        <v>404</v>
      </c>
      <c r="ET147" t="s">
        <v>404</v>
      </c>
      <c r="EU147" t="s">
        <v>404</v>
      </c>
      <c r="EV147" t="s">
        <v>404</v>
      </c>
      <c r="EW147" t="s">
        <v>404</v>
      </c>
      <c r="EX147" t="s">
        <v>404</v>
      </c>
      <c r="EY147" t="s">
        <v>404</v>
      </c>
      <c r="EZ147" t="s">
        <v>404</v>
      </c>
      <c r="FA147" t="s">
        <v>404</v>
      </c>
      <c r="FB147" t="s">
        <v>404</v>
      </c>
      <c r="FC147" t="s">
        <v>404</v>
      </c>
      <c r="FD147" t="s">
        <v>404</v>
      </c>
      <c r="FE147" t="s">
        <v>404</v>
      </c>
      <c r="FF147" t="s">
        <v>404</v>
      </c>
      <c r="FG147" t="s">
        <v>404</v>
      </c>
      <c r="FH147" t="s">
        <v>404</v>
      </c>
      <c r="FI147" t="s">
        <v>404</v>
      </c>
      <c r="FJ147" t="s">
        <v>404</v>
      </c>
      <c r="FK147" t="s">
        <v>404</v>
      </c>
      <c r="FL147" t="s">
        <v>404</v>
      </c>
      <c r="FM147" t="s">
        <v>404</v>
      </c>
      <c r="FN147" t="s">
        <v>404</v>
      </c>
      <c r="FO147" t="s">
        <v>404</v>
      </c>
      <c r="FP147" t="s">
        <v>404</v>
      </c>
      <c r="FQ147" t="s">
        <v>404</v>
      </c>
      <c r="FR147" t="s">
        <v>404</v>
      </c>
      <c r="FY147">
        <v>0</v>
      </c>
      <c r="GF147">
        <v>0</v>
      </c>
      <c r="GM147">
        <v>0</v>
      </c>
      <c r="GT147">
        <v>0</v>
      </c>
      <c r="HA147">
        <v>0</v>
      </c>
      <c r="HH147">
        <v>0</v>
      </c>
      <c r="HO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K147">
        <v>0</v>
      </c>
      <c r="IR147">
        <v>0</v>
      </c>
      <c r="IY147">
        <v>0</v>
      </c>
      <c r="JF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Z147">
        <v>1</v>
      </c>
      <c r="KA147">
        <v>3</v>
      </c>
      <c r="KB147">
        <v>2</v>
      </c>
      <c r="KC147" t="s">
        <v>407</v>
      </c>
      <c r="OF147" t="s">
        <v>408</v>
      </c>
      <c r="SI147" t="s">
        <v>409</v>
      </c>
      <c r="WL147" t="s">
        <v>410</v>
      </c>
      <c r="AAO147" t="s">
        <v>411</v>
      </c>
      <c r="AER147" t="s">
        <v>412</v>
      </c>
    </row>
    <row r="148" spans="1:824" x14ac:dyDescent="0.2">
      <c r="A148" t="s">
        <v>1486</v>
      </c>
      <c r="B148" t="s">
        <v>414</v>
      </c>
      <c r="C148" t="s">
        <v>1487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>
        <v>695</v>
      </c>
      <c r="W148" s="3">
        <v>43501.892361111109</v>
      </c>
      <c r="X148" t="s">
        <v>1488</v>
      </c>
      <c r="Y148">
        <v>2019</v>
      </c>
      <c r="Z148" t="s">
        <v>1489</v>
      </c>
      <c r="AA148" t="s">
        <v>1487</v>
      </c>
      <c r="AB148" t="s">
        <v>1419</v>
      </c>
      <c r="AC148" t="s">
        <v>1490</v>
      </c>
      <c r="AD148" t="s">
        <v>1491</v>
      </c>
      <c r="AE148" t="s">
        <v>420</v>
      </c>
      <c r="AF148" t="s">
        <v>403</v>
      </c>
      <c r="AH148">
        <v>2</v>
      </c>
      <c r="AI148">
        <v>6</v>
      </c>
      <c r="AJ148" t="s">
        <v>1492</v>
      </c>
      <c r="AU148">
        <v>0</v>
      </c>
      <c r="BB148">
        <v>0</v>
      </c>
      <c r="BI148">
        <v>0</v>
      </c>
      <c r="BP148">
        <v>0</v>
      </c>
      <c r="BW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R148">
        <v>0</v>
      </c>
      <c r="CY148">
        <v>0</v>
      </c>
      <c r="DF148">
        <v>0</v>
      </c>
      <c r="DM148">
        <v>0</v>
      </c>
      <c r="DT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 t="s">
        <v>404</v>
      </c>
      <c r="EJ148" t="s">
        <v>404</v>
      </c>
      <c r="EK148" t="s">
        <v>404</v>
      </c>
      <c r="EL148" t="s">
        <v>404</v>
      </c>
      <c r="EM148" t="s">
        <v>404</v>
      </c>
      <c r="EN148" t="s">
        <v>404</v>
      </c>
      <c r="EO148" t="s">
        <v>404</v>
      </c>
      <c r="EP148" t="s">
        <v>404</v>
      </c>
      <c r="EQ148" t="s">
        <v>404</v>
      </c>
      <c r="ER148" t="s">
        <v>404</v>
      </c>
      <c r="ES148" t="s">
        <v>404</v>
      </c>
      <c r="ET148" t="s">
        <v>404</v>
      </c>
      <c r="EU148" t="s">
        <v>404</v>
      </c>
      <c r="EV148" t="s">
        <v>404</v>
      </c>
      <c r="EW148" t="s">
        <v>404</v>
      </c>
      <c r="EX148" t="s">
        <v>404</v>
      </c>
      <c r="EY148" t="s">
        <v>404</v>
      </c>
      <c r="EZ148" t="s">
        <v>404</v>
      </c>
      <c r="FA148" t="s">
        <v>404</v>
      </c>
      <c r="FB148" t="s">
        <v>404</v>
      </c>
      <c r="FC148" t="s">
        <v>404</v>
      </c>
      <c r="FD148" t="s">
        <v>404</v>
      </c>
      <c r="FE148" t="s">
        <v>404</v>
      </c>
      <c r="FF148" t="s">
        <v>404</v>
      </c>
      <c r="FG148" t="s">
        <v>404</v>
      </c>
      <c r="FH148" t="s">
        <v>404</v>
      </c>
      <c r="FI148" t="s">
        <v>404</v>
      </c>
      <c r="FJ148" t="s">
        <v>404</v>
      </c>
      <c r="FK148" t="s">
        <v>404</v>
      </c>
      <c r="FL148" t="s">
        <v>404</v>
      </c>
      <c r="FM148" t="s">
        <v>404</v>
      </c>
      <c r="FN148" t="s">
        <v>404</v>
      </c>
      <c r="FO148" t="s">
        <v>404</v>
      </c>
      <c r="FP148" t="s">
        <v>404</v>
      </c>
      <c r="FQ148" t="s">
        <v>404</v>
      </c>
      <c r="FR148" t="s">
        <v>404</v>
      </c>
      <c r="FY148">
        <v>0</v>
      </c>
      <c r="GF148">
        <v>0</v>
      </c>
      <c r="GM148">
        <v>0</v>
      </c>
      <c r="GT148">
        <v>0</v>
      </c>
      <c r="HA148">
        <v>0</v>
      </c>
      <c r="HH148">
        <v>0</v>
      </c>
      <c r="HO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K148">
        <v>0</v>
      </c>
      <c r="IR148">
        <v>0</v>
      </c>
      <c r="IY148">
        <v>0</v>
      </c>
      <c r="JF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Z148">
        <v>1</v>
      </c>
      <c r="KA148">
        <v>3</v>
      </c>
      <c r="KB148">
        <v>1</v>
      </c>
      <c r="KC148" t="s">
        <v>407</v>
      </c>
      <c r="OF148" t="s">
        <v>408</v>
      </c>
      <c r="SI148" t="s">
        <v>409</v>
      </c>
      <c r="WL148" t="s">
        <v>410</v>
      </c>
      <c r="AAO148" t="s">
        <v>411</v>
      </c>
      <c r="AER148" t="s">
        <v>412</v>
      </c>
    </row>
    <row r="149" spans="1:824" x14ac:dyDescent="0.2">
      <c r="A149" t="s">
        <v>1493</v>
      </c>
      <c r="B149" t="s">
        <v>396</v>
      </c>
      <c r="C149" t="s">
        <v>1494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>
        <v>683</v>
      </c>
      <c r="W149" s="3">
        <v>43494.775000000001</v>
      </c>
      <c r="X149" t="s">
        <v>1495</v>
      </c>
      <c r="Y149">
        <v>2019</v>
      </c>
      <c r="Z149" t="s">
        <v>1496</v>
      </c>
      <c r="AA149" t="s">
        <v>1497</v>
      </c>
      <c r="AB149" t="s">
        <v>734</v>
      </c>
      <c r="AC149" t="s">
        <v>1498</v>
      </c>
      <c r="AD149" t="s">
        <v>1499</v>
      </c>
      <c r="AE149" t="s">
        <v>1073</v>
      </c>
      <c r="AF149" t="s">
        <v>403</v>
      </c>
      <c r="AH149">
        <v>2</v>
      </c>
      <c r="AI149">
        <v>6</v>
      </c>
      <c r="AJ149" t="s">
        <v>1500</v>
      </c>
      <c r="AU149">
        <v>0</v>
      </c>
      <c r="BB149">
        <v>0</v>
      </c>
      <c r="BI149">
        <v>0</v>
      </c>
      <c r="BP149">
        <v>0</v>
      </c>
      <c r="BW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R149">
        <v>0</v>
      </c>
      <c r="CY149">
        <v>0</v>
      </c>
      <c r="DF149">
        <v>0</v>
      </c>
      <c r="DM149">
        <v>0</v>
      </c>
      <c r="DT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 t="s">
        <v>404</v>
      </c>
      <c r="EJ149" t="s">
        <v>404</v>
      </c>
      <c r="EK149" t="s">
        <v>404</v>
      </c>
      <c r="EL149" t="s">
        <v>404</v>
      </c>
      <c r="EM149" t="s">
        <v>404</v>
      </c>
      <c r="EN149" t="s">
        <v>404</v>
      </c>
      <c r="EO149" t="s">
        <v>404</v>
      </c>
      <c r="EP149" t="s">
        <v>404</v>
      </c>
      <c r="EQ149" t="s">
        <v>404</v>
      </c>
      <c r="ER149" t="s">
        <v>404</v>
      </c>
      <c r="ES149" t="s">
        <v>404</v>
      </c>
      <c r="ET149" t="s">
        <v>404</v>
      </c>
      <c r="EU149" t="s">
        <v>404</v>
      </c>
      <c r="EV149" t="s">
        <v>404</v>
      </c>
      <c r="EW149" t="s">
        <v>404</v>
      </c>
      <c r="EX149" t="s">
        <v>404</v>
      </c>
      <c r="EY149" t="s">
        <v>404</v>
      </c>
      <c r="EZ149" t="s">
        <v>404</v>
      </c>
      <c r="FA149" t="s">
        <v>404</v>
      </c>
      <c r="FB149" t="s">
        <v>404</v>
      </c>
      <c r="FC149" t="s">
        <v>404</v>
      </c>
      <c r="FD149" t="s">
        <v>404</v>
      </c>
      <c r="FE149" t="s">
        <v>404</v>
      </c>
      <c r="FF149" t="s">
        <v>404</v>
      </c>
      <c r="FG149" t="s">
        <v>404</v>
      </c>
      <c r="FH149" t="s">
        <v>404</v>
      </c>
      <c r="FI149" t="s">
        <v>404</v>
      </c>
      <c r="FJ149" t="s">
        <v>404</v>
      </c>
      <c r="FK149" t="s">
        <v>404</v>
      </c>
      <c r="FL149" t="s">
        <v>404</v>
      </c>
      <c r="FM149" t="s">
        <v>404</v>
      </c>
      <c r="FN149" t="s">
        <v>404</v>
      </c>
      <c r="FO149" t="s">
        <v>404</v>
      </c>
      <c r="FP149" t="s">
        <v>404</v>
      </c>
      <c r="FQ149" t="s">
        <v>404</v>
      </c>
      <c r="FR149" t="s">
        <v>404</v>
      </c>
      <c r="FY149">
        <v>0</v>
      </c>
      <c r="GF149">
        <v>0</v>
      </c>
      <c r="GM149">
        <v>0</v>
      </c>
      <c r="GT149">
        <v>0</v>
      </c>
      <c r="HA149">
        <v>0</v>
      </c>
      <c r="HH149">
        <v>0</v>
      </c>
      <c r="HO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K149">
        <v>0</v>
      </c>
      <c r="IR149">
        <v>0</v>
      </c>
      <c r="IY149">
        <v>0</v>
      </c>
      <c r="JF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Z149">
        <v>1</v>
      </c>
      <c r="KA149">
        <v>3</v>
      </c>
      <c r="KB149">
        <v>1</v>
      </c>
      <c r="KC149" t="s">
        <v>407</v>
      </c>
      <c r="OF149" t="s">
        <v>408</v>
      </c>
      <c r="SI149" t="s">
        <v>409</v>
      </c>
      <c r="WL149" t="s">
        <v>410</v>
      </c>
      <c r="AAO149" t="s">
        <v>411</v>
      </c>
      <c r="AER149" t="s">
        <v>412</v>
      </c>
    </row>
    <row r="150" spans="1:824" x14ac:dyDescent="0.2">
      <c r="A150" t="s">
        <v>1501</v>
      </c>
      <c r="B150" t="s">
        <v>396</v>
      </c>
      <c r="C150" t="s">
        <v>1502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>
        <v>624</v>
      </c>
      <c r="W150" s="3">
        <v>43514.529166666667</v>
      </c>
      <c r="X150" t="s">
        <v>1503</v>
      </c>
      <c r="Y150">
        <v>2019</v>
      </c>
      <c r="Z150" t="s">
        <v>1504</v>
      </c>
      <c r="AA150" t="s">
        <v>1505</v>
      </c>
      <c r="AB150" t="s">
        <v>734</v>
      </c>
      <c r="AC150" t="s">
        <v>1506</v>
      </c>
      <c r="AE150" t="s">
        <v>611</v>
      </c>
      <c r="AF150" t="s">
        <v>403</v>
      </c>
      <c r="AH150">
        <v>2</v>
      </c>
      <c r="AI150">
        <v>6</v>
      </c>
      <c r="AJ150" t="s">
        <v>1507</v>
      </c>
      <c r="AU150">
        <v>0</v>
      </c>
      <c r="BB150">
        <v>0</v>
      </c>
      <c r="BI150">
        <v>0</v>
      </c>
      <c r="BP150">
        <v>0</v>
      </c>
      <c r="BW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R150">
        <v>0</v>
      </c>
      <c r="CY150">
        <v>0</v>
      </c>
      <c r="DF150">
        <v>0</v>
      </c>
      <c r="DM150">
        <v>0</v>
      </c>
      <c r="DT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 t="s">
        <v>404</v>
      </c>
      <c r="EJ150" t="s">
        <v>404</v>
      </c>
      <c r="EK150" t="s">
        <v>404</v>
      </c>
      <c r="EL150" t="s">
        <v>404</v>
      </c>
      <c r="EM150" t="s">
        <v>404</v>
      </c>
      <c r="EN150" t="s">
        <v>404</v>
      </c>
      <c r="EO150" t="s">
        <v>404</v>
      </c>
      <c r="EP150" t="s">
        <v>404</v>
      </c>
      <c r="EQ150" t="s">
        <v>404</v>
      </c>
      <c r="ER150" t="s">
        <v>404</v>
      </c>
      <c r="ES150" t="s">
        <v>404</v>
      </c>
      <c r="ET150" t="s">
        <v>404</v>
      </c>
      <c r="EU150" t="s">
        <v>404</v>
      </c>
      <c r="EV150" t="s">
        <v>404</v>
      </c>
      <c r="EW150" t="s">
        <v>404</v>
      </c>
      <c r="EX150" t="s">
        <v>404</v>
      </c>
      <c r="EY150" t="s">
        <v>404</v>
      </c>
      <c r="EZ150" t="s">
        <v>404</v>
      </c>
      <c r="FA150" t="s">
        <v>404</v>
      </c>
      <c r="FB150" t="s">
        <v>404</v>
      </c>
      <c r="FC150" t="s">
        <v>404</v>
      </c>
      <c r="FD150" t="s">
        <v>404</v>
      </c>
      <c r="FE150" t="s">
        <v>404</v>
      </c>
      <c r="FF150" t="s">
        <v>404</v>
      </c>
      <c r="FG150" t="s">
        <v>404</v>
      </c>
      <c r="FH150" t="s">
        <v>404</v>
      </c>
      <c r="FI150" t="s">
        <v>404</v>
      </c>
      <c r="FJ150" t="s">
        <v>404</v>
      </c>
      <c r="FK150" t="s">
        <v>404</v>
      </c>
      <c r="FL150" t="s">
        <v>404</v>
      </c>
      <c r="FM150" t="s">
        <v>404</v>
      </c>
      <c r="FN150" t="s">
        <v>404</v>
      </c>
      <c r="FO150" t="s">
        <v>404</v>
      </c>
      <c r="FP150" t="s">
        <v>404</v>
      </c>
      <c r="FQ150" t="s">
        <v>404</v>
      </c>
      <c r="FR150" t="s">
        <v>404</v>
      </c>
      <c r="FY150">
        <v>0</v>
      </c>
      <c r="GF150">
        <v>0</v>
      </c>
      <c r="GM150">
        <v>0</v>
      </c>
      <c r="GT150">
        <v>0</v>
      </c>
      <c r="HA150">
        <v>0</v>
      </c>
      <c r="HH150">
        <v>0</v>
      </c>
      <c r="HO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K150">
        <v>0</v>
      </c>
      <c r="IR150">
        <v>0</v>
      </c>
      <c r="IY150">
        <v>0</v>
      </c>
      <c r="JF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Z150">
        <v>2</v>
      </c>
      <c r="KA150">
        <v>2</v>
      </c>
      <c r="KB150">
        <v>2</v>
      </c>
      <c r="KC150" t="s">
        <v>407</v>
      </c>
      <c r="OF150" t="s">
        <v>408</v>
      </c>
      <c r="SI150" t="s">
        <v>409</v>
      </c>
      <c r="WL150" t="s">
        <v>410</v>
      </c>
      <c r="AAO150" t="s">
        <v>411</v>
      </c>
      <c r="AER150" t="s">
        <v>412</v>
      </c>
    </row>
    <row r="151" spans="1:824" x14ac:dyDescent="0.2">
      <c r="A151" t="s">
        <v>1508</v>
      </c>
      <c r="B151" t="s">
        <v>414</v>
      </c>
      <c r="C151" t="s">
        <v>1509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>
        <v>618</v>
      </c>
      <c r="W151" s="3">
        <v>43514.956250000003</v>
      </c>
      <c r="X151" t="s">
        <v>978</v>
      </c>
      <c r="Y151">
        <v>2019</v>
      </c>
      <c r="Z151" t="s">
        <v>1510</v>
      </c>
      <c r="AA151" t="s">
        <v>1509</v>
      </c>
      <c r="AB151" t="s">
        <v>1027</v>
      </c>
      <c r="AC151" t="s">
        <v>1511</v>
      </c>
      <c r="AD151">
        <v>405193991</v>
      </c>
      <c r="AE151" t="s">
        <v>420</v>
      </c>
      <c r="AF151" t="s">
        <v>421</v>
      </c>
      <c r="AH151">
        <v>2</v>
      </c>
      <c r="AI151">
        <v>6</v>
      </c>
      <c r="AJ151" t="s">
        <v>1512</v>
      </c>
      <c r="AU151">
        <v>0</v>
      </c>
      <c r="BB151">
        <v>0</v>
      </c>
      <c r="BI151">
        <v>0</v>
      </c>
      <c r="BP151">
        <v>0</v>
      </c>
      <c r="BW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R151">
        <v>0</v>
      </c>
      <c r="CY151">
        <v>0</v>
      </c>
      <c r="DF151">
        <v>0</v>
      </c>
      <c r="DM151">
        <v>0</v>
      </c>
      <c r="DT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 t="s">
        <v>404</v>
      </c>
      <c r="EJ151" t="s">
        <v>404</v>
      </c>
      <c r="EK151" t="s">
        <v>404</v>
      </c>
      <c r="EL151" t="s">
        <v>404</v>
      </c>
      <c r="EM151" t="s">
        <v>404</v>
      </c>
      <c r="EN151" t="s">
        <v>404</v>
      </c>
      <c r="EO151" t="s">
        <v>404</v>
      </c>
      <c r="EP151" t="s">
        <v>404</v>
      </c>
      <c r="EQ151" t="s">
        <v>404</v>
      </c>
      <c r="ER151" t="s">
        <v>404</v>
      </c>
      <c r="ES151" t="s">
        <v>404</v>
      </c>
      <c r="ET151" t="s">
        <v>404</v>
      </c>
      <c r="EU151" t="s">
        <v>404</v>
      </c>
      <c r="EV151" t="s">
        <v>404</v>
      </c>
      <c r="EW151" t="s">
        <v>404</v>
      </c>
      <c r="EX151" t="s">
        <v>404</v>
      </c>
      <c r="EY151" t="s">
        <v>404</v>
      </c>
      <c r="EZ151" t="s">
        <v>404</v>
      </c>
      <c r="FA151" t="s">
        <v>404</v>
      </c>
      <c r="FB151" t="s">
        <v>404</v>
      </c>
      <c r="FC151" t="s">
        <v>404</v>
      </c>
      <c r="FD151" t="s">
        <v>404</v>
      </c>
      <c r="FE151" t="s">
        <v>404</v>
      </c>
      <c r="FF151" t="s">
        <v>404</v>
      </c>
      <c r="FG151" t="s">
        <v>404</v>
      </c>
      <c r="FH151" t="s">
        <v>404</v>
      </c>
      <c r="FI151" t="s">
        <v>404</v>
      </c>
      <c r="FJ151" t="s">
        <v>404</v>
      </c>
      <c r="FK151" t="s">
        <v>404</v>
      </c>
      <c r="FL151" t="s">
        <v>404</v>
      </c>
      <c r="FM151" t="s">
        <v>404</v>
      </c>
      <c r="FN151" t="s">
        <v>404</v>
      </c>
      <c r="FO151" t="s">
        <v>404</v>
      </c>
      <c r="FP151" t="s">
        <v>404</v>
      </c>
      <c r="FQ151" t="s">
        <v>404</v>
      </c>
      <c r="FR151" t="s">
        <v>404</v>
      </c>
      <c r="FY151">
        <v>0</v>
      </c>
      <c r="GF151">
        <v>0</v>
      </c>
      <c r="GM151">
        <v>0</v>
      </c>
      <c r="GT151">
        <v>0</v>
      </c>
      <c r="HA151">
        <v>0</v>
      </c>
      <c r="HH151">
        <v>0</v>
      </c>
      <c r="HO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K151">
        <v>0</v>
      </c>
      <c r="IR151">
        <v>0</v>
      </c>
      <c r="IY151">
        <v>0</v>
      </c>
      <c r="JF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Z151">
        <v>1</v>
      </c>
      <c r="KA151">
        <v>2</v>
      </c>
      <c r="KB151">
        <v>2</v>
      </c>
      <c r="KC151" t="s">
        <v>407</v>
      </c>
      <c r="OF151" t="s">
        <v>408</v>
      </c>
      <c r="SI151" t="s">
        <v>409</v>
      </c>
      <c r="WL151" t="s">
        <v>410</v>
      </c>
      <c r="AAO151" t="s">
        <v>411</v>
      </c>
      <c r="AER151" t="s">
        <v>412</v>
      </c>
    </row>
    <row r="152" spans="1:824" x14ac:dyDescent="0.2">
      <c r="A152" t="s">
        <v>1513</v>
      </c>
      <c r="B152" t="s">
        <v>396</v>
      </c>
      <c r="C152" t="s">
        <v>1514</v>
      </c>
      <c r="P152" t="b">
        <v>1</v>
      </c>
      <c r="Q152" t="b">
        <v>0</v>
      </c>
      <c r="R152" t="b">
        <v>1</v>
      </c>
      <c r="S152" t="b">
        <v>0</v>
      </c>
      <c r="T152" t="b">
        <v>0</v>
      </c>
      <c r="U152" t="b">
        <v>0</v>
      </c>
      <c r="V152">
        <v>750</v>
      </c>
      <c r="W152" s="3">
        <v>43514.760416666664</v>
      </c>
      <c r="X152" t="s">
        <v>1515</v>
      </c>
      <c r="Y152">
        <v>2019</v>
      </c>
      <c r="Z152" t="s">
        <v>1516</v>
      </c>
      <c r="AA152" t="s">
        <v>1517</v>
      </c>
      <c r="AB152" t="s">
        <v>1518</v>
      </c>
      <c r="AC152" t="s">
        <v>1519</v>
      </c>
      <c r="AD152">
        <v>2074346320</v>
      </c>
      <c r="AE152" t="s">
        <v>571</v>
      </c>
      <c r="AF152" t="s">
        <v>538</v>
      </c>
      <c r="AH152">
        <v>1</v>
      </c>
      <c r="AK152">
        <v>2923</v>
      </c>
      <c r="AL152">
        <v>2923</v>
      </c>
      <c r="AM152">
        <v>1299</v>
      </c>
      <c r="AN152">
        <v>1299</v>
      </c>
      <c r="AU152">
        <v>0</v>
      </c>
      <c r="AV152">
        <v>1457</v>
      </c>
      <c r="BB152">
        <v>1457</v>
      </c>
      <c r="BC152">
        <v>1466</v>
      </c>
      <c r="BI152">
        <v>1466</v>
      </c>
      <c r="BP152">
        <v>0</v>
      </c>
      <c r="BW152">
        <v>0</v>
      </c>
      <c r="CD152">
        <v>0</v>
      </c>
      <c r="CE152">
        <v>2923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2923</v>
      </c>
      <c r="CR152">
        <v>0</v>
      </c>
      <c r="CS152">
        <v>1</v>
      </c>
      <c r="CY152">
        <v>1</v>
      </c>
      <c r="CZ152">
        <v>3</v>
      </c>
      <c r="DF152">
        <v>3</v>
      </c>
      <c r="DM152">
        <v>0</v>
      </c>
      <c r="DT152">
        <v>0</v>
      </c>
      <c r="EA152">
        <v>0</v>
      </c>
      <c r="EB152">
        <v>4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4</v>
      </c>
      <c r="EI152" t="s">
        <v>404</v>
      </c>
      <c r="EJ152" t="s">
        <v>404</v>
      </c>
      <c r="EK152" t="s">
        <v>404</v>
      </c>
      <c r="EL152" t="s">
        <v>404</v>
      </c>
      <c r="EM152" t="s">
        <v>404</v>
      </c>
      <c r="EN152" t="s">
        <v>404</v>
      </c>
      <c r="EO152" t="s">
        <v>405</v>
      </c>
      <c r="EP152" t="s">
        <v>404</v>
      </c>
      <c r="EQ152" t="s">
        <v>404</v>
      </c>
      <c r="ER152" t="s">
        <v>404</v>
      </c>
      <c r="ES152" t="s">
        <v>404</v>
      </c>
      <c r="ET152" t="s">
        <v>404</v>
      </c>
      <c r="EU152" t="s">
        <v>405</v>
      </c>
      <c r="EV152" t="s">
        <v>404</v>
      </c>
      <c r="EW152" t="s">
        <v>404</v>
      </c>
      <c r="EX152" t="s">
        <v>404</v>
      </c>
      <c r="EY152" t="s">
        <v>404</v>
      </c>
      <c r="EZ152" t="s">
        <v>404</v>
      </c>
      <c r="FA152" t="s">
        <v>404</v>
      </c>
      <c r="FB152" t="s">
        <v>404</v>
      </c>
      <c r="FC152" t="s">
        <v>404</v>
      </c>
      <c r="FD152" t="s">
        <v>404</v>
      </c>
      <c r="FE152" t="s">
        <v>404</v>
      </c>
      <c r="FF152" t="s">
        <v>404</v>
      </c>
      <c r="FG152" t="s">
        <v>404</v>
      </c>
      <c r="FH152" t="s">
        <v>404</v>
      </c>
      <c r="FI152" t="s">
        <v>404</v>
      </c>
      <c r="FJ152" t="s">
        <v>404</v>
      </c>
      <c r="FK152" t="s">
        <v>404</v>
      </c>
      <c r="FL152" t="s">
        <v>404</v>
      </c>
      <c r="FM152" t="s">
        <v>404</v>
      </c>
      <c r="FN152" t="s">
        <v>404</v>
      </c>
      <c r="FO152" t="s">
        <v>404</v>
      </c>
      <c r="FP152" t="s">
        <v>404</v>
      </c>
      <c r="FQ152" t="s">
        <v>404</v>
      </c>
      <c r="FR152" t="s">
        <v>404</v>
      </c>
      <c r="FS152">
        <v>1462</v>
      </c>
      <c r="FY152">
        <v>1462</v>
      </c>
      <c r="FZ152">
        <v>526</v>
      </c>
      <c r="GF152">
        <v>526</v>
      </c>
      <c r="GG152">
        <v>292</v>
      </c>
      <c r="GM152">
        <v>292</v>
      </c>
      <c r="GT152">
        <v>0</v>
      </c>
      <c r="HA152">
        <v>0</v>
      </c>
      <c r="HB152">
        <v>59</v>
      </c>
      <c r="HH152">
        <v>59</v>
      </c>
      <c r="HI152">
        <v>584</v>
      </c>
      <c r="HO152">
        <v>584</v>
      </c>
      <c r="HW152">
        <v>0</v>
      </c>
      <c r="HX152">
        <v>2923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2923</v>
      </c>
      <c r="IK152">
        <v>0</v>
      </c>
      <c r="IL152">
        <v>1462</v>
      </c>
      <c r="IR152">
        <v>1462</v>
      </c>
      <c r="IS152">
        <v>1461</v>
      </c>
      <c r="IY152">
        <v>1461</v>
      </c>
      <c r="JF152">
        <v>0</v>
      </c>
      <c r="JM152">
        <v>0</v>
      </c>
      <c r="JN152">
        <v>2923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2923</v>
      </c>
      <c r="JU152">
        <v>0</v>
      </c>
      <c r="JV152">
        <v>25</v>
      </c>
      <c r="JW152">
        <v>75</v>
      </c>
      <c r="JZ152">
        <v>1</v>
      </c>
      <c r="KA152">
        <v>2</v>
      </c>
      <c r="KB152">
        <v>2</v>
      </c>
      <c r="KC152" t="s">
        <v>407</v>
      </c>
      <c r="OF152" t="s">
        <v>408</v>
      </c>
      <c r="SI152" t="s">
        <v>409</v>
      </c>
      <c r="WL152" t="s">
        <v>410</v>
      </c>
      <c r="AAO152" t="s">
        <v>411</v>
      </c>
      <c r="AER152" t="s">
        <v>412</v>
      </c>
    </row>
    <row r="153" spans="1:824" x14ac:dyDescent="0.2">
      <c r="A153" t="s">
        <v>1520</v>
      </c>
      <c r="B153" t="s">
        <v>396</v>
      </c>
      <c r="C153" t="s">
        <v>1521</v>
      </c>
      <c r="P153" t="b">
        <v>0</v>
      </c>
      <c r="Q153" t="b">
        <v>0</v>
      </c>
      <c r="R153" t="b">
        <v>1</v>
      </c>
      <c r="S153" t="b">
        <v>0</v>
      </c>
      <c r="T153" t="b">
        <v>0</v>
      </c>
      <c r="U153" t="b">
        <v>0</v>
      </c>
      <c r="V153">
        <v>736</v>
      </c>
      <c r="W153" s="3">
        <v>43514.473611111112</v>
      </c>
      <c r="X153" t="s">
        <v>1522</v>
      </c>
      <c r="Y153">
        <v>2019</v>
      </c>
      <c r="Z153" t="s">
        <v>1523</v>
      </c>
      <c r="AA153" t="s">
        <v>1524</v>
      </c>
      <c r="AB153" t="s">
        <v>1011</v>
      </c>
      <c r="AC153" t="s">
        <v>1525</v>
      </c>
      <c r="AD153">
        <v>49896495630</v>
      </c>
      <c r="AE153" t="s">
        <v>444</v>
      </c>
      <c r="AF153" t="s">
        <v>403</v>
      </c>
      <c r="AH153">
        <v>1</v>
      </c>
      <c r="AK153">
        <v>275</v>
      </c>
      <c r="AL153">
        <v>275</v>
      </c>
      <c r="AM153">
        <v>275</v>
      </c>
      <c r="AN153">
        <v>275</v>
      </c>
      <c r="AU153">
        <v>0</v>
      </c>
      <c r="BB153">
        <v>0</v>
      </c>
      <c r="BD153">
        <v>275</v>
      </c>
      <c r="BI153">
        <v>275</v>
      </c>
      <c r="BP153">
        <v>0</v>
      </c>
      <c r="BW153">
        <v>0</v>
      </c>
      <c r="CD153">
        <v>0</v>
      </c>
      <c r="CE153">
        <v>0</v>
      </c>
      <c r="CF153">
        <v>275</v>
      </c>
      <c r="CG153">
        <v>0</v>
      </c>
      <c r="CH153">
        <v>0</v>
      </c>
      <c r="CI153">
        <v>0</v>
      </c>
      <c r="CJ153">
        <v>0</v>
      </c>
      <c r="CK153">
        <v>275</v>
      </c>
      <c r="CR153">
        <v>0</v>
      </c>
      <c r="CY153">
        <v>0</v>
      </c>
      <c r="DA153">
        <v>3</v>
      </c>
      <c r="DF153">
        <v>3</v>
      </c>
      <c r="DM153">
        <v>0</v>
      </c>
      <c r="DT153">
        <v>0</v>
      </c>
      <c r="EA153">
        <v>0</v>
      </c>
      <c r="EB153">
        <v>0</v>
      </c>
      <c r="EC153">
        <v>3</v>
      </c>
      <c r="ED153">
        <v>0</v>
      </c>
      <c r="EE153">
        <v>0</v>
      </c>
      <c r="EF153">
        <v>0</v>
      </c>
      <c r="EG153">
        <v>0</v>
      </c>
      <c r="EH153">
        <v>3</v>
      </c>
      <c r="EI153" t="s">
        <v>404</v>
      </c>
      <c r="EJ153" t="s">
        <v>404</v>
      </c>
      <c r="EK153" t="s">
        <v>404</v>
      </c>
      <c r="EL153" t="s">
        <v>404</v>
      </c>
      <c r="EM153" t="s">
        <v>404</v>
      </c>
      <c r="EN153" t="s">
        <v>404</v>
      </c>
      <c r="EO153" t="s">
        <v>404</v>
      </c>
      <c r="EP153" t="s">
        <v>404</v>
      </c>
      <c r="EQ153" t="s">
        <v>404</v>
      </c>
      <c r="ER153" t="s">
        <v>404</v>
      </c>
      <c r="ES153" t="s">
        <v>404</v>
      </c>
      <c r="ET153" t="s">
        <v>404</v>
      </c>
      <c r="EU153" t="s">
        <v>404</v>
      </c>
      <c r="EV153" t="s">
        <v>405</v>
      </c>
      <c r="EW153" t="s">
        <v>404</v>
      </c>
      <c r="EX153" t="s">
        <v>404</v>
      </c>
      <c r="EY153" t="s">
        <v>404</v>
      </c>
      <c r="EZ153" t="s">
        <v>404</v>
      </c>
      <c r="FA153" t="s">
        <v>404</v>
      </c>
      <c r="FB153" t="s">
        <v>404</v>
      </c>
      <c r="FC153" t="s">
        <v>404</v>
      </c>
      <c r="FD153" t="s">
        <v>404</v>
      </c>
      <c r="FE153" t="s">
        <v>404</v>
      </c>
      <c r="FF153" t="s">
        <v>404</v>
      </c>
      <c r="FG153" t="s">
        <v>404</v>
      </c>
      <c r="FH153" t="s">
        <v>404</v>
      </c>
      <c r="FI153" t="s">
        <v>404</v>
      </c>
      <c r="FJ153" t="s">
        <v>404</v>
      </c>
      <c r="FK153" t="s">
        <v>404</v>
      </c>
      <c r="FL153" t="s">
        <v>404</v>
      </c>
      <c r="FM153" t="s">
        <v>404</v>
      </c>
      <c r="FN153" t="s">
        <v>404</v>
      </c>
      <c r="FO153" t="s">
        <v>404</v>
      </c>
      <c r="FP153" t="s">
        <v>404</v>
      </c>
      <c r="FQ153" t="s">
        <v>404</v>
      </c>
      <c r="FR153" t="s">
        <v>404</v>
      </c>
      <c r="FT153">
        <v>175</v>
      </c>
      <c r="FY153">
        <v>175</v>
      </c>
      <c r="GA153">
        <v>100</v>
      </c>
      <c r="GF153">
        <v>100</v>
      </c>
      <c r="GM153">
        <v>0</v>
      </c>
      <c r="GT153">
        <v>0</v>
      </c>
      <c r="HA153">
        <v>0</v>
      </c>
      <c r="HH153">
        <v>0</v>
      </c>
      <c r="HO153">
        <v>0</v>
      </c>
      <c r="HW153">
        <v>0</v>
      </c>
      <c r="HX153">
        <v>0</v>
      </c>
      <c r="HY153">
        <v>275</v>
      </c>
      <c r="HZ153">
        <v>0</v>
      </c>
      <c r="IA153">
        <v>0</v>
      </c>
      <c r="IB153">
        <v>0</v>
      </c>
      <c r="IC153">
        <v>0</v>
      </c>
      <c r="ID153">
        <v>275</v>
      </c>
      <c r="IK153">
        <v>0</v>
      </c>
      <c r="IR153">
        <v>0</v>
      </c>
      <c r="IT153">
        <v>275</v>
      </c>
      <c r="IY153">
        <v>275</v>
      </c>
      <c r="JF153">
        <v>0</v>
      </c>
      <c r="JM153">
        <v>0</v>
      </c>
      <c r="JN153">
        <v>0</v>
      </c>
      <c r="JO153">
        <v>275</v>
      </c>
      <c r="JP153">
        <v>0</v>
      </c>
      <c r="JQ153">
        <v>0</v>
      </c>
      <c r="JR153">
        <v>0</v>
      </c>
      <c r="JS153">
        <v>0</v>
      </c>
      <c r="JT153">
        <v>275</v>
      </c>
      <c r="JW153">
        <v>100</v>
      </c>
      <c r="JZ153">
        <v>1</v>
      </c>
      <c r="KA153">
        <v>1</v>
      </c>
      <c r="KB153">
        <v>2</v>
      </c>
      <c r="KC153" t="s">
        <v>407</v>
      </c>
      <c r="OF153" t="s">
        <v>408</v>
      </c>
      <c r="SI153" t="s">
        <v>409</v>
      </c>
      <c r="WL153" t="s">
        <v>410</v>
      </c>
      <c r="AAO153" t="s">
        <v>411</v>
      </c>
      <c r="AER153" t="s">
        <v>412</v>
      </c>
    </row>
    <row r="154" spans="1:824" x14ac:dyDescent="0.2">
      <c r="A154" t="s">
        <v>1526</v>
      </c>
      <c r="B154" t="s">
        <v>414</v>
      </c>
      <c r="C154" t="s">
        <v>1527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>
        <v>815</v>
      </c>
      <c r="W154" s="3">
        <v>43523.606249999997</v>
      </c>
      <c r="X154" t="s">
        <v>1528</v>
      </c>
      <c r="Y154">
        <v>2019</v>
      </c>
      <c r="Z154" t="s">
        <v>1529</v>
      </c>
      <c r="AA154" t="s">
        <v>1530</v>
      </c>
      <c r="AB154" t="s">
        <v>1531</v>
      </c>
      <c r="AC154" t="s">
        <v>1532</v>
      </c>
      <c r="AD154">
        <v>7825842842</v>
      </c>
      <c r="AE154" t="s">
        <v>491</v>
      </c>
      <c r="AF154" t="s">
        <v>538</v>
      </c>
      <c r="AH154">
        <v>2</v>
      </c>
      <c r="AI154">
        <v>6</v>
      </c>
      <c r="AJ154" t="s">
        <v>1533</v>
      </c>
      <c r="AU154">
        <v>0</v>
      </c>
      <c r="BB154">
        <v>0</v>
      </c>
      <c r="BI154">
        <v>0</v>
      </c>
      <c r="BP154">
        <v>0</v>
      </c>
      <c r="BW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R154">
        <v>0</v>
      </c>
      <c r="CY154">
        <v>0</v>
      </c>
      <c r="DF154">
        <v>0</v>
      </c>
      <c r="DM154">
        <v>0</v>
      </c>
      <c r="DT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 t="s">
        <v>404</v>
      </c>
      <c r="EJ154" t="s">
        <v>404</v>
      </c>
      <c r="EK154" t="s">
        <v>404</v>
      </c>
      <c r="EL154" t="s">
        <v>404</v>
      </c>
      <c r="EM154" t="s">
        <v>404</v>
      </c>
      <c r="EN154" t="s">
        <v>404</v>
      </c>
      <c r="EO154" t="s">
        <v>404</v>
      </c>
      <c r="EP154" t="s">
        <v>404</v>
      </c>
      <c r="EQ154" t="s">
        <v>404</v>
      </c>
      <c r="ER154" t="s">
        <v>404</v>
      </c>
      <c r="ES154" t="s">
        <v>404</v>
      </c>
      <c r="ET154" t="s">
        <v>404</v>
      </c>
      <c r="EU154" t="s">
        <v>404</v>
      </c>
      <c r="EV154" t="s">
        <v>404</v>
      </c>
      <c r="EW154" t="s">
        <v>404</v>
      </c>
      <c r="EX154" t="s">
        <v>404</v>
      </c>
      <c r="EY154" t="s">
        <v>404</v>
      </c>
      <c r="EZ154" t="s">
        <v>404</v>
      </c>
      <c r="FA154" t="s">
        <v>404</v>
      </c>
      <c r="FB154" t="s">
        <v>404</v>
      </c>
      <c r="FC154" t="s">
        <v>404</v>
      </c>
      <c r="FD154" t="s">
        <v>404</v>
      </c>
      <c r="FE154" t="s">
        <v>404</v>
      </c>
      <c r="FF154" t="s">
        <v>404</v>
      </c>
      <c r="FG154" t="s">
        <v>404</v>
      </c>
      <c r="FH154" t="s">
        <v>404</v>
      </c>
      <c r="FI154" t="s">
        <v>404</v>
      </c>
      <c r="FJ154" t="s">
        <v>404</v>
      </c>
      <c r="FK154" t="s">
        <v>404</v>
      </c>
      <c r="FL154" t="s">
        <v>404</v>
      </c>
      <c r="FM154" t="s">
        <v>404</v>
      </c>
      <c r="FN154" t="s">
        <v>404</v>
      </c>
      <c r="FO154" t="s">
        <v>404</v>
      </c>
      <c r="FP154" t="s">
        <v>404</v>
      </c>
      <c r="FQ154" t="s">
        <v>404</v>
      </c>
      <c r="FR154" t="s">
        <v>404</v>
      </c>
      <c r="FY154">
        <v>0</v>
      </c>
      <c r="GF154">
        <v>0</v>
      </c>
      <c r="GM154">
        <v>0</v>
      </c>
      <c r="GT154">
        <v>0</v>
      </c>
      <c r="HA154">
        <v>0</v>
      </c>
      <c r="HH154">
        <v>0</v>
      </c>
      <c r="HO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K154">
        <v>0</v>
      </c>
      <c r="IR154">
        <v>0</v>
      </c>
      <c r="IY154">
        <v>0</v>
      </c>
      <c r="JF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Z154">
        <v>1</v>
      </c>
      <c r="KA154">
        <v>3</v>
      </c>
      <c r="KB154">
        <v>1</v>
      </c>
      <c r="KC154" t="s">
        <v>407</v>
      </c>
      <c r="OF154" t="s">
        <v>408</v>
      </c>
      <c r="SI154" t="s">
        <v>409</v>
      </c>
      <c r="WL154" t="s">
        <v>410</v>
      </c>
      <c r="AAO154" t="s">
        <v>411</v>
      </c>
      <c r="AER154" t="s">
        <v>412</v>
      </c>
    </row>
    <row r="155" spans="1:824" x14ac:dyDescent="0.2">
      <c r="A155" t="s">
        <v>1534</v>
      </c>
      <c r="B155" t="s">
        <v>563</v>
      </c>
      <c r="C155" t="s">
        <v>1535</v>
      </c>
      <c r="D155" t="s">
        <v>478</v>
      </c>
      <c r="E155" s="3">
        <v>43529.434027777781</v>
      </c>
      <c r="H155" t="s">
        <v>502</v>
      </c>
      <c r="I155" s="3">
        <v>43529.435416666667</v>
      </c>
      <c r="P155" t="b">
        <v>0</v>
      </c>
      <c r="Q155" t="b">
        <v>1</v>
      </c>
      <c r="R155" t="b">
        <v>1</v>
      </c>
      <c r="S155" t="b">
        <v>0</v>
      </c>
      <c r="T155" t="b">
        <v>0</v>
      </c>
      <c r="U155" t="b">
        <v>0</v>
      </c>
      <c r="V155">
        <v>752</v>
      </c>
      <c r="W155" s="3">
        <v>43529.433333333334</v>
      </c>
      <c r="X155" t="s">
        <v>1536</v>
      </c>
      <c r="Y155">
        <v>2019</v>
      </c>
      <c r="Z155" t="s">
        <v>1537</v>
      </c>
      <c r="AA155" t="s">
        <v>1538</v>
      </c>
      <c r="AB155" t="s">
        <v>1158</v>
      </c>
      <c r="AC155" t="s">
        <v>1539</v>
      </c>
      <c r="AD155" t="s">
        <v>1540</v>
      </c>
      <c r="AE155" t="s">
        <v>571</v>
      </c>
      <c r="AF155" t="s">
        <v>538</v>
      </c>
      <c r="AH155">
        <v>1</v>
      </c>
      <c r="AK155">
        <v>2610.56</v>
      </c>
      <c r="AM155">
        <v>2610.56</v>
      </c>
      <c r="AO155">
        <v>315</v>
      </c>
      <c r="AU155">
        <v>315</v>
      </c>
      <c r="BB155">
        <v>0</v>
      </c>
      <c r="BC155">
        <v>2295.56</v>
      </c>
      <c r="BI155">
        <v>2295.56</v>
      </c>
      <c r="BP155">
        <v>0</v>
      </c>
      <c r="BW155">
        <v>0</v>
      </c>
      <c r="CD155">
        <v>0</v>
      </c>
      <c r="CE155">
        <v>2610.56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2610.56</v>
      </c>
      <c r="CL155">
        <v>1</v>
      </c>
      <c r="CR155">
        <v>1</v>
      </c>
      <c r="CY155">
        <v>0</v>
      </c>
      <c r="CZ155">
        <v>1</v>
      </c>
      <c r="DF155">
        <v>1</v>
      </c>
      <c r="DM155">
        <v>0</v>
      </c>
      <c r="DT155">
        <v>0</v>
      </c>
      <c r="EA155">
        <v>0</v>
      </c>
      <c r="EB155">
        <v>2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2</v>
      </c>
      <c r="EI155" t="s">
        <v>405</v>
      </c>
      <c r="EJ155" t="s">
        <v>404</v>
      </c>
      <c r="EK155" t="s">
        <v>404</v>
      </c>
      <c r="EL155" t="s">
        <v>404</v>
      </c>
      <c r="EM155" t="s">
        <v>404</v>
      </c>
      <c r="EN155" t="s">
        <v>404</v>
      </c>
      <c r="EO155" t="s">
        <v>404</v>
      </c>
      <c r="EP155" t="s">
        <v>404</v>
      </c>
      <c r="EQ155" t="s">
        <v>404</v>
      </c>
      <c r="ER155" t="s">
        <v>404</v>
      </c>
      <c r="ES155" t="s">
        <v>404</v>
      </c>
      <c r="ET155" t="s">
        <v>404</v>
      </c>
      <c r="EU155" t="s">
        <v>405</v>
      </c>
      <c r="EV155" t="s">
        <v>404</v>
      </c>
      <c r="EW155" t="s">
        <v>404</v>
      </c>
      <c r="EX155" t="s">
        <v>404</v>
      </c>
      <c r="EY155" t="s">
        <v>404</v>
      </c>
      <c r="EZ155" t="s">
        <v>404</v>
      </c>
      <c r="FA155" t="s">
        <v>404</v>
      </c>
      <c r="FB155" t="s">
        <v>404</v>
      </c>
      <c r="FC155" t="s">
        <v>404</v>
      </c>
      <c r="FD155" t="s">
        <v>404</v>
      </c>
      <c r="FE155" t="s">
        <v>404</v>
      </c>
      <c r="FF155" t="s">
        <v>404</v>
      </c>
      <c r="FG155" t="s">
        <v>404</v>
      </c>
      <c r="FH155" t="s">
        <v>404</v>
      </c>
      <c r="FI155" t="s">
        <v>404</v>
      </c>
      <c r="FJ155" t="s">
        <v>404</v>
      </c>
      <c r="FK155" t="s">
        <v>404</v>
      </c>
      <c r="FL155" t="s">
        <v>404</v>
      </c>
      <c r="FM155" t="s">
        <v>404</v>
      </c>
      <c r="FN155" t="s">
        <v>404</v>
      </c>
      <c r="FO155" t="s">
        <v>404</v>
      </c>
      <c r="FP155" t="s">
        <v>404</v>
      </c>
      <c r="FQ155" t="s">
        <v>404</v>
      </c>
      <c r="FR155" t="s">
        <v>404</v>
      </c>
      <c r="FS155">
        <v>1328.91</v>
      </c>
      <c r="FY155">
        <v>1328.91</v>
      </c>
      <c r="FZ155">
        <v>151.44999999999999</v>
      </c>
      <c r="GF155">
        <v>151.44999999999999</v>
      </c>
      <c r="GM155">
        <v>0</v>
      </c>
      <c r="GN155">
        <v>520.1</v>
      </c>
      <c r="GT155">
        <v>520.1</v>
      </c>
      <c r="GU155">
        <v>151.78</v>
      </c>
      <c r="HA155">
        <v>151.78</v>
      </c>
      <c r="HB155">
        <v>295.82</v>
      </c>
      <c r="HH155">
        <v>295.82</v>
      </c>
      <c r="HI155">
        <v>4</v>
      </c>
      <c r="HO155">
        <v>4</v>
      </c>
      <c r="HP155" t="s">
        <v>1541</v>
      </c>
      <c r="HQ155">
        <v>158.5</v>
      </c>
      <c r="HW155">
        <v>158.5</v>
      </c>
      <c r="HX155">
        <v>2610.56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2610.56</v>
      </c>
      <c r="IE155">
        <v>450.81</v>
      </c>
      <c r="IK155">
        <v>450.81</v>
      </c>
      <c r="IL155">
        <v>341.52</v>
      </c>
      <c r="IR155">
        <v>341.52</v>
      </c>
      <c r="IS155">
        <v>1818.23</v>
      </c>
      <c r="IY155">
        <v>1818.23</v>
      </c>
      <c r="JF155">
        <v>0</v>
      </c>
      <c r="JM155">
        <v>0</v>
      </c>
      <c r="JN155">
        <v>2610.56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2610.56</v>
      </c>
      <c r="JW155">
        <v>100</v>
      </c>
      <c r="JZ155">
        <v>3</v>
      </c>
      <c r="KA155">
        <v>3</v>
      </c>
      <c r="KB155">
        <v>1</v>
      </c>
      <c r="KC155" t="s">
        <v>407</v>
      </c>
      <c r="KD155">
        <v>100</v>
      </c>
      <c r="KJ155">
        <v>100</v>
      </c>
      <c r="KK155">
        <v>97.18</v>
      </c>
      <c r="KQ155">
        <v>97.18</v>
      </c>
      <c r="KX155">
        <v>0</v>
      </c>
      <c r="LE155">
        <v>0</v>
      </c>
      <c r="LL155">
        <v>0</v>
      </c>
      <c r="LM155">
        <v>117.82</v>
      </c>
      <c r="LS155">
        <v>117.82</v>
      </c>
      <c r="LZ155">
        <v>0</v>
      </c>
      <c r="MH155">
        <v>0</v>
      </c>
      <c r="MI155">
        <v>315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315</v>
      </c>
      <c r="MP155">
        <v>234.59</v>
      </c>
      <c r="MV155">
        <v>234.59</v>
      </c>
      <c r="MW155">
        <v>80.41</v>
      </c>
      <c r="NC155">
        <v>80.41</v>
      </c>
      <c r="NJ155">
        <v>0</v>
      </c>
      <c r="NQ155">
        <v>0</v>
      </c>
      <c r="NX155">
        <v>0</v>
      </c>
      <c r="NY155">
        <v>315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315</v>
      </c>
      <c r="OF155" t="s">
        <v>408</v>
      </c>
      <c r="SI155" t="s">
        <v>409</v>
      </c>
      <c r="SJ155">
        <v>1228.9100000000001</v>
      </c>
      <c r="SP155">
        <v>1228.9100000000001</v>
      </c>
      <c r="SQ155">
        <v>54.28</v>
      </c>
      <c r="SW155">
        <v>54.28</v>
      </c>
      <c r="TD155">
        <v>0</v>
      </c>
      <c r="TE155">
        <v>520.1</v>
      </c>
      <c r="TK155">
        <v>520.1</v>
      </c>
      <c r="TL155">
        <v>151.78</v>
      </c>
      <c r="TR155">
        <v>151.78</v>
      </c>
      <c r="TS155">
        <v>178</v>
      </c>
      <c r="TY155">
        <v>178</v>
      </c>
      <c r="TZ155">
        <v>4</v>
      </c>
      <c r="UF155">
        <v>4</v>
      </c>
      <c r="UG155" t="s">
        <v>1542</v>
      </c>
      <c r="UH155">
        <v>158.5</v>
      </c>
      <c r="UN155">
        <v>158.5</v>
      </c>
      <c r="UO155">
        <v>2295.5700000000002</v>
      </c>
      <c r="UP155">
        <v>0</v>
      </c>
      <c r="UQ155">
        <v>0</v>
      </c>
      <c r="UR155">
        <v>0</v>
      </c>
      <c r="US155">
        <v>0</v>
      </c>
      <c r="UT155">
        <v>0</v>
      </c>
      <c r="UU155">
        <v>2295.5700000000002</v>
      </c>
      <c r="UV155">
        <v>216.22</v>
      </c>
      <c r="VB155">
        <v>216.22</v>
      </c>
      <c r="VC155">
        <v>261.11</v>
      </c>
      <c r="VI155">
        <v>261.11</v>
      </c>
      <c r="VJ155">
        <v>1818.23</v>
      </c>
      <c r="VP155">
        <v>1818.23</v>
      </c>
      <c r="VW155">
        <v>0</v>
      </c>
      <c r="WD155">
        <v>0</v>
      </c>
      <c r="WE155">
        <v>2295.56</v>
      </c>
      <c r="WF155">
        <v>0</v>
      </c>
      <c r="WG155">
        <v>0</v>
      </c>
      <c r="WH155">
        <v>0</v>
      </c>
      <c r="WI155">
        <v>0</v>
      </c>
      <c r="WJ155">
        <v>0</v>
      </c>
      <c r="WK155">
        <v>2295.56</v>
      </c>
      <c r="WL155" t="s">
        <v>410</v>
      </c>
      <c r="AAO155" t="s">
        <v>411</v>
      </c>
      <c r="AER155" t="s">
        <v>412</v>
      </c>
    </row>
    <row r="156" spans="1:824" x14ac:dyDescent="0.2">
      <c r="A156" t="s">
        <v>1543</v>
      </c>
      <c r="B156" t="s">
        <v>396</v>
      </c>
      <c r="C156" t="s">
        <v>1544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>
        <v>650</v>
      </c>
      <c r="W156" s="3">
        <v>43530.457638888889</v>
      </c>
      <c r="X156" t="s">
        <v>1545</v>
      </c>
      <c r="Y156">
        <v>2019</v>
      </c>
      <c r="Z156" t="s">
        <v>1546</v>
      </c>
      <c r="AA156" t="s">
        <v>1544</v>
      </c>
      <c r="AB156" t="s">
        <v>1547</v>
      </c>
      <c r="AC156" t="s">
        <v>1548</v>
      </c>
      <c r="AD156">
        <v>352621625665</v>
      </c>
      <c r="AE156" t="s">
        <v>592</v>
      </c>
      <c r="AF156" t="s">
        <v>403</v>
      </c>
      <c r="AH156">
        <v>1</v>
      </c>
      <c r="AK156">
        <v>2522</v>
      </c>
      <c r="AL156">
        <v>2522</v>
      </c>
      <c r="AM156">
        <v>630</v>
      </c>
      <c r="AN156">
        <v>630</v>
      </c>
      <c r="AU156">
        <v>0</v>
      </c>
      <c r="AV156">
        <v>389</v>
      </c>
      <c r="AW156">
        <v>2133</v>
      </c>
      <c r="BB156">
        <v>2522</v>
      </c>
      <c r="BI156">
        <v>0</v>
      </c>
      <c r="BP156">
        <v>0</v>
      </c>
      <c r="BW156">
        <v>0</v>
      </c>
      <c r="CD156">
        <v>0</v>
      </c>
      <c r="CE156">
        <v>389</v>
      </c>
      <c r="CF156">
        <v>2133</v>
      </c>
      <c r="CG156">
        <v>0</v>
      </c>
      <c r="CH156">
        <v>0</v>
      </c>
      <c r="CI156">
        <v>0</v>
      </c>
      <c r="CJ156">
        <v>0</v>
      </c>
      <c r="CK156">
        <v>2522</v>
      </c>
      <c r="CR156">
        <v>0</v>
      </c>
      <c r="CS156">
        <v>6</v>
      </c>
      <c r="CT156">
        <v>9</v>
      </c>
      <c r="CY156">
        <v>15</v>
      </c>
      <c r="DF156">
        <v>0</v>
      </c>
      <c r="DM156">
        <v>0</v>
      </c>
      <c r="DT156">
        <v>0</v>
      </c>
      <c r="EA156">
        <v>0</v>
      </c>
      <c r="EB156">
        <v>6</v>
      </c>
      <c r="EC156">
        <v>9</v>
      </c>
      <c r="ED156">
        <v>0</v>
      </c>
      <c r="EE156">
        <v>0</v>
      </c>
      <c r="EF156">
        <v>0</v>
      </c>
      <c r="EG156">
        <v>0</v>
      </c>
      <c r="EH156">
        <v>15</v>
      </c>
      <c r="EI156" t="s">
        <v>404</v>
      </c>
      <c r="EJ156" t="s">
        <v>404</v>
      </c>
      <c r="EK156" t="s">
        <v>404</v>
      </c>
      <c r="EL156" t="s">
        <v>404</v>
      </c>
      <c r="EM156" t="s">
        <v>404</v>
      </c>
      <c r="EN156" t="s">
        <v>404</v>
      </c>
      <c r="EO156" t="s">
        <v>405</v>
      </c>
      <c r="EP156" t="s">
        <v>405</v>
      </c>
      <c r="EQ156" t="s">
        <v>404</v>
      </c>
      <c r="ER156" t="s">
        <v>404</v>
      </c>
      <c r="ES156" t="s">
        <v>404</v>
      </c>
      <c r="ET156" t="s">
        <v>404</v>
      </c>
      <c r="EU156" t="s">
        <v>404</v>
      </c>
      <c r="EV156" t="s">
        <v>404</v>
      </c>
      <c r="EW156" t="s">
        <v>404</v>
      </c>
      <c r="EX156" t="s">
        <v>404</v>
      </c>
      <c r="EY156" t="s">
        <v>404</v>
      </c>
      <c r="EZ156" t="s">
        <v>404</v>
      </c>
      <c r="FA156" t="s">
        <v>404</v>
      </c>
      <c r="FB156" t="s">
        <v>404</v>
      </c>
      <c r="FC156" t="s">
        <v>404</v>
      </c>
      <c r="FD156" t="s">
        <v>404</v>
      </c>
      <c r="FE156" t="s">
        <v>404</v>
      </c>
      <c r="FF156" t="s">
        <v>404</v>
      </c>
      <c r="FG156" t="s">
        <v>404</v>
      </c>
      <c r="FH156" t="s">
        <v>404</v>
      </c>
      <c r="FI156" t="s">
        <v>404</v>
      </c>
      <c r="FJ156" t="s">
        <v>404</v>
      </c>
      <c r="FK156" t="s">
        <v>404</v>
      </c>
      <c r="FL156" t="s">
        <v>404</v>
      </c>
      <c r="FM156" t="s">
        <v>404</v>
      </c>
      <c r="FN156" t="s">
        <v>404</v>
      </c>
      <c r="FO156" t="s">
        <v>404</v>
      </c>
      <c r="FP156" t="s">
        <v>404</v>
      </c>
      <c r="FQ156" t="s">
        <v>404</v>
      </c>
      <c r="FR156" t="s">
        <v>404</v>
      </c>
      <c r="FS156">
        <v>176</v>
      </c>
      <c r="FT156">
        <v>150</v>
      </c>
      <c r="FY156">
        <v>326</v>
      </c>
      <c r="FZ156">
        <v>161</v>
      </c>
      <c r="GA156">
        <v>1750</v>
      </c>
      <c r="GF156">
        <v>1911</v>
      </c>
      <c r="GM156">
        <v>0</v>
      </c>
      <c r="GT156">
        <v>0</v>
      </c>
      <c r="HA156">
        <v>0</v>
      </c>
      <c r="HH156">
        <v>0</v>
      </c>
      <c r="HO156">
        <v>0</v>
      </c>
      <c r="HQ156">
        <v>52</v>
      </c>
      <c r="HR156">
        <v>233</v>
      </c>
      <c r="HW156">
        <v>285</v>
      </c>
      <c r="HX156">
        <v>389</v>
      </c>
      <c r="HY156">
        <v>2133</v>
      </c>
      <c r="HZ156">
        <v>0</v>
      </c>
      <c r="IA156">
        <v>0</v>
      </c>
      <c r="IB156">
        <v>0</v>
      </c>
      <c r="IC156">
        <v>0</v>
      </c>
      <c r="ID156">
        <v>2522</v>
      </c>
      <c r="IE156">
        <v>0</v>
      </c>
      <c r="IF156">
        <v>233</v>
      </c>
      <c r="IK156">
        <v>233</v>
      </c>
      <c r="IL156">
        <v>389</v>
      </c>
      <c r="IM156">
        <v>1900</v>
      </c>
      <c r="IR156">
        <v>2289</v>
      </c>
      <c r="IY156">
        <v>0</v>
      </c>
      <c r="JF156">
        <v>0</v>
      </c>
      <c r="JM156">
        <v>0</v>
      </c>
      <c r="JN156">
        <v>389</v>
      </c>
      <c r="JO156">
        <v>2133</v>
      </c>
      <c r="JP156">
        <v>0</v>
      </c>
      <c r="JQ156">
        <v>0</v>
      </c>
      <c r="JR156">
        <v>0</v>
      </c>
      <c r="JS156">
        <v>0</v>
      </c>
      <c r="JT156">
        <v>2522</v>
      </c>
      <c r="JU156">
        <v>10</v>
      </c>
      <c r="JV156">
        <v>20</v>
      </c>
      <c r="JW156">
        <v>70</v>
      </c>
      <c r="JZ156">
        <v>1</v>
      </c>
      <c r="KA156">
        <v>3</v>
      </c>
      <c r="KB156">
        <v>1</v>
      </c>
      <c r="KC156" t="s">
        <v>407</v>
      </c>
      <c r="OF156" t="s">
        <v>408</v>
      </c>
      <c r="SI156" t="s">
        <v>409</v>
      </c>
      <c r="WL156" t="s">
        <v>410</v>
      </c>
      <c r="AAO156" t="s">
        <v>411</v>
      </c>
      <c r="AER156" t="s">
        <v>412</v>
      </c>
    </row>
    <row r="157" spans="1:824" x14ac:dyDescent="0.2">
      <c r="A157" t="s">
        <v>1549</v>
      </c>
      <c r="B157" t="s">
        <v>414</v>
      </c>
      <c r="C157" t="s">
        <v>1550</v>
      </c>
      <c r="P157" t="b">
        <v>0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>
        <v>648</v>
      </c>
      <c r="W157" s="3">
        <v>43490.347916666666</v>
      </c>
      <c r="X157" t="s">
        <v>1551</v>
      </c>
      <c r="Y157">
        <v>2019</v>
      </c>
      <c r="Z157" t="s">
        <v>1552</v>
      </c>
      <c r="AA157" t="s">
        <v>1550</v>
      </c>
      <c r="AB157" t="s">
        <v>852</v>
      </c>
      <c r="AC157" t="s">
        <v>1553</v>
      </c>
      <c r="AE157" t="s">
        <v>537</v>
      </c>
      <c r="AF157" t="s">
        <v>538</v>
      </c>
      <c r="AH157">
        <v>1</v>
      </c>
      <c r="AK157">
        <v>1144.4000000000001</v>
      </c>
      <c r="AL157">
        <v>1144.4000000000001</v>
      </c>
      <c r="AM157">
        <v>450.45</v>
      </c>
      <c r="AN157">
        <v>450.45</v>
      </c>
      <c r="AO157">
        <v>836.53</v>
      </c>
      <c r="AP157">
        <v>249.6</v>
      </c>
      <c r="AT157">
        <v>58.28</v>
      </c>
      <c r="AU157">
        <v>1144.4100000000001</v>
      </c>
      <c r="BB157">
        <v>0</v>
      </c>
      <c r="BI157">
        <v>0</v>
      </c>
      <c r="BP157">
        <v>0</v>
      </c>
      <c r="BW157">
        <v>0</v>
      </c>
      <c r="CD157">
        <v>0</v>
      </c>
      <c r="CE157">
        <v>836.53</v>
      </c>
      <c r="CF157">
        <v>249.6</v>
      </c>
      <c r="CG157">
        <v>0</v>
      </c>
      <c r="CH157">
        <v>0</v>
      </c>
      <c r="CI157">
        <v>0</v>
      </c>
      <c r="CJ157">
        <v>58.28</v>
      </c>
      <c r="CK157">
        <v>1144.4100000000001</v>
      </c>
      <c r="CL157">
        <v>1</v>
      </c>
      <c r="CM157">
        <v>1</v>
      </c>
      <c r="CQ157">
        <v>1</v>
      </c>
      <c r="CR157">
        <v>3</v>
      </c>
      <c r="CY157">
        <v>0</v>
      </c>
      <c r="DF157">
        <v>0</v>
      </c>
      <c r="DM157">
        <v>0</v>
      </c>
      <c r="DT157">
        <v>0</v>
      </c>
      <c r="EA157">
        <v>0</v>
      </c>
      <c r="EB157">
        <v>1</v>
      </c>
      <c r="EC157">
        <v>1</v>
      </c>
      <c r="ED157">
        <v>0</v>
      </c>
      <c r="EE157">
        <v>0</v>
      </c>
      <c r="EF157">
        <v>0</v>
      </c>
      <c r="EG157">
        <v>1</v>
      </c>
      <c r="EH157">
        <v>3</v>
      </c>
      <c r="EI157" t="s">
        <v>405</v>
      </c>
      <c r="EJ157" t="s">
        <v>405</v>
      </c>
      <c r="EK157" t="s">
        <v>404</v>
      </c>
      <c r="EL157" t="s">
        <v>404</v>
      </c>
      <c r="EM157" t="s">
        <v>404</v>
      </c>
      <c r="EN157" t="s">
        <v>405</v>
      </c>
      <c r="EO157" t="s">
        <v>404</v>
      </c>
      <c r="EP157" t="s">
        <v>404</v>
      </c>
      <c r="EQ157" t="s">
        <v>404</v>
      </c>
      <c r="ER157" t="s">
        <v>404</v>
      </c>
      <c r="ES157" t="s">
        <v>404</v>
      </c>
      <c r="ET157" t="s">
        <v>404</v>
      </c>
      <c r="EU157" t="s">
        <v>404</v>
      </c>
      <c r="EV157" t="s">
        <v>404</v>
      </c>
      <c r="EW157" t="s">
        <v>404</v>
      </c>
      <c r="EX157" t="s">
        <v>404</v>
      </c>
      <c r="EY157" t="s">
        <v>404</v>
      </c>
      <c r="EZ157" t="s">
        <v>404</v>
      </c>
      <c r="FA157" t="s">
        <v>404</v>
      </c>
      <c r="FB157" t="s">
        <v>404</v>
      </c>
      <c r="FC157" t="s">
        <v>404</v>
      </c>
      <c r="FD157" t="s">
        <v>404</v>
      </c>
      <c r="FE157" t="s">
        <v>404</v>
      </c>
      <c r="FF157" t="s">
        <v>404</v>
      </c>
      <c r="FG157" t="s">
        <v>404</v>
      </c>
      <c r="FH157" t="s">
        <v>404</v>
      </c>
      <c r="FI157" t="s">
        <v>404</v>
      </c>
      <c r="FJ157" t="s">
        <v>404</v>
      </c>
      <c r="FK157" t="s">
        <v>404</v>
      </c>
      <c r="FL157" t="s">
        <v>404</v>
      </c>
      <c r="FM157" t="s">
        <v>404</v>
      </c>
      <c r="FN157" t="s">
        <v>404</v>
      </c>
      <c r="FO157" t="s">
        <v>404</v>
      </c>
      <c r="FP157" t="s">
        <v>404</v>
      </c>
      <c r="FQ157" t="s">
        <v>404</v>
      </c>
      <c r="FR157" t="s">
        <v>404</v>
      </c>
      <c r="FY157">
        <v>0</v>
      </c>
      <c r="GF157">
        <v>0</v>
      </c>
      <c r="GM157">
        <v>0</v>
      </c>
      <c r="GT157">
        <v>0</v>
      </c>
      <c r="HA157">
        <v>0</v>
      </c>
      <c r="HH157">
        <v>0</v>
      </c>
      <c r="HO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K157">
        <v>0</v>
      </c>
      <c r="IR157">
        <v>0</v>
      </c>
      <c r="IY157">
        <v>0</v>
      </c>
      <c r="JF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Z157">
        <v>1</v>
      </c>
      <c r="KA157">
        <v>3</v>
      </c>
      <c r="KB157">
        <v>2</v>
      </c>
      <c r="KC157" t="s">
        <v>407</v>
      </c>
      <c r="OF157" t="s">
        <v>408</v>
      </c>
      <c r="SI157" t="s">
        <v>409</v>
      </c>
      <c r="WL157" t="s">
        <v>410</v>
      </c>
      <c r="AAO157" t="s">
        <v>411</v>
      </c>
      <c r="AER157" t="s">
        <v>412</v>
      </c>
    </row>
    <row r="158" spans="1:824" x14ac:dyDescent="0.2">
      <c r="A158" t="s">
        <v>1554</v>
      </c>
      <c r="B158" t="s">
        <v>396</v>
      </c>
      <c r="C158" t="s">
        <v>1555</v>
      </c>
      <c r="D158" t="s">
        <v>478</v>
      </c>
      <c r="E158" s="3">
        <v>43524.795138888891</v>
      </c>
      <c r="F158" t="s">
        <v>479</v>
      </c>
      <c r="G158" s="3">
        <v>43524.79583333333</v>
      </c>
      <c r="P158" t="b">
        <v>1</v>
      </c>
      <c r="Q158" t="b">
        <v>1</v>
      </c>
      <c r="R158" t="b">
        <v>0</v>
      </c>
      <c r="S158" t="b">
        <v>0</v>
      </c>
      <c r="T158" t="b">
        <v>0</v>
      </c>
      <c r="U158" t="b">
        <v>0</v>
      </c>
      <c r="V158">
        <v>701</v>
      </c>
      <c r="W158" s="3">
        <v>43524.795138888891</v>
      </c>
      <c r="X158" t="s">
        <v>1556</v>
      </c>
      <c r="Y158">
        <v>2019</v>
      </c>
      <c r="Z158" t="s">
        <v>1557</v>
      </c>
      <c r="AA158" t="s">
        <v>1558</v>
      </c>
      <c r="AB158" t="s">
        <v>1559</v>
      </c>
      <c r="AC158" t="s">
        <v>1560</v>
      </c>
      <c r="AD158">
        <v>2074841867</v>
      </c>
      <c r="AE158" t="s">
        <v>491</v>
      </c>
      <c r="AF158" t="s">
        <v>538</v>
      </c>
      <c r="AH158">
        <v>1</v>
      </c>
      <c r="AK158">
        <v>533</v>
      </c>
      <c r="AL158">
        <v>533</v>
      </c>
      <c r="AM158">
        <v>245</v>
      </c>
      <c r="AN158">
        <v>245</v>
      </c>
      <c r="AO158">
        <v>136</v>
      </c>
      <c r="AU158">
        <v>136</v>
      </c>
      <c r="AV158">
        <v>397</v>
      </c>
      <c r="BB158">
        <v>397</v>
      </c>
      <c r="BI158">
        <v>0</v>
      </c>
      <c r="BP158">
        <v>0</v>
      </c>
      <c r="BW158">
        <v>0</v>
      </c>
      <c r="CD158">
        <v>0</v>
      </c>
      <c r="CE158">
        <v>533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533</v>
      </c>
      <c r="CL158">
        <v>1</v>
      </c>
      <c r="CR158">
        <v>1</v>
      </c>
      <c r="CS158">
        <v>3</v>
      </c>
      <c r="CY158">
        <v>3</v>
      </c>
      <c r="DF158">
        <v>0</v>
      </c>
      <c r="DM158">
        <v>0</v>
      </c>
      <c r="DT158">
        <v>0</v>
      </c>
      <c r="EA158">
        <v>0</v>
      </c>
      <c r="EB158">
        <v>4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4</v>
      </c>
      <c r="EI158" t="s">
        <v>405</v>
      </c>
      <c r="EJ158" t="s">
        <v>404</v>
      </c>
      <c r="EK158" t="s">
        <v>404</v>
      </c>
      <c r="EL158" t="s">
        <v>404</v>
      </c>
      <c r="EM158" t="s">
        <v>404</v>
      </c>
      <c r="EN158" t="s">
        <v>404</v>
      </c>
      <c r="EO158" t="s">
        <v>405</v>
      </c>
      <c r="EP158" t="s">
        <v>404</v>
      </c>
      <c r="EQ158" t="s">
        <v>404</v>
      </c>
      <c r="ER158" t="s">
        <v>404</v>
      </c>
      <c r="ES158" t="s">
        <v>404</v>
      </c>
      <c r="ET158" t="s">
        <v>404</v>
      </c>
      <c r="EU158" t="s">
        <v>404</v>
      </c>
      <c r="EV158" t="s">
        <v>404</v>
      </c>
      <c r="EW158" t="s">
        <v>404</v>
      </c>
      <c r="EX158" t="s">
        <v>404</v>
      </c>
      <c r="EY158" t="s">
        <v>404</v>
      </c>
      <c r="EZ158" t="s">
        <v>404</v>
      </c>
      <c r="FA158" t="s">
        <v>404</v>
      </c>
      <c r="FB158" t="s">
        <v>404</v>
      </c>
      <c r="FC158" t="s">
        <v>404</v>
      </c>
      <c r="FD158" t="s">
        <v>404</v>
      </c>
      <c r="FE158" t="s">
        <v>404</v>
      </c>
      <c r="FF158" t="s">
        <v>404</v>
      </c>
      <c r="FG158" t="s">
        <v>404</v>
      </c>
      <c r="FH158" t="s">
        <v>404</v>
      </c>
      <c r="FI158" t="s">
        <v>404</v>
      </c>
      <c r="FJ158" t="s">
        <v>404</v>
      </c>
      <c r="FK158" t="s">
        <v>404</v>
      </c>
      <c r="FL158" t="s">
        <v>404</v>
      </c>
      <c r="FM158" t="s">
        <v>404</v>
      </c>
      <c r="FN158" t="s">
        <v>404</v>
      </c>
      <c r="FO158" t="s">
        <v>404</v>
      </c>
      <c r="FP158" t="s">
        <v>404</v>
      </c>
      <c r="FQ158" t="s">
        <v>404</v>
      </c>
      <c r="FR158" t="s">
        <v>404</v>
      </c>
      <c r="FS158">
        <v>220</v>
      </c>
      <c r="FY158">
        <v>220</v>
      </c>
      <c r="FZ158">
        <v>30</v>
      </c>
      <c r="GF158">
        <v>30</v>
      </c>
      <c r="GG158">
        <v>0</v>
      </c>
      <c r="GM158">
        <v>0</v>
      </c>
      <c r="GN158">
        <v>0</v>
      </c>
      <c r="GT158">
        <v>0</v>
      </c>
      <c r="GU158">
        <v>21</v>
      </c>
      <c r="HA158">
        <v>21</v>
      </c>
      <c r="HB158">
        <v>100</v>
      </c>
      <c r="HH158">
        <v>100</v>
      </c>
      <c r="HI158">
        <v>20</v>
      </c>
      <c r="HO158">
        <v>20</v>
      </c>
      <c r="HP158" t="s">
        <v>1561</v>
      </c>
      <c r="HQ158">
        <v>142</v>
      </c>
      <c r="HW158">
        <v>142</v>
      </c>
      <c r="HX158">
        <v>533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533</v>
      </c>
      <c r="IE158">
        <v>135</v>
      </c>
      <c r="IK158">
        <v>135</v>
      </c>
      <c r="IL158">
        <v>321</v>
      </c>
      <c r="IR158">
        <v>321</v>
      </c>
      <c r="IS158">
        <v>77</v>
      </c>
      <c r="IY158">
        <v>77</v>
      </c>
      <c r="JF158">
        <v>0</v>
      </c>
      <c r="JM158">
        <v>0</v>
      </c>
      <c r="JN158">
        <v>533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533</v>
      </c>
      <c r="JU158">
        <v>29</v>
      </c>
      <c r="JV158">
        <v>0</v>
      </c>
      <c r="JW158">
        <v>71</v>
      </c>
      <c r="JY158">
        <v>0</v>
      </c>
      <c r="JZ158">
        <v>1</v>
      </c>
      <c r="KA158">
        <v>3</v>
      </c>
      <c r="KB158">
        <v>1</v>
      </c>
      <c r="KC158" t="s">
        <v>407</v>
      </c>
      <c r="KJ158">
        <v>0</v>
      </c>
      <c r="KK158">
        <v>25</v>
      </c>
      <c r="KQ158">
        <v>25</v>
      </c>
      <c r="KX158">
        <v>0</v>
      </c>
      <c r="LE158">
        <v>0</v>
      </c>
      <c r="LL158">
        <v>0</v>
      </c>
      <c r="LM158">
        <v>30</v>
      </c>
      <c r="LS158">
        <v>30</v>
      </c>
      <c r="LZ158">
        <v>0</v>
      </c>
      <c r="MA158" t="s">
        <v>1562</v>
      </c>
      <c r="MB158">
        <v>81</v>
      </c>
      <c r="MH158">
        <v>81</v>
      </c>
      <c r="MI158">
        <v>136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136</v>
      </c>
      <c r="MP158">
        <v>55</v>
      </c>
      <c r="MV158">
        <v>55</v>
      </c>
      <c r="MW158">
        <v>81</v>
      </c>
      <c r="NC158">
        <v>81</v>
      </c>
      <c r="NJ158">
        <v>0</v>
      </c>
      <c r="NQ158">
        <v>0</v>
      </c>
      <c r="NX158">
        <v>0</v>
      </c>
      <c r="NY158">
        <v>136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136</v>
      </c>
      <c r="OF158" t="s">
        <v>408</v>
      </c>
      <c r="OG158">
        <v>220</v>
      </c>
      <c r="OM158">
        <v>220</v>
      </c>
      <c r="ON158">
        <v>5</v>
      </c>
      <c r="OT158">
        <v>5</v>
      </c>
      <c r="PA158">
        <v>0</v>
      </c>
      <c r="PH158">
        <v>0</v>
      </c>
      <c r="PI158">
        <v>21</v>
      </c>
      <c r="PO158">
        <v>21</v>
      </c>
      <c r="PP158">
        <v>70</v>
      </c>
      <c r="PV158">
        <v>70</v>
      </c>
      <c r="PW158">
        <v>20</v>
      </c>
      <c r="QC158">
        <v>20</v>
      </c>
      <c r="QD158" t="s">
        <v>1562</v>
      </c>
      <c r="QE158">
        <v>61</v>
      </c>
      <c r="QK158">
        <v>61</v>
      </c>
      <c r="QL158">
        <v>397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397</v>
      </c>
      <c r="QS158">
        <v>80</v>
      </c>
      <c r="QY158">
        <v>80</v>
      </c>
      <c r="QZ158">
        <v>240</v>
      </c>
      <c r="RF158">
        <v>240</v>
      </c>
      <c r="RG158">
        <v>77</v>
      </c>
      <c r="RM158">
        <v>77</v>
      </c>
      <c r="RT158">
        <v>0</v>
      </c>
      <c r="SA158">
        <v>0</v>
      </c>
      <c r="SB158">
        <v>397</v>
      </c>
      <c r="SC158">
        <v>0</v>
      </c>
      <c r="SD158">
        <v>0</v>
      </c>
      <c r="SE158">
        <v>0</v>
      </c>
      <c r="SF158">
        <v>0</v>
      </c>
      <c r="SG158">
        <v>0</v>
      </c>
      <c r="SH158">
        <v>397</v>
      </c>
      <c r="SI158" t="s">
        <v>409</v>
      </c>
      <c r="WL158" t="s">
        <v>410</v>
      </c>
      <c r="AAO158" t="s">
        <v>411</v>
      </c>
      <c r="AER158" t="s">
        <v>412</v>
      </c>
    </row>
    <row r="159" spans="1:824" x14ac:dyDescent="0.2">
      <c r="A159" t="s">
        <v>1563</v>
      </c>
      <c r="B159" t="s">
        <v>396</v>
      </c>
      <c r="C159" t="s">
        <v>1564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>
        <v>677</v>
      </c>
      <c r="W159" s="3">
        <v>43500.454861111109</v>
      </c>
      <c r="X159" t="s">
        <v>1565</v>
      </c>
      <c r="Y159">
        <v>2019</v>
      </c>
      <c r="Z159" t="s">
        <v>1566</v>
      </c>
      <c r="AA159" t="s">
        <v>1564</v>
      </c>
      <c r="AB159" t="s">
        <v>1071</v>
      </c>
      <c r="AC159" t="s">
        <v>1567</v>
      </c>
      <c r="AD159">
        <v>31613718630</v>
      </c>
      <c r="AE159" t="s">
        <v>611</v>
      </c>
      <c r="AF159" t="s">
        <v>403</v>
      </c>
      <c r="AH159">
        <v>1</v>
      </c>
      <c r="AK159">
        <v>70</v>
      </c>
      <c r="AL159">
        <v>70</v>
      </c>
      <c r="AM159">
        <v>70</v>
      </c>
      <c r="AN159">
        <v>70</v>
      </c>
      <c r="AU159">
        <v>0</v>
      </c>
      <c r="AW159">
        <v>25</v>
      </c>
      <c r="AY159">
        <v>45</v>
      </c>
      <c r="BB159">
        <v>70</v>
      </c>
      <c r="BI159">
        <v>0</v>
      </c>
      <c r="BP159">
        <v>0</v>
      </c>
      <c r="BW159">
        <v>0</v>
      </c>
      <c r="CD159">
        <v>0</v>
      </c>
      <c r="CE159">
        <v>0</v>
      </c>
      <c r="CF159">
        <v>25</v>
      </c>
      <c r="CG159">
        <v>0</v>
      </c>
      <c r="CH159">
        <v>45</v>
      </c>
      <c r="CI159">
        <v>0</v>
      </c>
      <c r="CJ159">
        <v>0</v>
      </c>
      <c r="CK159">
        <v>70</v>
      </c>
      <c r="CR159">
        <v>0</v>
      </c>
      <c r="CT159">
        <v>1</v>
      </c>
      <c r="CV159">
        <v>2</v>
      </c>
      <c r="CY159">
        <v>3</v>
      </c>
      <c r="DF159">
        <v>0</v>
      </c>
      <c r="DM159">
        <v>0</v>
      </c>
      <c r="DT159">
        <v>0</v>
      </c>
      <c r="EA159">
        <v>0</v>
      </c>
      <c r="EB159">
        <v>0</v>
      </c>
      <c r="EC159">
        <v>1</v>
      </c>
      <c r="ED159">
        <v>0</v>
      </c>
      <c r="EE159">
        <v>2</v>
      </c>
      <c r="EF159">
        <v>0</v>
      </c>
      <c r="EG159">
        <v>0</v>
      </c>
      <c r="EH159">
        <v>3</v>
      </c>
      <c r="EI159" t="s">
        <v>404</v>
      </c>
      <c r="EJ159" t="s">
        <v>404</v>
      </c>
      <c r="EK159" t="s">
        <v>404</v>
      </c>
      <c r="EL159" t="s">
        <v>404</v>
      </c>
      <c r="EM159" t="s">
        <v>404</v>
      </c>
      <c r="EN159" t="s">
        <v>404</v>
      </c>
      <c r="EO159" t="s">
        <v>404</v>
      </c>
      <c r="EP159" t="s">
        <v>405</v>
      </c>
      <c r="EQ159" t="s">
        <v>404</v>
      </c>
      <c r="ER159" t="s">
        <v>405</v>
      </c>
      <c r="ES159" t="s">
        <v>404</v>
      </c>
      <c r="ET159" t="s">
        <v>404</v>
      </c>
      <c r="EU159" t="s">
        <v>404</v>
      </c>
      <c r="EV159" t="s">
        <v>404</v>
      </c>
      <c r="EW159" t="s">
        <v>404</v>
      </c>
      <c r="EX159" t="s">
        <v>404</v>
      </c>
      <c r="EY159" t="s">
        <v>404</v>
      </c>
      <c r="EZ159" t="s">
        <v>404</v>
      </c>
      <c r="FA159" t="s">
        <v>404</v>
      </c>
      <c r="FB159" t="s">
        <v>404</v>
      </c>
      <c r="FC159" t="s">
        <v>404</v>
      </c>
      <c r="FD159" t="s">
        <v>404</v>
      </c>
      <c r="FE159" t="s">
        <v>404</v>
      </c>
      <c r="FF159" t="s">
        <v>404</v>
      </c>
      <c r="FG159" t="s">
        <v>404</v>
      </c>
      <c r="FH159" t="s">
        <v>404</v>
      </c>
      <c r="FI159" t="s">
        <v>404</v>
      </c>
      <c r="FJ159" t="s">
        <v>404</v>
      </c>
      <c r="FK159" t="s">
        <v>404</v>
      </c>
      <c r="FL159" t="s">
        <v>404</v>
      </c>
      <c r="FM159" t="s">
        <v>404</v>
      </c>
      <c r="FN159" t="s">
        <v>404</v>
      </c>
      <c r="FO159" t="s">
        <v>404</v>
      </c>
      <c r="FP159" t="s">
        <v>404</v>
      </c>
      <c r="FQ159" t="s">
        <v>404</v>
      </c>
      <c r="FR159" t="s">
        <v>404</v>
      </c>
      <c r="FY159">
        <v>0</v>
      </c>
      <c r="GF159">
        <v>0</v>
      </c>
      <c r="GM159">
        <v>0</v>
      </c>
      <c r="GT159">
        <v>0</v>
      </c>
      <c r="HA159">
        <v>0</v>
      </c>
      <c r="HH159">
        <v>0</v>
      </c>
      <c r="HL159">
        <v>45</v>
      </c>
      <c r="HO159">
        <v>45</v>
      </c>
      <c r="HP159" t="s">
        <v>1568</v>
      </c>
      <c r="HR159">
        <v>25</v>
      </c>
      <c r="HW159">
        <v>25</v>
      </c>
      <c r="HX159">
        <v>0</v>
      </c>
      <c r="HY159">
        <v>25</v>
      </c>
      <c r="HZ159">
        <v>0</v>
      </c>
      <c r="IA159">
        <v>45</v>
      </c>
      <c r="IB159">
        <v>0</v>
      </c>
      <c r="IC159">
        <v>0</v>
      </c>
      <c r="ID159">
        <v>70</v>
      </c>
      <c r="IK159">
        <v>0</v>
      </c>
      <c r="IO159">
        <v>45</v>
      </c>
      <c r="IR159">
        <v>45</v>
      </c>
      <c r="IT159">
        <v>25</v>
      </c>
      <c r="IY159">
        <v>25</v>
      </c>
      <c r="JF159">
        <v>0</v>
      </c>
      <c r="JM159">
        <v>0</v>
      </c>
      <c r="JN159">
        <v>0</v>
      </c>
      <c r="JO159">
        <v>25</v>
      </c>
      <c r="JP159">
        <v>0</v>
      </c>
      <c r="JQ159">
        <v>45</v>
      </c>
      <c r="JR159">
        <v>0</v>
      </c>
      <c r="JS159">
        <v>0</v>
      </c>
      <c r="JT159">
        <v>70</v>
      </c>
      <c r="JW159">
        <v>100</v>
      </c>
      <c r="JZ159">
        <v>1</v>
      </c>
      <c r="KA159">
        <v>1</v>
      </c>
      <c r="KB159">
        <v>2</v>
      </c>
      <c r="KC159" t="s">
        <v>407</v>
      </c>
      <c r="OF159" t="s">
        <v>408</v>
      </c>
      <c r="SI159" t="s">
        <v>409</v>
      </c>
      <c r="WL159" t="s">
        <v>410</v>
      </c>
      <c r="AAO159" t="s">
        <v>411</v>
      </c>
      <c r="AER159" t="s">
        <v>412</v>
      </c>
    </row>
    <row r="160" spans="1:824" x14ac:dyDescent="0.2">
      <c r="A160" t="s">
        <v>1569</v>
      </c>
      <c r="B160" t="s">
        <v>396</v>
      </c>
      <c r="C160" t="s">
        <v>1570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>
        <v>668</v>
      </c>
      <c r="W160" s="3">
        <v>43523.599305555559</v>
      </c>
      <c r="X160" t="s">
        <v>993</v>
      </c>
      <c r="Y160">
        <v>2019</v>
      </c>
      <c r="Z160" t="s">
        <v>1571</v>
      </c>
      <c r="AA160" t="s">
        <v>1570</v>
      </c>
      <c r="AB160" t="s">
        <v>1572</v>
      </c>
      <c r="AC160" t="s">
        <v>1573</v>
      </c>
      <c r="AD160">
        <f>49697147-3504</f>
        <v>49693643</v>
      </c>
      <c r="AE160" t="s">
        <v>444</v>
      </c>
      <c r="AF160" t="s">
        <v>403</v>
      </c>
      <c r="AH160">
        <v>1</v>
      </c>
      <c r="AK160">
        <v>985</v>
      </c>
      <c r="AL160">
        <v>985</v>
      </c>
      <c r="AM160">
        <v>985</v>
      </c>
      <c r="AN160">
        <v>985</v>
      </c>
      <c r="AU160">
        <v>0</v>
      </c>
      <c r="AV160">
        <v>833.5</v>
      </c>
      <c r="AW160">
        <v>31.2</v>
      </c>
      <c r="AY160">
        <v>120</v>
      </c>
      <c r="BB160">
        <v>984.7</v>
      </c>
      <c r="BI160">
        <v>0</v>
      </c>
      <c r="BP160">
        <v>0</v>
      </c>
      <c r="BW160">
        <v>0</v>
      </c>
      <c r="CD160">
        <v>0</v>
      </c>
      <c r="CE160">
        <v>833.5</v>
      </c>
      <c r="CF160">
        <v>31.2</v>
      </c>
      <c r="CG160">
        <v>0</v>
      </c>
      <c r="CH160">
        <v>120</v>
      </c>
      <c r="CI160">
        <v>0</v>
      </c>
      <c r="CJ160">
        <v>0</v>
      </c>
      <c r="CK160">
        <v>984.7</v>
      </c>
      <c r="CR160">
        <v>0</v>
      </c>
      <c r="CS160">
        <v>5</v>
      </c>
      <c r="CT160">
        <v>2</v>
      </c>
      <c r="CV160">
        <v>1</v>
      </c>
      <c r="CY160">
        <v>8</v>
      </c>
      <c r="DF160">
        <v>0</v>
      </c>
      <c r="DM160">
        <v>0</v>
      </c>
      <c r="DT160">
        <v>0</v>
      </c>
      <c r="EA160">
        <v>0</v>
      </c>
      <c r="EB160">
        <v>5</v>
      </c>
      <c r="EC160">
        <v>2</v>
      </c>
      <c r="ED160">
        <v>0</v>
      </c>
      <c r="EE160">
        <v>1</v>
      </c>
      <c r="EF160">
        <v>0</v>
      </c>
      <c r="EG160">
        <v>0</v>
      </c>
      <c r="EH160">
        <v>8</v>
      </c>
      <c r="EI160" t="s">
        <v>404</v>
      </c>
      <c r="EJ160" t="s">
        <v>404</v>
      </c>
      <c r="EK160" t="s">
        <v>404</v>
      </c>
      <c r="EL160" t="s">
        <v>404</v>
      </c>
      <c r="EM160" t="s">
        <v>404</v>
      </c>
      <c r="EN160" t="s">
        <v>404</v>
      </c>
      <c r="EO160" t="s">
        <v>405</v>
      </c>
      <c r="EP160" t="s">
        <v>405</v>
      </c>
      <c r="EQ160" t="s">
        <v>404</v>
      </c>
      <c r="ER160" t="s">
        <v>405</v>
      </c>
      <c r="ES160" t="s">
        <v>404</v>
      </c>
      <c r="ET160" t="s">
        <v>404</v>
      </c>
      <c r="EU160" t="s">
        <v>404</v>
      </c>
      <c r="EV160" t="s">
        <v>404</v>
      </c>
      <c r="EW160" t="s">
        <v>404</v>
      </c>
      <c r="EX160" t="s">
        <v>404</v>
      </c>
      <c r="EY160" t="s">
        <v>404</v>
      </c>
      <c r="EZ160" t="s">
        <v>404</v>
      </c>
      <c r="FA160" t="s">
        <v>404</v>
      </c>
      <c r="FB160" t="s">
        <v>404</v>
      </c>
      <c r="FC160" t="s">
        <v>404</v>
      </c>
      <c r="FD160" t="s">
        <v>404</v>
      </c>
      <c r="FE160" t="s">
        <v>404</v>
      </c>
      <c r="FF160" t="s">
        <v>404</v>
      </c>
      <c r="FG160" t="s">
        <v>404</v>
      </c>
      <c r="FH160" t="s">
        <v>404</v>
      </c>
      <c r="FI160" t="s">
        <v>404</v>
      </c>
      <c r="FJ160" t="s">
        <v>404</v>
      </c>
      <c r="FK160" t="s">
        <v>404</v>
      </c>
      <c r="FL160" t="s">
        <v>404</v>
      </c>
      <c r="FM160" t="s">
        <v>404</v>
      </c>
      <c r="FN160" t="s">
        <v>404</v>
      </c>
      <c r="FO160" t="s">
        <v>404</v>
      </c>
      <c r="FP160" t="s">
        <v>404</v>
      </c>
      <c r="FQ160" t="s">
        <v>404</v>
      </c>
      <c r="FR160" t="s">
        <v>404</v>
      </c>
      <c r="FY160">
        <v>0</v>
      </c>
      <c r="GA160">
        <v>31.2</v>
      </c>
      <c r="GF160">
        <v>31.2</v>
      </c>
      <c r="GM160">
        <v>0</v>
      </c>
      <c r="GT160">
        <v>0</v>
      </c>
      <c r="GU160">
        <v>30</v>
      </c>
      <c r="HA160">
        <v>30</v>
      </c>
      <c r="HH160">
        <v>0</v>
      </c>
      <c r="HO160">
        <v>0</v>
      </c>
      <c r="HP160" t="s">
        <v>1574</v>
      </c>
      <c r="HQ160">
        <v>803.5</v>
      </c>
      <c r="HT160">
        <v>120</v>
      </c>
      <c r="HW160">
        <v>923.5</v>
      </c>
      <c r="HX160">
        <v>833.5</v>
      </c>
      <c r="HY160">
        <v>31.2</v>
      </c>
      <c r="HZ160">
        <v>0</v>
      </c>
      <c r="IA160">
        <v>120</v>
      </c>
      <c r="IB160">
        <v>0</v>
      </c>
      <c r="IC160">
        <v>0</v>
      </c>
      <c r="ID160">
        <v>984.7</v>
      </c>
      <c r="IK160">
        <v>0</v>
      </c>
      <c r="IL160">
        <v>833.5</v>
      </c>
      <c r="IM160">
        <v>31.2</v>
      </c>
      <c r="IO160">
        <v>120</v>
      </c>
      <c r="IR160">
        <v>984.7</v>
      </c>
      <c r="IY160">
        <v>0</v>
      </c>
      <c r="JF160">
        <v>0</v>
      </c>
      <c r="JM160">
        <v>0</v>
      </c>
      <c r="JN160">
        <v>833.5</v>
      </c>
      <c r="JO160">
        <v>31.2</v>
      </c>
      <c r="JP160">
        <v>0</v>
      </c>
      <c r="JQ160">
        <v>120</v>
      </c>
      <c r="JR160">
        <v>0</v>
      </c>
      <c r="JS160">
        <v>0</v>
      </c>
      <c r="JT160">
        <v>984.7</v>
      </c>
      <c r="JW160">
        <v>100</v>
      </c>
      <c r="JZ160">
        <v>1</v>
      </c>
      <c r="KA160">
        <v>1</v>
      </c>
      <c r="KB160">
        <v>1</v>
      </c>
      <c r="KC160" t="s">
        <v>407</v>
      </c>
      <c r="OF160" t="s">
        <v>408</v>
      </c>
      <c r="SI160" t="s">
        <v>409</v>
      </c>
      <c r="WL160" t="s">
        <v>410</v>
      </c>
      <c r="AAO160" t="s">
        <v>411</v>
      </c>
      <c r="AER160" t="s">
        <v>412</v>
      </c>
    </row>
    <row r="161" spans="1:824" x14ac:dyDescent="0.2">
      <c r="A161" t="s">
        <v>1575</v>
      </c>
      <c r="B161" t="s">
        <v>563</v>
      </c>
      <c r="C161" t="s">
        <v>1576</v>
      </c>
      <c r="P161" t="b">
        <v>0</v>
      </c>
      <c r="Q161" t="b">
        <v>0</v>
      </c>
      <c r="R161" t="b">
        <v>1</v>
      </c>
      <c r="S161" t="b">
        <v>0</v>
      </c>
      <c r="T161" t="b">
        <v>0</v>
      </c>
      <c r="U161" t="b">
        <v>0</v>
      </c>
      <c r="V161">
        <v>786</v>
      </c>
      <c r="W161" s="3">
        <v>43517.865277777775</v>
      </c>
      <c r="X161" t="s">
        <v>1577</v>
      </c>
      <c r="Y161">
        <v>2019</v>
      </c>
      <c r="Z161" t="s">
        <v>1578</v>
      </c>
      <c r="AA161" t="s">
        <v>1579</v>
      </c>
      <c r="AB161" t="s">
        <v>713</v>
      </c>
      <c r="AC161" t="s">
        <v>1580</v>
      </c>
      <c r="AD161">
        <v>214989.0699</v>
      </c>
      <c r="AE161" t="s">
        <v>571</v>
      </c>
      <c r="AF161" t="s">
        <v>538</v>
      </c>
      <c r="AH161">
        <v>1</v>
      </c>
      <c r="AK161">
        <v>128</v>
      </c>
      <c r="AL161">
        <v>128</v>
      </c>
      <c r="AM161">
        <v>128</v>
      </c>
      <c r="AN161">
        <v>128</v>
      </c>
      <c r="AU161">
        <v>0</v>
      </c>
      <c r="BB161">
        <v>0</v>
      </c>
      <c r="BD161">
        <v>70</v>
      </c>
      <c r="BF161">
        <v>58</v>
      </c>
      <c r="BI161">
        <v>128</v>
      </c>
      <c r="BP161">
        <v>0</v>
      </c>
      <c r="BW161">
        <v>0</v>
      </c>
      <c r="CD161">
        <v>0</v>
      </c>
      <c r="CE161">
        <v>0</v>
      </c>
      <c r="CF161">
        <v>70</v>
      </c>
      <c r="CG161">
        <v>0</v>
      </c>
      <c r="CH161">
        <v>58</v>
      </c>
      <c r="CI161">
        <v>0</v>
      </c>
      <c r="CJ161">
        <v>0</v>
      </c>
      <c r="CK161">
        <v>128</v>
      </c>
      <c r="CR161">
        <v>0</v>
      </c>
      <c r="CY161">
        <v>0</v>
      </c>
      <c r="DA161">
        <v>2</v>
      </c>
      <c r="DC161">
        <v>2</v>
      </c>
      <c r="DF161">
        <v>4</v>
      </c>
      <c r="DM161">
        <v>0</v>
      </c>
      <c r="DT161">
        <v>0</v>
      </c>
      <c r="EA161">
        <v>0</v>
      </c>
      <c r="EB161">
        <v>0</v>
      </c>
      <c r="EC161">
        <v>2</v>
      </c>
      <c r="ED161">
        <v>0</v>
      </c>
      <c r="EE161">
        <v>2</v>
      </c>
      <c r="EF161">
        <v>0</v>
      </c>
      <c r="EG161">
        <v>0</v>
      </c>
      <c r="EH161">
        <v>4</v>
      </c>
      <c r="EI161" t="s">
        <v>404</v>
      </c>
      <c r="EJ161" t="s">
        <v>404</v>
      </c>
      <c r="EK161" t="s">
        <v>404</v>
      </c>
      <c r="EL161" t="s">
        <v>404</v>
      </c>
      <c r="EM161" t="s">
        <v>404</v>
      </c>
      <c r="EN161" t="s">
        <v>404</v>
      </c>
      <c r="EO161" t="s">
        <v>404</v>
      </c>
      <c r="EP161" t="s">
        <v>404</v>
      </c>
      <c r="EQ161" t="s">
        <v>404</v>
      </c>
      <c r="ER161" t="s">
        <v>404</v>
      </c>
      <c r="ES161" t="s">
        <v>404</v>
      </c>
      <c r="ET161" t="s">
        <v>404</v>
      </c>
      <c r="EU161" t="s">
        <v>404</v>
      </c>
      <c r="EV161" t="s">
        <v>405</v>
      </c>
      <c r="EW161" t="s">
        <v>404</v>
      </c>
      <c r="EX161" t="s">
        <v>405</v>
      </c>
      <c r="EY161" t="s">
        <v>404</v>
      </c>
      <c r="EZ161" t="s">
        <v>404</v>
      </c>
      <c r="FA161" t="s">
        <v>404</v>
      </c>
      <c r="FB161" t="s">
        <v>404</v>
      </c>
      <c r="FC161" t="s">
        <v>404</v>
      </c>
      <c r="FD161" t="s">
        <v>404</v>
      </c>
      <c r="FE161" t="s">
        <v>404</v>
      </c>
      <c r="FF161" t="s">
        <v>404</v>
      </c>
      <c r="FG161" t="s">
        <v>404</v>
      </c>
      <c r="FH161" t="s">
        <v>404</v>
      </c>
      <c r="FI161" t="s">
        <v>404</v>
      </c>
      <c r="FJ161" t="s">
        <v>404</v>
      </c>
      <c r="FK161" t="s">
        <v>404</v>
      </c>
      <c r="FL161" t="s">
        <v>404</v>
      </c>
      <c r="FM161" t="s">
        <v>404</v>
      </c>
      <c r="FN161" t="s">
        <v>404</v>
      </c>
      <c r="FO161" t="s">
        <v>404</v>
      </c>
      <c r="FP161" t="s">
        <v>404</v>
      </c>
      <c r="FQ161" t="s">
        <v>404</v>
      </c>
      <c r="FR161" t="s">
        <v>404</v>
      </c>
      <c r="FT161">
        <v>70</v>
      </c>
      <c r="FV161">
        <v>37</v>
      </c>
      <c r="FY161">
        <v>107</v>
      </c>
      <c r="GF161">
        <v>0</v>
      </c>
      <c r="GM161">
        <v>0</v>
      </c>
      <c r="GT161">
        <v>0</v>
      </c>
      <c r="HA161">
        <v>0</v>
      </c>
      <c r="HH161">
        <v>0</v>
      </c>
      <c r="HO161">
        <v>0</v>
      </c>
      <c r="HP161" t="s">
        <v>1581</v>
      </c>
      <c r="HT161">
        <v>21</v>
      </c>
      <c r="HW161">
        <v>21</v>
      </c>
      <c r="HX161">
        <v>0</v>
      </c>
      <c r="HY161">
        <v>70</v>
      </c>
      <c r="HZ161">
        <v>0</v>
      </c>
      <c r="IA161">
        <v>58</v>
      </c>
      <c r="IB161">
        <v>0</v>
      </c>
      <c r="IC161">
        <v>0</v>
      </c>
      <c r="ID161">
        <v>128</v>
      </c>
      <c r="IH161">
        <v>21</v>
      </c>
      <c r="IK161">
        <v>21</v>
      </c>
      <c r="IR161">
        <v>0</v>
      </c>
      <c r="IT161">
        <v>70</v>
      </c>
      <c r="IV161">
        <v>37</v>
      </c>
      <c r="IY161">
        <v>107</v>
      </c>
      <c r="JF161">
        <v>0</v>
      </c>
      <c r="JM161">
        <v>0</v>
      </c>
      <c r="JN161">
        <v>0</v>
      </c>
      <c r="JO161">
        <v>70</v>
      </c>
      <c r="JP161">
        <v>0</v>
      </c>
      <c r="JQ161">
        <v>58</v>
      </c>
      <c r="JR161">
        <v>0</v>
      </c>
      <c r="JS161">
        <v>0</v>
      </c>
      <c r="JT161">
        <v>128</v>
      </c>
      <c r="JW161">
        <v>100</v>
      </c>
      <c r="JZ161">
        <v>1</v>
      </c>
      <c r="KA161">
        <v>3</v>
      </c>
      <c r="KB161">
        <v>1</v>
      </c>
      <c r="KC161" t="s">
        <v>407</v>
      </c>
      <c r="OF161" t="s">
        <v>408</v>
      </c>
      <c r="SI161" t="s">
        <v>409</v>
      </c>
      <c r="WL161" t="s">
        <v>410</v>
      </c>
      <c r="AAO161" t="s">
        <v>411</v>
      </c>
      <c r="AER161" t="s">
        <v>412</v>
      </c>
    </row>
    <row r="162" spans="1:824" x14ac:dyDescent="0.2">
      <c r="A162" t="s">
        <v>1582</v>
      </c>
      <c r="B162" t="s">
        <v>414</v>
      </c>
      <c r="C162" t="s">
        <v>1583</v>
      </c>
      <c r="D162" t="s">
        <v>478</v>
      </c>
      <c r="E162" s="3">
        <v>43517.058333333334</v>
      </c>
      <c r="H162" t="s">
        <v>502</v>
      </c>
      <c r="I162" s="3">
        <v>43517.064583333333</v>
      </c>
      <c r="P162" t="b">
        <v>0</v>
      </c>
      <c r="Q162" t="b">
        <v>1</v>
      </c>
      <c r="R162" t="b">
        <v>1</v>
      </c>
      <c r="S162" t="b">
        <v>0</v>
      </c>
      <c r="T162" t="b">
        <v>0</v>
      </c>
      <c r="U162" t="b">
        <v>0</v>
      </c>
      <c r="V162">
        <v>538</v>
      </c>
      <c r="W162" s="3">
        <v>43517.044444444444</v>
      </c>
      <c r="X162" t="s">
        <v>1584</v>
      </c>
      <c r="Y162">
        <v>2019</v>
      </c>
      <c r="Z162" t="s">
        <v>1585</v>
      </c>
      <c r="AA162" t="s">
        <v>1586</v>
      </c>
      <c r="AB162" t="s">
        <v>599</v>
      </c>
      <c r="AC162" t="s">
        <v>1587</v>
      </c>
      <c r="AD162" t="s">
        <v>1588</v>
      </c>
      <c r="AE162" t="s">
        <v>703</v>
      </c>
      <c r="AF162" t="s">
        <v>704</v>
      </c>
      <c r="AH162">
        <v>1</v>
      </c>
      <c r="AK162">
        <v>80433</v>
      </c>
      <c r="AL162">
        <v>24009</v>
      </c>
      <c r="AM162">
        <v>80433</v>
      </c>
      <c r="AN162">
        <v>24009</v>
      </c>
      <c r="AO162">
        <v>19004</v>
      </c>
      <c r="AP162">
        <v>6600</v>
      </c>
      <c r="AQ162">
        <v>31220</v>
      </c>
      <c r="AT162">
        <v>8726</v>
      </c>
      <c r="AU162">
        <v>65550</v>
      </c>
      <c r="BB162">
        <v>0</v>
      </c>
      <c r="BC162">
        <v>5005</v>
      </c>
      <c r="BH162">
        <v>9878</v>
      </c>
      <c r="BI162">
        <v>14883</v>
      </c>
      <c r="BP162">
        <v>0</v>
      </c>
      <c r="BW162">
        <v>0</v>
      </c>
      <c r="CD162">
        <v>0</v>
      </c>
      <c r="CE162">
        <v>24009</v>
      </c>
      <c r="CF162">
        <v>6600</v>
      </c>
      <c r="CG162">
        <v>31220</v>
      </c>
      <c r="CH162">
        <v>0</v>
      </c>
      <c r="CI162">
        <v>0</v>
      </c>
      <c r="CJ162">
        <v>18604</v>
      </c>
      <c r="CK162">
        <v>80433</v>
      </c>
      <c r="CL162">
        <v>2</v>
      </c>
      <c r="CM162">
        <v>1</v>
      </c>
      <c r="CN162">
        <v>1</v>
      </c>
      <c r="CQ162">
        <v>3</v>
      </c>
      <c r="CR162">
        <v>7</v>
      </c>
      <c r="CY162">
        <v>0</v>
      </c>
      <c r="CZ162">
        <v>2</v>
      </c>
      <c r="DE162">
        <v>3</v>
      </c>
      <c r="DF162">
        <v>5</v>
      </c>
      <c r="DM162">
        <v>0</v>
      </c>
      <c r="DT162">
        <v>0</v>
      </c>
      <c r="EA162">
        <v>0</v>
      </c>
      <c r="EB162">
        <v>4</v>
      </c>
      <c r="EC162">
        <v>1</v>
      </c>
      <c r="ED162">
        <v>1</v>
      </c>
      <c r="EE162">
        <v>0</v>
      </c>
      <c r="EF162">
        <v>0</v>
      </c>
      <c r="EG162">
        <v>6</v>
      </c>
      <c r="EH162">
        <v>12</v>
      </c>
      <c r="EI162" t="s">
        <v>405</v>
      </c>
      <c r="EJ162" t="s">
        <v>405</v>
      </c>
      <c r="EK162" t="s">
        <v>405</v>
      </c>
      <c r="EL162" t="s">
        <v>404</v>
      </c>
      <c r="EM162" t="s">
        <v>404</v>
      </c>
      <c r="EN162" t="s">
        <v>405</v>
      </c>
      <c r="EO162" t="s">
        <v>404</v>
      </c>
      <c r="EP162" t="s">
        <v>404</v>
      </c>
      <c r="EQ162" t="s">
        <v>404</v>
      </c>
      <c r="ER162" t="s">
        <v>404</v>
      </c>
      <c r="ES162" t="s">
        <v>404</v>
      </c>
      <c r="ET162" t="s">
        <v>404</v>
      </c>
      <c r="EU162" t="s">
        <v>405</v>
      </c>
      <c r="EV162" t="s">
        <v>404</v>
      </c>
      <c r="EW162" t="s">
        <v>404</v>
      </c>
      <c r="EX162" t="s">
        <v>404</v>
      </c>
      <c r="EY162" t="s">
        <v>404</v>
      </c>
      <c r="EZ162" t="s">
        <v>405</v>
      </c>
      <c r="FA162" t="s">
        <v>404</v>
      </c>
      <c r="FB162" t="s">
        <v>404</v>
      </c>
      <c r="FC162" t="s">
        <v>404</v>
      </c>
      <c r="FD162" t="s">
        <v>404</v>
      </c>
      <c r="FE162" t="s">
        <v>404</v>
      </c>
      <c r="FF162" t="s">
        <v>404</v>
      </c>
      <c r="FG162" t="s">
        <v>404</v>
      </c>
      <c r="FH162" t="s">
        <v>404</v>
      </c>
      <c r="FI162" t="s">
        <v>404</v>
      </c>
      <c r="FJ162" t="s">
        <v>404</v>
      </c>
      <c r="FK162" t="s">
        <v>404</v>
      </c>
      <c r="FL162" t="s">
        <v>404</v>
      </c>
      <c r="FM162" t="s">
        <v>404</v>
      </c>
      <c r="FN162" t="s">
        <v>404</v>
      </c>
      <c r="FO162" t="s">
        <v>404</v>
      </c>
      <c r="FP162" t="s">
        <v>404</v>
      </c>
      <c r="FQ162" t="s">
        <v>404</v>
      </c>
      <c r="FR162" t="s">
        <v>404</v>
      </c>
      <c r="FS162">
        <v>2045</v>
      </c>
      <c r="FX162">
        <v>2609</v>
      </c>
      <c r="FY162">
        <v>4654</v>
      </c>
      <c r="FZ162">
        <v>3875</v>
      </c>
      <c r="GF162">
        <v>3875</v>
      </c>
      <c r="GM162">
        <v>0</v>
      </c>
      <c r="GT162">
        <v>0</v>
      </c>
      <c r="HA162">
        <v>0</v>
      </c>
      <c r="HH162">
        <v>0</v>
      </c>
      <c r="HO162">
        <v>0</v>
      </c>
      <c r="HP162" t="s">
        <v>1589</v>
      </c>
      <c r="HQ162">
        <v>18089</v>
      </c>
      <c r="HR162">
        <v>6600</v>
      </c>
      <c r="HS162">
        <v>31220</v>
      </c>
      <c r="HV162">
        <v>15995</v>
      </c>
      <c r="HW162">
        <v>71904</v>
      </c>
      <c r="HX162">
        <v>24009</v>
      </c>
      <c r="HY162">
        <v>6600</v>
      </c>
      <c r="HZ162">
        <v>31220</v>
      </c>
      <c r="IA162">
        <v>0</v>
      </c>
      <c r="IB162">
        <v>0</v>
      </c>
      <c r="IC162">
        <v>18604</v>
      </c>
      <c r="ID162">
        <v>80433</v>
      </c>
      <c r="IE162">
        <v>24009</v>
      </c>
      <c r="IF162">
        <v>6600</v>
      </c>
      <c r="IG162">
        <v>31220</v>
      </c>
      <c r="IJ162">
        <v>18604</v>
      </c>
      <c r="IK162">
        <v>80433</v>
      </c>
      <c r="IR162">
        <v>0</v>
      </c>
      <c r="IY162">
        <v>0</v>
      </c>
      <c r="JF162">
        <v>0</v>
      </c>
      <c r="JM162">
        <v>0</v>
      </c>
      <c r="JN162">
        <v>24009</v>
      </c>
      <c r="JO162">
        <v>6600</v>
      </c>
      <c r="JP162">
        <v>31220</v>
      </c>
      <c r="JQ162">
        <v>0</v>
      </c>
      <c r="JR162">
        <v>0</v>
      </c>
      <c r="JS162">
        <v>18604</v>
      </c>
      <c r="JT162">
        <v>80433</v>
      </c>
      <c r="JU162">
        <v>32.1</v>
      </c>
      <c r="JW162">
        <v>67.900000000000006</v>
      </c>
      <c r="JZ162">
        <v>1</v>
      </c>
      <c r="KA162">
        <v>3</v>
      </c>
      <c r="KB162">
        <v>2</v>
      </c>
      <c r="KC162" t="s">
        <v>407</v>
      </c>
      <c r="KD162">
        <v>2045</v>
      </c>
      <c r="KI162">
        <v>2609</v>
      </c>
      <c r="KJ162">
        <v>4654</v>
      </c>
      <c r="KK162">
        <v>3875</v>
      </c>
      <c r="KQ162">
        <v>3875</v>
      </c>
      <c r="KX162">
        <v>0</v>
      </c>
      <c r="LE162">
        <v>0</v>
      </c>
      <c r="LL162">
        <v>0</v>
      </c>
      <c r="LS162">
        <v>0</v>
      </c>
      <c r="LZ162">
        <v>0</v>
      </c>
      <c r="MA162" t="s">
        <v>1589</v>
      </c>
      <c r="MB162">
        <v>13084</v>
      </c>
      <c r="MC162">
        <v>6600</v>
      </c>
      <c r="MD162">
        <v>31220</v>
      </c>
      <c r="MG162">
        <v>6117</v>
      </c>
      <c r="MH162">
        <v>57021</v>
      </c>
      <c r="MI162">
        <v>19004</v>
      </c>
      <c r="MJ162">
        <v>6600</v>
      </c>
      <c r="MK162">
        <v>31220</v>
      </c>
      <c r="ML162">
        <v>0</v>
      </c>
      <c r="MM162">
        <v>0</v>
      </c>
      <c r="MN162">
        <v>8726</v>
      </c>
      <c r="MO162">
        <v>65550</v>
      </c>
      <c r="MV162">
        <v>0</v>
      </c>
      <c r="MW162">
        <v>19004</v>
      </c>
      <c r="MX162">
        <v>6600</v>
      </c>
      <c r="MY162">
        <v>31220</v>
      </c>
      <c r="NB162">
        <v>8726</v>
      </c>
      <c r="NC162">
        <v>65550</v>
      </c>
      <c r="NJ162">
        <v>0</v>
      </c>
      <c r="NQ162">
        <v>0</v>
      </c>
      <c r="NX162">
        <v>0</v>
      </c>
      <c r="NY162">
        <v>19004</v>
      </c>
      <c r="NZ162">
        <v>6600</v>
      </c>
      <c r="OA162">
        <v>31220</v>
      </c>
      <c r="OB162">
        <v>0</v>
      </c>
      <c r="OC162">
        <v>0</v>
      </c>
      <c r="OD162">
        <v>8726</v>
      </c>
      <c r="OE162">
        <v>65550</v>
      </c>
      <c r="OF162" t="s">
        <v>408</v>
      </c>
      <c r="SI162" t="s">
        <v>409</v>
      </c>
      <c r="SP162">
        <v>0</v>
      </c>
      <c r="SW162">
        <v>0</v>
      </c>
      <c r="TD162">
        <v>0</v>
      </c>
      <c r="TK162">
        <v>0</v>
      </c>
      <c r="TR162">
        <v>0</v>
      </c>
      <c r="TY162">
        <v>0</v>
      </c>
      <c r="UF162">
        <v>0</v>
      </c>
      <c r="UG162" t="s">
        <v>1589</v>
      </c>
      <c r="UH162">
        <v>5005</v>
      </c>
      <c r="UM162">
        <v>9878</v>
      </c>
      <c r="UN162">
        <v>14883</v>
      </c>
      <c r="UO162">
        <v>5005</v>
      </c>
      <c r="UP162">
        <v>0</v>
      </c>
      <c r="UQ162">
        <v>0</v>
      </c>
      <c r="UR162">
        <v>0</v>
      </c>
      <c r="US162">
        <v>0</v>
      </c>
      <c r="UT162">
        <v>9878</v>
      </c>
      <c r="UU162">
        <v>14883</v>
      </c>
      <c r="VB162">
        <v>0</v>
      </c>
      <c r="VC162">
        <v>5005</v>
      </c>
      <c r="VH162">
        <v>9878</v>
      </c>
      <c r="VI162">
        <v>14883</v>
      </c>
      <c r="VP162">
        <v>0</v>
      </c>
      <c r="VW162">
        <v>0</v>
      </c>
      <c r="WD162">
        <v>0</v>
      </c>
      <c r="WE162">
        <v>5005</v>
      </c>
      <c r="WF162">
        <v>0</v>
      </c>
      <c r="WG162">
        <v>0</v>
      </c>
      <c r="WH162">
        <v>0</v>
      </c>
      <c r="WI162">
        <v>0</v>
      </c>
      <c r="WJ162">
        <v>9878</v>
      </c>
      <c r="WK162">
        <v>14883</v>
      </c>
      <c r="WL162" t="s">
        <v>410</v>
      </c>
      <c r="AAO162" t="s">
        <v>411</v>
      </c>
      <c r="AER162" t="s">
        <v>412</v>
      </c>
    </row>
    <row r="163" spans="1:824" x14ac:dyDescent="0.2">
      <c r="A163" t="s">
        <v>1590</v>
      </c>
      <c r="B163" t="s">
        <v>414</v>
      </c>
      <c r="C163" t="s">
        <v>1591</v>
      </c>
      <c r="D163" t="s">
        <v>478</v>
      </c>
      <c r="E163" s="3">
        <v>43528.445833333331</v>
      </c>
      <c r="F163" t="s">
        <v>479</v>
      </c>
      <c r="G163" s="3">
        <v>43528.447222222225</v>
      </c>
      <c r="P163" t="b">
        <v>1</v>
      </c>
      <c r="Q163" t="b">
        <v>1</v>
      </c>
      <c r="R163" t="b">
        <v>0</v>
      </c>
      <c r="S163" t="b">
        <v>0</v>
      </c>
      <c r="T163" t="b">
        <v>0</v>
      </c>
      <c r="U163" t="b">
        <v>0</v>
      </c>
      <c r="V163">
        <v>638</v>
      </c>
      <c r="W163" s="3">
        <v>43528.442361111112</v>
      </c>
      <c r="X163" t="s">
        <v>1592</v>
      </c>
      <c r="Y163">
        <v>2019</v>
      </c>
      <c r="Z163" t="s">
        <v>1593</v>
      </c>
      <c r="AA163" t="s">
        <v>1594</v>
      </c>
      <c r="AB163" t="s">
        <v>1595</v>
      </c>
      <c r="AC163" t="s">
        <v>1596</v>
      </c>
      <c r="AE163" t="s">
        <v>884</v>
      </c>
      <c r="AF163" t="s">
        <v>538</v>
      </c>
      <c r="AH163">
        <v>1</v>
      </c>
      <c r="AK163">
        <v>6699</v>
      </c>
      <c r="AL163">
        <v>6699</v>
      </c>
      <c r="AM163">
        <v>2322</v>
      </c>
      <c r="AN163">
        <v>2322</v>
      </c>
      <c r="AO163">
        <v>1861</v>
      </c>
      <c r="AR163">
        <v>1965</v>
      </c>
      <c r="AU163">
        <v>3826</v>
      </c>
      <c r="AV163">
        <v>2872</v>
      </c>
      <c r="BB163">
        <v>2872</v>
      </c>
      <c r="BI163">
        <v>0</v>
      </c>
      <c r="BP163">
        <v>0</v>
      </c>
      <c r="BW163">
        <v>0</v>
      </c>
      <c r="CD163">
        <v>0</v>
      </c>
      <c r="CE163">
        <v>4733</v>
      </c>
      <c r="CF163">
        <v>0</v>
      </c>
      <c r="CG163">
        <v>0</v>
      </c>
      <c r="CH163">
        <v>1965</v>
      </c>
      <c r="CI163">
        <v>0</v>
      </c>
      <c r="CJ163">
        <v>0</v>
      </c>
      <c r="CK163">
        <v>6698</v>
      </c>
      <c r="CL163">
        <v>2</v>
      </c>
      <c r="CO163">
        <v>2</v>
      </c>
      <c r="CR163">
        <v>4</v>
      </c>
      <c r="CS163">
        <v>3</v>
      </c>
      <c r="CY163">
        <v>3</v>
      </c>
      <c r="DF163">
        <v>0</v>
      </c>
      <c r="DM163">
        <v>0</v>
      </c>
      <c r="DT163">
        <v>0</v>
      </c>
      <c r="EA163">
        <v>0</v>
      </c>
      <c r="EB163">
        <v>5</v>
      </c>
      <c r="EC163">
        <v>0</v>
      </c>
      <c r="ED163">
        <v>0</v>
      </c>
      <c r="EE163">
        <v>2</v>
      </c>
      <c r="EF163">
        <v>0</v>
      </c>
      <c r="EG163">
        <v>0</v>
      </c>
      <c r="EH163">
        <v>7</v>
      </c>
      <c r="EI163" t="s">
        <v>405</v>
      </c>
      <c r="EJ163" t="s">
        <v>404</v>
      </c>
      <c r="EK163" t="s">
        <v>404</v>
      </c>
      <c r="EL163" t="s">
        <v>405</v>
      </c>
      <c r="EM163" t="s">
        <v>404</v>
      </c>
      <c r="EN163" t="s">
        <v>404</v>
      </c>
      <c r="EO163" t="s">
        <v>405</v>
      </c>
      <c r="EP163" t="s">
        <v>404</v>
      </c>
      <c r="EQ163" t="s">
        <v>404</v>
      </c>
      <c r="ER163" t="s">
        <v>404</v>
      </c>
      <c r="ES163" t="s">
        <v>404</v>
      </c>
      <c r="ET163" t="s">
        <v>404</v>
      </c>
      <c r="EU163" t="s">
        <v>404</v>
      </c>
      <c r="EV163" t="s">
        <v>404</v>
      </c>
      <c r="EW163" t="s">
        <v>404</v>
      </c>
      <c r="EX163" t="s">
        <v>404</v>
      </c>
      <c r="EY163" t="s">
        <v>404</v>
      </c>
      <c r="EZ163" t="s">
        <v>404</v>
      </c>
      <c r="FA163" t="s">
        <v>404</v>
      </c>
      <c r="FB163" t="s">
        <v>404</v>
      </c>
      <c r="FC163" t="s">
        <v>404</v>
      </c>
      <c r="FD163" t="s">
        <v>404</v>
      </c>
      <c r="FE163" t="s">
        <v>404</v>
      </c>
      <c r="FF163" t="s">
        <v>404</v>
      </c>
      <c r="FG163" t="s">
        <v>404</v>
      </c>
      <c r="FH163" t="s">
        <v>404</v>
      </c>
      <c r="FI163" t="s">
        <v>404</v>
      </c>
      <c r="FJ163" t="s">
        <v>404</v>
      </c>
      <c r="FK163" t="s">
        <v>404</v>
      </c>
      <c r="FL163" t="s">
        <v>404</v>
      </c>
      <c r="FM163" t="s">
        <v>404</v>
      </c>
      <c r="FN163" t="s">
        <v>404</v>
      </c>
      <c r="FO163" t="s">
        <v>404</v>
      </c>
      <c r="FP163" t="s">
        <v>404</v>
      </c>
      <c r="FQ163" t="s">
        <v>404</v>
      </c>
      <c r="FR163" t="s">
        <v>404</v>
      </c>
      <c r="FS163">
        <v>3005</v>
      </c>
      <c r="FY163">
        <v>3005</v>
      </c>
      <c r="FZ163">
        <v>50</v>
      </c>
      <c r="GC163">
        <v>1165</v>
      </c>
      <c r="GF163">
        <v>1215</v>
      </c>
      <c r="GG163">
        <v>1343</v>
      </c>
      <c r="GJ163">
        <v>800</v>
      </c>
      <c r="GM163">
        <v>2143</v>
      </c>
      <c r="GT163">
        <v>0</v>
      </c>
      <c r="GU163">
        <v>235</v>
      </c>
      <c r="HA163">
        <v>235</v>
      </c>
      <c r="HH163">
        <v>0</v>
      </c>
      <c r="HI163">
        <v>10</v>
      </c>
      <c r="HO163">
        <v>10</v>
      </c>
      <c r="HP163" t="s">
        <v>1421</v>
      </c>
      <c r="HQ163">
        <v>90</v>
      </c>
      <c r="HW163">
        <v>90</v>
      </c>
      <c r="HX163">
        <v>4733</v>
      </c>
      <c r="HY163">
        <v>0</v>
      </c>
      <c r="HZ163">
        <v>0</v>
      </c>
      <c r="IA163">
        <v>1965</v>
      </c>
      <c r="IB163">
        <v>0</v>
      </c>
      <c r="IC163">
        <v>0</v>
      </c>
      <c r="ID163">
        <v>6698</v>
      </c>
      <c r="IE163">
        <v>1970</v>
      </c>
      <c r="IH163">
        <v>1965</v>
      </c>
      <c r="IK163">
        <v>3935</v>
      </c>
      <c r="IL163">
        <v>46</v>
      </c>
      <c r="IR163">
        <v>46</v>
      </c>
      <c r="IS163">
        <v>2717</v>
      </c>
      <c r="IY163">
        <v>2717</v>
      </c>
      <c r="JF163">
        <v>0</v>
      </c>
      <c r="JM163">
        <v>0</v>
      </c>
      <c r="JN163">
        <v>4733</v>
      </c>
      <c r="JO163">
        <v>0</v>
      </c>
      <c r="JP163">
        <v>0</v>
      </c>
      <c r="JQ163">
        <v>1965</v>
      </c>
      <c r="JR163">
        <v>0</v>
      </c>
      <c r="JS163">
        <v>0</v>
      </c>
      <c r="JT163">
        <v>6698</v>
      </c>
      <c r="JW163">
        <v>100</v>
      </c>
      <c r="JZ163">
        <v>1</v>
      </c>
      <c r="KA163">
        <v>3</v>
      </c>
      <c r="KB163">
        <v>2</v>
      </c>
      <c r="KC163" t="s">
        <v>407</v>
      </c>
      <c r="KD163">
        <v>948</v>
      </c>
      <c r="KG163">
        <v>0</v>
      </c>
      <c r="KJ163">
        <v>948</v>
      </c>
      <c r="KK163">
        <v>0</v>
      </c>
      <c r="KN163">
        <v>1165</v>
      </c>
      <c r="KQ163">
        <v>1165</v>
      </c>
      <c r="KR163">
        <v>578</v>
      </c>
      <c r="KU163">
        <v>800</v>
      </c>
      <c r="KX163">
        <v>1378</v>
      </c>
      <c r="KY163">
        <v>0</v>
      </c>
      <c r="LB163">
        <v>0</v>
      </c>
      <c r="LE163">
        <v>0</v>
      </c>
      <c r="LF163">
        <v>235</v>
      </c>
      <c r="LI163">
        <v>0</v>
      </c>
      <c r="LL163">
        <v>235</v>
      </c>
      <c r="LM163">
        <v>0</v>
      </c>
      <c r="LP163">
        <v>0</v>
      </c>
      <c r="LS163">
        <v>0</v>
      </c>
      <c r="LT163">
        <v>10</v>
      </c>
      <c r="LW163">
        <v>0</v>
      </c>
      <c r="LZ163">
        <v>10</v>
      </c>
      <c r="MA163" t="s">
        <v>1421</v>
      </c>
      <c r="MB163">
        <v>90</v>
      </c>
      <c r="ME163">
        <v>0</v>
      </c>
      <c r="MH163">
        <v>90</v>
      </c>
      <c r="MI163">
        <v>1861</v>
      </c>
      <c r="MJ163">
        <v>0</v>
      </c>
      <c r="MK163">
        <v>0</v>
      </c>
      <c r="ML163">
        <v>1965</v>
      </c>
      <c r="MM163">
        <v>0</v>
      </c>
      <c r="MN163">
        <v>0</v>
      </c>
      <c r="MO163">
        <v>3826</v>
      </c>
      <c r="MP163">
        <v>0</v>
      </c>
      <c r="MS163">
        <v>0</v>
      </c>
      <c r="MV163">
        <v>0</v>
      </c>
      <c r="MW163">
        <v>627</v>
      </c>
      <c r="MZ163">
        <v>1965</v>
      </c>
      <c r="NC163">
        <v>2592</v>
      </c>
      <c r="ND163">
        <v>1234</v>
      </c>
      <c r="NG163">
        <v>0</v>
      </c>
      <c r="NJ163">
        <v>1234</v>
      </c>
      <c r="NK163">
        <v>0</v>
      </c>
      <c r="NN163">
        <v>0</v>
      </c>
      <c r="NQ163">
        <v>0</v>
      </c>
      <c r="NR163">
        <v>0</v>
      </c>
      <c r="NU163">
        <v>0</v>
      </c>
      <c r="NX163">
        <v>0</v>
      </c>
      <c r="NY163">
        <v>1861</v>
      </c>
      <c r="NZ163">
        <v>0</v>
      </c>
      <c r="OA163">
        <v>0</v>
      </c>
      <c r="OB163">
        <v>1965</v>
      </c>
      <c r="OC163">
        <v>0</v>
      </c>
      <c r="OD163">
        <v>0</v>
      </c>
      <c r="OE163">
        <v>3826</v>
      </c>
      <c r="OF163" t="s">
        <v>408</v>
      </c>
      <c r="OG163">
        <v>2057</v>
      </c>
      <c r="OJ163">
        <v>0</v>
      </c>
      <c r="OM163">
        <v>2057</v>
      </c>
      <c r="ON163">
        <v>50</v>
      </c>
      <c r="OQ163">
        <v>0</v>
      </c>
      <c r="OT163">
        <v>50</v>
      </c>
      <c r="OU163">
        <v>765</v>
      </c>
      <c r="OX163">
        <v>0</v>
      </c>
      <c r="PA163">
        <v>765</v>
      </c>
      <c r="PB163">
        <v>0</v>
      </c>
      <c r="PE163">
        <v>0</v>
      </c>
      <c r="PH163">
        <v>0</v>
      </c>
      <c r="PI163">
        <v>0</v>
      </c>
      <c r="PL163">
        <v>0</v>
      </c>
      <c r="PO163">
        <v>0</v>
      </c>
      <c r="PP163">
        <v>0</v>
      </c>
      <c r="PS163">
        <v>0</v>
      </c>
      <c r="PV163">
        <v>0</v>
      </c>
      <c r="PW163">
        <v>0</v>
      </c>
      <c r="PZ163">
        <v>0</v>
      </c>
      <c r="QC163">
        <v>0</v>
      </c>
      <c r="QE163">
        <v>0</v>
      </c>
      <c r="QH163">
        <v>0</v>
      </c>
      <c r="QK163">
        <v>0</v>
      </c>
      <c r="QL163">
        <v>2872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2872</v>
      </c>
      <c r="QS163">
        <v>46</v>
      </c>
      <c r="QV163">
        <v>0</v>
      </c>
      <c r="QY163">
        <v>46</v>
      </c>
      <c r="QZ163">
        <v>1342</v>
      </c>
      <c r="RC163">
        <v>0</v>
      </c>
      <c r="RF163">
        <v>1342</v>
      </c>
      <c r="RG163">
        <v>1484</v>
      </c>
      <c r="RJ163">
        <v>0</v>
      </c>
      <c r="RM163">
        <v>1484</v>
      </c>
      <c r="RQ163">
        <v>0</v>
      </c>
      <c r="RT163">
        <v>0</v>
      </c>
      <c r="RX163">
        <v>0</v>
      </c>
      <c r="SA163">
        <v>0</v>
      </c>
      <c r="SB163">
        <v>2872</v>
      </c>
      <c r="SC163">
        <v>0</v>
      </c>
      <c r="SD163">
        <v>0</v>
      </c>
      <c r="SE163">
        <v>0</v>
      </c>
      <c r="SF163">
        <v>0</v>
      </c>
      <c r="SG163">
        <v>0</v>
      </c>
      <c r="SH163">
        <v>2872</v>
      </c>
      <c r="SI163" t="s">
        <v>409</v>
      </c>
      <c r="WL163" t="s">
        <v>410</v>
      </c>
      <c r="AAO163" t="s">
        <v>411</v>
      </c>
      <c r="AER163" t="s">
        <v>412</v>
      </c>
    </row>
    <row r="164" spans="1:824" x14ac:dyDescent="0.2">
      <c r="A164" t="s">
        <v>1597</v>
      </c>
      <c r="B164" t="s">
        <v>396</v>
      </c>
      <c r="C164" t="s">
        <v>1598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>
        <v>692</v>
      </c>
      <c r="W164" s="3">
        <v>43500.603472222225</v>
      </c>
      <c r="X164" t="s">
        <v>1599</v>
      </c>
      <c r="Y164">
        <v>2019</v>
      </c>
      <c r="Z164" t="s">
        <v>1600</v>
      </c>
      <c r="AA164" t="s">
        <v>1598</v>
      </c>
      <c r="AB164" t="s">
        <v>685</v>
      </c>
      <c r="AC164" t="s">
        <v>1601</v>
      </c>
      <c r="AD164">
        <v>31653133725</v>
      </c>
      <c r="AE164" t="s">
        <v>611</v>
      </c>
      <c r="AF164" t="s">
        <v>403</v>
      </c>
      <c r="AH164">
        <v>1</v>
      </c>
      <c r="AK164">
        <v>1100</v>
      </c>
      <c r="AL164">
        <v>1100</v>
      </c>
      <c r="AM164">
        <v>1100</v>
      </c>
      <c r="AN164">
        <v>1100</v>
      </c>
      <c r="AU164">
        <v>0</v>
      </c>
      <c r="AV164">
        <v>1100</v>
      </c>
      <c r="BB164">
        <v>1100</v>
      </c>
      <c r="BI164">
        <v>0</v>
      </c>
      <c r="BP164">
        <v>0</v>
      </c>
      <c r="BW164">
        <v>0</v>
      </c>
      <c r="CD164">
        <v>0</v>
      </c>
      <c r="CE164">
        <v>1100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1100</v>
      </c>
      <c r="CR164">
        <v>0</v>
      </c>
      <c r="CS164">
        <v>1</v>
      </c>
      <c r="CY164">
        <v>1</v>
      </c>
      <c r="DF164">
        <v>0</v>
      </c>
      <c r="DM164">
        <v>0</v>
      </c>
      <c r="DT164">
        <v>0</v>
      </c>
      <c r="EA164">
        <v>0</v>
      </c>
      <c r="EB164">
        <v>1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1</v>
      </c>
      <c r="EI164" t="s">
        <v>404</v>
      </c>
      <c r="EJ164" t="s">
        <v>404</v>
      </c>
      <c r="EK164" t="s">
        <v>404</v>
      </c>
      <c r="EL164" t="s">
        <v>404</v>
      </c>
      <c r="EM164" t="s">
        <v>404</v>
      </c>
      <c r="EN164" t="s">
        <v>404</v>
      </c>
      <c r="EO164" t="s">
        <v>405</v>
      </c>
      <c r="EP164" t="s">
        <v>404</v>
      </c>
      <c r="EQ164" t="s">
        <v>404</v>
      </c>
      <c r="ER164" t="s">
        <v>404</v>
      </c>
      <c r="ES164" t="s">
        <v>404</v>
      </c>
      <c r="ET164" t="s">
        <v>404</v>
      </c>
      <c r="EU164" t="s">
        <v>404</v>
      </c>
      <c r="EV164" t="s">
        <v>404</v>
      </c>
      <c r="EW164" t="s">
        <v>404</v>
      </c>
      <c r="EX164" t="s">
        <v>404</v>
      </c>
      <c r="EY164" t="s">
        <v>404</v>
      </c>
      <c r="EZ164" t="s">
        <v>404</v>
      </c>
      <c r="FA164" t="s">
        <v>404</v>
      </c>
      <c r="FB164" t="s">
        <v>404</v>
      </c>
      <c r="FC164" t="s">
        <v>404</v>
      </c>
      <c r="FD164" t="s">
        <v>404</v>
      </c>
      <c r="FE164" t="s">
        <v>404</v>
      </c>
      <c r="FF164" t="s">
        <v>404</v>
      </c>
      <c r="FG164" t="s">
        <v>404</v>
      </c>
      <c r="FH164" t="s">
        <v>404</v>
      </c>
      <c r="FI164" t="s">
        <v>404</v>
      </c>
      <c r="FJ164" t="s">
        <v>404</v>
      </c>
      <c r="FK164" t="s">
        <v>404</v>
      </c>
      <c r="FL164" t="s">
        <v>404</v>
      </c>
      <c r="FM164" t="s">
        <v>404</v>
      </c>
      <c r="FN164" t="s">
        <v>404</v>
      </c>
      <c r="FO164" t="s">
        <v>404</v>
      </c>
      <c r="FP164" t="s">
        <v>404</v>
      </c>
      <c r="FQ164" t="s">
        <v>404</v>
      </c>
      <c r="FR164" t="s">
        <v>404</v>
      </c>
      <c r="FY164">
        <v>0</v>
      </c>
      <c r="FZ164">
        <v>1100</v>
      </c>
      <c r="GF164">
        <v>1100</v>
      </c>
      <c r="GM164">
        <v>0</v>
      </c>
      <c r="GT164">
        <v>0</v>
      </c>
      <c r="HA164">
        <v>0</v>
      </c>
      <c r="HH164">
        <v>0</v>
      </c>
      <c r="HO164">
        <v>0</v>
      </c>
      <c r="HW164">
        <v>0</v>
      </c>
      <c r="HX164">
        <v>1100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1100</v>
      </c>
      <c r="IK164">
        <v>0</v>
      </c>
      <c r="IL164">
        <v>1100</v>
      </c>
      <c r="IR164">
        <v>1100</v>
      </c>
      <c r="IY164">
        <v>0</v>
      </c>
      <c r="JF164">
        <v>0</v>
      </c>
      <c r="JM164">
        <v>0</v>
      </c>
      <c r="JN164">
        <v>1100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1100</v>
      </c>
      <c r="JX164" t="s">
        <v>1602</v>
      </c>
      <c r="JY164">
        <v>100</v>
      </c>
      <c r="JZ164">
        <v>1</v>
      </c>
      <c r="KA164">
        <v>2</v>
      </c>
      <c r="KB164">
        <v>1</v>
      </c>
      <c r="KC164" t="s">
        <v>407</v>
      </c>
      <c r="OF164" t="s">
        <v>408</v>
      </c>
      <c r="SI164" t="s">
        <v>409</v>
      </c>
      <c r="WL164" t="s">
        <v>410</v>
      </c>
      <c r="AAO164" t="s">
        <v>411</v>
      </c>
      <c r="AER164" t="s">
        <v>412</v>
      </c>
    </row>
    <row r="165" spans="1:824" x14ac:dyDescent="0.2">
      <c r="A165" t="s">
        <v>1603</v>
      </c>
      <c r="B165" t="s">
        <v>396</v>
      </c>
      <c r="C165" t="s">
        <v>1604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>
        <v>699</v>
      </c>
      <c r="W165" s="3">
        <v>43502.410416666666</v>
      </c>
      <c r="X165" t="s">
        <v>1605</v>
      </c>
      <c r="Y165">
        <v>2019</v>
      </c>
      <c r="Z165" t="s">
        <v>1606</v>
      </c>
      <c r="AA165" t="s">
        <v>1604</v>
      </c>
      <c r="AC165" t="s">
        <v>1607</v>
      </c>
      <c r="AE165" t="s">
        <v>491</v>
      </c>
      <c r="AF165" t="s">
        <v>492</v>
      </c>
      <c r="AH165">
        <v>1</v>
      </c>
      <c r="AK165">
        <v>306</v>
      </c>
      <c r="AL165">
        <v>306</v>
      </c>
      <c r="AM165">
        <v>101</v>
      </c>
      <c r="AN165">
        <v>101</v>
      </c>
      <c r="AU165">
        <v>0</v>
      </c>
      <c r="AV165">
        <v>306</v>
      </c>
      <c r="BB165">
        <v>306</v>
      </c>
      <c r="BI165">
        <v>0</v>
      </c>
      <c r="BP165">
        <v>0</v>
      </c>
      <c r="BW165">
        <v>0</v>
      </c>
      <c r="CD165">
        <v>0</v>
      </c>
      <c r="CE165">
        <v>306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306</v>
      </c>
      <c r="CR165">
        <v>0</v>
      </c>
      <c r="CS165">
        <v>1</v>
      </c>
      <c r="CY165">
        <v>1</v>
      </c>
      <c r="DF165">
        <v>0</v>
      </c>
      <c r="DM165">
        <v>0</v>
      </c>
      <c r="DT165">
        <v>0</v>
      </c>
      <c r="EA165">
        <v>0</v>
      </c>
      <c r="EB165">
        <v>1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1</v>
      </c>
      <c r="EI165" t="s">
        <v>404</v>
      </c>
      <c r="EJ165" t="s">
        <v>404</v>
      </c>
      <c r="EK165" t="s">
        <v>404</v>
      </c>
      <c r="EL165" t="s">
        <v>404</v>
      </c>
      <c r="EM165" t="s">
        <v>404</v>
      </c>
      <c r="EN165" t="s">
        <v>404</v>
      </c>
      <c r="EO165" t="s">
        <v>405</v>
      </c>
      <c r="EP165" t="s">
        <v>404</v>
      </c>
      <c r="EQ165" t="s">
        <v>404</v>
      </c>
      <c r="ER165" t="s">
        <v>404</v>
      </c>
      <c r="ES165" t="s">
        <v>404</v>
      </c>
      <c r="ET165" t="s">
        <v>404</v>
      </c>
      <c r="EU165" t="s">
        <v>404</v>
      </c>
      <c r="EV165" t="s">
        <v>404</v>
      </c>
      <c r="EW165" t="s">
        <v>404</v>
      </c>
      <c r="EX165" t="s">
        <v>404</v>
      </c>
      <c r="EY165" t="s">
        <v>404</v>
      </c>
      <c r="EZ165" t="s">
        <v>404</v>
      </c>
      <c r="FA165" t="s">
        <v>404</v>
      </c>
      <c r="FB165" t="s">
        <v>404</v>
      </c>
      <c r="FC165" t="s">
        <v>404</v>
      </c>
      <c r="FD165" t="s">
        <v>404</v>
      </c>
      <c r="FE165" t="s">
        <v>404</v>
      </c>
      <c r="FF165" t="s">
        <v>404</v>
      </c>
      <c r="FG165" t="s">
        <v>404</v>
      </c>
      <c r="FH165" t="s">
        <v>404</v>
      </c>
      <c r="FI165" t="s">
        <v>404</v>
      </c>
      <c r="FJ165" t="s">
        <v>404</v>
      </c>
      <c r="FK165" t="s">
        <v>404</v>
      </c>
      <c r="FL165" t="s">
        <v>404</v>
      </c>
      <c r="FM165" t="s">
        <v>404</v>
      </c>
      <c r="FN165" t="s">
        <v>404</v>
      </c>
      <c r="FO165" t="s">
        <v>404</v>
      </c>
      <c r="FP165" t="s">
        <v>404</v>
      </c>
      <c r="FQ165" t="s">
        <v>404</v>
      </c>
      <c r="FR165" t="s">
        <v>404</v>
      </c>
      <c r="FS165">
        <v>229</v>
      </c>
      <c r="FY165">
        <v>229</v>
      </c>
      <c r="FZ165">
        <v>14</v>
      </c>
      <c r="GF165">
        <v>14</v>
      </c>
      <c r="GM165">
        <v>0</v>
      </c>
      <c r="GT165">
        <v>0</v>
      </c>
      <c r="GU165">
        <v>35</v>
      </c>
      <c r="HA165">
        <v>35</v>
      </c>
      <c r="HH165">
        <v>0</v>
      </c>
      <c r="HI165">
        <v>28</v>
      </c>
      <c r="HO165">
        <v>28</v>
      </c>
      <c r="HW165">
        <v>0</v>
      </c>
      <c r="HX165">
        <v>306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306</v>
      </c>
      <c r="IE165">
        <v>69</v>
      </c>
      <c r="IK165">
        <v>69</v>
      </c>
      <c r="IL165">
        <v>147</v>
      </c>
      <c r="IR165">
        <v>147</v>
      </c>
      <c r="IS165">
        <v>75</v>
      </c>
      <c r="IY165">
        <v>75</v>
      </c>
      <c r="IZ165">
        <v>5</v>
      </c>
      <c r="JF165">
        <v>5</v>
      </c>
      <c r="JG165">
        <v>10</v>
      </c>
      <c r="JM165">
        <v>10</v>
      </c>
      <c r="JN165">
        <v>306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306</v>
      </c>
      <c r="JU165">
        <v>7.5</v>
      </c>
      <c r="JV165">
        <v>4.5</v>
      </c>
      <c r="JW165">
        <v>88</v>
      </c>
      <c r="JZ165">
        <v>3</v>
      </c>
      <c r="KA165">
        <v>2</v>
      </c>
      <c r="KB165">
        <v>1</v>
      </c>
      <c r="KC165" t="s">
        <v>407</v>
      </c>
      <c r="OF165" t="s">
        <v>408</v>
      </c>
      <c r="SI165" t="s">
        <v>409</v>
      </c>
      <c r="WL165" t="s">
        <v>410</v>
      </c>
      <c r="AAO165" t="s">
        <v>411</v>
      </c>
      <c r="AER165" t="s">
        <v>412</v>
      </c>
    </row>
    <row r="166" spans="1:824" x14ac:dyDescent="0.2">
      <c r="A166" t="s">
        <v>1608</v>
      </c>
      <c r="B166" t="s">
        <v>396</v>
      </c>
      <c r="C166" t="s">
        <v>1609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>
        <v>554</v>
      </c>
      <c r="W166" s="3">
        <v>43475.407638888886</v>
      </c>
      <c r="X166" t="s">
        <v>1610</v>
      </c>
      <c r="Y166">
        <v>2019</v>
      </c>
      <c r="Z166" t="s">
        <v>1611</v>
      </c>
      <c r="AA166" t="s">
        <v>1612</v>
      </c>
      <c r="AB166" t="s">
        <v>1613</v>
      </c>
      <c r="AC166" t="s">
        <v>1614</v>
      </c>
      <c r="AD166">
        <v>220104549</v>
      </c>
      <c r="AE166" t="s">
        <v>1615</v>
      </c>
      <c r="AF166" t="s">
        <v>403</v>
      </c>
      <c r="AH166">
        <v>1</v>
      </c>
      <c r="AK166">
        <v>440</v>
      </c>
      <c r="AL166">
        <v>440</v>
      </c>
      <c r="AM166">
        <v>440</v>
      </c>
      <c r="AN166">
        <v>440</v>
      </c>
      <c r="AU166">
        <v>0</v>
      </c>
      <c r="AY166">
        <v>440</v>
      </c>
      <c r="BB166">
        <v>440</v>
      </c>
      <c r="BI166">
        <v>0</v>
      </c>
      <c r="BP166">
        <v>0</v>
      </c>
      <c r="BW166">
        <v>0</v>
      </c>
      <c r="CD166">
        <v>0</v>
      </c>
      <c r="CE166">
        <v>0</v>
      </c>
      <c r="CF166">
        <v>0</v>
      </c>
      <c r="CG166">
        <v>0</v>
      </c>
      <c r="CH166">
        <v>440</v>
      </c>
      <c r="CI166">
        <v>0</v>
      </c>
      <c r="CJ166">
        <v>0</v>
      </c>
      <c r="CK166">
        <v>440</v>
      </c>
      <c r="CR166">
        <v>0</v>
      </c>
      <c r="CV166">
        <v>3</v>
      </c>
      <c r="CY166">
        <v>3</v>
      </c>
      <c r="DF166">
        <v>0</v>
      </c>
      <c r="DM166">
        <v>0</v>
      </c>
      <c r="DT166">
        <v>0</v>
      </c>
      <c r="EA166">
        <v>0</v>
      </c>
      <c r="EB166">
        <v>0</v>
      </c>
      <c r="EC166">
        <v>0</v>
      </c>
      <c r="ED166">
        <v>0</v>
      </c>
      <c r="EE166">
        <v>3</v>
      </c>
      <c r="EF166">
        <v>0</v>
      </c>
      <c r="EG166">
        <v>0</v>
      </c>
      <c r="EH166">
        <v>3</v>
      </c>
      <c r="EI166" t="s">
        <v>404</v>
      </c>
      <c r="EJ166" t="s">
        <v>404</v>
      </c>
      <c r="EK166" t="s">
        <v>404</v>
      </c>
      <c r="EL166" t="s">
        <v>404</v>
      </c>
      <c r="EM166" t="s">
        <v>404</v>
      </c>
      <c r="EN166" t="s">
        <v>404</v>
      </c>
      <c r="EO166" t="s">
        <v>404</v>
      </c>
      <c r="EP166" t="s">
        <v>404</v>
      </c>
      <c r="EQ166" t="s">
        <v>404</v>
      </c>
      <c r="ER166" t="s">
        <v>405</v>
      </c>
      <c r="ES166" t="s">
        <v>404</v>
      </c>
      <c r="ET166" t="s">
        <v>404</v>
      </c>
      <c r="EU166" t="s">
        <v>404</v>
      </c>
      <c r="EV166" t="s">
        <v>404</v>
      </c>
      <c r="EW166" t="s">
        <v>404</v>
      </c>
      <c r="EX166" t="s">
        <v>404</v>
      </c>
      <c r="EY166" t="s">
        <v>404</v>
      </c>
      <c r="EZ166" t="s">
        <v>404</v>
      </c>
      <c r="FA166" t="s">
        <v>404</v>
      </c>
      <c r="FB166" t="s">
        <v>404</v>
      </c>
      <c r="FC166" t="s">
        <v>404</v>
      </c>
      <c r="FD166" t="s">
        <v>404</v>
      </c>
      <c r="FE166" t="s">
        <v>404</v>
      </c>
      <c r="FF166" t="s">
        <v>404</v>
      </c>
      <c r="FG166" t="s">
        <v>404</v>
      </c>
      <c r="FH166" t="s">
        <v>404</v>
      </c>
      <c r="FI166" t="s">
        <v>404</v>
      </c>
      <c r="FJ166" t="s">
        <v>404</v>
      </c>
      <c r="FK166" t="s">
        <v>404</v>
      </c>
      <c r="FL166" t="s">
        <v>404</v>
      </c>
      <c r="FM166" t="s">
        <v>404</v>
      </c>
      <c r="FN166" t="s">
        <v>404</v>
      </c>
      <c r="FO166" t="s">
        <v>404</v>
      </c>
      <c r="FP166" t="s">
        <v>404</v>
      </c>
      <c r="FQ166" t="s">
        <v>404</v>
      </c>
      <c r="FR166" t="s">
        <v>404</v>
      </c>
      <c r="FV166">
        <v>55</v>
      </c>
      <c r="FY166">
        <v>55</v>
      </c>
      <c r="GF166">
        <v>0</v>
      </c>
      <c r="GM166">
        <v>0</v>
      </c>
      <c r="GT166">
        <v>0</v>
      </c>
      <c r="HA166">
        <v>0</v>
      </c>
      <c r="HH166">
        <v>0</v>
      </c>
      <c r="HL166">
        <v>15</v>
      </c>
      <c r="HO166">
        <v>15</v>
      </c>
      <c r="HP166" t="s">
        <v>1616</v>
      </c>
      <c r="HT166">
        <v>370</v>
      </c>
      <c r="HW166">
        <v>370</v>
      </c>
      <c r="HX166">
        <v>0</v>
      </c>
      <c r="HY166">
        <v>0</v>
      </c>
      <c r="HZ166">
        <v>0</v>
      </c>
      <c r="IA166">
        <v>440</v>
      </c>
      <c r="IB166">
        <v>0</v>
      </c>
      <c r="IC166">
        <v>0</v>
      </c>
      <c r="ID166">
        <v>440</v>
      </c>
      <c r="IK166">
        <v>0</v>
      </c>
      <c r="IO166">
        <v>440</v>
      </c>
      <c r="IR166">
        <v>440</v>
      </c>
      <c r="IY166">
        <v>0</v>
      </c>
      <c r="JF166">
        <v>0</v>
      </c>
      <c r="JM166">
        <v>0</v>
      </c>
      <c r="JN166">
        <v>0</v>
      </c>
      <c r="JO166">
        <v>0</v>
      </c>
      <c r="JP166">
        <v>0</v>
      </c>
      <c r="JQ166">
        <v>440</v>
      </c>
      <c r="JR166">
        <v>0</v>
      </c>
      <c r="JS166">
        <v>0</v>
      </c>
      <c r="JT166">
        <v>440</v>
      </c>
      <c r="JU166">
        <v>16</v>
      </c>
      <c r="JW166">
        <v>84</v>
      </c>
      <c r="JZ166">
        <v>1</v>
      </c>
      <c r="KA166">
        <v>3</v>
      </c>
      <c r="KB166">
        <v>1</v>
      </c>
      <c r="KC166" t="s">
        <v>407</v>
      </c>
      <c r="OF166" t="s">
        <v>408</v>
      </c>
      <c r="SI166" t="s">
        <v>409</v>
      </c>
      <c r="WL166" t="s">
        <v>410</v>
      </c>
      <c r="AAO166" t="s">
        <v>411</v>
      </c>
      <c r="AER166" t="s">
        <v>412</v>
      </c>
    </row>
    <row r="167" spans="1:824" x14ac:dyDescent="0.2">
      <c r="A167" t="s">
        <v>1617</v>
      </c>
      <c r="B167" t="s">
        <v>414</v>
      </c>
      <c r="C167" t="s">
        <v>1618</v>
      </c>
      <c r="D167" t="s">
        <v>478</v>
      </c>
      <c r="E167" s="3">
        <v>43474.409722222219</v>
      </c>
      <c r="J167" t="s">
        <v>392</v>
      </c>
      <c r="K167" s="3">
        <v>43474.410416666666</v>
      </c>
      <c r="P167" t="b">
        <v>0</v>
      </c>
      <c r="Q167" t="b">
        <v>1</v>
      </c>
      <c r="R167" t="b">
        <v>0</v>
      </c>
      <c r="S167" t="b">
        <v>1</v>
      </c>
      <c r="T167" t="b">
        <v>0</v>
      </c>
      <c r="U167" t="b">
        <v>0</v>
      </c>
      <c r="V167">
        <v>543</v>
      </c>
      <c r="W167" s="3">
        <v>43474.40902777778</v>
      </c>
      <c r="X167" t="s">
        <v>1619</v>
      </c>
      <c r="Y167">
        <v>2019</v>
      </c>
      <c r="Z167" t="s">
        <v>1620</v>
      </c>
      <c r="AA167" t="s">
        <v>1621</v>
      </c>
      <c r="AB167" t="s">
        <v>1622</v>
      </c>
      <c r="AC167" t="s">
        <v>1623</v>
      </c>
      <c r="AD167">
        <f>81-3-3212-1448</f>
        <v>-4582</v>
      </c>
      <c r="AE167" t="s">
        <v>703</v>
      </c>
      <c r="AF167" t="s">
        <v>704</v>
      </c>
      <c r="AH167">
        <v>1</v>
      </c>
      <c r="AK167">
        <v>80000</v>
      </c>
      <c r="AL167">
        <v>80000</v>
      </c>
      <c r="AM167">
        <v>35000</v>
      </c>
      <c r="AN167">
        <v>35000</v>
      </c>
      <c r="AQ167">
        <v>5000</v>
      </c>
      <c r="AU167">
        <v>5000</v>
      </c>
      <c r="BB167">
        <v>0</v>
      </c>
      <c r="BI167">
        <v>0</v>
      </c>
      <c r="BL167">
        <v>75000</v>
      </c>
      <c r="BP167">
        <v>75000</v>
      </c>
      <c r="BW167">
        <v>0</v>
      </c>
      <c r="CD167">
        <v>0</v>
      </c>
      <c r="CE167">
        <v>0</v>
      </c>
      <c r="CF167">
        <v>0</v>
      </c>
      <c r="CG167">
        <v>80000</v>
      </c>
      <c r="CH167">
        <v>0</v>
      </c>
      <c r="CI167">
        <v>0</v>
      </c>
      <c r="CJ167">
        <v>0</v>
      </c>
      <c r="CK167">
        <v>80000</v>
      </c>
      <c r="CN167">
        <v>1</v>
      </c>
      <c r="CR167">
        <v>1</v>
      </c>
      <c r="CY167">
        <v>0</v>
      </c>
      <c r="DF167">
        <v>0</v>
      </c>
      <c r="DI167">
        <v>7</v>
      </c>
      <c r="DM167">
        <v>7</v>
      </c>
      <c r="DT167">
        <v>0</v>
      </c>
      <c r="EA167">
        <v>0</v>
      </c>
      <c r="EB167">
        <v>0</v>
      </c>
      <c r="EC167">
        <v>0</v>
      </c>
      <c r="ED167">
        <v>8</v>
      </c>
      <c r="EE167">
        <v>0</v>
      </c>
      <c r="EF167">
        <v>0</v>
      </c>
      <c r="EG167">
        <v>0</v>
      </c>
      <c r="EH167">
        <v>8</v>
      </c>
      <c r="EI167" t="s">
        <v>404</v>
      </c>
      <c r="EJ167" t="s">
        <v>404</v>
      </c>
      <c r="EK167" t="s">
        <v>405</v>
      </c>
      <c r="EL167" t="s">
        <v>404</v>
      </c>
      <c r="EM167" t="s">
        <v>404</v>
      </c>
      <c r="EN167" t="s">
        <v>404</v>
      </c>
      <c r="EO167" t="s">
        <v>404</v>
      </c>
      <c r="EP167" t="s">
        <v>404</v>
      </c>
      <c r="EQ167" t="s">
        <v>404</v>
      </c>
      <c r="ER167" t="s">
        <v>404</v>
      </c>
      <c r="ES167" t="s">
        <v>404</v>
      </c>
      <c r="ET167" t="s">
        <v>404</v>
      </c>
      <c r="EU167" t="s">
        <v>404</v>
      </c>
      <c r="EV167" t="s">
        <v>404</v>
      </c>
      <c r="EW167" t="s">
        <v>404</v>
      </c>
      <c r="EX167" t="s">
        <v>404</v>
      </c>
      <c r="EY167" t="s">
        <v>404</v>
      </c>
      <c r="EZ167" t="s">
        <v>404</v>
      </c>
      <c r="FA167" t="s">
        <v>404</v>
      </c>
      <c r="FB167" t="s">
        <v>404</v>
      </c>
      <c r="FC167" t="s">
        <v>405</v>
      </c>
      <c r="FD167" t="s">
        <v>404</v>
      </c>
      <c r="FE167" t="s">
        <v>404</v>
      </c>
      <c r="FF167" t="s">
        <v>404</v>
      </c>
      <c r="FG167" t="s">
        <v>404</v>
      </c>
      <c r="FH167" t="s">
        <v>404</v>
      </c>
      <c r="FI167" t="s">
        <v>404</v>
      </c>
      <c r="FJ167" t="s">
        <v>404</v>
      </c>
      <c r="FK167" t="s">
        <v>404</v>
      </c>
      <c r="FL167" t="s">
        <v>404</v>
      </c>
      <c r="FM167" t="s">
        <v>404</v>
      </c>
      <c r="FN167" t="s">
        <v>404</v>
      </c>
      <c r="FO167" t="s">
        <v>404</v>
      </c>
      <c r="FP167" t="s">
        <v>404</v>
      </c>
      <c r="FQ167" t="s">
        <v>404</v>
      </c>
      <c r="FR167" t="s">
        <v>404</v>
      </c>
      <c r="FU167">
        <v>80000</v>
      </c>
      <c r="FY167">
        <v>80000</v>
      </c>
      <c r="GF167">
        <v>0</v>
      </c>
      <c r="GM167">
        <v>0</v>
      </c>
      <c r="GT167">
        <v>0</v>
      </c>
      <c r="HA167">
        <v>0</v>
      </c>
      <c r="HH167">
        <v>0</v>
      </c>
      <c r="HO167">
        <v>0</v>
      </c>
      <c r="HW167">
        <v>0</v>
      </c>
      <c r="HX167">
        <v>0</v>
      </c>
      <c r="HY167">
        <v>0</v>
      </c>
      <c r="HZ167">
        <v>80000</v>
      </c>
      <c r="IA167">
        <v>0</v>
      </c>
      <c r="IB167">
        <v>0</v>
      </c>
      <c r="IC167">
        <v>0</v>
      </c>
      <c r="ID167">
        <v>80000</v>
      </c>
      <c r="IG167">
        <v>80000</v>
      </c>
      <c r="IK167">
        <v>80000</v>
      </c>
      <c r="IR167">
        <v>0</v>
      </c>
      <c r="IY167">
        <v>0</v>
      </c>
      <c r="JF167">
        <v>0</v>
      </c>
      <c r="JM167">
        <v>0</v>
      </c>
      <c r="JN167">
        <v>0</v>
      </c>
      <c r="JO167">
        <v>0</v>
      </c>
      <c r="JP167">
        <v>80000</v>
      </c>
      <c r="JQ167">
        <v>0</v>
      </c>
      <c r="JR167">
        <v>0</v>
      </c>
      <c r="JS167">
        <v>0</v>
      </c>
      <c r="JT167">
        <v>80000</v>
      </c>
      <c r="JW167">
        <v>100</v>
      </c>
      <c r="JZ167">
        <v>3</v>
      </c>
      <c r="KA167">
        <v>3</v>
      </c>
      <c r="KB167">
        <v>2</v>
      </c>
      <c r="KC167" t="s">
        <v>407</v>
      </c>
      <c r="KF167">
        <v>5000</v>
      </c>
      <c r="KJ167">
        <v>5000</v>
      </c>
      <c r="KQ167">
        <v>0</v>
      </c>
      <c r="KX167">
        <v>0</v>
      </c>
      <c r="LE167">
        <v>0</v>
      </c>
      <c r="LL167">
        <v>0</v>
      </c>
      <c r="LS167">
        <v>0</v>
      </c>
      <c r="LZ167">
        <v>0</v>
      </c>
      <c r="MH167">
        <v>0</v>
      </c>
      <c r="MI167">
        <v>0</v>
      </c>
      <c r="MJ167">
        <v>0</v>
      </c>
      <c r="MK167">
        <v>5000</v>
      </c>
      <c r="ML167">
        <v>0</v>
      </c>
      <c r="MM167">
        <v>0</v>
      </c>
      <c r="MN167">
        <v>0</v>
      </c>
      <c r="MO167">
        <v>5000</v>
      </c>
      <c r="MV167">
        <v>0</v>
      </c>
      <c r="MY167">
        <v>5000</v>
      </c>
      <c r="NC167">
        <v>5000</v>
      </c>
      <c r="NJ167">
        <v>0</v>
      </c>
      <c r="NQ167">
        <v>0</v>
      </c>
      <c r="NX167">
        <v>0</v>
      </c>
      <c r="NY167">
        <v>0</v>
      </c>
      <c r="NZ167">
        <v>0</v>
      </c>
      <c r="OA167">
        <v>5000</v>
      </c>
      <c r="OB167">
        <v>0</v>
      </c>
      <c r="OC167">
        <v>0</v>
      </c>
      <c r="OD167">
        <v>0</v>
      </c>
      <c r="OE167">
        <v>5000</v>
      </c>
      <c r="OF167" t="s">
        <v>408</v>
      </c>
      <c r="SI167" t="s">
        <v>409</v>
      </c>
      <c r="WL167" t="s">
        <v>410</v>
      </c>
      <c r="WO167">
        <v>75000</v>
      </c>
      <c r="WS167">
        <v>75000</v>
      </c>
      <c r="WZ167">
        <v>0</v>
      </c>
      <c r="XG167">
        <v>0</v>
      </c>
      <c r="XN167">
        <v>0</v>
      </c>
      <c r="XU167">
        <v>0</v>
      </c>
      <c r="YB167">
        <v>0</v>
      </c>
      <c r="YI167">
        <v>0</v>
      </c>
      <c r="YQ167">
        <v>0</v>
      </c>
      <c r="YR167">
        <v>0</v>
      </c>
      <c r="YS167">
        <v>0</v>
      </c>
      <c r="YT167">
        <v>75000</v>
      </c>
      <c r="YU167">
        <v>0</v>
      </c>
      <c r="YV167">
        <v>0</v>
      </c>
      <c r="YW167">
        <v>0</v>
      </c>
      <c r="YX167">
        <v>75000</v>
      </c>
      <c r="ZE167">
        <v>0</v>
      </c>
      <c r="ZH167">
        <v>75000</v>
      </c>
      <c r="ZL167">
        <v>75000</v>
      </c>
      <c r="ZS167">
        <v>0</v>
      </c>
      <c r="ZZ167">
        <v>0</v>
      </c>
      <c r="AAG167">
        <v>0</v>
      </c>
      <c r="AAH167">
        <v>0</v>
      </c>
      <c r="AAI167">
        <v>0</v>
      </c>
      <c r="AAJ167">
        <v>75000</v>
      </c>
      <c r="AAK167">
        <v>0</v>
      </c>
      <c r="AAL167">
        <v>0</v>
      </c>
      <c r="AAM167">
        <v>0</v>
      </c>
      <c r="AAN167">
        <v>75000</v>
      </c>
      <c r="AAO167" t="s">
        <v>411</v>
      </c>
      <c r="AER167" t="s">
        <v>412</v>
      </c>
    </row>
    <row r="168" spans="1:824" x14ac:dyDescent="0.2">
      <c r="A168" t="s">
        <v>1624</v>
      </c>
      <c r="B168" t="s">
        <v>414</v>
      </c>
      <c r="C168" t="s">
        <v>1625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>
        <v>763</v>
      </c>
      <c r="W168" s="3">
        <v>43517.057638888888</v>
      </c>
      <c r="X168" t="s">
        <v>1626</v>
      </c>
      <c r="Y168">
        <v>2019</v>
      </c>
      <c r="Z168" t="s">
        <v>1627</v>
      </c>
      <c r="AA168" t="s">
        <v>1628</v>
      </c>
      <c r="AB168" t="s">
        <v>1629</v>
      </c>
      <c r="AC168" t="s">
        <v>1630</v>
      </c>
      <c r="AD168">
        <v>87830031</v>
      </c>
      <c r="AE168" t="s">
        <v>884</v>
      </c>
      <c r="AF168" t="s">
        <v>1631</v>
      </c>
      <c r="AH168">
        <v>2</v>
      </c>
      <c r="AI168">
        <v>6</v>
      </c>
      <c r="AJ168" t="s">
        <v>1632</v>
      </c>
      <c r="AU168">
        <v>0</v>
      </c>
      <c r="BB168">
        <v>0</v>
      </c>
      <c r="BI168">
        <v>0</v>
      </c>
      <c r="BP168">
        <v>0</v>
      </c>
      <c r="BW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R168">
        <v>0</v>
      </c>
      <c r="CY168">
        <v>0</v>
      </c>
      <c r="DF168">
        <v>0</v>
      </c>
      <c r="DM168">
        <v>0</v>
      </c>
      <c r="DT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 t="s">
        <v>404</v>
      </c>
      <c r="EJ168" t="s">
        <v>404</v>
      </c>
      <c r="EK168" t="s">
        <v>404</v>
      </c>
      <c r="EL168" t="s">
        <v>404</v>
      </c>
      <c r="EM168" t="s">
        <v>404</v>
      </c>
      <c r="EN168" t="s">
        <v>404</v>
      </c>
      <c r="EO168" t="s">
        <v>404</v>
      </c>
      <c r="EP168" t="s">
        <v>404</v>
      </c>
      <c r="EQ168" t="s">
        <v>404</v>
      </c>
      <c r="ER168" t="s">
        <v>404</v>
      </c>
      <c r="ES168" t="s">
        <v>404</v>
      </c>
      <c r="ET168" t="s">
        <v>404</v>
      </c>
      <c r="EU168" t="s">
        <v>404</v>
      </c>
      <c r="EV168" t="s">
        <v>404</v>
      </c>
      <c r="EW168" t="s">
        <v>404</v>
      </c>
      <c r="EX168" t="s">
        <v>404</v>
      </c>
      <c r="EY168" t="s">
        <v>404</v>
      </c>
      <c r="EZ168" t="s">
        <v>404</v>
      </c>
      <c r="FA168" t="s">
        <v>404</v>
      </c>
      <c r="FB168" t="s">
        <v>404</v>
      </c>
      <c r="FC168" t="s">
        <v>404</v>
      </c>
      <c r="FD168" t="s">
        <v>404</v>
      </c>
      <c r="FE168" t="s">
        <v>404</v>
      </c>
      <c r="FF168" t="s">
        <v>404</v>
      </c>
      <c r="FG168" t="s">
        <v>404</v>
      </c>
      <c r="FH168" t="s">
        <v>404</v>
      </c>
      <c r="FI168" t="s">
        <v>404</v>
      </c>
      <c r="FJ168" t="s">
        <v>404</v>
      </c>
      <c r="FK168" t="s">
        <v>404</v>
      </c>
      <c r="FL168" t="s">
        <v>404</v>
      </c>
      <c r="FM168" t="s">
        <v>404</v>
      </c>
      <c r="FN168" t="s">
        <v>404</v>
      </c>
      <c r="FO168" t="s">
        <v>404</v>
      </c>
      <c r="FP168" t="s">
        <v>404</v>
      </c>
      <c r="FQ168" t="s">
        <v>404</v>
      </c>
      <c r="FR168" t="s">
        <v>404</v>
      </c>
      <c r="FY168">
        <v>0</v>
      </c>
      <c r="GF168">
        <v>0</v>
      </c>
      <c r="GM168">
        <v>0</v>
      </c>
      <c r="GT168">
        <v>0</v>
      </c>
      <c r="HA168">
        <v>0</v>
      </c>
      <c r="HH168">
        <v>0</v>
      </c>
      <c r="HO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K168">
        <v>0</v>
      </c>
      <c r="IR168">
        <v>0</v>
      </c>
      <c r="IY168">
        <v>0</v>
      </c>
      <c r="JF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Z168">
        <v>1</v>
      </c>
      <c r="KA168">
        <v>1</v>
      </c>
      <c r="KB168">
        <v>2</v>
      </c>
      <c r="KC168" t="s">
        <v>407</v>
      </c>
      <c r="OF168" t="s">
        <v>408</v>
      </c>
      <c r="SI168" t="s">
        <v>409</v>
      </c>
      <c r="WL168" t="s">
        <v>410</v>
      </c>
      <c r="AAO168" t="s">
        <v>411</v>
      </c>
      <c r="AER168" t="s">
        <v>412</v>
      </c>
    </row>
    <row r="169" spans="1:824" x14ac:dyDescent="0.2">
      <c r="A169" t="s">
        <v>1633</v>
      </c>
      <c r="B169" t="s">
        <v>414</v>
      </c>
      <c r="C169" t="s">
        <v>1634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>
        <v>716</v>
      </c>
      <c r="W169" s="3">
        <v>43514.037499999999</v>
      </c>
      <c r="X169" t="s">
        <v>1635</v>
      </c>
      <c r="Y169">
        <v>2019</v>
      </c>
      <c r="Z169" t="s">
        <v>1636</v>
      </c>
      <c r="AA169" t="s">
        <v>1637</v>
      </c>
      <c r="AB169" t="s">
        <v>1027</v>
      </c>
      <c r="AC169" t="s">
        <v>1638</v>
      </c>
      <c r="AD169" t="s">
        <v>1639</v>
      </c>
      <c r="AE169" t="s">
        <v>884</v>
      </c>
      <c r="AF169" t="s">
        <v>1631</v>
      </c>
      <c r="AH169">
        <v>2</v>
      </c>
      <c r="AI169">
        <v>6</v>
      </c>
      <c r="AJ169" t="s">
        <v>1640</v>
      </c>
      <c r="AU169">
        <v>0</v>
      </c>
      <c r="BB169">
        <v>0</v>
      </c>
      <c r="BI169">
        <v>0</v>
      </c>
      <c r="BP169">
        <v>0</v>
      </c>
      <c r="BW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R169">
        <v>0</v>
      </c>
      <c r="CY169">
        <v>0</v>
      </c>
      <c r="DF169">
        <v>0</v>
      </c>
      <c r="DM169">
        <v>0</v>
      </c>
      <c r="DT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 t="s">
        <v>404</v>
      </c>
      <c r="EJ169" t="s">
        <v>404</v>
      </c>
      <c r="EK169" t="s">
        <v>404</v>
      </c>
      <c r="EL169" t="s">
        <v>404</v>
      </c>
      <c r="EM169" t="s">
        <v>404</v>
      </c>
      <c r="EN169" t="s">
        <v>404</v>
      </c>
      <c r="EO169" t="s">
        <v>404</v>
      </c>
      <c r="EP169" t="s">
        <v>404</v>
      </c>
      <c r="EQ169" t="s">
        <v>404</v>
      </c>
      <c r="ER169" t="s">
        <v>404</v>
      </c>
      <c r="ES169" t="s">
        <v>404</v>
      </c>
      <c r="ET169" t="s">
        <v>404</v>
      </c>
      <c r="EU169" t="s">
        <v>404</v>
      </c>
      <c r="EV169" t="s">
        <v>404</v>
      </c>
      <c r="EW169" t="s">
        <v>404</v>
      </c>
      <c r="EX169" t="s">
        <v>404</v>
      </c>
      <c r="EY169" t="s">
        <v>404</v>
      </c>
      <c r="EZ169" t="s">
        <v>404</v>
      </c>
      <c r="FA169" t="s">
        <v>404</v>
      </c>
      <c r="FB169" t="s">
        <v>404</v>
      </c>
      <c r="FC169" t="s">
        <v>404</v>
      </c>
      <c r="FD169" t="s">
        <v>404</v>
      </c>
      <c r="FE169" t="s">
        <v>404</v>
      </c>
      <c r="FF169" t="s">
        <v>404</v>
      </c>
      <c r="FG169" t="s">
        <v>404</v>
      </c>
      <c r="FH169" t="s">
        <v>404</v>
      </c>
      <c r="FI169" t="s">
        <v>404</v>
      </c>
      <c r="FJ169" t="s">
        <v>404</v>
      </c>
      <c r="FK169" t="s">
        <v>404</v>
      </c>
      <c r="FL169" t="s">
        <v>404</v>
      </c>
      <c r="FM169" t="s">
        <v>404</v>
      </c>
      <c r="FN169" t="s">
        <v>404</v>
      </c>
      <c r="FO169" t="s">
        <v>404</v>
      </c>
      <c r="FP169" t="s">
        <v>404</v>
      </c>
      <c r="FQ169" t="s">
        <v>404</v>
      </c>
      <c r="FR169" t="s">
        <v>404</v>
      </c>
      <c r="FY169">
        <v>0</v>
      </c>
      <c r="GF169">
        <v>0</v>
      </c>
      <c r="GM169">
        <v>0</v>
      </c>
      <c r="GT169">
        <v>0</v>
      </c>
      <c r="HA169">
        <v>0</v>
      </c>
      <c r="HH169">
        <v>0</v>
      </c>
      <c r="HO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K169">
        <v>0</v>
      </c>
      <c r="IR169">
        <v>0</v>
      </c>
      <c r="IY169">
        <v>0</v>
      </c>
      <c r="JF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Z169">
        <v>1</v>
      </c>
      <c r="KA169">
        <v>3</v>
      </c>
      <c r="KB169">
        <v>1</v>
      </c>
      <c r="KC169" t="s">
        <v>407</v>
      </c>
      <c r="OF169" t="s">
        <v>408</v>
      </c>
      <c r="SI169" t="s">
        <v>409</v>
      </c>
      <c r="WL169" t="s">
        <v>410</v>
      </c>
      <c r="AAO169" t="s">
        <v>411</v>
      </c>
      <c r="AER169" t="s">
        <v>412</v>
      </c>
    </row>
    <row r="170" spans="1:824" x14ac:dyDescent="0.2">
      <c r="A170" t="s">
        <v>1641</v>
      </c>
      <c r="B170" t="s">
        <v>396</v>
      </c>
      <c r="C170" t="s">
        <v>1642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>
        <v>673</v>
      </c>
      <c r="W170" s="3">
        <v>43494.476388888892</v>
      </c>
      <c r="X170" t="s">
        <v>1643</v>
      </c>
      <c r="Y170">
        <v>2019</v>
      </c>
      <c r="Z170" t="s">
        <v>1644</v>
      </c>
      <c r="AA170" t="s">
        <v>1642</v>
      </c>
      <c r="AB170" t="s">
        <v>1645</v>
      </c>
      <c r="AC170" t="s">
        <v>1646</v>
      </c>
      <c r="AD170" t="s">
        <v>1647</v>
      </c>
      <c r="AE170" t="s">
        <v>452</v>
      </c>
      <c r="AF170" t="s">
        <v>403</v>
      </c>
      <c r="AH170">
        <v>1</v>
      </c>
      <c r="AK170">
        <v>150</v>
      </c>
      <c r="AL170">
        <v>150</v>
      </c>
      <c r="AM170">
        <v>10</v>
      </c>
      <c r="AN170">
        <v>10</v>
      </c>
      <c r="AU170">
        <v>0</v>
      </c>
      <c r="AV170">
        <v>150</v>
      </c>
      <c r="BB170">
        <v>150</v>
      </c>
      <c r="BI170">
        <v>0</v>
      </c>
      <c r="BP170">
        <v>0</v>
      </c>
      <c r="BW170">
        <v>0</v>
      </c>
      <c r="CD170">
        <v>0</v>
      </c>
      <c r="CE170">
        <v>150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150</v>
      </c>
      <c r="CR170">
        <v>0</v>
      </c>
      <c r="CS170">
        <v>1</v>
      </c>
      <c r="CY170">
        <v>1</v>
      </c>
      <c r="DF170">
        <v>0</v>
      </c>
      <c r="DM170">
        <v>0</v>
      </c>
      <c r="DT170">
        <v>0</v>
      </c>
      <c r="EA170">
        <v>0</v>
      </c>
      <c r="EB170">
        <v>1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1</v>
      </c>
      <c r="EI170" t="s">
        <v>404</v>
      </c>
      <c r="EJ170" t="s">
        <v>404</v>
      </c>
      <c r="EK170" t="s">
        <v>404</v>
      </c>
      <c r="EL170" t="s">
        <v>404</v>
      </c>
      <c r="EM170" t="s">
        <v>404</v>
      </c>
      <c r="EN170" t="s">
        <v>404</v>
      </c>
      <c r="EO170" t="s">
        <v>405</v>
      </c>
      <c r="EP170" t="s">
        <v>404</v>
      </c>
      <c r="EQ170" t="s">
        <v>404</v>
      </c>
      <c r="ER170" t="s">
        <v>404</v>
      </c>
      <c r="ES170" t="s">
        <v>404</v>
      </c>
      <c r="ET170" t="s">
        <v>404</v>
      </c>
      <c r="EU170" t="s">
        <v>404</v>
      </c>
      <c r="EV170" t="s">
        <v>404</v>
      </c>
      <c r="EW170" t="s">
        <v>404</v>
      </c>
      <c r="EX170" t="s">
        <v>404</v>
      </c>
      <c r="EY170" t="s">
        <v>404</v>
      </c>
      <c r="EZ170" t="s">
        <v>404</v>
      </c>
      <c r="FA170" t="s">
        <v>404</v>
      </c>
      <c r="FB170" t="s">
        <v>404</v>
      </c>
      <c r="FC170" t="s">
        <v>404</v>
      </c>
      <c r="FD170" t="s">
        <v>404</v>
      </c>
      <c r="FE170" t="s">
        <v>404</v>
      </c>
      <c r="FF170" t="s">
        <v>404</v>
      </c>
      <c r="FG170" t="s">
        <v>404</v>
      </c>
      <c r="FH170" t="s">
        <v>404</v>
      </c>
      <c r="FI170" t="s">
        <v>404</v>
      </c>
      <c r="FJ170" t="s">
        <v>404</v>
      </c>
      <c r="FK170" t="s">
        <v>404</v>
      </c>
      <c r="FL170" t="s">
        <v>404</v>
      </c>
      <c r="FM170" t="s">
        <v>404</v>
      </c>
      <c r="FN170" t="s">
        <v>404</v>
      </c>
      <c r="FO170" t="s">
        <v>404</v>
      </c>
      <c r="FP170" t="s">
        <v>404</v>
      </c>
      <c r="FQ170" t="s">
        <v>404</v>
      </c>
      <c r="FR170" t="s">
        <v>404</v>
      </c>
      <c r="FS170">
        <v>71</v>
      </c>
      <c r="FY170">
        <v>71</v>
      </c>
      <c r="FZ170">
        <v>25</v>
      </c>
      <c r="GF170">
        <v>25</v>
      </c>
      <c r="GM170">
        <v>0</v>
      </c>
      <c r="GT170">
        <v>0</v>
      </c>
      <c r="GU170">
        <v>22</v>
      </c>
      <c r="HA170">
        <v>22</v>
      </c>
      <c r="HB170">
        <v>5</v>
      </c>
      <c r="HH170">
        <v>5</v>
      </c>
      <c r="HI170">
        <v>23</v>
      </c>
      <c r="HO170">
        <v>23</v>
      </c>
      <c r="HP170" t="s">
        <v>799</v>
      </c>
      <c r="HQ170">
        <v>4</v>
      </c>
      <c r="HW170">
        <v>4</v>
      </c>
      <c r="HX170">
        <v>150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150</v>
      </c>
      <c r="IK170">
        <v>0</v>
      </c>
      <c r="IL170">
        <v>150</v>
      </c>
      <c r="IR170">
        <v>150</v>
      </c>
      <c r="IY170">
        <v>0</v>
      </c>
      <c r="JF170">
        <v>0</v>
      </c>
      <c r="JM170">
        <v>0</v>
      </c>
      <c r="JN170">
        <v>150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150</v>
      </c>
      <c r="JU170">
        <v>4</v>
      </c>
      <c r="JW170">
        <v>96</v>
      </c>
      <c r="JZ170">
        <v>1</v>
      </c>
      <c r="KA170">
        <v>2</v>
      </c>
      <c r="KB170">
        <v>1</v>
      </c>
      <c r="KC170" t="s">
        <v>407</v>
      </c>
      <c r="OF170" t="s">
        <v>408</v>
      </c>
      <c r="SI170" t="s">
        <v>409</v>
      </c>
      <c r="WL170" t="s">
        <v>410</v>
      </c>
      <c r="AAO170" t="s">
        <v>411</v>
      </c>
      <c r="AER170" t="s">
        <v>412</v>
      </c>
    </row>
    <row r="171" spans="1:824" x14ac:dyDescent="0.2">
      <c r="A171" t="s">
        <v>1648</v>
      </c>
      <c r="B171" t="s">
        <v>414</v>
      </c>
      <c r="C171" t="s">
        <v>1649</v>
      </c>
      <c r="P171" t="b">
        <v>0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V171">
        <v>728</v>
      </c>
      <c r="W171" s="3">
        <v>43517.353472222225</v>
      </c>
      <c r="X171" t="s">
        <v>1650</v>
      </c>
      <c r="Y171">
        <v>2019</v>
      </c>
      <c r="Z171" t="s">
        <v>1651</v>
      </c>
      <c r="AA171" t="s">
        <v>1652</v>
      </c>
      <c r="AC171" t="s">
        <v>1653</v>
      </c>
      <c r="AE171" t="s">
        <v>703</v>
      </c>
      <c r="AF171" t="s">
        <v>704</v>
      </c>
      <c r="AH171">
        <v>1</v>
      </c>
      <c r="AK171">
        <v>122678</v>
      </c>
      <c r="AL171">
        <v>122678</v>
      </c>
      <c r="AM171">
        <v>122678</v>
      </c>
      <c r="AN171">
        <v>122678</v>
      </c>
      <c r="AQ171">
        <v>122678</v>
      </c>
      <c r="AU171">
        <v>122678</v>
      </c>
      <c r="BB171">
        <v>0</v>
      </c>
      <c r="BI171">
        <v>0</v>
      </c>
      <c r="BP171">
        <v>0</v>
      </c>
      <c r="BW171">
        <v>0</v>
      </c>
      <c r="CD171">
        <v>0</v>
      </c>
      <c r="CE171">
        <v>0</v>
      </c>
      <c r="CF171">
        <v>0</v>
      </c>
      <c r="CG171">
        <v>122678</v>
      </c>
      <c r="CH171">
        <v>0</v>
      </c>
      <c r="CI171">
        <v>0</v>
      </c>
      <c r="CJ171">
        <v>0</v>
      </c>
      <c r="CK171">
        <v>122678</v>
      </c>
      <c r="CN171">
        <v>14</v>
      </c>
      <c r="CR171">
        <v>14</v>
      </c>
      <c r="CY171">
        <v>0</v>
      </c>
      <c r="DF171">
        <v>0</v>
      </c>
      <c r="DM171">
        <v>0</v>
      </c>
      <c r="DT171">
        <v>0</v>
      </c>
      <c r="EA171">
        <v>0</v>
      </c>
      <c r="EB171">
        <v>0</v>
      </c>
      <c r="EC171">
        <v>0</v>
      </c>
      <c r="ED171">
        <v>14</v>
      </c>
      <c r="EE171">
        <v>0</v>
      </c>
      <c r="EF171">
        <v>0</v>
      </c>
      <c r="EG171">
        <v>0</v>
      </c>
      <c r="EH171">
        <v>14</v>
      </c>
      <c r="EI171" t="s">
        <v>404</v>
      </c>
      <c r="EJ171" t="s">
        <v>404</v>
      </c>
      <c r="EK171" t="s">
        <v>405</v>
      </c>
      <c r="EL171" t="s">
        <v>404</v>
      </c>
      <c r="EM171" t="s">
        <v>404</v>
      </c>
      <c r="EN171" t="s">
        <v>404</v>
      </c>
      <c r="EO171" t="s">
        <v>404</v>
      </c>
      <c r="EP171" t="s">
        <v>404</v>
      </c>
      <c r="EQ171" t="s">
        <v>404</v>
      </c>
      <c r="ER171" t="s">
        <v>404</v>
      </c>
      <c r="ES171" t="s">
        <v>404</v>
      </c>
      <c r="ET171" t="s">
        <v>404</v>
      </c>
      <c r="EU171" t="s">
        <v>404</v>
      </c>
      <c r="EV171" t="s">
        <v>404</v>
      </c>
      <c r="EW171" t="s">
        <v>404</v>
      </c>
      <c r="EX171" t="s">
        <v>404</v>
      </c>
      <c r="EY171" t="s">
        <v>404</v>
      </c>
      <c r="EZ171" t="s">
        <v>404</v>
      </c>
      <c r="FA171" t="s">
        <v>404</v>
      </c>
      <c r="FB171" t="s">
        <v>404</v>
      </c>
      <c r="FC171" t="s">
        <v>404</v>
      </c>
      <c r="FD171" t="s">
        <v>404</v>
      </c>
      <c r="FE171" t="s">
        <v>404</v>
      </c>
      <c r="FF171" t="s">
        <v>404</v>
      </c>
      <c r="FG171" t="s">
        <v>404</v>
      </c>
      <c r="FH171" t="s">
        <v>404</v>
      </c>
      <c r="FI171" t="s">
        <v>404</v>
      </c>
      <c r="FJ171" t="s">
        <v>404</v>
      </c>
      <c r="FK171" t="s">
        <v>404</v>
      </c>
      <c r="FL171" t="s">
        <v>404</v>
      </c>
      <c r="FM171" t="s">
        <v>404</v>
      </c>
      <c r="FN171" t="s">
        <v>404</v>
      </c>
      <c r="FO171" t="s">
        <v>404</v>
      </c>
      <c r="FP171" t="s">
        <v>404</v>
      </c>
      <c r="FQ171" t="s">
        <v>404</v>
      </c>
      <c r="FR171" t="s">
        <v>404</v>
      </c>
      <c r="FU171">
        <v>118915</v>
      </c>
      <c r="FY171">
        <v>118915</v>
      </c>
      <c r="GF171">
        <v>0</v>
      </c>
      <c r="GM171">
        <v>0</v>
      </c>
      <c r="GT171">
        <v>0</v>
      </c>
      <c r="HA171">
        <v>0</v>
      </c>
      <c r="HH171">
        <v>0</v>
      </c>
      <c r="HO171">
        <v>0</v>
      </c>
      <c r="HP171" t="s">
        <v>1413</v>
      </c>
      <c r="HS171">
        <v>3763</v>
      </c>
      <c r="HW171">
        <v>3763</v>
      </c>
      <c r="HX171">
        <v>0</v>
      </c>
      <c r="HY171">
        <v>0</v>
      </c>
      <c r="HZ171">
        <v>122678</v>
      </c>
      <c r="IA171">
        <v>0</v>
      </c>
      <c r="IB171">
        <v>0</v>
      </c>
      <c r="IC171">
        <v>0</v>
      </c>
      <c r="ID171">
        <v>122678</v>
      </c>
      <c r="IG171">
        <v>122678</v>
      </c>
      <c r="IK171">
        <v>122678</v>
      </c>
      <c r="IR171">
        <v>0</v>
      </c>
      <c r="IY171">
        <v>0</v>
      </c>
      <c r="JF171">
        <v>0</v>
      </c>
      <c r="JM171">
        <v>0</v>
      </c>
      <c r="JN171">
        <v>0</v>
      </c>
      <c r="JO171">
        <v>0</v>
      </c>
      <c r="JP171">
        <v>122678</v>
      </c>
      <c r="JQ171">
        <v>0</v>
      </c>
      <c r="JR171">
        <v>0</v>
      </c>
      <c r="JS171">
        <v>0</v>
      </c>
      <c r="JT171">
        <v>122678</v>
      </c>
      <c r="JW171">
        <v>100</v>
      </c>
      <c r="JZ171">
        <v>1</v>
      </c>
      <c r="KA171">
        <v>3</v>
      </c>
      <c r="KB171">
        <v>1</v>
      </c>
      <c r="KC171" t="s">
        <v>407</v>
      </c>
      <c r="OF171" t="s">
        <v>408</v>
      </c>
      <c r="SI171" t="s">
        <v>409</v>
      </c>
      <c r="WL171" t="s">
        <v>410</v>
      </c>
      <c r="AAO171" t="s">
        <v>411</v>
      </c>
      <c r="AER171" t="s">
        <v>412</v>
      </c>
    </row>
    <row r="172" spans="1:824" x14ac:dyDescent="0.2">
      <c r="A172" t="s">
        <v>1654</v>
      </c>
      <c r="B172" t="s">
        <v>396</v>
      </c>
      <c r="C172" t="s">
        <v>1655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>
        <v>567</v>
      </c>
      <c r="W172" s="3">
        <v>43475.535416666666</v>
      </c>
      <c r="X172" t="s">
        <v>1656</v>
      </c>
      <c r="Y172">
        <v>2019</v>
      </c>
      <c r="Z172" t="s">
        <v>1657</v>
      </c>
      <c r="AA172" t="s">
        <v>1658</v>
      </c>
      <c r="AB172" t="s">
        <v>1659</v>
      </c>
      <c r="AC172" t="s">
        <v>1660</v>
      </c>
      <c r="AD172">
        <v>46704546520</v>
      </c>
      <c r="AE172" t="s">
        <v>452</v>
      </c>
      <c r="AF172" t="s">
        <v>403</v>
      </c>
      <c r="AH172">
        <v>1</v>
      </c>
      <c r="AK172">
        <v>450</v>
      </c>
      <c r="AL172">
        <v>450</v>
      </c>
      <c r="AM172">
        <v>0</v>
      </c>
      <c r="AN172">
        <v>0</v>
      </c>
      <c r="AU172">
        <v>0</v>
      </c>
      <c r="AV172">
        <v>450</v>
      </c>
      <c r="BB172">
        <v>450</v>
      </c>
      <c r="BI172">
        <v>0</v>
      </c>
      <c r="BP172">
        <v>0</v>
      </c>
      <c r="BW172">
        <v>0</v>
      </c>
      <c r="CD172">
        <v>0</v>
      </c>
      <c r="CE172">
        <v>450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450</v>
      </c>
      <c r="CR172">
        <v>0</v>
      </c>
      <c r="CS172">
        <v>1</v>
      </c>
      <c r="CY172">
        <v>1</v>
      </c>
      <c r="DF172">
        <v>0</v>
      </c>
      <c r="DM172">
        <v>0</v>
      </c>
      <c r="DT172">
        <v>0</v>
      </c>
      <c r="EA172">
        <v>0</v>
      </c>
      <c r="EB172">
        <v>1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1</v>
      </c>
      <c r="EI172" t="s">
        <v>404</v>
      </c>
      <c r="EJ172" t="s">
        <v>404</v>
      </c>
      <c r="EK172" t="s">
        <v>404</v>
      </c>
      <c r="EL172" t="s">
        <v>404</v>
      </c>
      <c r="EM172" t="s">
        <v>404</v>
      </c>
      <c r="EN172" t="s">
        <v>404</v>
      </c>
      <c r="EO172" t="s">
        <v>405</v>
      </c>
      <c r="EP172" t="s">
        <v>404</v>
      </c>
      <c r="EQ172" t="s">
        <v>404</v>
      </c>
      <c r="ER172" t="s">
        <v>404</v>
      </c>
      <c r="ES172" t="s">
        <v>404</v>
      </c>
      <c r="ET172" t="s">
        <v>404</v>
      </c>
      <c r="EU172" t="s">
        <v>404</v>
      </c>
      <c r="EV172" t="s">
        <v>404</v>
      </c>
      <c r="EW172" t="s">
        <v>404</v>
      </c>
      <c r="EX172" t="s">
        <v>404</v>
      </c>
      <c r="EY172" t="s">
        <v>404</v>
      </c>
      <c r="EZ172" t="s">
        <v>404</v>
      </c>
      <c r="FA172" t="s">
        <v>404</v>
      </c>
      <c r="FB172" t="s">
        <v>404</v>
      </c>
      <c r="FC172" t="s">
        <v>404</v>
      </c>
      <c r="FD172" t="s">
        <v>404</v>
      </c>
      <c r="FE172" t="s">
        <v>404</v>
      </c>
      <c r="FF172" t="s">
        <v>404</v>
      </c>
      <c r="FG172" t="s">
        <v>404</v>
      </c>
      <c r="FH172" t="s">
        <v>404</v>
      </c>
      <c r="FI172" t="s">
        <v>404</v>
      </c>
      <c r="FJ172" t="s">
        <v>404</v>
      </c>
      <c r="FK172" t="s">
        <v>404</v>
      </c>
      <c r="FL172" t="s">
        <v>404</v>
      </c>
      <c r="FM172" t="s">
        <v>404</v>
      </c>
      <c r="FN172" t="s">
        <v>404</v>
      </c>
      <c r="FO172" t="s">
        <v>404</v>
      </c>
      <c r="FP172" t="s">
        <v>404</v>
      </c>
      <c r="FQ172" t="s">
        <v>404</v>
      </c>
      <c r="FR172" t="s">
        <v>404</v>
      </c>
      <c r="FS172">
        <v>250</v>
      </c>
      <c r="FY172">
        <v>250</v>
      </c>
      <c r="GF172">
        <v>0</v>
      </c>
      <c r="GG172">
        <v>155</v>
      </c>
      <c r="GM172">
        <v>155</v>
      </c>
      <c r="GT172">
        <v>0</v>
      </c>
      <c r="GU172">
        <v>15</v>
      </c>
      <c r="HA172">
        <v>15</v>
      </c>
      <c r="HB172">
        <v>30</v>
      </c>
      <c r="HH172">
        <v>30</v>
      </c>
      <c r="HO172">
        <v>0</v>
      </c>
      <c r="HW172">
        <v>0</v>
      </c>
      <c r="HX172">
        <v>450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450</v>
      </c>
      <c r="IE172">
        <v>80</v>
      </c>
      <c r="IK172">
        <v>80</v>
      </c>
      <c r="IL172">
        <v>370</v>
      </c>
      <c r="IR172">
        <v>370</v>
      </c>
      <c r="IY172">
        <v>0</v>
      </c>
      <c r="JF172">
        <v>0</v>
      </c>
      <c r="JM172">
        <v>0</v>
      </c>
      <c r="JN172">
        <v>450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450</v>
      </c>
      <c r="JU172">
        <v>7</v>
      </c>
      <c r="JW172">
        <v>93</v>
      </c>
      <c r="JZ172">
        <v>1</v>
      </c>
      <c r="KA172">
        <v>2</v>
      </c>
      <c r="KB172">
        <v>1</v>
      </c>
      <c r="KC172" t="s">
        <v>407</v>
      </c>
      <c r="OF172" t="s">
        <v>408</v>
      </c>
      <c r="SI172" t="s">
        <v>409</v>
      </c>
      <c r="WL172" t="s">
        <v>410</v>
      </c>
      <c r="AAO172" t="s">
        <v>411</v>
      </c>
      <c r="AER172" t="s">
        <v>412</v>
      </c>
    </row>
    <row r="173" spans="1:824" x14ac:dyDescent="0.2">
      <c r="A173" t="s">
        <v>1661</v>
      </c>
      <c r="B173" t="s">
        <v>414</v>
      </c>
      <c r="C173" t="s">
        <v>1662</v>
      </c>
      <c r="P173" t="b">
        <v>0</v>
      </c>
      <c r="Q173" t="b">
        <v>1</v>
      </c>
      <c r="R173" t="b">
        <v>0</v>
      </c>
      <c r="S173" t="b">
        <v>0</v>
      </c>
      <c r="T173" t="b">
        <v>0</v>
      </c>
      <c r="U173" t="b">
        <v>0</v>
      </c>
      <c r="V173">
        <v>590</v>
      </c>
      <c r="W173" s="3">
        <v>43480.938888888886</v>
      </c>
      <c r="X173" t="s">
        <v>1663</v>
      </c>
      <c r="Y173">
        <v>2019</v>
      </c>
      <c r="Z173" t="s">
        <v>1664</v>
      </c>
      <c r="AA173" t="s">
        <v>1665</v>
      </c>
      <c r="AB173" t="s">
        <v>1666</v>
      </c>
      <c r="AC173" t="s">
        <v>1667</v>
      </c>
      <c r="AD173">
        <v>84933333960</v>
      </c>
      <c r="AE173" t="s">
        <v>1668</v>
      </c>
      <c r="AF173" t="s">
        <v>538</v>
      </c>
      <c r="AH173">
        <v>1</v>
      </c>
      <c r="AK173">
        <v>20</v>
      </c>
      <c r="AL173">
        <v>20</v>
      </c>
      <c r="AM173">
        <v>20</v>
      </c>
      <c r="AN173">
        <v>20</v>
      </c>
      <c r="AR173">
        <v>20</v>
      </c>
      <c r="AU173">
        <v>20</v>
      </c>
      <c r="BB173">
        <v>0</v>
      </c>
      <c r="BI173">
        <v>0</v>
      </c>
      <c r="BP173">
        <v>0</v>
      </c>
      <c r="BW173">
        <v>0</v>
      </c>
      <c r="CD173">
        <v>0</v>
      </c>
      <c r="CE173">
        <v>0</v>
      </c>
      <c r="CF173">
        <v>0</v>
      </c>
      <c r="CG173">
        <v>0</v>
      </c>
      <c r="CH173">
        <v>20</v>
      </c>
      <c r="CI173">
        <v>0</v>
      </c>
      <c r="CJ173">
        <v>0</v>
      </c>
      <c r="CK173">
        <v>20</v>
      </c>
      <c r="CO173">
        <v>2</v>
      </c>
      <c r="CR173">
        <v>2</v>
      </c>
      <c r="CY173">
        <v>0</v>
      </c>
      <c r="DF173">
        <v>0</v>
      </c>
      <c r="DM173">
        <v>0</v>
      </c>
      <c r="DT173">
        <v>0</v>
      </c>
      <c r="EA173">
        <v>0</v>
      </c>
      <c r="EB173">
        <v>0</v>
      </c>
      <c r="EC173">
        <v>0</v>
      </c>
      <c r="ED173">
        <v>0</v>
      </c>
      <c r="EE173">
        <v>2</v>
      </c>
      <c r="EF173">
        <v>0</v>
      </c>
      <c r="EG173">
        <v>0</v>
      </c>
      <c r="EH173">
        <v>2</v>
      </c>
      <c r="EI173" t="s">
        <v>404</v>
      </c>
      <c r="EJ173" t="s">
        <v>404</v>
      </c>
      <c r="EK173" t="s">
        <v>404</v>
      </c>
      <c r="EL173" t="s">
        <v>405</v>
      </c>
      <c r="EM173" t="s">
        <v>404</v>
      </c>
      <c r="EN173" t="s">
        <v>404</v>
      </c>
      <c r="EO173" t="s">
        <v>404</v>
      </c>
      <c r="EP173" t="s">
        <v>404</v>
      </c>
      <c r="EQ173" t="s">
        <v>404</v>
      </c>
      <c r="ER173" t="s">
        <v>404</v>
      </c>
      <c r="ES173" t="s">
        <v>404</v>
      </c>
      <c r="ET173" t="s">
        <v>404</v>
      </c>
      <c r="EU173" t="s">
        <v>404</v>
      </c>
      <c r="EV173" t="s">
        <v>404</v>
      </c>
      <c r="EW173" t="s">
        <v>404</v>
      </c>
      <c r="EX173" t="s">
        <v>404</v>
      </c>
      <c r="EY173" t="s">
        <v>404</v>
      </c>
      <c r="EZ173" t="s">
        <v>404</v>
      </c>
      <c r="FA173" t="s">
        <v>404</v>
      </c>
      <c r="FB173" t="s">
        <v>404</v>
      </c>
      <c r="FC173" t="s">
        <v>404</v>
      </c>
      <c r="FD173" t="s">
        <v>404</v>
      </c>
      <c r="FE173" t="s">
        <v>404</v>
      </c>
      <c r="FF173" t="s">
        <v>404</v>
      </c>
      <c r="FG173" t="s">
        <v>404</v>
      </c>
      <c r="FH173" t="s">
        <v>404</v>
      </c>
      <c r="FI173" t="s">
        <v>404</v>
      </c>
      <c r="FJ173" t="s">
        <v>404</v>
      </c>
      <c r="FK173" t="s">
        <v>404</v>
      </c>
      <c r="FL173" t="s">
        <v>404</v>
      </c>
      <c r="FM173" t="s">
        <v>404</v>
      </c>
      <c r="FN173" t="s">
        <v>404</v>
      </c>
      <c r="FO173" t="s">
        <v>404</v>
      </c>
      <c r="FP173" t="s">
        <v>404</v>
      </c>
      <c r="FQ173" t="s">
        <v>404</v>
      </c>
      <c r="FR173" t="s">
        <v>404</v>
      </c>
      <c r="FY173">
        <v>0</v>
      </c>
      <c r="GF173">
        <v>0</v>
      </c>
      <c r="GM173">
        <v>0</v>
      </c>
      <c r="GT173">
        <v>0</v>
      </c>
      <c r="HA173">
        <v>0</v>
      </c>
      <c r="HE173">
        <v>20</v>
      </c>
      <c r="HH173">
        <v>20</v>
      </c>
      <c r="HO173">
        <v>0</v>
      </c>
      <c r="HW173">
        <v>0</v>
      </c>
      <c r="HX173">
        <v>0</v>
      </c>
      <c r="HY173">
        <v>0</v>
      </c>
      <c r="HZ173">
        <v>0</v>
      </c>
      <c r="IA173">
        <v>20</v>
      </c>
      <c r="IB173">
        <v>0</v>
      </c>
      <c r="IC173">
        <v>0</v>
      </c>
      <c r="ID173">
        <v>20</v>
      </c>
      <c r="IH173">
        <v>20</v>
      </c>
      <c r="IK173">
        <v>20</v>
      </c>
      <c r="IR173">
        <v>0</v>
      </c>
      <c r="IY173">
        <v>0</v>
      </c>
      <c r="JF173">
        <v>0</v>
      </c>
      <c r="JM173">
        <v>0</v>
      </c>
      <c r="JN173">
        <v>0</v>
      </c>
      <c r="JO173">
        <v>0</v>
      </c>
      <c r="JP173">
        <v>0</v>
      </c>
      <c r="JQ173">
        <v>20</v>
      </c>
      <c r="JR173">
        <v>0</v>
      </c>
      <c r="JS173">
        <v>0</v>
      </c>
      <c r="JT173">
        <v>20</v>
      </c>
      <c r="JW173">
        <v>100</v>
      </c>
      <c r="JZ173">
        <v>1</v>
      </c>
      <c r="KA173">
        <v>2</v>
      </c>
      <c r="KB173">
        <v>1</v>
      </c>
      <c r="KC173" t="s">
        <v>407</v>
      </c>
      <c r="OF173" t="s">
        <v>408</v>
      </c>
      <c r="SI173" t="s">
        <v>409</v>
      </c>
      <c r="WL173" t="s">
        <v>410</v>
      </c>
      <c r="AAO173" t="s">
        <v>411</v>
      </c>
      <c r="AER173" t="s">
        <v>412</v>
      </c>
    </row>
    <row r="174" spans="1:824" x14ac:dyDescent="0.2">
      <c r="A174" t="s">
        <v>1669</v>
      </c>
      <c r="B174" t="s">
        <v>396</v>
      </c>
      <c r="C174" t="s">
        <v>1670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>
        <v>785</v>
      </c>
      <c r="W174" s="3">
        <v>43518.474999999999</v>
      </c>
      <c r="X174" t="s">
        <v>1671</v>
      </c>
      <c r="Y174">
        <v>2019</v>
      </c>
      <c r="Z174" t="s">
        <v>1672</v>
      </c>
      <c r="AA174" t="s">
        <v>1673</v>
      </c>
      <c r="AB174" t="s">
        <v>1674</v>
      </c>
      <c r="AC174" t="s">
        <v>1675</v>
      </c>
      <c r="AD174">
        <v>442078524484</v>
      </c>
      <c r="AE174" t="s">
        <v>571</v>
      </c>
      <c r="AF174" t="s">
        <v>403</v>
      </c>
      <c r="AH174">
        <v>2</v>
      </c>
      <c r="AI174">
        <v>6</v>
      </c>
      <c r="AJ174" t="s">
        <v>1676</v>
      </c>
      <c r="AU174">
        <v>0</v>
      </c>
      <c r="BB174">
        <v>0</v>
      </c>
      <c r="BI174">
        <v>0</v>
      </c>
      <c r="BP174">
        <v>0</v>
      </c>
      <c r="BW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R174">
        <v>0</v>
      </c>
      <c r="CY174">
        <v>0</v>
      </c>
      <c r="DF174">
        <v>0</v>
      </c>
      <c r="DM174">
        <v>0</v>
      </c>
      <c r="DT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 t="s">
        <v>404</v>
      </c>
      <c r="EJ174" t="s">
        <v>404</v>
      </c>
      <c r="EK174" t="s">
        <v>404</v>
      </c>
      <c r="EL174" t="s">
        <v>404</v>
      </c>
      <c r="EM174" t="s">
        <v>404</v>
      </c>
      <c r="EN174" t="s">
        <v>404</v>
      </c>
      <c r="EO174" t="s">
        <v>404</v>
      </c>
      <c r="EP174" t="s">
        <v>404</v>
      </c>
      <c r="EQ174" t="s">
        <v>404</v>
      </c>
      <c r="ER174" t="s">
        <v>404</v>
      </c>
      <c r="ES174" t="s">
        <v>404</v>
      </c>
      <c r="ET174" t="s">
        <v>404</v>
      </c>
      <c r="EU174" t="s">
        <v>404</v>
      </c>
      <c r="EV174" t="s">
        <v>404</v>
      </c>
      <c r="EW174" t="s">
        <v>404</v>
      </c>
      <c r="EX174" t="s">
        <v>404</v>
      </c>
      <c r="EY174" t="s">
        <v>404</v>
      </c>
      <c r="EZ174" t="s">
        <v>404</v>
      </c>
      <c r="FA174" t="s">
        <v>404</v>
      </c>
      <c r="FB174" t="s">
        <v>404</v>
      </c>
      <c r="FC174" t="s">
        <v>404</v>
      </c>
      <c r="FD174" t="s">
        <v>404</v>
      </c>
      <c r="FE174" t="s">
        <v>404</v>
      </c>
      <c r="FF174" t="s">
        <v>404</v>
      </c>
      <c r="FG174" t="s">
        <v>404</v>
      </c>
      <c r="FH174" t="s">
        <v>404</v>
      </c>
      <c r="FI174" t="s">
        <v>404</v>
      </c>
      <c r="FJ174" t="s">
        <v>404</v>
      </c>
      <c r="FK174" t="s">
        <v>404</v>
      </c>
      <c r="FL174" t="s">
        <v>404</v>
      </c>
      <c r="FM174" t="s">
        <v>404</v>
      </c>
      <c r="FN174" t="s">
        <v>404</v>
      </c>
      <c r="FO174" t="s">
        <v>404</v>
      </c>
      <c r="FP174" t="s">
        <v>404</v>
      </c>
      <c r="FQ174" t="s">
        <v>404</v>
      </c>
      <c r="FR174" t="s">
        <v>404</v>
      </c>
      <c r="FY174">
        <v>0</v>
      </c>
      <c r="GF174">
        <v>0</v>
      </c>
      <c r="GM174">
        <v>0</v>
      </c>
      <c r="GT174">
        <v>0</v>
      </c>
      <c r="HA174">
        <v>0</v>
      </c>
      <c r="HH174">
        <v>0</v>
      </c>
      <c r="HO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K174">
        <v>0</v>
      </c>
      <c r="IR174">
        <v>0</v>
      </c>
      <c r="IY174">
        <v>0</v>
      </c>
      <c r="JF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Z174">
        <v>1</v>
      </c>
      <c r="KA174">
        <v>3</v>
      </c>
      <c r="KB174">
        <v>1</v>
      </c>
      <c r="KC174" t="s">
        <v>407</v>
      </c>
      <c r="OF174" t="s">
        <v>408</v>
      </c>
      <c r="SI174" t="s">
        <v>409</v>
      </c>
      <c r="WL174" t="s">
        <v>410</v>
      </c>
      <c r="AAO174" t="s">
        <v>411</v>
      </c>
      <c r="AER174" t="s">
        <v>412</v>
      </c>
    </row>
    <row r="175" spans="1:824" x14ac:dyDescent="0.2">
      <c r="A175" t="s">
        <v>1677</v>
      </c>
      <c r="B175" t="s">
        <v>396</v>
      </c>
      <c r="C175" t="s">
        <v>1678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>
        <v>623</v>
      </c>
      <c r="W175" s="3">
        <v>43518.582638888889</v>
      </c>
      <c r="X175" t="s">
        <v>816</v>
      </c>
      <c r="Y175">
        <v>2019</v>
      </c>
      <c r="Z175" t="s">
        <v>1679</v>
      </c>
      <c r="AA175" t="s">
        <v>1678</v>
      </c>
      <c r="AB175" t="s">
        <v>1680</v>
      </c>
      <c r="AC175" t="s">
        <v>1681</v>
      </c>
      <c r="AD175" t="s">
        <v>1682</v>
      </c>
      <c r="AE175" t="s">
        <v>491</v>
      </c>
      <c r="AF175" t="s">
        <v>492</v>
      </c>
      <c r="AH175">
        <v>1</v>
      </c>
      <c r="AK175">
        <v>67</v>
      </c>
      <c r="AL175">
        <v>67</v>
      </c>
      <c r="AM175">
        <v>67</v>
      </c>
      <c r="AN175">
        <v>67</v>
      </c>
      <c r="AO175">
        <v>0</v>
      </c>
      <c r="AP175">
        <v>0</v>
      </c>
      <c r="AU175">
        <v>0</v>
      </c>
      <c r="AV175">
        <v>17</v>
      </c>
      <c r="AW175">
        <v>50</v>
      </c>
      <c r="BB175">
        <v>67</v>
      </c>
      <c r="BC175">
        <v>0</v>
      </c>
      <c r="BD175">
        <v>0</v>
      </c>
      <c r="BI175">
        <v>0</v>
      </c>
      <c r="BJ175">
        <v>0</v>
      </c>
      <c r="BK175">
        <v>0</v>
      </c>
      <c r="BP175">
        <v>0</v>
      </c>
      <c r="BQ175">
        <v>0</v>
      </c>
      <c r="BR175">
        <v>0</v>
      </c>
      <c r="BW175">
        <v>0</v>
      </c>
      <c r="BX175">
        <v>0</v>
      </c>
      <c r="BY175">
        <v>0</v>
      </c>
      <c r="CD175">
        <v>0</v>
      </c>
      <c r="CE175">
        <v>17</v>
      </c>
      <c r="CF175">
        <v>50</v>
      </c>
      <c r="CG175">
        <v>0</v>
      </c>
      <c r="CH175">
        <v>0</v>
      </c>
      <c r="CI175">
        <v>0</v>
      </c>
      <c r="CJ175">
        <v>0</v>
      </c>
      <c r="CK175">
        <v>67</v>
      </c>
      <c r="CR175">
        <v>0</v>
      </c>
      <c r="CS175">
        <v>1</v>
      </c>
      <c r="CT175">
        <v>1</v>
      </c>
      <c r="CY175">
        <v>2</v>
      </c>
      <c r="DF175">
        <v>0</v>
      </c>
      <c r="DM175">
        <v>0</v>
      </c>
      <c r="DT175">
        <v>0</v>
      </c>
      <c r="EA175">
        <v>0</v>
      </c>
      <c r="EB175">
        <v>1</v>
      </c>
      <c r="EC175">
        <v>1</v>
      </c>
      <c r="ED175">
        <v>0</v>
      </c>
      <c r="EE175">
        <v>0</v>
      </c>
      <c r="EF175">
        <v>0</v>
      </c>
      <c r="EG175">
        <v>0</v>
      </c>
      <c r="EH175">
        <v>2</v>
      </c>
      <c r="EI175" t="s">
        <v>404</v>
      </c>
      <c r="EJ175" t="s">
        <v>404</v>
      </c>
      <c r="EK175" t="s">
        <v>404</v>
      </c>
      <c r="EL175" t="s">
        <v>404</v>
      </c>
      <c r="EM175" t="s">
        <v>404</v>
      </c>
      <c r="EN175" t="s">
        <v>404</v>
      </c>
      <c r="EO175" t="s">
        <v>405</v>
      </c>
      <c r="EP175" t="s">
        <v>405</v>
      </c>
      <c r="EQ175" t="s">
        <v>404</v>
      </c>
      <c r="ER175" t="s">
        <v>404</v>
      </c>
      <c r="ES175" t="s">
        <v>404</v>
      </c>
      <c r="ET175" t="s">
        <v>404</v>
      </c>
      <c r="EU175" t="s">
        <v>404</v>
      </c>
      <c r="EV175" t="s">
        <v>404</v>
      </c>
      <c r="EW175" t="s">
        <v>404</v>
      </c>
      <c r="EX175" t="s">
        <v>404</v>
      </c>
      <c r="EY175" t="s">
        <v>404</v>
      </c>
      <c r="EZ175" t="s">
        <v>404</v>
      </c>
      <c r="FA175" t="s">
        <v>404</v>
      </c>
      <c r="FB175" t="s">
        <v>404</v>
      </c>
      <c r="FC175" t="s">
        <v>404</v>
      </c>
      <c r="FD175" t="s">
        <v>404</v>
      </c>
      <c r="FE175" t="s">
        <v>404</v>
      </c>
      <c r="FF175" t="s">
        <v>404</v>
      </c>
      <c r="FG175" t="s">
        <v>404</v>
      </c>
      <c r="FH175" t="s">
        <v>404</v>
      </c>
      <c r="FI175" t="s">
        <v>404</v>
      </c>
      <c r="FJ175" t="s">
        <v>404</v>
      </c>
      <c r="FK175" t="s">
        <v>404</v>
      </c>
      <c r="FL175" t="s">
        <v>404</v>
      </c>
      <c r="FM175" t="s">
        <v>404</v>
      </c>
      <c r="FN175" t="s">
        <v>404</v>
      </c>
      <c r="FO175" t="s">
        <v>404</v>
      </c>
      <c r="FP175" t="s">
        <v>404</v>
      </c>
      <c r="FQ175" t="s">
        <v>404</v>
      </c>
      <c r="FR175" t="s">
        <v>404</v>
      </c>
      <c r="FS175">
        <v>15</v>
      </c>
      <c r="FT175">
        <v>50</v>
      </c>
      <c r="FY175">
        <v>65</v>
      </c>
      <c r="FZ175">
        <v>0</v>
      </c>
      <c r="GA175">
        <v>0</v>
      </c>
      <c r="GF175">
        <v>0</v>
      </c>
      <c r="GG175">
        <v>0</v>
      </c>
      <c r="GH175">
        <v>0</v>
      </c>
      <c r="GM175">
        <v>0</v>
      </c>
      <c r="GN175">
        <v>1</v>
      </c>
      <c r="GO175">
        <v>0</v>
      </c>
      <c r="GT175">
        <v>1</v>
      </c>
      <c r="GU175">
        <v>0.03</v>
      </c>
      <c r="GV175">
        <v>0</v>
      </c>
      <c r="HA175">
        <v>0.03</v>
      </c>
      <c r="HB175">
        <v>0</v>
      </c>
      <c r="HC175">
        <v>0</v>
      </c>
      <c r="HH175">
        <v>0</v>
      </c>
      <c r="HI175">
        <v>0</v>
      </c>
      <c r="HJ175">
        <v>0</v>
      </c>
      <c r="HO175">
        <v>0</v>
      </c>
      <c r="HP175" t="s">
        <v>1683</v>
      </c>
      <c r="HQ175">
        <v>0.5</v>
      </c>
      <c r="HR175">
        <v>0</v>
      </c>
      <c r="HW175">
        <v>0.5</v>
      </c>
      <c r="HX175">
        <v>16.53</v>
      </c>
      <c r="HY175">
        <v>50</v>
      </c>
      <c r="HZ175">
        <v>0</v>
      </c>
      <c r="IA175">
        <v>0</v>
      </c>
      <c r="IB175">
        <v>0</v>
      </c>
      <c r="IC175">
        <v>0</v>
      </c>
      <c r="ID175">
        <v>66.53</v>
      </c>
      <c r="IE175">
        <v>0</v>
      </c>
      <c r="IF175">
        <v>0</v>
      </c>
      <c r="IK175">
        <v>0</v>
      </c>
      <c r="IL175">
        <v>17</v>
      </c>
      <c r="IM175">
        <v>50</v>
      </c>
      <c r="IR175">
        <v>67</v>
      </c>
      <c r="IS175">
        <v>0</v>
      </c>
      <c r="IT175">
        <v>0</v>
      </c>
      <c r="IY175">
        <v>0</v>
      </c>
      <c r="IZ175">
        <v>0</v>
      </c>
      <c r="JA175">
        <v>0</v>
      </c>
      <c r="JF175">
        <v>0</v>
      </c>
      <c r="JG175">
        <v>0</v>
      </c>
      <c r="JH175">
        <v>0</v>
      </c>
      <c r="JM175">
        <v>0</v>
      </c>
      <c r="JN175">
        <v>17</v>
      </c>
      <c r="JO175">
        <v>50</v>
      </c>
      <c r="JP175">
        <v>0</v>
      </c>
      <c r="JQ175">
        <v>0</v>
      </c>
      <c r="JR175">
        <v>0</v>
      </c>
      <c r="JS175">
        <v>0</v>
      </c>
      <c r="JT175">
        <v>67</v>
      </c>
      <c r="JU175">
        <v>6</v>
      </c>
      <c r="JV175">
        <v>0</v>
      </c>
      <c r="JW175">
        <v>0</v>
      </c>
      <c r="JX175" t="s">
        <v>1684</v>
      </c>
      <c r="JY175">
        <v>94</v>
      </c>
      <c r="JZ175">
        <v>1</v>
      </c>
      <c r="KA175">
        <v>2</v>
      </c>
      <c r="KB175">
        <v>1</v>
      </c>
      <c r="KC175" t="s">
        <v>407</v>
      </c>
      <c r="OF175" t="s">
        <v>408</v>
      </c>
      <c r="SI175" t="s">
        <v>409</v>
      </c>
      <c r="WL175" t="s">
        <v>410</v>
      </c>
      <c r="AAO175" t="s">
        <v>411</v>
      </c>
      <c r="AER175" t="s">
        <v>412</v>
      </c>
    </row>
    <row r="176" spans="1:824" x14ac:dyDescent="0.2">
      <c r="A176" t="s">
        <v>1685</v>
      </c>
      <c r="B176" t="s">
        <v>563</v>
      </c>
      <c r="C176" t="s">
        <v>1686</v>
      </c>
      <c r="D176" t="s">
        <v>478</v>
      </c>
      <c r="E176" s="3">
        <v>43523.711111111108</v>
      </c>
      <c r="F176" t="s">
        <v>479</v>
      </c>
      <c r="G176" s="3">
        <v>43523.711111111108</v>
      </c>
      <c r="H176" t="s">
        <v>502</v>
      </c>
      <c r="I176" s="3">
        <v>43523.712500000001</v>
      </c>
      <c r="P176" t="b">
        <v>1</v>
      </c>
      <c r="Q176" t="b">
        <v>1</v>
      </c>
      <c r="R176" t="b">
        <v>1</v>
      </c>
      <c r="S176" t="b">
        <v>0</v>
      </c>
      <c r="T176" t="b">
        <v>0</v>
      </c>
      <c r="U176" t="b">
        <v>0</v>
      </c>
      <c r="V176">
        <v>720</v>
      </c>
      <c r="W176" s="3">
        <v>43523.709722222222</v>
      </c>
      <c r="X176" t="s">
        <v>1687</v>
      </c>
      <c r="Y176">
        <v>2019</v>
      </c>
      <c r="Z176" t="s">
        <v>1688</v>
      </c>
      <c r="AA176" t="s">
        <v>1686</v>
      </c>
      <c r="AC176" t="s">
        <v>1689</v>
      </c>
      <c r="AD176" t="s">
        <v>1690</v>
      </c>
      <c r="AE176" t="s">
        <v>571</v>
      </c>
      <c r="AF176" t="s">
        <v>538</v>
      </c>
      <c r="AH176">
        <v>1</v>
      </c>
      <c r="AK176">
        <v>3989.2</v>
      </c>
      <c r="AL176">
        <v>3989.2</v>
      </c>
      <c r="AM176">
        <v>3948.6</v>
      </c>
      <c r="AN176">
        <v>3948.6</v>
      </c>
      <c r="AO176">
        <v>201</v>
      </c>
      <c r="AU176">
        <v>201</v>
      </c>
      <c r="AV176">
        <v>720</v>
      </c>
      <c r="BB176">
        <v>720</v>
      </c>
      <c r="BC176">
        <v>1554</v>
      </c>
      <c r="BD176">
        <v>642</v>
      </c>
      <c r="BG176">
        <v>646</v>
      </c>
      <c r="BH176">
        <v>227</v>
      </c>
      <c r="BI176">
        <v>3069</v>
      </c>
      <c r="BP176">
        <v>0</v>
      </c>
      <c r="BW176">
        <v>0</v>
      </c>
      <c r="CD176">
        <v>0</v>
      </c>
      <c r="CE176">
        <v>2475</v>
      </c>
      <c r="CF176">
        <v>642</v>
      </c>
      <c r="CG176">
        <v>0</v>
      </c>
      <c r="CH176">
        <v>0</v>
      </c>
      <c r="CI176">
        <v>646</v>
      </c>
      <c r="CJ176">
        <v>227</v>
      </c>
      <c r="CK176">
        <v>3990</v>
      </c>
      <c r="CL176">
        <v>1</v>
      </c>
      <c r="CR176">
        <v>1</v>
      </c>
      <c r="CS176">
        <v>1</v>
      </c>
      <c r="CY176">
        <v>1</v>
      </c>
      <c r="CZ176">
        <v>3</v>
      </c>
      <c r="DA176">
        <v>5</v>
      </c>
      <c r="DD176">
        <v>2</v>
      </c>
      <c r="DE176">
        <v>2</v>
      </c>
      <c r="DF176">
        <v>12</v>
      </c>
      <c r="DM176">
        <v>0</v>
      </c>
      <c r="DT176">
        <v>0</v>
      </c>
      <c r="EA176">
        <v>0</v>
      </c>
      <c r="EB176">
        <v>5</v>
      </c>
      <c r="EC176">
        <v>5</v>
      </c>
      <c r="ED176">
        <v>0</v>
      </c>
      <c r="EE176">
        <v>0</v>
      </c>
      <c r="EF176">
        <v>2</v>
      </c>
      <c r="EG176">
        <v>2</v>
      </c>
      <c r="EH176">
        <v>14</v>
      </c>
      <c r="EI176" t="s">
        <v>405</v>
      </c>
      <c r="EJ176" t="s">
        <v>404</v>
      </c>
      <c r="EK176" t="s">
        <v>404</v>
      </c>
      <c r="EL176" t="s">
        <v>404</v>
      </c>
      <c r="EM176" t="s">
        <v>404</v>
      </c>
      <c r="EN176" t="s">
        <v>404</v>
      </c>
      <c r="EO176" t="s">
        <v>405</v>
      </c>
      <c r="EP176" t="s">
        <v>404</v>
      </c>
      <c r="EQ176" t="s">
        <v>404</v>
      </c>
      <c r="ER176" t="s">
        <v>404</v>
      </c>
      <c r="ES176" t="s">
        <v>404</v>
      </c>
      <c r="ET176" t="s">
        <v>404</v>
      </c>
      <c r="EU176" t="s">
        <v>405</v>
      </c>
      <c r="EV176" t="s">
        <v>405</v>
      </c>
      <c r="EW176" t="s">
        <v>404</v>
      </c>
      <c r="EX176" t="s">
        <v>404</v>
      </c>
      <c r="EY176" t="s">
        <v>405</v>
      </c>
      <c r="EZ176" t="s">
        <v>405</v>
      </c>
      <c r="FA176" t="s">
        <v>404</v>
      </c>
      <c r="FB176" t="s">
        <v>404</v>
      </c>
      <c r="FC176" t="s">
        <v>404</v>
      </c>
      <c r="FD176" t="s">
        <v>404</v>
      </c>
      <c r="FE176" t="s">
        <v>404</v>
      </c>
      <c r="FF176" t="s">
        <v>404</v>
      </c>
      <c r="FG176" t="s">
        <v>404</v>
      </c>
      <c r="FH176" t="s">
        <v>404</v>
      </c>
      <c r="FI176" t="s">
        <v>404</v>
      </c>
      <c r="FJ176" t="s">
        <v>404</v>
      </c>
      <c r="FK176" t="s">
        <v>404</v>
      </c>
      <c r="FL176" t="s">
        <v>404</v>
      </c>
      <c r="FM176" t="s">
        <v>404</v>
      </c>
      <c r="FN176" t="s">
        <v>404</v>
      </c>
      <c r="FO176" t="s">
        <v>404</v>
      </c>
      <c r="FP176" t="s">
        <v>404</v>
      </c>
      <c r="FQ176" t="s">
        <v>404</v>
      </c>
      <c r="FR176" t="s">
        <v>404</v>
      </c>
      <c r="FS176">
        <v>1630</v>
      </c>
      <c r="FT176">
        <v>547</v>
      </c>
      <c r="FW176">
        <v>646</v>
      </c>
      <c r="FX176">
        <v>77</v>
      </c>
      <c r="FY176">
        <v>2900</v>
      </c>
      <c r="FZ176">
        <v>70</v>
      </c>
      <c r="GF176">
        <v>70</v>
      </c>
      <c r="GG176">
        <v>610</v>
      </c>
      <c r="GH176">
        <v>95</v>
      </c>
      <c r="GM176">
        <v>705</v>
      </c>
      <c r="GT176">
        <v>0</v>
      </c>
      <c r="GU176">
        <v>60</v>
      </c>
      <c r="HA176">
        <v>60</v>
      </c>
      <c r="HH176">
        <v>0</v>
      </c>
      <c r="HO176">
        <v>0</v>
      </c>
      <c r="HP176" t="s">
        <v>1691</v>
      </c>
      <c r="HQ176">
        <v>105</v>
      </c>
      <c r="HV176">
        <v>150</v>
      </c>
      <c r="HW176">
        <v>255</v>
      </c>
      <c r="HX176">
        <v>2475</v>
      </c>
      <c r="HY176">
        <v>642</v>
      </c>
      <c r="HZ176">
        <v>0</v>
      </c>
      <c r="IA176">
        <v>0</v>
      </c>
      <c r="IB176">
        <v>646</v>
      </c>
      <c r="IC176">
        <v>227</v>
      </c>
      <c r="ID176">
        <v>3990</v>
      </c>
      <c r="IE176">
        <v>670</v>
      </c>
      <c r="IK176">
        <v>670</v>
      </c>
      <c r="IL176">
        <v>101</v>
      </c>
      <c r="IR176">
        <v>101</v>
      </c>
      <c r="IS176">
        <v>1703</v>
      </c>
      <c r="IT176">
        <v>642</v>
      </c>
      <c r="IW176">
        <v>646</v>
      </c>
      <c r="IX176">
        <v>227</v>
      </c>
      <c r="IY176">
        <v>3218</v>
      </c>
      <c r="JF176">
        <v>0</v>
      </c>
      <c r="JM176">
        <v>0</v>
      </c>
      <c r="JN176">
        <v>2474</v>
      </c>
      <c r="JO176">
        <v>642</v>
      </c>
      <c r="JP176">
        <v>0</v>
      </c>
      <c r="JQ176">
        <v>0</v>
      </c>
      <c r="JR176">
        <v>646</v>
      </c>
      <c r="JS176">
        <v>227</v>
      </c>
      <c r="JT176">
        <v>3989</v>
      </c>
      <c r="JV176">
        <v>50</v>
      </c>
      <c r="JW176">
        <v>50</v>
      </c>
      <c r="JZ176">
        <v>1</v>
      </c>
      <c r="KA176">
        <v>1</v>
      </c>
      <c r="KB176">
        <v>1</v>
      </c>
      <c r="KC176" t="s">
        <v>407</v>
      </c>
      <c r="KD176">
        <v>46</v>
      </c>
      <c r="KJ176">
        <v>46</v>
      </c>
      <c r="KK176">
        <v>50</v>
      </c>
      <c r="KQ176">
        <v>50</v>
      </c>
      <c r="KX176">
        <v>0</v>
      </c>
      <c r="LE176">
        <v>0</v>
      </c>
      <c r="LF176">
        <v>5</v>
      </c>
      <c r="LL176">
        <v>5</v>
      </c>
      <c r="LS176">
        <v>0</v>
      </c>
      <c r="LZ176">
        <v>0</v>
      </c>
      <c r="MA176" t="s">
        <v>1692</v>
      </c>
      <c r="MB176">
        <v>100</v>
      </c>
      <c r="MH176">
        <v>100</v>
      </c>
      <c r="MI176">
        <v>201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201</v>
      </c>
      <c r="MP176">
        <v>101</v>
      </c>
      <c r="MV176">
        <v>101</v>
      </c>
      <c r="MW176">
        <v>50</v>
      </c>
      <c r="NC176">
        <v>50</v>
      </c>
      <c r="ND176">
        <v>50</v>
      </c>
      <c r="NJ176">
        <v>50</v>
      </c>
      <c r="NQ176">
        <v>0</v>
      </c>
      <c r="NX176">
        <v>0</v>
      </c>
      <c r="NY176">
        <v>201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201</v>
      </c>
      <c r="OF176" t="s">
        <v>408</v>
      </c>
      <c r="OG176">
        <v>110</v>
      </c>
      <c r="OM176">
        <v>110</v>
      </c>
      <c r="OT176">
        <v>0</v>
      </c>
      <c r="OU176">
        <v>610</v>
      </c>
      <c r="PA176">
        <v>610</v>
      </c>
      <c r="PH176">
        <v>0</v>
      </c>
      <c r="PO176">
        <v>0</v>
      </c>
      <c r="PV176">
        <v>0</v>
      </c>
      <c r="QC176">
        <v>0</v>
      </c>
      <c r="QK176">
        <v>0</v>
      </c>
      <c r="QL176">
        <v>720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720</v>
      </c>
      <c r="QY176">
        <v>0</v>
      </c>
      <c r="QZ176">
        <v>610</v>
      </c>
      <c r="RF176">
        <v>610</v>
      </c>
      <c r="RG176">
        <v>110</v>
      </c>
      <c r="RM176">
        <v>110</v>
      </c>
      <c r="RT176">
        <v>0</v>
      </c>
      <c r="SA176">
        <v>0</v>
      </c>
      <c r="SB176">
        <v>720</v>
      </c>
      <c r="SC176">
        <v>0</v>
      </c>
      <c r="SD176">
        <v>0</v>
      </c>
      <c r="SE176">
        <v>0</v>
      </c>
      <c r="SF176">
        <v>0</v>
      </c>
      <c r="SG176">
        <v>0</v>
      </c>
      <c r="SH176">
        <v>720</v>
      </c>
      <c r="SI176" t="s">
        <v>409</v>
      </c>
      <c r="SJ176">
        <v>1474</v>
      </c>
      <c r="SK176">
        <v>547</v>
      </c>
      <c r="SN176">
        <v>646</v>
      </c>
      <c r="SO176">
        <v>77</v>
      </c>
      <c r="SP176">
        <v>2744</v>
      </c>
      <c r="SQ176">
        <v>20</v>
      </c>
      <c r="SW176">
        <v>20</v>
      </c>
      <c r="SY176">
        <v>95</v>
      </c>
      <c r="TD176">
        <v>95</v>
      </c>
      <c r="TK176">
        <v>0</v>
      </c>
      <c r="TL176">
        <v>55</v>
      </c>
      <c r="TR176">
        <v>55</v>
      </c>
      <c r="TY176">
        <v>0</v>
      </c>
      <c r="UF176">
        <v>0</v>
      </c>
      <c r="UG176" t="s">
        <v>1692</v>
      </c>
      <c r="UH176">
        <v>5</v>
      </c>
      <c r="UM176">
        <v>150</v>
      </c>
      <c r="UN176">
        <v>155</v>
      </c>
      <c r="UO176">
        <v>1554</v>
      </c>
      <c r="UP176">
        <v>642</v>
      </c>
      <c r="UQ176">
        <v>0</v>
      </c>
      <c r="UR176">
        <v>0</v>
      </c>
      <c r="US176">
        <v>646</v>
      </c>
      <c r="UT176">
        <v>227</v>
      </c>
      <c r="UU176">
        <v>3069</v>
      </c>
      <c r="VB176">
        <v>0</v>
      </c>
      <c r="VC176">
        <v>10</v>
      </c>
      <c r="VI176">
        <v>10</v>
      </c>
      <c r="VJ176">
        <v>1544</v>
      </c>
      <c r="VK176">
        <v>642</v>
      </c>
      <c r="VN176">
        <v>646</v>
      </c>
      <c r="VO176">
        <v>227</v>
      </c>
      <c r="VP176">
        <v>3059</v>
      </c>
      <c r="VW176">
        <v>0</v>
      </c>
      <c r="WD176">
        <v>0</v>
      </c>
      <c r="WE176">
        <v>1554</v>
      </c>
      <c r="WF176">
        <v>642</v>
      </c>
      <c r="WG176">
        <v>0</v>
      </c>
      <c r="WH176">
        <v>0</v>
      </c>
      <c r="WI176">
        <v>646</v>
      </c>
      <c r="WJ176">
        <v>227</v>
      </c>
      <c r="WK176">
        <v>3069</v>
      </c>
      <c r="WL176" t="s">
        <v>410</v>
      </c>
      <c r="AAO176" t="s">
        <v>411</v>
      </c>
      <c r="AER176" t="s">
        <v>412</v>
      </c>
    </row>
    <row r="177" spans="1:824" x14ac:dyDescent="0.2">
      <c r="A177" t="s">
        <v>1693</v>
      </c>
      <c r="B177" t="s">
        <v>414</v>
      </c>
      <c r="C177" t="s">
        <v>1694</v>
      </c>
      <c r="P177" t="b">
        <v>0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>
        <v>667</v>
      </c>
      <c r="W177" s="3">
        <v>43507.175694444442</v>
      </c>
      <c r="X177" t="s">
        <v>1695</v>
      </c>
      <c r="Y177">
        <v>2019</v>
      </c>
      <c r="Z177" t="s">
        <v>1696</v>
      </c>
      <c r="AA177" t="s">
        <v>1697</v>
      </c>
      <c r="AB177" t="s">
        <v>1698</v>
      </c>
      <c r="AC177" t="s">
        <v>1699</v>
      </c>
      <c r="AD177">
        <v>61457006893</v>
      </c>
      <c r="AE177" t="s">
        <v>420</v>
      </c>
      <c r="AF177" t="s">
        <v>421</v>
      </c>
      <c r="AH177">
        <v>1</v>
      </c>
      <c r="AK177">
        <v>650</v>
      </c>
      <c r="AL177">
        <v>650</v>
      </c>
      <c r="AM177">
        <v>575</v>
      </c>
      <c r="AN177">
        <v>575</v>
      </c>
      <c r="AO177">
        <v>650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650</v>
      </c>
      <c r="BB177">
        <v>0</v>
      </c>
      <c r="BI177">
        <v>0</v>
      </c>
      <c r="BP177">
        <v>0</v>
      </c>
      <c r="BW177">
        <v>0</v>
      </c>
      <c r="CD177">
        <v>0</v>
      </c>
      <c r="CE177">
        <v>650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650</v>
      </c>
      <c r="CL177">
        <v>2</v>
      </c>
      <c r="CR177">
        <v>2</v>
      </c>
      <c r="CY177">
        <v>0</v>
      </c>
      <c r="DF177">
        <v>0</v>
      </c>
      <c r="DM177">
        <v>0</v>
      </c>
      <c r="DT177">
        <v>0</v>
      </c>
      <c r="EA177">
        <v>0</v>
      </c>
      <c r="EB177">
        <v>2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2</v>
      </c>
      <c r="EI177" t="s">
        <v>405</v>
      </c>
      <c r="EJ177" t="s">
        <v>404</v>
      </c>
      <c r="EK177" t="s">
        <v>404</v>
      </c>
      <c r="EL177" t="s">
        <v>404</v>
      </c>
      <c r="EM177" t="s">
        <v>404</v>
      </c>
      <c r="EN177" t="s">
        <v>404</v>
      </c>
      <c r="EO177" t="s">
        <v>404</v>
      </c>
      <c r="EP177" t="s">
        <v>404</v>
      </c>
      <c r="EQ177" t="s">
        <v>404</v>
      </c>
      <c r="ER177" t="s">
        <v>404</v>
      </c>
      <c r="ES177" t="s">
        <v>404</v>
      </c>
      <c r="ET177" t="s">
        <v>404</v>
      </c>
      <c r="EU177" t="s">
        <v>404</v>
      </c>
      <c r="EV177" t="s">
        <v>404</v>
      </c>
      <c r="EW177" t="s">
        <v>404</v>
      </c>
      <c r="EX177" t="s">
        <v>404</v>
      </c>
      <c r="EY177" t="s">
        <v>404</v>
      </c>
      <c r="EZ177" t="s">
        <v>404</v>
      </c>
      <c r="FA177" t="s">
        <v>404</v>
      </c>
      <c r="FB177" t="s">
        <v>404</v>
      </c>
      <c r="FC177" t="s">
        <v>404</v>
      </c>
      <c r="FD177" t="s">
        <v>404</v>
      </c>
      <c r="FE177" t="s">
        <v>404</v>
      </c>
      <c r="FF177" t="s">
        <v>404</v>
      </c>
      <c r="FG177" t="s">
        <v>404</v>
      </c>
      <c r="FH177" t="s">
        <v>404</v>
      </c>
      <c r="FI177" t="s">
        <v>404</v>
      </c>
      <c r="FJ177" t="s">
        <v>404</v>
      </c>
      <c r="FK177" t="s">
        <v>404</v>
      </c>
      <c r="FL177" t="s">
        <v>404</v>
      </c>
      <c r="FM177" t="s">
        <v>404</v>
      </c>
      <c r="FN177" t="s">
        <v>404</v>
      </c>
      <c r="FO177" t="s">
        <v>404</v>
      </c>
      <c r="FP177" t="s">
        <v>404</v>
      </c>
      <c r="FQ177" t="s">
        <v>404</v>
      </c>
      <c r="FR177" t="s">
        <v>404</v>
      </c>
      <c r="FS177">
        <v>650</v>
      </c>
      <c r="FY177">
        <v>650</v>
      </c>
      <c r="GF177">
        <v>0</v>
      </c>
      <c r="GM177">
        <v>0</v>
      </c>
      <c r="GT177">
        <v>0</v>
      </c>
      <c r="HA177">
        <v>0</v>
      </c>
      <c r="HH177">
        <v>0</v>
      </c>
      <c r="HO177">
        <v>0</v>
      </c>
      <c r="HW177">
        <v>0</v>
      </c>
      <c r="HX177">
        <v>650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650</v>
      </c>
      <c r="IE177">
        <v>650</v>
      </c>
      <c r="IK177">
        <v>650</v>
      </c>
      <c r="IR177">
        <v>0</v>
      </c>
      <c r="IY177">
        <v>0</v>
      </c>
      <c r="JF177">
        <v>0</v>
      </c>
      <c r="JM177">
        <v>0</v>
      </c>
      <c r="JN177">
        <v>650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650</v>
      </c>
      <c r="JW177">
        <v>100</v>
      </c>
      <c r="JZ177">
        <v>1</v>
      </c>
      <c r="KA177">
        <v>2</v>
      </c>
      <c r="KB177">
        <v>1</v>
      </c>
      <c r="KC177" t="s">
        <v>407</v>
      </c>
      <c r="OF177" t="s">
        <v>408</v>
      </c>
      <c r="SI177" t="s">
        <v>409</v>
      </c>
      <c r="WL177" t="s">
        <v>410</v>
      </c>
      <c r="AAO177" t="s">
        <v>411</v>
      </c>
      <c r="AER177" t="s">
        <v>412</v>
      </c>
    </row>
    <row r="178" spans="1:824" x14ac:dyDescent="0.2">
      <c r="A178" t="s">
        <v>1700</v>
      </c>
      <c r="B178" t="s">
        <v>396</v>
      </c>
      <c r="C178" t="s">
        <v>1701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>
        <v>688</v>
      </c>
      <c r="W178" s="3">
        <v>43509.409722222219</v>
      </c>
      <c r="X178" t="s">
        <v>1702</v>
      </c>
      <c r="Y178">
        <v>2019</v>
      </c>
      <c r="Z178" t="s">
        <v>1703</v>
      </c>
      <c r="AA178" t="s">
        <v>1701</v>
      </c>
      <c r="AB178" t="s">
        <v>1704</v>
      </c>
      <c r="AC178" t="s">
        <v>1705</v>
      </c>
      <c r="AD178">
        <v>46708196839</v>
      </c>
      <c r="AE178" t="s">
        <v>452</v>
      </c>
      <c r="AF178" t="s">
        <v>403</v>
      </c>
      <c r="AH178">
        <v>1</v>
      </c>
      <c r="AK178">
        <v>973</v>
      </c>
      <c r="AL178">
        <v>973</v>
      </c>
      <c r="AM178">
        <v>10</v>
      </c>
      <c r="AN178">
        <v>10</v>
      </c>
      <c r="AU178">
        <v>0</v>
      </c>
      <c r="AV178">
        <v>973</v>
      </c>
      <c r="BB178">
        <v>973</v>
      </c>
      <c r="BI178">
        <v>0</v>
      </c>
      <c r="BP178">
        <v>0</v>
      </c>
      <c r="BW178">
        <v>0</v>
      </c>
      <c r="CD178">
        <v>0</v>
      </c>
      <c r="CE178">
        <v>973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973</v>
      </c>
      <c r="CR178">
        <v>0</v>
      </c>
      <c r="CS178">
        <v>2</v>
      </c>
      <c r="CY178">
        <v>2</v>
      </c>
      <c r="DF178">
        <v>0</v>
      </c>
      <c r="DM178">
        <v>0</v>
      </c>
      <c r="DT178">
        <v>0</v>
      </c>
      <c r="EA178">
        <v>0</v>
      </c>
      <c r="EB178">
        <v>2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2</v>
      </c>
      <c r="EI178" t="s">
        <v>404</v>
      </c>
      <c r="EJ178" t="s">
        <v>404</v>
      </c>
      <c r="EK178" t="s">
        <v>404</v>
      </c>
      <c r="EL178" t="s">
        <v>404</v>
      </c>
      <c r="EM178" t="s">
        <v>404</v>
      </c>
      <c r="EN178" t="s">
        <v>404</v>
      </c>
      <c r="EO178" t="s">
        <v>405</v>
      </c>
      <c r="EP178" t="s">
        <v>404</v>
      </c>
      <c r="EQ178" t="s">
        <v>404</v>
      </c>
      <c r="ER178" t="s">
        <v>404</v>
      </c>
      <c r="ES178" t="s">
        <v>404</v>
      </c>
      <c r="ET178" t="s">
        <v>404</v>
      </c>
      <c r="EU178" t="s">
        <v>404</v>
      </c>
      <c r="EV178" t="s">
        <v>404</v>
      </c>
      <c r="EW178" t="s">
        <v>404</v>
      </c>
      <c r="EX178" t="s">
        <v>404</v>
      </c>
      <c r="EY178" t="s">
        <v>404</v>
      </c>
      <c r="EZ178" t="s">
        <v>404</v>
      </c>
      <c r="FA178" t="s">
        <v>404</v>
      </c>
      <c r="FB178" t="s">
        <v>404</v>
      </c>
      <c r="FC178" t="s">
        <v>404</v>
      </c>
      <c r="FD178" t="s">
        <v>404</v>
      </c>
      <c r="FE178" t="s">
        <v>404</v>
      </c>
      <c r="FF178" t="s">
        <v>404</v>
      </c>
      <c r="FG178" t="s">
        <v>404</v>
      </c>
      <c r="FH178" t="s">
        <v>404</v>
      </c>
      <c r="FI178" t="s">
        <v>404</v>
      </c>
      <c r="FJ178" t="s">
        <v>404</v>
      </c>
      <c r="FK178" t="s">
        <v>404</v>
      </c>
      <c r="FL178" t="s">
        <v>404</v>
      </c>
      <c r="FM178" t="s">
        <v>404</v>
      </c>
      <c r="FN178" t="s">
        <v>404</v>
      </c>
      <c r="FO178" t="s">
        <v>404</v>
      </c>
      <c r="FP178" t="s">
        <v>404</v>
      </c>
      <c r="FQ178" t="s">
        <v>404</v>
      </c>
      <c r="FR178" t="s">
        <v>404</v>
      </c>
      <c r="FS178">
        <v>618</v>
      </c>
      <c r="FY178">
        <v>618</v>
      </c>
      <c r="FZ178">
        <v>5</v>
      </c>
      <c r="GF178">
        <v>5</v>
      </c>
      <c r="GG178">
        <v>180</v>
      </c>
      <c r="GM178">
        <v>180</v>
      </c>
      <c r="GT178">
        <v>0</v>
      </c>
      <c r="GU178">
        <v>50</v>
      </c>
      <c r="HA178">
        <v>50</v>
      </c>
      <c r="HB178">
        <v>69</v>
      </c>
      <c r="HH178">
        <v>69</v>
      </c>
      <c r="HI178">
        <v>41</v>
      </c>
      <c r="HO178">
        <v>41</v>
      </c>
      <c r="HP178" t="s">
        <v>1706</v>
      </c>
      <c r="HQ178">
        <v>10</v>
      </c>
      <c r="HW178">
        <v>10</v>
      </c>
      <c r="HX178">
        <v>973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973</v>
      </c>
      <c r="IE178">
        <v>229</v>
      </c>
      <c r="IK178">
        <v>229</v>
      </c>
      <c r="IL178">
        <v>93</v>
      </c>
      <c r="IR178">
        <v>93</v>
      </c>
      <c r="IS178">
        <v>651</v>
      </c>
      <c r="IY178">
        <v>651</v>
      </c>
      <c r="JF178">
        <v>0</v>
      </c>
      <c r="JM178">
        <v>0</v>
      </c>
      <c r="JN178">
        <v>973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973</v>
      </c>
      <c r="JU178">
        <v>0</v>
      </c>
      <c r="JV178">
        <v>30</v>
      </c>
      <c r="JW178">
        <v>70</v>
      </c>
      <c r="KB178">
        <v>2</v>
      </c>
      <c r="KC178" t="s">
        <v>407</v>
      </c>
      <c r="OF178" t="s">
        <v>408</v>
      </c>
      <c r="SI178" t="s">
        <v>409</v>
      </c>
      <c r="WL178" t="s">
        <v>410</v>
      </c>
      <c r="AAO178" t="s">
        <v>411</v>
      </c>
      <c r="AER178" t="s">
        <v>412</v>
      </c>
    </row>
    <row r="179" spans="1:824" x14ac:dyDescent="0.2">
      <c r="A179" t="s">
        <v>1707</v>
      </c>
      <c r="B179" t="s">
        <v>396</v>
      </c>
      <c r="C179" t="s">
        <v>1708</v>
      </c>
      <c r="P179" t="b">
        <v>0</v>
      </c>
      <c r="Q179" t="b">
        <v>0</v>
      </c>
      <c r="R179" t="b">
        <v>1</v>
      </c>
      <c r="S179" t="b">
        <v>0</v>
      </c>
      <c r="T179" t="b">
        <v>0</v>
      </c>
      <c r="U179" t="b">
        <v>0</v>
      </c>
      <c r="V179">
        <v>573</v>
      </c>
      <c r="W179" s="3">
        <v>43509.6875</v>
      </c>
      <c r="X179" t="s">
        <v>1709</v>
      </c>
      <c r="Y179">
        <v>2019</v>
      </c>
      <c r="Z179" t="s">
        <v>1710</v>
      </c>
      <c r="AA179" t="s">
        <v>1708</v>
      </c>
      <c r="AB179" t="s">
        <v>1711</v>
      </c>
      <c r="AC179" t="s">
        <v>1712</v>
      </c>
      <c r="AD179">
        <v>2146618200</v>
      </c>
      <c r="AE179" t="s">
        <v>571</v>
      </c>
      <c r="AF179" t="s">
        <v>538</v>
      </c>
      <c r="AH179">
        <v>1</v>
      </c>
      <c r="AK179">
        <v>759.2</v>
      </c>
      <c r="AL179">
        <v>759.2</v>
      </c>
      <c r="AM179">
        <v>225.3</v>
      </c>
      <c r="AN179">
        <v>225.3</v>
      </c>
      <c r="AU179">
        <v>0</v>
      </c>
      <c r="BB179">
        <v>0</v>
      </c>
      <c r="BC179">
        <v>759.2</v>
      </c>
      <c r="BI179">
        <v>759.2</v>
      </c>
      <c r="BP179">
        <v>0</v>
      </c>
      <c r="BW179">
        <v>0</v>
      </c>
      <c r="CD179">
        <v>0</v>
      </c>
      <c r="CE179">
        <v>759.2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759.2</v>
      </c>
      <c r="CR179">
        <v>0</v>
      </c>
      <c r="CY179">
        <v>0</v>
      </c>
      <c r="CZ179">
        <v>3</v>
      </c>
      <c r="DF179">
        <v>3</v>
      </c>
      <c r="DM179">
        <v>0</v>
      </c>
      <c r="DT179">
        <v>0</v>
      </c>
      <c r="EA179">
        <v>0</v>
      </c>
      <c r="EB179">
        <v>3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3</v>
      </c>
      <c r="EI179" t="s">
        <v>404</v>
      </c>
      <c r="EJ179" t="s">
        <v>404</v>
      </c>
      <c r="EK179" t="s">
        <v>404</v>
      </c>
      <c r="EL179" t="s">
        <v>404</v>
      </c>
      <c r="EM179" t="s">
        <v>404</v>
      </c>
      <c r="EN179" t="s">
        <v>404</v>
      </c>
      <c r="EO179" t="s">
        <v>404</v>
      </c>
      <c r="EP179" t="s">
        <v>404</v>
      </c>
      <c r="EQ179" t="s">
        <v>404</v>
      </c>
      <c r="ER179" t="s">
        <v>404</v>
      </c>
      <c r="ES179" t="s">
        <v>404</v>
      </c>
      <c r="ET179" t="s">
        <v>404</v>
      </c>
      <c r="EU179" t="s">
        <v>405</v>
      </c>
      <c r="EV179" t="s">
        <v>404</v>
      </c>
      <c r="EW179" t="s">
        <v>404</v>
      </c>
      <c r="EX179" t="s">
        <v>404</v>
      </c>
      <c r="EY179" t="s">
        <v>404</v>
      </c>
      <c r="EZ179" t="s">
        <v>404</v>
      </c>
      <c r="FA179" t="s">
        <v>404</v>
      </c>
      <c r="FB179" t="s">
        <v>404</v>
      </c>
      <c r="FC179" t="s">
        <v>404</v>
      </c>
      <c r="FD179" t="s">
        <v>404</v>
      </c>
      <c r="FE179" t="s">
        <v>404</v>
      </c>
      <c r="FF179" t="s">
        <v>404</v>
      </c>
      <c r="FG179" t="s">
        <v>404</v>
      </c>
      <c r="FH179" t="s">
        <v>404</v>
      </c>
      <c r="FI179" t="s">
        <v>404</v>
      </c>
      <c r="FJ179" t="s">
        <v>404</v>
      </c>
      <c r="FK179" t="s">
        <v>404</v>
      </c>
      <c r="FL179" t="s">
        <v>404</v>
      </c>
      <c r="FM179" t="s">
        <v>404</v>
      </c>
      <c r="FN179" t="s">
        <v>404</v>
      </c>
      <c r="FO179" t="s">
        <v>404</v>
      </c>
      <c r="FP179" t="s">
        <v>404</v>
      </c>
      <c r="FQ179" t="s">
        <v>404</v>
      </c>
      <c r="FR179" t="s">
        <v>404</v>
      </c>
      <c r="FS179">
        <v>291.5</v>
      </c>
      <c r="FY179">
        <v>291.5</v>
      </c>
      <c r="FZ179">
        <v>90</v>
      </c>
      <c r="GF179">
        <v>90</v>
      </c>
      <c r="GG179">
        <v>200</v>
      </c>
      <c r="GM179">
        <v>200</v>
      </c>
      <c r="GT179">
        <v>0</v>
      </c>
      <c r="GU179">
        <v>121.8</v>
      </c>
      <c r="HA179">
        <v>121.8</v>
      </c>
      <c r="HH179">
        <v>0</v>
      </c>
      <c r="HI179">
        <v>55.9</v>
      </c>
      <c r="HO179">
        <v>55.9</v>
      </c>
      <c r="HW179">
        <v>0</v>
      </c>
      <c r="HX179">
        <v>759.2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759.2</v>
      </c>
      <c r="IK179">
        <v>0</v>
      </c>
      <c r="IR179">
        <v>0</v>
      </c>
      <c r="IS179">
        <v>759.2</v>
      </c>
      <c r="IY179">
        <v>759.2</v>
      </c>
      <c r="JF179">
        <v>0</v>
      </c>
      <c r="JM179">
        <v>0</v>
      </c>
      <c r="JN179">
        <v>759.2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759.2</v>
      </c>
      <c r="JU179">
        <v>52.8</v>
      </c>
      <c r="JW179">
        <v>47.2</v>
      </c>
      <c r="JZ179">
        <v>1</v>
      </c>
      <c r="KA179">
        <v>1</v>
      </c>
      <c r="KB179">
        <v>1</v>
      </c>
      <c r="KC179" t="s">
        <v>407</v>
      </c>
      <c r="OF179" t="s">
        <v>408</v>
      </c>
      <c r="SI179" t="s">
        <v>409</v>
      </c>
      <c r="WL179" t="s">
        <v>410</v>
      </c>
      <c r="AAO179" t="s">
        <v>411</v>
      </c>
      <c r="AER179" t="s">
        <v>412</v>
      </c>
    </row>
    <row r="180" spans="1:824" x14ac:dyDescent="0.2">
      <c r="A180" t="s">
        <v>1713</v>
      </c>
      <c r="B180" t="s">
        <v>563</v>
      </c>
      <c r="C180" t="s">
        <v>1714</v>
      </c>
      <c r="D180" t="s">
        <v>697</v>
      </c>
      <c r="E180" s="3">
        <v>43517.605555555558</v>
      </c>
      <c r="H180" t="s">
        <v>502</v>
      </c>
      <c r="I180" s="3">
        <v>43517.604861111111</v>
      </c>
      <c r="P180" t="b">
        <v>0</v>
      </c>
      <c r="Q180" t="b">
        <v>1</v>
      </c>
      <c r="R180" t="b">
        <v>1</v>
      </c>
      <c r="S180" t="b">
        <v>0</v>
      </c>
      <c r="T180" t="b">
        <v>0</v>
      </c>
      <c r="U180" t="b">
        <v>0</v>
      </c>
      <c r="V180">
        <v>717</v>
      </c>
      <c r="W180" s="3">
        <v>43517.597222222219</v>
      </c>
      <c r="X180" t="s">
        <v>1715</v>
      </c>
      <c r="Y180">
        <v>2019</v>
      </c>
      <c r="Z180" t="s">
        <v>1716</v>
      </c>
      <c r="AA180" t="s">
        <v>1714</v>
      </c>
      <c r="AB180" t="s">
        <v>1172</v>
      </c>
      <c r="AC180" t="s">
        <v>1717</v>
      </c>
      <c r="AD180" t="s">
        <v>1718</v>
      </c>
      <c r="AE180" t="s">
        <v>571</v>
      </c>
      <c r="AF180" t="s">
        <v>538</v>
      </c>
      <c r="AH180">
        <v>1</v>
      </c>
      <c r="AK180">
        <v>450</v>
      </c>
      <c r="AL180">
        <v>450</v>
      </c>
      <c r="AM180">
        <v>300</v>
      </c>
      <c r="AN180">
        <v>300</v>
      </c>
      <c r="AP180">
        <v>142</v>
      </c>
      <c r="AU180">
        <v>142</v>
      </c>
      <c r="BB180">
        <v>0</v>
      </c>
      <c r="BC180">
        <v>130</v>
      </c>
      <c r="BD180">
        <v>178</v>
      </c>
      <c r="BI180">
        <v>308</v>
      </c>
      <c r="BP180">
        <v>0</v>
      </c>
      <c r="BW180">
        <v>0</v>
      </c>
      <c r="CD180">
        <v>0</v>
      </c>
      <c r="CE180">
        <v>130</v>
      </c>
      <c r="CF180">
        <v>320</v>
      </c>
      <c r="CG180">
        <v>0</v>
      </c>
      <c r="CH180">
        <v>0</v>
      </c>
      <c r="CI180">
        <v>0</v>
      </c>
      <c r="CJ180">
        <v>0</v>
      </c>
      <c r="CK180">
        <v>450</v>
      </c>
      <c r="CM180">
        <v>1</v>
      </c>
      <c r="CR180">
        <v>1</v>
      </c>
      <c r="CY180">
        <v>0</v>
      </c>
      <c r="CZ180">
        <v>2</v>
      </c>
      <c r="DA180">
        <v>4</v>
      </c>
      <c r="DF180">
        <v>6</v>
      </c>
      <c r="DM180">
        <v>0</v>
      </c>
      <c r="DT180">
        <v>0</v>
      </c>
      <c r="EA180">
        <v>0</v>
      </c>
      <c r="EB180">
        <v>2</v>
      </c>
      <c r="EC180">
        <v>5</v>
      </c>
      <c r="ED180">
        <v>0</v>
      </c>
      <c r="EE180">
        <v>0</v>
      </c>
      <c r="EF180">
        <v>0</v>
      </c>
      <c r="EG180">
        <v>0</v>
      </c>
      <c r="EH180">
        <v>7</v>
      </c>
      <c r="EI180" t="s">
        <v>404</v>
      </c>
      <c r="EJ180" t="s">
        <v>405</v>
      </c>
      <c r="EK180" t="s">
        <v>404</v>
      </c>
      <c r="EL180" t="s">
        <v>404</v>
      </c>
      <c r="EM180" t="s">
        <v>404</v>
      </c>
      <c r="EN180" t="s">
        <v>404</v>
      </c>
      <c r="EO180" t="s">
        <v>404</v>
      </c>
      <c r="EP180" t="s">
        <v>404</v>
      </c>
      <c r="EQ180" t="s">
        <v>404</v>
      </c>
      <c r="ER180" t="s">
        <v>404</v>
      </c>
      <c r="ES180" t="s">
        <v>404</v>
      </c>
      <c r="ET180" t="s">
        <v>404</v>
      </c>
      <c r="EU180" t="s">
        <v>405</v>
      </c>
      <c r="EV180" t="s">
        <v>405</v>
      </c>
      <c r="EW180" t="s">
        <v>404</v>
      </c>
      <c r="EX180" t="s">
        <v>404</v>
      </c>
      <c r="EY180" t="s">
        <v>404</v>
      </c>
      <c r="EZ180" t="s">
        <v>404</v>
      </c>
      <c r="FA180" t="s">
        <v>404</v>
      </c>
      <c r="FB180" t="s">
        <v>404</v>
      </c>
      <c r="FC180" t="s">
        <v>404</v>
      </c>
      <c r="FD180" t="s">
        <v>404</v>
      </c>
      <c r="FE180" t="s">
        <v>404</v>
      </c>
      <c r="FF180" t="s">
        <v>404</v>
      </c>
      <c r="FG180" t="s">
        <v>404</v>
      </c>
      <c r="FH180" t="s">
        <v>404</v>
      </c>
      <c r="FI180" t="s">
        <v>404</v>
      </c>
      <c r="FJ180" t="s">
        <v>404</v>
      </c>
      <c r="FK180" t="s">
        <v>404</v>
      </c>
      <c r="FL180" t="s">
        <v>404</v>
      </c>
      <c r="FM180" t="s">
        <v>404</v>
      </c>
      <c r="FN180" t="s">
        <v>404</v>
      </c>
      <c r="FO180" t="s">
        <v>404</v>
      </c>
      <c r="FP180" t="s">
        <v>404</v>
      </c>
      <c r="FQ180" t="s">
        <v>404</v>
      </c>
      <c r="FR180" t="s">
        <v>404</v>
      </c>
      <c r="FS180">
        <v>59</v>
      </c>
      <c r="FT180">
        <v>39</v>
      </c>
      <c r="FY180">
        <v>98</v>
      </c>
      <c r="FZ180">
        <v>30</v>
      </c>
      <c r="GF180">
        <v>30</v>
      </c>
      <c r="GM180">
        <v>0</v>
      </c>
      <c r="GN180">
        <v>2</v>
      </c>
      <c r="GO180">
        <v>186</v>
      </c>
      <c r="GT180">
        <v>188</v>
      </c>
      <c r="HA180">
        <v>0</v>
      </c>
      <c r="HB180">
        <v>18</v>
      </c>
      <c r="HH180">
        <v>18</v>
      </c>
      <c r="HI180">
        <v>20</v>
      </c>
      <c r="HO180">
        <v>20</v>
      </c>
      <c r="HQ180">
        <v>1</v>
      </c>
      <c r="HR180">
        <v>95</v>
      </c>
      <c r="HW180">
        <v>96</v>
      </c>
      <c r="HX180">
        <v>130</v>
      </c>
      <c r="HY180">
        <v>320</v>
      </c>
      <c r="HZ180">
        <v>0</v>
      </c>
      <c r="IA180">
        <v>0</v>
      </c>
      <c r="IB180">
        <v>0</v>
      </c>
      <c r="IC180">
        <v>0</v>
      </c>
      <c r="ID180">
        <v>450</v>
      </c>
      <c r="IF180">
        <v>138</v>
      </c>
      <c r="IK180">
        <v>138</v>
      </c>
      <c r="IL180">
        <v>57</v>
      </c>
      <c r="IM180">
        <v>142</v>
      </c>
      <c r="IR180">
        <v>199</v>
      </c>
      <c r="IS180">
        <v>74</v>
      </c>
      <c r="IT180">
        <v>39</v>
      </c>
      <c r="IY180">
        <v>113</v>
      </c>
      <c r="JF180">
        <v>0</v>
      </c>
      <c r="JM180">
        <v>0</v>
      </c>
      <c r="JN180">
        <v>131</v>
      </c>
      <c r="JO180">
        <v>319</v>
      </c>
      <c r="JP180">
        <v>0</v>
      </c>
      <c r="JQ180">
        <v>0</v>
      </c>
      <c r="JR180">
        <v>0</v>
      </c>
      <c r="JS180">
        <v>0</v>
      </c>
      <c r="JT180">
        <v>450</v>
      </c>
      <c r="JW180">
        <v>100</v>
      </c>
      <c r="KB180">
        <v>1</v>
      </c>
      <c r="KC180" t="s">
        <v>407</v>
      </c>
      <c r="KE180">
        <v>142</v>
      </c>
      <c r="KJ180">
        <v>142</v>
      </c>
      <c r="KQ180">
        <v>0</v>
      </c>
      <c r="KX180">
        <v>0</v>
      </c>
      <c r="LE180">
        <v>0</v>
      </c>
      <c r="LL180">
        <v>0</v>
      </c>
      <c r="LS180">
        <v>0</v>
      </c>
      <c r="LZ180">
        <v>0</v>
      </c>
      <c r="MH180">
        <v>0</v>
      </c>
      <c r="MI180">
        <v>0</v>
      </c>
      <c r="MJ180">
        <v>142</v>
      </c>
      <c r="MK180">
        <v>0</v>
      </c>
      <c r="ML180">
        <v>0</v>
      </c>
      <c r="MM180">
        <v>0</v>
      </c>
      <c r="MN180">
        <v>0</v>
      </c>
      <c r="MO180">
        <v>142</v>
      </c>
      <c r="MV180">
        <v>0</v>
      </c>
      <c r="MX180">
        <v>142</v>
      </c>
      <c r="NC180">
        <v>142</v>
      </c>
      <c r="NJ180">
        <v>0</v>
      </c>
      <c r="NQ180">
        <v>0</v>
      </c>
      <c r="NX180">
        <v>0</v>
      </c>
      <c r="NY180">
        <v>0</v>
      </c>
      <c r="NZ180">
        <v>142</v>
      </c>
      <c r="OA180">
        <v>0</v>
      </c>
      <c r="OB180">
        <v>0</v>
      </c>
      <c r="OC180">
        <v>0</v>
      </c>
      <c r="OD180">
        <v>0</v>
      </c>
      <c r="OE180">
        <v>142</v>
      </c>
      <c r="OF180" t="s">
        <v>408</v>
      </c>
      <c r="SI180" t="s">
        <v>409</v>
      </c>
      <c r="SJ180">
        <v>59</v>
      </c>
      <c r="SK180">
        <v>39</v>
      </c>
      <c r="SP180">
        <v>98</v>
      </c>
      <c r="SQ180">
        <v>30</v>
      </c>
      <c r="SW180">
        <v>30</v>
      </c>
      <c r="TD180">
        <v>0</v>
      </c>
      <c r="TE180">
        <v>2</v>
      </c>
      <c r="TF180">
        <v>44</v>
      </c>
      <c r="TK180">
        <v>46</v>
      </c>
      <c r="TR180">
        <v>0</v>
      </c>
      <c r="TS180">
        <v>18</v>
      </c>
      <c r="TY180">
        <v>18</v>
      </c>
      <c r="TZ180">
        <v>20</v>
      </c>
      <c r="UF180">
        <v>20</v>
      </c>
      <c r="UH180">
        <v>2</v>
      </c>
      <c r="UI180">
        <v>94</v>
      </c>
      <c r="UN180">
        <v>96</v>
      </c>
      <c r="UO180">
        <v>131</v>
      </c>
      <c r="UP180">
        <v>177</v>
      </c>
      <c r="UQ180">
        <v>0</v>
      </c>
      <c r="UR180">
        <v>0</v>
      </c>
      <c r="US180">
        <v>0</v>
      </c>
      <c r="UT180">
        <v>0</v>
      </c>
      <c r="UU180">
        <v>308</v>
      </c>
      <c r="UV180">
        <v>57</v>
      </c>
      <c r="VB180">
        <v>57</v>
      </c>
      <c r="VC180">
        <v>138</v>
      </c>
      <c r="VI180">
        <v>138</v>
      </c>
      <c r="VJ180">
        <v>74</v>
      </c>
      <c r="VK180">
        <v>39</v>
      </c>
      <c r="VP180">
        <v>113</v>
      </c>
      <c r="VW180">
        <v>0</v>
      </c>
      <c r="WD180">
        <v>0</v>
      </c>
      <c r="WE180">
        <v>269</v>
      </c>
      <c r="WF180">
        <v>39</v>
      </c>
      <c r="WG180">
        <v>0</v>
      </c>
      <c r="WH180">
        <v>0</v>
      </c>
      <c r="WI180">
        <v>0</v>
      </c>
      <c r="WJ180">
        <v>0</v>
      </c>
      <c r="WK180">
        <v>308</v>
      </c>
      <c r="WL180" t="s">
        <v>410</v>
      </c>
      <c r="AAO180" t="s">
        <v>411</v>
      </c>
      <c r="AER180" t="s">
        <v>412</v>
      </c>
    </row>
    <row r="181" spans="1:824" x14ac:dyDescent="0.2">
      <c r="A181" t="s">
        <v>1719</v>
      </c>
      <c r="B181" t="s">
        <v>396</v>
      </c>
      <c r="C181" t="s">
        <v>1720</v>
      </c>
      <c r="P181" t="b">
        <v>0</v>
      </c>
      <c r="Q181" t="b">
        <v>0</v>
      </c>
      <c r="R181" t="b">
        <v>0</v>
      </c>
      <c r="S181" t="b">
        <v>1</v>
      </c>
      <c r="T181" t="b">
        <v>0</v>
      </c>
      <c r="U181" t="b">
        <v>0</v>
      </c>
      <c r="V181">
        <v>754</v>
      </c>
      <c r="W181" s="3">
        <v>43515.356944444444</v>
      </c>
      <c r="X181" t="s">
        <v>1721</v>
      </c>
      <c r="Y181">
        <v>2019</v>
      </c>
      <c r="Z181" t="s">
        <v>1722</v>
      </c>
      <c r="AA181" t="s">
        <v>1723</v>
      </c>
      <c r="AB181" t="s">
        <v>1158</v>
      </c>
      <c r="AC181" t="s">
        <v>1724</v>
      </c>
      <c r="AD181">
        <v>630320400</v>
      </c>
      <c r="AE181" t="s">
        <v>627</v>
      </c>
      <c r="AF181" t="s">
        <v>403</v>
      </c>
      <c r="AH181">
        <v>1</v>
      </c>
      <c r="AK181">
        <v>250</v>
      </c>
      <c r="AL181">
        <v>250</v>
      </c>
      <c r="AM181">
        <v>125</v>
      </c>
      <c r="AN181">
        <v>125</v>
      </c>
      <c r="AU181">
        <v>0</v>
      </c>
      <c r="BB181">
        <v>0</v>
      </c>
      <c r="BI181">
        <v>0</v>
      </c>
      <c r="BJ181">
        <v>250</v>
      </c>
      <c r="BP181">
        <v>250</v>
      </c>
      <c r="BW181">
        <v>0</v>
      </c>
      <c r="CD181">
        <v>0</v>
      </c>
      <c r="CE181">
        <v>250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250</v>
      </c>
      <c r="CR181">
        <v>0</v>
      </c>
      <c r="CY181">
        <v>0</v>
      </c>
      <c r="DF181">
        <v>0</v>
      </c>
      <c r="DG181">
        <v>1</v>
      </c>
      <c r="DM181">
        <v>1</v>
      </c>
      <c r="DT181">
        <v>0</v>
      </c>
      <c r="EA181">
        <v>0</v>
      </c>
      <c r="EB181">
        <v>1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1</v>
      </c>
      <c r="EI181" t="s">
        <v>404</v>
      </c>
      <c r="EJ181" t="s">
        <v>404</v>
      </c>
      <c r="EK181" t="s">
        <v>404</v>
      </c>
      <c r="EL181" t="s">
        <v>404</v>
      </c>
      <c r="EM181" t="s">
        <v>404</v>
      </c>
      <c r="EN181" t="s">
        <v>404</v>
      </c>
      <c r="EO181" t="s">
        <v>404</v>
      </c>
      <c r="EP181" t="s">
        <v>404</v>
      </c>
      <c r="EQ181" t="s">
        <v>404</v>
      </c>
      <c r="ER181" t="s">
        <v>404</v>
      </c>
      <c r="ES181" t="s">
        <v>404</v>
      </c>
      <c r="ET181" t="s">
        <v>404</v>
      </c>
      <c r="EU181" t="s">
        <v>404</v>
      </c>
      <c r="EV181" t="s">
        <v>404</v>
      </c>
      <c r="EW181" t="s">
        <v>404</v>
      </c>
      <c r="EX181" t="s">
        <v>404</v>
      </c>
      <c r="EY181" t="s">
        <v>404</v>
      </c>
      <c r="EZ181" t="s">
        <v>404</v>
      </c>
      <c r="FA181" t="s">
        <v>405</v>
      </c>
      <c r="FB181" t="s">
        <v>404</v>
      </c>
      <c r="FC181" t="s">
        <v>404</v>
      </c>
      <c r="FD181" t="s">
        <v>404</v>
      </c>
      <c r="FE181" t="s">
        <v>404</v>
      </c>
      <c r="FF181" t="s">
        <v>404</v>
      </c>
      <c r="FG181" t="s">
        <v>404</v>
      </c>
      <c r="FH181" t="s">
        <v>404</v>
      </c>
      <c r="FI181" t="s">
        <v>404</v>
      </c>
      <c r="FJ181" t="s">
        <v>404</v>
      </c>
      <c r="FK181" t="s">
        <v>404</v>
      </c>
      <c r="FL181" t="s">
        <v>404</v>
      </c>
      <c r="FM181" t="s">
        <v>404</v>
      </c>
      <c r="FN181" t="s">
        <v>404</v>
      </c>
      <c r="FO181" t="s">
        <v>404</v>
      </c>
      <c r="FP181" t="s">
        <v>404</v>
      </c>
      <c r="FQ181" t="s">
        <v>404</v>
      </c>
      <c r="FR181" t="s">
        <v>404</v>
      </c>
      <c r="FS181">
        <v>50</v>
      </c>
      <c r="FY181">
        <v>50</v>
      </c>
      <c r="FZ181">
        <v>75</v>
      </c>
      <c r="GF181">
        <v>75</v>
      </c>
      <c r="GM181">
        <v>0</v>
      </c>
      <c r="GT181">
        <v>0</v>
      </c>
      <c r="HA181">
        <v>0</v>
      </c>
      <c r="HH181">
        <v>0</v>
      </c>
      <c r="HI181">
        <v>125</v>
      </c>
      <c r="HO181">
        <v>125</v>
      </c>
      <c r="HW181">
        <v>0</v>
      </c>
      <c r="HX181">
        <v>250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250</v>
      </c>
      <c r="IK181">
        <v>0</v>
      </c>
      <c r="IL181">
        <v>250</v>
      </c>
      <c r="IR181">
        <v>250</v>
      </c>
      <c r="IY181">
        <v>0</v>
      </c>
      <c r="JF181">
        <v>0</v>
      </c>
      <c r="JM181">
        <v>0</v>
      </c>
      <c r="JN181">
        <v>250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250</v>
      </c>
      <c r="JW181">
        <v>100</v>
      </c>
      <c r="JZ181">
        <v>1</v>
      </c>
      <c r="KA181">
        <v>2</v>
      </c>
      <c r="KB181">
        <v>1</v>
      </c>
      <c r="KC181" t="s">
        <v>407</v>
      </c>
      <c r="OF181" t="s">
        <v>408</v>
      </c>
      <c r="SI181" t="s">
        <v>409</v>
      </c>
      <c r="WL181" t="s">
        <v>410</v>
      </c>
      <c r="AAO181" t="s">
        <v>411</v>
      </c>
      <c r="AER181" t="s">
        <v>412</v>
      </c>
    </row>
    <row r="182" spans="1:824" x14ac:dyDescent="0.2">
      <c r="A182" t="s">
        <v>1725</v>
      </c>
      <c r="B182" t="s">
        <v>396</v>
      </c>
      <c r="C182" t="s">
        <v>1726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>
        <v>671</v>
      </c>
      <c r="W182" s="3">
        <v>43515.700694444444</v>
      </c>
      <c r="X182" t="s">
        <v>1727</v>
      </c>
      <c r="Y182">
        <v>2019</v>
      </c>
      <c r="Z182" t="s">
        <v>1728</v>
      </c>
      <c r="AA182" t="s">
        <v>1729</v>
      </c>
      <c r="AB182" t="s">
        <v>774</v>
      </c>
      <c r="AC182" t="s">
        <v>1730</v>
      </c>
      <c r="AD182">
        <v>2078088934</v>
      </c>
      <c r="AE182" t="s">
        <v>491</v>
      </c>
      <c r="AF182" t="s">
        <v>403</v>
      </c>
      <c r="AH182">
        <v>1</v>
      </c>
      <c r="AK182">
        <v>830</v>
      </c>
      <c r="AM182">
        <v>0</v>
      </c>
      <c r="AU182">
        <v>0</v>
      </c>
      <c r="AV182">
        <v>829.2</v>
      </c>
      <c r="BB182">
        <v>829.2</v>
      </c>
      <c r="BI182">
        <v>0</v>
      </c>
      <c r="BP182">
        <v>0</v>
      </c>
      <c r="BW182">
        <v>0</v>
      </c>
      <c r="CD182">
        <v>0</v>
      </c>
      <c r="CE182">
        <v>829.2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829.2</v>
      </c>
      <c r="CR182">
        <v>0</v>
      </c>
      <c r="CS182">
        <v>1</v>
      </c>
      <c r="CY182">
        <v>1</v>
      </c>
      <c r="DF182">
        <v>0</v>
      </c>
      <c r="DM182">
        <v>0</v>
      </c>
      <c r="DT182">
        <v>0</v>
      </c>
      <c r="EA182">
        <v>0</v>
      </c>
      <c r="EB182">
        <v>1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1</v>
      </c>
      <c r="EI182" t="s">
        <v>404</v>
      </c>
      <c r="EJ182" t="s">
        <v>404</v>
      </c>
      <c r="EK182" t="s">
        <v>404</v>
      </c>
      <c r="EL182" t="s">
        <v>404</v>
      </c>
      <c r="EM182" t="s">
        <v>404</v>
      </c>
      <c r="EN182" t="s">
        <v>404</v>
      </c>
      <c r="EO182" t="s">
        <v>405</v>
      </c>
      <c r="EP182" t="s">
        <v>404</v>
      </c>
      <c r="EQ182" t="s">
        <v>404</v>
      </c>
      <c r="ER182" t="s">
        <v>404</v>
      </c>
      <c r="ES182" t="s">
        <v>404</v>
      </c>
      <c r="ET182" t="s">
        <v>404</v>
      </c>
      <c r="EU182" t="s">
        <v>404</v>
      </c>
      <c r="EV182" t="s">
        <v>404</v>
      </c>
      <c r="EW182" t="s">
        <v>404</v>
      </c>
      <c r="EX182" t="s">
        <v>404</v>
      </c>
      <c r="EY182" t="s">
        <v>404</v>
      </c>
      <c r="EZ182" t="s">
        <v>404</v>
      </c>
      <c r="FA182" t="s">
        <v>404</v>
      </c>
      <c r="FB182" t="s">
        <v>404</v>
      </c>
      <c r="FC182" t="s">
        <v>404</v>
      </c>
      <c r="FD182" t="s">
        <v>404</v>
      </c>
      <c r="FE182" t="s">
        <v>404</v>
      </c>
      <c r="FF182" t="s">
        <v>404</v>
      </c>
      <c r="FG182" t="s">
        <v>404</v>
      </c>
      <c r="FH182" t="s">
        <v>404</v>
      </c>
      <c r="FI182" t="s">
        <v>404</v>
      </c>
      <c r="FJ182" t="s">
        <v>404</v>
      </c>
      <c r="FK182" t="s">
        <v>404</v>
      </c>
      <c r="FL182" t="s">
        <v>404</v>
      </c>
      <c r="FM182" t="s">
        <v>404</v>
      </c>
      <c r="FN182" t="s">
        <v>404</v>
      </c>
      <c r="FO182" t="s">
        <v>404</v>
      </c>
      <c r="FP182" t="s">
        <v>404</v>
      </c>
      <c r="FQ182" t="s">
        <v>404</v>
      </c>
      <c r="FR182" t="s">
        <v>404</v>
      </c>
      <c r="FS182">
        <v>235</v>
      </c>
      <c r="FY182">
        <v>235</v>
      </c>
      <c r="FZ182">
        <v>65</v>
      </c>
      <c r="GF182">
        <v>65</v>
      </c>
      <c r="GG182">
        <v>190</v>
      </c>
      <c r="GM182">
        <v>190</v>
      </c>
      <c r="GT182">
        <v>0</v>
      </c>
      <c r="GU182">
        <v>154</v>
      </c>
      <c r="HA182">
        <v>154</v>
      </c>
      <c r="HB182">
        <v>30.8</v>
      </c>
      <c r="HH182">
        <v>30.8</v>
      </c>
      <c r="HI182">
        <v>154.4</v>
      </c>
      <c r="HO182">
        <v>154.4</v>
      </c>
      <c r="HW182">
        <v>0</v>
      </c>
      <c r="HX182">
        <v>829.2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829.2</v>
      </c>
      <c r="IE182">
        <v>206</v>
      </c>
      <c r="IK182">
        <v>206</v>
      </c>
      <c r="IL182">
        <v>276</v>
      </c>
      <c r="IR182">
        <v>276</v>
      </c>
      <c r="IS182">
        <v>347.2</v>
      </c>
      <c r="IY182">
        <v>347.2</v>
      </c>
      <c r="JF182">
        <v>0</v>
      </c>
      <c r="JM182">
        <v>0</v>
      </c>
      <c r="JN182">
        <v>829.2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829.2</v>
      </c>
      <c r="JV182">
        <v>3</v>
      </c>
      <c r="JW182">
        <v>97</v>
      </c>
      <c r="JZ182">
        <v>3</v>
      </c>
      <c r="KA182">
        <v>2</v>
      </c>
      <c r="KB182">
        <v>2</v>
      </c>
      <c r="KC182" t="s">
        <v>407</v>
      </c>
      <c r="OF182" t="s">
        <v>408</v>
      </c>
      <c r="SI182" t="s">
        <v>409</v>
      </c>
      <c r="WL182" t="s">
        <v>410</v>
      </c>
      <c r="AAO182" t="s">
        <v>411</v>
      </c>
      <c r="AER182" t="s">
        <v>412</v>
      </c>
    </row>
    <row r="183" spans="1:824" x14ac:dyDescent="0.2">
      <c r="A183" t="s">
        <v>1731</v>
      </c>
      <c r="B183" t="s">
        <v>396</v>
      </c>
      <c r="C183" t="s">
        <v>1732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>
        <v>738</v>
      </c>
      <c r="W183" s="3">
        <v>43514.472222222219</v>
      </c>
      <c r="X183" t="s">
        <v>1733</v>
      </c>
      <c r="Y183">
        <v>2019</v>
      </c>
      <c r="Z183" t="s">
        <v>1734</v>
      </c>
      <c r="AA183" t="s">
        <v>1732</v>
      </c>
      <c r="AC183" t="s">
        <v>1735</v>
      </c>
      <c r="AD183">
        <v>2034638868</v>
      </c>
      <c r="AE183" t="s">
        <v>491</v>
      </c>
      <c r="AF183" t="s">
        <v>403</v>
      </c>
      <c r="AH183">
        <v>1</v>
      </c>
      <c r="AK183">
        <v>2313</v>
      </c>
      <c r="AL183">
        <v>2313</v>
      </c>
      <c r="AM183">
        <v>229</v>
      </c>
      <c r="AN183">
        <v>229</v>
      </c>
      <c r="AU183">
        <v>0</v>
      </c>
      <c r="AV183">
        <v>2313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2313</v>
      </c>
      <c r="BI183">
        <v>0</v>
      </c>
      <c r="BP183">
        <v>0</v>
      </c>
      <c r="BW183">
        <v>0</v>
      </c>
      <c r="CD183">
        <v>0</v>
      </c>
      <c r="CE183">
        <v>2313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2313</v>
      </c>
      <c r="CR183">
        <v>0</v>
      </c>
      <c r="CS183">
        <v>2</v>
      </c>
      <c r="CY183">
        <v>2</v>
      </c>
      <c r="DF183">
        <v>0</v>
      </c>
      <c r="DM183">
        <v>0</v>
      </c>
      <c r="DT183">
        <v>0</v>
      </c>
      <c r="EA183">
        <v>0</v>
      </c>
      <c r="EB183">
        <v>2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2</v>
      </c>
      <c r="EI183" t="s">
        <v>404</v>
      </c>
      <c r="EJ183" t="s">
        <v>404</v>
      </c>
      <c r="EK183" t="s">
        <v>404</v>
      </c>
      <c r="EL183" t="s">
        <v>404</v>
      </c>
      <c r="EM183" t="s">
        <v>404</v>
      </c>
      <c r="EN183" t="s">
        <v>404</v>
      </c>
      <c r="EO183" t="s">
        <v>405</v>
      </c>
      <c r="EP183" t="s">
        <v>404</v>
      </c>
      <c r="EQ183" t="s">
        <v>404</v>
      </c>
      <c r="ER183" t="s">
        <v>404</v>
      </c>
      <c r="ES183" t="s">
        <v>404</v>
      </c>
      <c r="ET183" t="s">
        <v>404</v>
      </c>
      <c r="EU183" t="s">
        <v>404</v>
      </c>
      <c r="EV183" t="s">
        <v>404</v>
      </c>
      <c r="EW183" t="s">
        <v>404</v>
      </c>
      <c r="EX183" t="s">
        <v>404</v>
      </c>
      <c r="EY183" t="s">
        <v>404</v>
      </c>
      <c r="EZ183" t="s">
        <v>404</v>
      </c>
      <c r="FA183" t="s">
        <v>404</v>
      </c>
      <c r="FB183" t="s">
        <v>404</v>
      </c>
      <c r="FC183" t="s">
        <v>404</v>
      </c>
      <c r="FD183" t="s">
        <v>404</v>
      </c>
      <c r="FE183" t="s">
        <v>404</v>
      </c>
      <c r="FF183" t="s">
        <v>404</v>
      </c>
      <c r="FG183" t="s">
        <v>404</v>
      </c>
      <c r="FH183" t="s">
        <v>404</v>
      </c>
      <c r="FI183" t="s">
        <v>404</v>
      </c>
      <c r="FJ183" t="s">
        <v>404</v>
      </c>
      <c r="FK183" t="s">
        <v>404</v>
      </c>
      <c r="FL183" t="s">
        <v>404</v>
      </c>
      <c r="FM183" t="s">
        <v>404</v>
      </c>
      <c r="FN183" t="s">
        <v>404</v>
      </c>
      <c r="FO183" t="s">
        <v>404</v>
      </c>
      <c r="FP183" t="s">
        <v>404</v>
      </c>
      <c r="FQ183" t="s">
        <v>404</v>
      </c>
      <c r="FR183" t="s">
        <v>404</v>
      </c>
      <c r="FS183">
        <v>973</v>
      </c>
      <c r="FY183">
        <v>973</v>
      </c>
      <c r="FZ183">
        <v>540</v>
      </c>
      <c r="GF183">
        <v>540</v>
      </c>
      <c r="GG183">
        <v>450</v>
      </c>
      <c r="GM183">
        <v>450</v>
      </c>
      <c r="GN183">
        <v>75</v>
      </c>
      <c r="GT183">
        <v>75</v>
      </c>
      <c r="GU183">
        <v>148</v>
      </c>
      <c r="HA183">
        <v>148</v>
      </c>
      <c r="HB183">
        <v>25</v>
      </c>
      <c r="HH183">
        <v>25</v>
      </c>
      <c r="HI183">
        <v>102</v>
      </c>
      <c r="HO183">
        <v>102</v>
      </c>
      <c r="HW183">
        <v>0</v>
      </c>
      <c r="HX183">
        <v>2313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2313</v>
      </c>
      <c r="IE183">
        <v>535</v>
      </c>
      <c r="IK183">
        <v>535</v>
      </c>
      <c r="IL183">
        <v>563</v>
      </c>
      <c r="IR183">
        <v>563</v>
      </c>
      <c r="IS183">
        <v>1105</v>
      </c>
      <c r="IY183">
        <v>1105</v>
      </c>
      <c r="IZ183">
        <v>10</v>
      </c>
      <c r="JF183">
        <v>10</v>
      </c>
      <c r="JG183">
        <v>100</v>
      </c>
      <c r="JM183">
        <v>100</v>
      </c>
      <c r="JN183">
        <v>2313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2313</v>
      </c>
      <c r="JU183">
        <v>2</v>
      </c>
      <c r="JV183">
        <v>2</v>
      </c>
      <c r="JW183">
        <v>95</v>
      </c>
      <c r="JX183" t="s">
        <v>1736</v>
      </c>
      <c r="JY183">
        <v>1</v>
      </c>
      <c r="JZ183">
        <v>3</v>
      </c>
      <c r="KA183">
        <v>3</v>
      </c>
      <c r="KB183">
        <v>1</v>
      </c>
      <c r="KC183" t="s">
        <v>407</v>
      </c>
      <c r="OF183" t="s">
        <v>408</v>
      </c>
      <c r="SI183" t="s">
        <v>409</v>
      </c>
      <c r="WL183" t="s">
        <v>410</v>
      </c>
      <c r="AAO183" t="s">
        <v>411</v>
      </c>
      <c r="AER183" t="s">
        <v>412</v>
      </c>
    </row>
    <row r="184" spans="1:824" x14ac:dyDescent="0.2">
      <c r="A184" t="s">
        <v>1737</v>
      </c>
      <c r="B184" t="s">
        <v>396</v>
      </c>
      <c r="C184" t="s">
        <v>1738</v>
      </c>
      <c r="D184" t="s">
        <v>478</v>
      </c>
      <c r="E184" s="3">
        <v>43518.587500000001</v>
      </c>
      <c r="F184" t="s">
        <v>479</v>
      </c>
      <c r="G184" s="3">
        <v>43518.589583333334</v>
      </c>
      <c r="H184" t="s">
        <v>502</v>
      </c>
      <c r="I184" s="3">
        <v>43522.645833333336</v>
      </c>
      <c r="P184" t="b">
        <v>1</v>
      </c>
      <c r="Q184" t="b">
        <v>1</v>
      </c>
      <c r="R184" t="b">
        <v>1</v>
      </c>
      <c r="S184" t="b">
        <v>0</v>
      </c>
      <c r="T184" t="b">
        <v>0</v>
      </c>
      <c r="U184" t="b">
        <v>0</v>
      </c>
      <c r="V184">
        <v>641</v>
      </c>
      <c r="W184" s="3">
        <v>43518.588194444441</v>
      </c>
      <c r="X184" t="s">
        <v>1739</v>
      </c>
      <c r="Y184">
        <v>2019</v>
      </c>
      <c r="Z184" t="s">
        <v>1740</v>
      </c>
      <c r="AA184" t="s">
        <v>1741</v>
      </c>
      <c r="AB184" t="s">
        <v>852</v>
      </c>
      <c r="AC184" t="s">
        <v>1742</v>
      </c>
      <c r="AD184">
        <v>2070164837</v>
      </c>
      <c r="AE184" t="s">
        <v>491</v>
      </c>
      <c r="AF184" t="s">
        <v>403</v>
      </c>
      <c r="AH184">
        <v>1</v>
      </c>
      <c r="AK184">
        <v>3684.7</v>
      </c>
      <c r="AL184">
        <v>3684.7</v>
      </c>
      <c r="AM184">
        <v>2982.4</v>
      </c>
      <c r="AN184">
        <v>2982.4</v>
      </c>
      <c r="AO184">
        <v>373.4</v>
      </c>
      <c r="AU184">
        <v>373.4</v>
      </c>
      <c r="AV184">
        <v>624.6</v>
      </c>
      <c r="AW184">
        <v>1369.6</v>
      </c>
      <c r="AY184">
        <v>31.6</v>
      </c>
      <c r="BA184">
        <v>30</v>
      </c>
      <c r="BB184">
        <v>2055.8000000000002</v>
      </c>
      <c r="BC184">
        <v>482.7</v>
      </c>
      <c r="BD184">
        <v>685.4</v>
      </c>
      <c r="BH184">
        <v>87.3</v>
      </c>
      <c r="BI184">
        <v>1255.4000000000001</v>
      </c>
      <c r="BP184">
        <v>0</v>
      </c>
      <c r="BW184">
        <v>0</v>
      </c>
      <c r="CD184">
        <v>0</v>
      </c>
      <c r="CE184">
        <v>1480.7</v>
      </c>
      <c r="CF184">
        <v>2055</v>
      </c>
      <c r="CG184">
        <v>0</v>
      </c>
      <c r="CH184">
        <v>31.6</v>
      </c>
      <c r="CI184">
        <v>0</v>
      </c>
      <c r="CJ184">
        <v>117.3</v>
      </c>
      <c r="CK184">
        <v>3684.6</v>
      </c>
      <c r="CL184">
        <v>1</v>
      </c>
      <c r="CR184">
        <v>1</v>
      </c>
      <c r="CS184">
        <v>6</v>
      </c>
      <c r="CT184">
        <v>5</v>
      </c>
      <c r="CV184">
        <v>1</v>
      </c>
      <c r="CX184">
        <v>1</v>
      </c>
      <c r="CY184">
        <v>13</v>
      </c>
      <c r="CZ184">
        <v>3</v>
      </c>
      <c r="DA184">
        <v>2</v>
      </c>
      <c r="DE184">
        <v>1</v>
      </c>
      <c r="DF184">
        <v>6</v>
      </c>
      <c r="DM184">
        <v>0</v>
      </c>
      <c r="DT184">
        <v>0</v>
      </c>
      <c r="EA184">
        <v>0</v>
      </c>
      <c r="EB184">
        <v>10</v>
      </c>
      <c r="EC184">
        <v>7</v>
      </c>
      <c r="ED184">
        <v>0</v>
      </c>
      <c r="EE184">
        <v>1</v>
      </c>
      <c r="EF184">
        <v>0</v>
      </c>
      <c r="EG184">
        <v>2</v>
      </c>
      <c r="EH184">
        <v>20</v>
      </c>
      <c r="EI184" t="s">
        <v>405</v>
      </c>
      <c r="EJ184" t="s">
        <v>404</v>
      </c>
      <c r="EK184" t="s">
        <v>404</v>
      </c>
      <c r="EL184" t="s">
        <v>404</v>
      </c>
      <c r="EM184" t="s">
        <v>404</v>
      </c>
      <c r="EN184" t="s">
        <v>404</v>
      </c>
      <c r="EO184" t="s">
        <v>405</v>
      </c>
      <c r="EP184" t="s">
        <v>405</v>
      </c>
      <c r="EQ184" t="s">
        <v>404</v>
      </c>
      <c r="ER184" t="s">
        <v>405</v>
      </c>
      <c r="ES184" t="s">
        <v>404</v>
      </c>
      <c r="ET184" t="s">
        <v>405</v>
      </c>
      <c r="EU184" t="s">
        <v>405</v>
      </c>
      <c r="EV184" t="s">
        <v>405</v>
      </c>
      <c r="EW184" t="s">
        <v>404</v>
      </c>
      <c r="EX184" t="s">
        <v>404</v>
      </c>
      <c r="EY184" t="s">
        <v>404</v>
      </c>
      <c r="EZ184" t="s">
        <v>405</v>
      </c>
      <c r="FA184" t="s">
        <v>404</v>
      </c>
      <c r="FB184" t="s">
        <v>404</v>
      </c>
      <c r="FC184" t="s">
        <v>404</v>
      </c>
      <c r="FD184" t="s">
        <v>404</v>
      </c>
      <c r="FE184" t="s">
        <v>404</v>
      </c>
      <c r="FF184" t="s">
        <v>404</v>
      </c>
      <c r="FG184" t="s">
        <v>404</v>
      </c>
      <c r="FH184" t="s">
        <v>404</v>
      </c>
      <c r="FI184" t="s">
        <v>404</v>
      </c>
      <c r="FJ184" t="s">
        <v>404</v>
      </c>
      <c r="FK184" t="s">
        <v>404</v>
      </c>
      <c r="FL184" t="s">
        <v>404</v>
      </c>
      <c r="FM184" t="s">
        <v>404</v>
      </c>
      <c r="FN184" t="s">
        <v>404</v>
      </c>
      <c r="FO184" t="s">
        <v>404</v>
      </c>
      <c r="FP184" t="s">
        <v>404</v>
      </c>
      <c r="FQ184" t="s">
        <v>404</v>
      </c>
      <c r="FR184" t="s">
        <v>404</v>
      </c>
      <c r="FS184">
        <v>983.8</v>
      </c>
      <c r="FT184">
        <v>1186.4000000000001</v>
      </c>
      <c r="FY184">
        <v>2170.1999999999998</v>
      </c>
      <c r="FZ184">
        <v>290.3</v>
      </c>
      <c r="GA184">
        <v>868.6</v>
      </c>
      <c r="GE184">
        <v>25</v>
      </c>
      <c r="GF184">
        <v>1183.9000000000001</v>
      </c>
      <c r="GM184">
        <v>0</v>
      </c>
      <c r="GT184">
        <v>0</v>
      </c>
      <c r="GU184">
        <v>59.5</v>
      </c>
      <c r="HA184">
        <v>59.5</v>
      </c>
      <c r="HB184">
        <v>2</v>
      </c>
      <c r="HH184">
        <v>2</v>
      </c>
      <c r="HI184">
        <v>15.5</v>
      </c>
      <c r="HO184">
        <v>15.5</v>
      </c>
      <c r="HP184" t="s">
        <v>1743</v>
      </c>
      <c r="HQ184">
        <v>129.6</v>
      </c>
      <c r="HT184">
        <v>31.6</v>
      </c>
      <c r="HV184">
        <v>92.3</v>
      </c>
      <c r="HW184">
        <v>253.5</v>
      </c>
      <c r="HX184">
        <v>1480.7</v>
      </c>
      <c r="HY184">
        <v>2055</v>
      </c>
      <c r="HZ184">
        <v>0</v>
      </c>
      <c r="IA184">
        <v>31.6</v>
      </c>
      <c r="IB184">
        <v>0</v>
      </c>
      <c r="IC184">
        <v>117.3</v>
      </c>
      <c r="ID184">
        <v>3684.6</v>
      </c>
      <c r="IE184">
        <v>180.9</v>
      </c>
      <c r="IK184">
        <v>180.9</v>
      </c>
      <c r="IL184">
        <v>873.8</v>
      </c>
      <c r="IM184">
        <v>1369.6</v>
      </c>
      <c r="IO184">
        <v>31.6</v>
      </c>
      <c r="IQ184">
        <v>30</v>
      </c>
      <c r="IR184">
        <v>2305</v>
      </c>
      <c r="IS184">
        <v>426</v>
      </c>
      <c r="IT184">
        <v>685.4</v>
      </c>
      <c r="IX184">
        <v>87.3</v>
      </c>
      <c r="IY184">
        <v>1198.7</v>
      </c>
      <c r="JF184">
        <v>0</v>
      </c>
      <c r="JM184">
        <v>0</v>
      </c>
      <c r="JN184">
        <v>1480.7</v>
      </c>
      <c r="JO184">
        <v>2055</v>
      </c>
      <c r="JP184">
        <v>0</v>
      </c>
      <c r="JQ184">
        <v>31.6</v>
      </c>
      <c r="JR184">
        <v>0</v>
      </c>
      <c r="JS184">
        <v>117.3</v>
      </c>
      <c r="JT184">
        <v>3684.6</v>
      </c>
      <c r="JU184">
        <v>2</v>
      </c>
      <c r="JW184">
        <v>98</v>
      </c>
      <c r="JZ184">
        <v>1</v>
      </c>
      <c r="KA184">
        <v>1</v>
      </c>
      <c r="KB184">
        <v>1</v>
      </c>
      <c r="KC184" t="s">
        <v>407</v>
      </c>
      <c r="KD184">
        <v>266.2</v>
      </c>
      <c r="KJ184">
        <v>266.2</v>
      </c>
      <c r="KK184">
        <v>63.6</v>
      </c>
      <c r="KQ184">
        <v>63.6</v>
      </c>
      <c r="KX184">
        <v>0</v>
      </c>
      <c r="LE184">
        <v>0</v>
      </c>
      <c r="LL184">
        <v>0</v>
      </c>
      <c r="LS184">
        <v>0</v>
      </c>
      <c r="LZ184">
        <v>0</v>
      </c>
      <c r="MA184" t="s">
        <v>1744</v>
      </c>
      <c r="MB184">
        <v>43.6</v>
      </c>
      <c r="MH184">
        <v>43.6</v>
      </c>
      <c r="MI184">
        <v>373.4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373.4</v>
      </c>
      <c r="MP184">
        <v>242.5</v>
      </c>
      <c r="MV184">
        <v>242.5</v>
      </c>
      <c r="NC184">
        <v>0</v>
      </c>
      <c r="ND184">
        <v>130.9</v>
      </c>
      <c r="NJ184">
        <v>130.9</v>
      </c>
      <c r="NQ184">
        <v>0</v>
      </c>
      <c r="NX184">
        <v>0</v>
      </c>
      <c r="NY184">
        <v>373.4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373.4</v>
      </c>
      <c r="OF184" t="s">
        <v>408</v>
      </c>
      <c r="OG184">
        <v>461.6</v>
      </c>
      <c r="OH184">
        <v>501</v>
      </c>
      <c r="OM184">
        <v>962.6</v>
      </c>
      <c r="ON184">
        <v>101.9</v>
      </c>
      <c r="OO184">
        <v>868.6</v>
      </c>
      <c r="OS184">
        <v>25</v>
      </c>
      <c r="OT184">
        <v>995.5</v>
      </c>
      <c r="PA184">
        <v>0</v>
      </c>
      <c r="PH184">
        <v>0</v>
      </c>
      <c r="PI184">
        <v>2.2999999999999998</v>
      </c>
      <c r="PO184">
        <v>2.2999999999999998</v>
      </c>
      <c r="PP184">
        <v>2</v>
      </c>
      <c r="PV184">
        <v>2</v>
      </c>
      <c r="PW184">
        <v>15.5</v>
      </c>
      <c r="QC184">
        <v>15.5</v>
      </c>
      <c r="QD184" t="s">
        <v>1745</v>
      </c>
      <c r="QE184">
        <v>41.3</v>
      </c>
      <c r="QH184">
        <v>31.6</v>
      </c>
      <c r="QJ184">
        <v>5</v>
      </c>
      <c r="QK184">
        <v>77.900000000000006</v>
      </c>
      <c r="QL184">
        <v>624.6</v>
      </c>
      <c r="QM184">
        <v>1369.6</v>
      </c>
      <c r="QN184">
        <v>0</v>
      </c>
      <c r="QO184">
        <v>31.6</v>
      </c>
      <c r="QP184">
        <v>0</v>
      </c>
      <c r="QQ184">
        <v>30</v>
      </c>
      <c r="QR184">
        <v>2055.8000000000002</v>
      </c>
      <c r="QS184">
        <v>605.20000000000005</v>
      </c>
      <c r="QT184">
        <v>1369.6</v>
      </c>
      <c r="QV184">
        <v>31.6</v>
      </c>
      <c r="QX184">
        <v>30</v>
      </c>
      <c r="QY184">
        <v>2036.4</v>
      </c>
      <c r="QZ184">
        <v>19.399999999999999</v>
      </c>
      <c r="RF184">
        <v>19.399999999999999</v>
      </c>
      <c r="RM184">
        <v>0</v>
      </c>
      <c r="RT184">
        <v>0</v>
      </c>
      <c r="SA184">
        <v>0</v>
      </c>
      <c r="SB184">
        <v>624.6</v>
      </c>
      <c r="SC184">
        <v>1369.6</v>
      </c>
      <c r="SD184">
        <v>0</v>
      </c>
      <c r="SE184">
        <v>31.6</v>
      </c>
      <c r="SF184">
        <v>0</v>
      </c>
      <c r="SG184">
        <v>30</v>
      </c>
      <c r="SH184">
        <v>2055.8000000000002</v>
      </c>
      <c r="SI184" t="s">
        <v>409</v>
      </c>
      <c r="SJ184">
        <v>256</v>
      </c>
      <c r="SK184">
        <v>685.4</v>
      </c>
      <c r="SP184">
        <v>941.4</v>
      </c>
      <c r="SQ184">
        <v>124.8</v>
      </c>
      <c r="SW184">
        <v>124.8</v>
      </c>
      <c r="TD184">
        <v>0</v>
      </c>
      <c r="TK184">
        <v>0</v>
      </c>
      <c r="TL184">
        <v>57.2</v>
      </c>
      <c r="TR184">
        <v>57.2</v>
      </c>
      <c r="TY184">
        <v>0</v>
      </c>
      <c r="UF184">
        <v>0</v>
      </c>
      <c r="UG184" t="s">
        <v>1746</v>
      </c>
      <c r="UH184">
        <v>44.7</v>
      </c>
      <c r="UM184">
        <v>87.3</v>
      </c>
      <c r="UN184">
        <v>132</v>
      </c>
      <c r="UO184">
        <v>482.7</v>
      </c>
      <c r="UP184">
        <v>685.4</v>
      </c>
      <c r="UQ184">
        <v>0</v>
      </c>
      <c r="UR184">
        <v>0</v>
      </c>
      <c r="US184">
        <v>0</v>
      </c>
      <c r="UT184">
        <v>87.3</v>
      </c>
      <c r="UU184">
        <v>1255.4000000000001</v>
      </c>
      <c r="UV184">
        <v>26.2</v>
      </c>
      <c r="VB184">
        <v>26.2</v>
      </c>
      <c r="VC184">
        <v>161.4</v>
      </c>
      <c r="VI184">
        <v>161.4</v>
      </c>
      <c r="VJ184">
        <v>295.10000000000002</v>
      </c>
      <c r="VK184">
        <v>685.4</v>
      </c>
      <c r="VO184">
        <v>87.3</v>
      </c>
      <c r="VP184">
        <v>1067.8</v>
      </c>
      <c r="VW184">
        <v>0</v>
      </c>
      <c r="WD184">
        <v>0</v>
      </c>
      <c r="WE184">
        <v>482.7</v>
      </c>
      <c r="WF184">
        <v>685.4</v>
      </c>
      <c r="WG184">
        <v>0</v>
      </c>
      <c r="WH184">
        <v>0</v>
      </c>
      <c r="WI184">
        <v>0</v>
      </c>
      <c r="WJ184">
        <v>87.3</v>
      </c>
      <c r="WK184">
        <v>1255.4000000000001</v>
      </c>
      <c r="WL184" t="s">
        <v>410</v>
      </c>
      <c r="AAO184" t="s">
        <v>411</v>
      </c>
      <c r="AER184" t="s">
        <v>412</v>
      </c>
    </row>
    <row r="185" spans="1:824" x14ac:dyDescent="0.2">
      <c r="A185" t="s">
        <v>1747</v>
      </c>
      <c r="B185" t="s">
        <v>396</v>
      </c>
      <c r="C185" t="s">
        <v>1748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>
        <v>675</v>
      </c>
      <c r="W185" s="3">
        <v>43494.495833333334</v>
      </c>
      <c r="X185" t="s">
        <v>1749</v>
      </c>
      <c r="Y185">
        <v>2019</v>
      </c>
      <c r="Z185" t="s">
        <v>1750</v>
      </c>
      <c r="AA185" t="s">
        <v>1751</v>
      </c>
      <c r="AB185" t="s">
        <v>1459</v>
      </c>
      <c r="AC185" t="s">
        <v>1752</v>
      </c>
      <c r="AE185" t="s">
        <v>491</v>
      </c>
      <c r="AF185" t="s">
        <v>492</v>
      </c>
      <c r="AH185">
        <v>2</v>
      </c>
      <c r="AI185">
        <v>6</v>
      </c>
      <c r="AJ185" t="s">
        <v>1753</v>
      </c>
      <c r="AU185">
        <v>0</v>
      </c>
      <c r="BB185">
        <v>0</v>
      </c>
      <c r="BI185">
        <v>0</v>
      </c>
      <c r="BP185">
        <v>0</v>
      </c>
      <c r="BW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R185">
        <v>0</v>
      </c>
      <c r="CY185">
        <v>0</v>
      </c>
      <c r="DF185">
        <v>0</v>
      </c>
      <c r="DM185">
        <v>0</v>
      </c>
      <c r="DT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 t="s">
        <v>404</v>
      </c>
      <c r="EJ185" t="s">
        <v>404</v>
      </c>
      <c r="EK185" t="s">
        <v>404</v>
      </c>
      <c r="EL185" t="s">
        <v>404</v>
      </c>
      <c r="EM185" t="s">
        <v>404</v>
      </c>
      <c r="EN185" t="s">
        <v>404</v>
      </c>
      <c r="EO185" t="s">
        <v>404</v>
      </c>
      <c r="EP185" t="s">
        <v>404</v>
      </c>
      <c r="EQ185" t="s">
        <v>404</v>
      </c>
      <c r="ER185" t="s">
        <v>404</v>
      </c>
      <c r="ES185" t="s">
        <v>404</v>
      </c>
      <c r="ET185" t="s">
        <v>404</v>
      </c>
      <c r="EU185" t="s">
        <v>404</v>
      </c>
      <c r="EV185" t="s">
        <v>404</v>
      </c>
      <c r="EW185" t="s">
        <v>404</v>
      </c>
      <c r="EX185" t="s">
        <v>404</v>
      </c>
      <c r="EY185" t="s">
        <v>404</v>
      </c>
      <c r="EZ185" t="s">
        <v>404</v>
      </c>
      <c r="FA185" t="s">
        <v>404</v>
      </c>
      <c r="FB185" t="s">
        <v>404</v>
      </c>
      <c r="FC185" t="s">
        <v>404</v>
      </c>
      <c r="FD185" t="s">
        <v>404</v>
      </c>
      <c r="FE185" t="s">
        <v>404</v>
      </c>
      <c r="FF185" t="s">
        <v>404</v>
      </c>
      <c r="FG185" t="s">
        <v>404</v>
      </c>
      <c r="FH185" t="s">
        <v>404</v>
      </c>
      <c r="FI185" t="s">
        <v>404</v>
      </c>
      <c r="FJ185" t="s">
        <v>404</v>
      </c>
      <c r="FK185" t="s">
        <v>404</v>
      </c>
      <c r="FL185" t="s">
        <v>404</v>
      </c>
      <c r="FM185" t="s">
        <v>404</v>
      </c>
      <c r="FN185" t="s">
        <v>404</v>
      </c>
      <c r="FO185" t="s">
        <v>404</v>
      </c>
      <c r="FP185" t="s">
        <v>404</v>
      </c>
      <c r="FQ185" t="s">
        <v>404</v>
      </c>
      <c r="FR185" t="s">
        <v>404</v>
      </c>
      <c r="FY185">
        <v>0</v>
      </c>
      <c r="GF185">
        <v>0</v>
      </c>
      <c r="GM185">
        <v>0</v>
      </c>
      <c r="GT185">
        <v>0</v>
      </c>
      <c r="HA185">
        <v>0</v>
      </c>
      <c r="HH185">
        <v>0</v>
      </c>
      <c r="HO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K185">
        <v>0</v>
      </c>
      <c r="IR185">
        <v>0</v>
      </c>
      <c r="IY185">
        <v>0</v>
      </c>
      <c r="JF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Z185">
        <v>1</v>
      </c>
      <c r="KA185">
        <v>3</v>
      </c>
      <c r="KB185">
        <v>2</v>
      </c>
      <c r="KC185" t="s">
        <v>407</v>
      </c>
      <c r="OF185" t="s">
        <v>408</v>
      </c>
      <c r="SI185" t="s">
        <v>409</v>
      </c>
      <c r="WL185" t="s">
        <v>410</v>
      </c>
      <c r="AAO185" t="s">
        <v>411</v>
      </c>
      <c r="AER185" t="s">
        <v>412</v>
      </c>
    </row>
    <row r="186" spans="1:824" x14ac:dyDescent="0.2">
      <c r="A186" t="s">
        <v>1754</v>
      </c>
      <c r="B186" t="s">
        <v>414</v>
      </c>
      <c r="C186" t="s">
        <v>1755</v>
      </c>
      <c r="P186" t="b">
        <v>0</v>
      </c>
      <c r="Q186" t="b">
        <v>1</v>
      </c>
      <c r="R186" t="b">
        <v>0</v>
      </c>
      <c r="S186" t="b">
        <v>0</v>
      </c>
      <c r="T186" t="b">
        <v>0</v>
      </c>
      <c r="U186" t="b">
        <v>0</v>
      </c>
      <c r="V186">
        <v>711</v>
      </c>
      <c r="W186" s="3">
        <v>43509.152083333334</v>
      </c>
      <c r="X186" t="s">
        <v>1756</v>
      </c>
      <c r="Y186">
        <v>2019</v>
      </c>
      <c r="Z186" t="s">
        <v>1757</v>
      </c>
      <c r="AA186" t="s">
        <v>1755</v>
      </c>
      <c r="AB186" t="s">
        <v>1666</v>
      </c>
      <c r="AC186" t="s">
        <v>1758</v>
      </c>
      <c r="AD186">
        <v>36793006</v>
      </c>
      <c r="AE186" t="s">
        <v>537</v>
      </c>
      <c r="AF186" t="s">
        <v>538</v>
      </c>
      <c r="AH186">
        <v>1</v>
      </c>
      <c r="AK186">
        <v>276.5</v>
      </c>
      <c r="AL186">
        <v>276.5</v>
      </c>
      <c r="AM186">
        <v>85</v>
      </c>
      <c r="AN186">
        <v>85</v>
      </c>
      <c r="AO186">
        <v>276.5</v>
      </c>
      <c r="AU186">
        <v>276.5</v>
      </c>
      <c r="BB186">
        <v>0</v>
      </c>
      <c r="BI186">
        <v>0</v>
      </c>
      <c r="BP186">
        <v>0</v>
      </c>
      <c r="BW186">
        <v>0</v>
      </c>
      <c r="CD186">
        <v>0</v>
      </c>
      <c r="CE186">
        <v>276.5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276.5</v>
      </c>
      <c r="CL186">
        <v>1</v>
      </c>
      <c r="CR186">
        <v>1</v>
      </c>
      <c r="CY186">
        <v>0</v>
      </c>
      <c r="DF186">
        <v>0</v>
      </c>
      <c r="DM186">
        <v>0</v>
      </c>
      <c r="DT186">
        <v>0</v>
      </c>
      <c r="EA186">
        <v>0</v>
      </c>
      <c r="EB186">
        <v>1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1</v>
      </c>
      <c r="EI186" t="s">
        <v>405</v>
      </c>
      <c r="EJ186" t="s">
        <v>404</v>
      </c>
      <c r="EK186" t="s">
        <v>404</v>
      </c>
      <c r="EL186" t="s">
        <v>404</v>
      </c>
      <c r="EM186" t="s">
        <v>404</v>
      </c>
      <c r="EN186" t="s">
        <v>404</v>
      </c>
      <c r="EO186" t="s">
        <v>404</v>
      </c>
      <c r="EP186" t="s">
        <v>404</v>
      </c>
      <c r="EQ186" t="s">
        <v>404</v>
      </c>
      <c r="ER186" t="s">
        <v>404</v>
      </c>
      <c r="ES186" t="s">
        <v>404</v>
      </c>
      <c r="ET186" t="s">
        <v>404</v>
      </c>
      <c r="EU186" t="s">
        <v>404</v>
      </c>
      <c r="EV186" t="s">
        <v>404</v>
      </c>
      <c r="EW186" t="s">
        <v>404</v>
      </c>
      <c r="EX186" t="s">
        <v>404</v>
      </c>
      <c r="EY186" t="s">
        <v>404</v>
      </c>
      <c r="EZ186" t="s">
        <v>404</v>
      </c>
      <c r="FA186" t="s">
        <v>404</v>
      </c>
      <c r="FB186" t="s">
        <v>404</v>
      </c>
      <c r="FC186" t="s">
        <v>404</v>
      </c>
      <c r="FD186" t="s">
        <v>404</v>
      </c>
      <c r="FE186" t="s">
        <v>404</v>
      </c>
      <c r="FF186" t="s">
        <v>404</v>
      </c>
      <c r="FG186" t="s">
        <v>404</v>
      </c>
      <c r="FH186" t="s">
        <v>404</v>
      </c>
      <c r="FI186" t="s">
        <v>404</v>
      </c>
      <c r="FJ186" t="s">
        <v>404</v>
      </c>
      <c r="FK186" t="s">
        <v>404</v>
      </c>
      <c r="FL186" t="s">
        <v>404</v>
      </c>
      <c r="FM186" t="s">
        <v>404</v>
      </c>
      <c r="FN186" t="s">
        <v>404</v>
      </c>
      <c r="FO186" t="s">
        <v>404</v>
      </c>
      <c r="FP186" t="s">
        <v>404</v>
      </c>
      <c r="FQ186" t="s">
        <v>404</v>
      </c>
      <c r="FR186" t="s">
        <v>404</v>
      </c>
      <c r="FS186">
        <v>200</v>
      </c>
      <c r="FY186">
        <v>200</v>
      </c>
      <c r="GF186">
        <v>0</v>
      </c>
      <c r="GM186">
        <v>0</v>
      </c>
      <c r="GT186">
        <v>0</v>
      </c>
      <c r="HA186">
        <v>0</v>
      </c>
      <c r="HH186">
        <v>0</v>
      </c>
      <c r="HI186">
        <v>76.5</v>
      </c>
      <c r="HO186">
        <v>76.5</v>
      </c>
      <c r="HW186">
        <v>0</v>
      </c>
      <c r="HX186">
        <v>276.5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276.5</v>
      </c>
      <c r="IE186">
        <v>100</v>
      </c>
      <c r="IK186">
        <v>100</v>
      </c>
      <c r="IL186">
        <v>70</v>
      </c>
      <c r="IR186">
        <v>70</v>
      </c>
      <c r="IS186">
        <v>106.5</v>
      </c>
      <c r="IY186">
        <v>106.5</v>
      </c>
      <c r="JF186">
        <v>0</v>
      </c>
      <c r="JM186">
        <v>0</v>
      </c>
      <c r="JN186">
        <v>276.5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276.5</v>
      </c>
      <c r="JU186">
        <v>60</v>
      </c>
      <c r="JV186">
        <v>15</v>
      </c>
      <c r="JW186">
        <v>25</v>
      </c>
      <c r="JZ186">
        <v>1</v>
      </c>
      <c r="KA186">
        <v>3</v>
      </c>
      <c r="KB186">
        <v>1</v>
      </c>
      <c r="KC186" t="s">
        <v>407</v>
      </c>
      <c r="OF186" t="s">
        <v>408</v>
      </c>
      <c r="SI186" t="s">
        <v>409</v>
      </c>
      <c r="WL186" t="s">
        <v>410</v>
      </c>
      <c r="AAO186" t="s">
        <v>411</v>
      </c>
      <c r="AER186" t="s">
        <v>412</v>
      </c>
    </row>
    <row r="187" spans="1:824" x14ac:dyDescent="0.2">
      <c r="A187" t="s">
        <v>1759</v>
      </c>
      <c r="B187" t="s">
        <v>396</v>
      </c>
      <c r="C187" t="s">
        <v>1760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>
        <v>764</v>
      </c>
      <c r="W187" s="3">
        <v>43523.618750000001</v>
      </c>
      <c r="X187" t="s">
        <v>1761</v>
      </c>
      <c r="Y187">
        <v>2019</v>
      </c>
      <c r="Z187" t="s">
        <v>1762</v>
      </c>
      <c r="AA187" t="s">
        <v>1763</v>
      </c>
      <c r="AB187" t="s">
        <v>1764</v>
      </c>
      <c r="AC187" t="s">
        <v>1765</v>
      </c>
      <c r="AD187">
        <v>31622664860</v>
      </c>
      <c r="AE187" t="s">
        <v>611</v>
      </c>
      <c r="AF187" t="s">
        <v>403</v>
      </c>
      <c r="AH187">
        <v>2</v>
      </c>
      <c r="AI187">
        <v>6</v>
      </c>
      <c r="AU187">
        <v>0</v>
      </c>
      <c r="BB187">
        <v>0</v>
      </c>
      <c r="BI187">
        <v>0</v>
      </c>
      <c r="BP187">
        <v>0</v>
      </c>
      <c r="BW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R187">
        <v>0</v>
      </c>
      <c r="CY187">
        <v>0</v>
      </c>
      <c r="DF187">
        <v>0</v>
      </c>
      <c r="DM187">
        <v>0</v>
      </c>
      <c r="DT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 t="s">
        <v>404</v>
      </c>
      <c r="EJ187" t="s">
        <v>404</v>
      </c>
      <c r="EK187" t="s">
        <v>404</v>
      </c>
      <c r="EL187" t="s">
        <v>404</v>
      </c>
      <c r="EM187" t="s">
        <v>404</v>
      </c>
      <c r="EN187" t="s">
        <v>404</v>
      </c>
      <c r="EO187" t="s">
        <v>404</v>
      </c>
      <c r="EP187" t="s">
        <v>404</v>
      </c>
      <c r="EQ187" t="s">
        <v>404</v>
      </c>
      <c r="ER187" t="s">
        <v>404</v>
      </c>
      <c r="ES187" t="s">
        <v>404</v>
      </c>
      <c r="ET187" t="s">
        <v>404</v>
      </c>
      <c r="EU187" t="s">
        <v>404</v>
      </c>
      <c r="EV187" t="s">
        <v>404</v>
      </c>
      <c r="EW187" t="s">
        <v>404</v>
      </c>
      <c r="EX187" t="s">
        <v>404</v>
      </c>
      <c r="EY187" t="s">
        <v>404</v>
      </c>
      <c r="EZ187" t="s">
        <v>404</v>
      </c>
      <c r="FA187" t="s">
        <v>404</v>
      </c>
      <c r="FB187" t="s">
        <v>404</v>
      </c>
      <c r="FC187" t="s">
        <v>404</v>
      </c>
      <c r="FD187" t="s">
        <v>404</v>
      </c>
      <c r="FE187" t="s">
        <v>404</v>
      </c>
      <c r="FF187" t="s">
        <v>404</v>
      </c>
      <c r="FG187" t="s">
        <v>404</v>
      </c>
      <c r="FH187" t="s">
        <v>404</v>
      </c>
      <c r="FI187" t="s">
        <v>404</v>
      </c>
      <c r="FJ187" t="s">
        <v>404</v>
      </c>
      <c r="FK187" t="s">
        <v>404</v>
      </c>
      <c r="FL187" t="s">
        <v>404</v>
      </c>
      <c r="FM187" t="s">
        <v>404</v>
      </c>
      <c r="FN187" t="s">
        <v>404</v>
      </c>
      <c r="FO187" t="s">
        <v>404</v>
      </c>
      <c r="FP187" t="s">
        <v>404</v>
      </c>
      <c r="FQ187" t="s">
        <v>404</v>
      </c>
      <c r="FR187" t="s">
        <v>404</v>
      </c>
      <c r="FY187">
        <v>0</v>
      </c>
      <c r="GF187">
        <v>0</v>
      </c>
      <c r="GM187">
        <v>0</v>
      </c>
      <c r="GT187">
        <v>0</v>
      </c>
      <c r="HA187">
        <v>0</v>
      </c>
      <c r="HH187">
        <v>0</v>
      </c>
      <c r="HO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K187">
        <v>0</v>
      </c>
      <c r="IR187">
        <v>0</v>
      </c>
      <c r="IY187">
        <v>0</v>
      </c>
      <c r="JF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KB187">
        <v>2</v>
      </c>
      <c r="KC187" t="s">
        <v>407</v>
      </c>
      <c r="OF187" t="s">
        <v>408</v>
      </c>
      <c r="SI187" t="s">
        <v>409</v>
      </c>
      <c r="WL187" t="s">
        <v>410</v>
      </c>
      <c r="AAO187" t="s">
        <v>411</v>
      </c>
      <c r="AER187" t="s">
        <v>412</v>
      </c>
    </row>
    <row r="188" spans="1:824" x14ac:dyDescent="0.2">
      <c r="A188" t="s">
        <v>1766</v>
      </c>
      <c r="B188" t="s">
        <v>396</v>
      </c>
      <c r="C188" t="s">
        <v>1767</v>
      </c>
      <c r="P188" t="b">
        <v>0</v>
      </c>
      <c r="Q188" t="b">
        <v>0</v>
      </c>
      <c r="R188" t="b">
        <v>1</v>
      </c>
      <c r="S188" t="b">
        <v>0</v>
      </c>
      <c r="T188" t="b">
        <v>0</v>
      </c>
      <c r="U188" t="b">
        <v>0</v>
      </c>
      <c r="V188">
        <v>778</v>
      </c>
      <c r="W188" s="3">
        <v>43517.622916666667</v>
      </c>
      <c r="X188" t="s">
        <v>1768</v>
      </c>
      <c r="Y188">
        <v>2019</v>
      </c>
      <c r="Z188" t="s">
        <v>1769</v>
      </c>
      <c r="AA188" t="s">
        <v>1770</v>
      </c>
      <c r="AC188" t="s">
        <v>1771</v>
      </c>
      <c r="AE188" t="s">
        <v>1073</v>
      </c>
      <c r="AF188" t="s">
        <v>403</v>
      </c>
      <c r="AH188">
        <v>1</v>
      </c>
      <c r="AK188">
        <v>60</v>
      </c>
      <c r="AL188">
        <v>60</v>
      </c>
      <c r="AM188">
        <v>30</v>
      </c>
      <c r="AN188">
        <v>30</v>
      </c>
      <c r="AU188">
        <v>0</v>
      </c>
      <c r="BB188">
        <v>0</v>
      </c>
      <c r="BC188">
        <v>60</v>
      </c>
      <c r="BI188">
        <v>60</v>
      </c>
      <c r="BP188">
        <v>0</v>
      </c>
      <c r="BW188">
        <v>0</v>
      </c>
      <c r="CD188">
        <v>0</v>
      </c>
      <c r="CE188">
        <v>60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60</v>
      </c>
      <c r="CR188">
        <v>0</v>
      </c>
      <c r="CY188">
        <v>0</v>
      </c>
      <c r="CZ188">
        <v>1</v>
      </c>
      <c r="DF188">
        <v>1</v>
      </c>
      <c r="DM188">
        <v>0</v>
      </c>
      <c r="DT188">
        <v>0</v>
      </c>
      <c r="EA188">
        <v>0</v>
      </c>
      <c r="EB188">
        <v>1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1</v>
      </c>
      <c r="EI188" t="s">
        <v>404</v>
      </c>
      <c r="EJ188" t="s">
        <v>404</v>
      </c>
      <c r="EK188" t="s">
        <v>404</v>
      </c>
      <c r="EL188" t="s">
        <v>404</v>
      </c>
      <c r="EM188" t="s">
        <v>404</v>
      </c>
      <c r="EN188" t="s">
        <v>404</v>
      </c>
      <c r="EO188" t="s">
        <v>404</v>
      </c>
      <c r="EP188" t="s">
        <v>404</v>
      </c>
      <c r="EQ188" t="s">
        <v>404</v>
      </c>
      <c r="ER188" t="s">
        <v>404</v>
      </c>
      <c r="ES188" t="s">
        <v>404</v>
      </c>
      <c r="ET188" t="s">
        <v>404</v>
      </c>
      <c r="EU188" t="s">
        <v>405</v>
      </c>
      <c r="EV188" t="s">
        <v>404</v>
      </c>
      <c r="EW188" t="s">
        <v>404</v>
      </c>
      <c r="EX188" t="s">
        <v>404</v>
      </c>
      <c r="EY188" t="s">
        <v>404</v>
      </c>
      <c r="EZ188" t="s">
        <v>404</v>
      </c>
      <c r="FA188" t="s">
        <v>404</v>
      </c>
      <c r="FB188" t="s">
        <v>404</v>
      </c>
      <c r="FC188" t="s">
        <v>404</v>
      </c>
      <c r="FD188" t="s">
        <v>404</v>
      </c>
      <c r="FE188" t="s">
        <v>404</v>
      </c>
      <c r="FF188" t="s">
        <v>404</v>
      </c>
      <c r="FG188" t="s">
        <v>404</v>
      </c>
      <c r="FH188" t="s">
        <v>404</v>
      </c>
      <c r="FI188" t="s">
        <v>404</v>
      </c>
      <c r="FJ188" t="s">
        <v>404</v>
      </c>
      <c r="FK188" t="s">
        <v>404</v>
      </c>
      <c r="FL188" t="s">
        <v>404</v>
      </c>
      <c r="FM188" t="s">
        <v>404</v>
      </c>
      <c r="FN188" t="s">
        <v>404</v>
      </c>
      <c r="FO188" t="s">
        <v>404</v>
      </c>
      <c r="FP188" t="s">
        <v>404</v>
      </c>
      <c r="FQ188" t="s">
        <v>404</v>
      </c>
      <c r="FR188" t="s">
        <v>404</v>
      </c>
      <c r="FS188">
        <v>60</v>
      </c>
      <c r="FY188">
        <v>60</v>
      </c>
      <c r="GF188">
        <v>0</v>
      </c>
      <c r="GM188">
        <v>0</v>
      </c>
      <c r="GT188">
        <v>0</v>
      </c>
      <c r="HA188">
        <v>0</v>
      </c>
      <c r="HH188">
        <v>0</v>
      </c>
      <c r="HO188">
        <v>0</v>
      </c>
      <c r="HW188">
        <v>0</v>
      </c>
      <c r="HX188">
        <v>60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60</v>
      </c>
      <c r="IK188">
        <v>0</v>
      </c>
      <c r="IL188">
        <v>60</v>
      </c>
      <c r="IR188">
        <v>60</v>
      </c>
      <c r="IY188">
        <v>0</v>
      </c>
      <c r="JF188">
        <v>0</v>
      </c>
      <c r="JM188">
        <v>0</v>
      </c>
      <c r="JN188">
        <v>60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60</v>
      </c>
      <c r="JU188">
        <v>0</v>
      </c>
      <c r="JV188">
        <v>0</v>
      </c>
      <c r="JW188">
        <v>100</v>
      </c>
      <c r="JZ188">
        <v>1</v>
      </c>
      <c r="KA188">
        <v>3</v>
      </c>
      <c r="KB188">
        <v>2</v>
      </c>
      <c r="KC188" t="s">
        <v>407</v>
      </c>
      <c r="OF188" t="s">
        <v>408</v>
      </c>
      <c r="SI188" t="s">
        <v>409</v>
      </c>
      <c r="WL188" t="s">
        <v>410</v>
      </c>
      <c r="AAO188" t="s">
        <v>411</v>
      </c>
      <c r="AER188" t="s">
        <v>412</v>
      </c>
    </row>
    <row r="189" spans="1:824" x14ac:dyDescent="0.2">
      <c r="A189" t="s">
        <v>1772</v>
      </c>
      <c r="B189" t="s">
        <v>414</v>
      </c>
      <c r="C189" t="s">
        <v>1773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>
        <v>790</v>
      </c>
      <c r="W189" s="3">
        <v>43522.320138888892</v>
      </c>
      <c r="X189" t="s">
        <v>1774</v>
      </c>
      <c r="Y189">
        <v>2019</v>
      </c>
      <c r="Z189" t="s">
        <v>1775</v>
      </c>
      <c r="AA189" t="s">
        <v>1776</v>
      </c>
      <c r="AB189" t="s">
        <v>1777</v>
      </c>
      <c r="AC189" t="s">
        <v>1778</v>
      </c>
      <c r="AD189">
        <v>68074222</v>
      </c>
      <c r="AE189" t="s">
        <v>884</v>
      </c>
      <c r="AF189" t="s">
        <v>1631</v>
      </c>
      <c r="AH189">
        <v>2</v>
      </c>
      <c r="AI189">
        <v>6</v>
      </c>
      <c r="AJ189" t="s">
        <v>1779</v>
      </c>
      <c r="AU189">
        <v>0</v>
      </c>
      <c r="BB189">
        <v>0</v>
      </c>
      <c r="BI189">
        <v>0</v>
      </c>
      <c r="BP189">
        <v>0</v>
      </c>
      <c r="BW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R189">
        <v>0</v>
      </c>
      <c r="CY189">
        <v>0</v>
      </c>
      <c r="DF189">
        <v>0</v>
      </c>
      <c r="DM189">
        <v>0</v>
      </c>
      <c r="DT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 t="s">
        <v>404</v>
      </c>
      <c r="EJ189" t="s">
        <v>404</v>
      </c>
      <c r="EK189" t="s">
        <v>404</v>
      </c>
      <c r="EL189" t="s">
        <v>404</v>
      </c>
      <c r="EM189" t="s">
        <v>404</v>
      </c>
      <c r="EN189" t="s">
        <v>404</v>
      </c>
      <c r="EO189" t="s">
        <v>404</v>
      </c>
      <c r="EP189" t="s">
        <v>404</v>
      </c>
      <c r="EQ189" t="s">
        <v>404</v>
      </c>
      <c r="ER189" t="s">
        <v>404</v>
      </c>
      <c r="ES189" t="s">
        <v>404</v>
      </c>
      <c r="ET189" t="s">
        <v>404</v>
      </c>
      <c r="EU189" t="s">
        <v>404</v>
      </c>
      <c r="EV189" t="s">
        <v>404</v>
      </c>
      <c r="EW189" t="s">
        <v>404</v>
      </c>
      <c r="EX189" t="s">
        <v>404</v>
      </c>
      <c r="EY189" t="s">
        <v>404</v>
      </c>
      <c r="EZ189" t="s">
        <v>404</v>
      </c>
      <c r="FA189" t="s">
        <v>404</v>
      </c>
      <c r="FB189" t="s">
        <v>404</v>
      </c>
      <c r="FC189" t="s">
        <v>404</v>
      </c>
      <c r="FD189" t="s">
        <v>404</v>
      </c>
      <c r="FE189" t="s">
        <v>404</v>
      </c>
      <c r="FF189" t="s">
        <v>404</v>
      </c>
      <c r="FG189" t="s">
        <v>404</v>
      </c>
      <c r="FH189" t="s">
        <v>404</v>
      </c>
      <c r="FI189" t="s">
        <v>404</v>
      </c>
      <c r="FJ189" t="s">
        <v>404</v>
      </c>
      <c r="FK189" t="s">
        <v>404</v>
      </c>
      <c r="FL189" t="s">
        <v>404</v>
      </c>
      <c r="FM189" t="s">
        <v>404</v>
      </c>
      <c r="FN189" t="s">
        <v>404</v>
      </c>
      <c r="FO189" t="s">
        <v>404</v>
      </c>
      <c r="FP189" t="s">
        <v>404</v>
      </c>
      <c r="FQ189" t="s">
        <v>404</v>
      </c>
      <c r="FR189" t="s">
        <v>404</v>
      </c>
      <c r="FY189">
        <v>0</v>
      </c>
      <c r="GF189">
        <v>0</v>
      </c>
      <c r="GM189">
        <v>0</v>
      </c>
      <c r="GT189">
        <v>0</v>
      </c>
      <c r="HA189">
        <v>0</v>
      </c>
      <c r="HH189">
        <v>0</v>
      </c>
      <c r="HO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K189">
        <v>0</v>
      </c>
      <c r="IR189">
        <v>0</v>
      </c>
      <c r="IY189">
        <v>0</v>
      </c>
      <c r="JF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Z189">
        <v>1</v>
      </c>
      <c r="KA189">
        <v>1</v>
      </c>
      <c r="KB189">
        <v>2</v>
      </c>
      <c r="KC189" t="s">
        <v>407</v>
      </c>
      <c r="OF189" t="s">
        <v>408</v>
      </c>
      <c r="SI189" t="s">
        <v>409</v>
      </c>
      <c r="WL189" t="s">
        <v>410</v>
      </c>
      <c r="AAO189" t="s">
        <v>411</v>
      </c>
      <c r="AER189" t="s">
        <v>412</v>
      </c>
    </row>
    <row r="190" spans="1:824" x14ac:dyDescent="0.2">
      <c r="A190" t="s">
        <v>1780</v>
      </c>
      <c r="B190" t="s">
        <v>396</v>
      </c>
      <c r="C190" t="s">
        <v>1781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>
        <v>684</v>
      </c>
      <c r="W190" s="3">
        <v>43525.419444444444</v>
      </c>
      <c r="X190" t="s">
        <v>1782</v>
      </c>
      <c r="Y190">
        <v>2019</v>
      </c>
      <c r="Z190" t="s">
        <v>1783</v>
      </c>
      <c r="AA190" t="s">
        <v>1781</v>
      </c>
      <c r="AB190" t="s">
        <v>1784</v>
      </c>
      <c r="AC190" t="s">
        <v>1785</v>
      </c>
      <c r="AD190">
        <v>694516627</v>
      </c>
      <c r="AE190" t="s">
        <v>998</v>
      </c>
      <c r="AF190" t="s">
        <v>403</v>
      </c>
      <c r="AH190">
        <v>1</v>
      </c>
      <c r="AK190">
        <v>400</v>
      </c>
      <c r="AL190">
        <v>400</v>
      </c>
      <c r="AM190">
        <v>0</v>
      </c>
      <c r="AN190">
        <v>0</v>
      </c>
      <c r="AU190">
        <v>0</v>
      </c>
      <c r="AW190">
        <v>400</v>
      </c>
      <c r="BB190">
        <v>400</v>
      </c>
      <c r="BI190">
        <v>0</v>
      </c>
      <c r="BP190">
        <v>0</v>
      </c>
      <c r="BW190">
        <v>0</v>
      </c>
      <c r="CD190">
        <v>0</v>
      </c>
      <c r="CE190">
        <v>0</v>
      </c>
      <c r="CF190">
        <v>400</v>
      </c>
      <c r="CG190">
        <v>0</v>
      </c>
      <c r="CH190">
        <v>0</v>
      </c>
      <c r="CI190">
        <v>0</v>
      </c>
      <c r="CJ190">
        <v>0</v>
      </c>
      <c r="CK190">
        <v>400</v>
      </c>
      <c r="CR190">
        <v>0</v>
      </c>
      <c r="CT190">
        <v>1</v>
      </c>
      <c r="CY190">
        <v>1</v>
      </c>
      <c r="DF190">
        <v>0</v>
      </c>
      <c r="DM190">
        <v>0</v>
      </c>
      <c r="DT190">
        <v>0</v>
      </c>
      <c r="EA190">
        <v>0</v>
      </c>
      <c r="EB190">
        <v>0</v>
      </c>
      <c r="EC190">
        <v>1</v>
      </c>
      <c r="ED190">
        <v>0</v>
      </c>
      <c r="EE190">
        <v>0</v>
      </c>
      <c r="EF190">
        <v>0</v>
      </c>
      <c r="EG190">
        <v>0</v>
      </c>
      <c r="EH190">
        <v>1</v>
      </c>
      <c r="EI190" t="s">
        <v>404</v>
      </c>
      <c r="EJ190" t="s">
        <v>404</v>
      </c>
      <c r="EK190" t="s">
        <v>404</v>
      </c>
      <c r="EL190" t="s">
        <v>404</v>
      </c>
      <c r="EM190" t="s">
        <v>404</v>
      </c>
      <c r="EN190" t="s">
        <v>404</v>
      </c>
      <c r="EO190" t="s">
        <v>404</v>
      </c>
      <c r="EP190" t="s">
        <v>405</v>
      </c>
      <c r="EQ190" t="s">
        <v>404</v>
      </c>
      <c r="ER190" t="s">
        <v>404</v>
      </c>
      <c r="ES190" t="s">
        <v>404</v>
      </c>
      <c r="ET190" t="s">
        <v>404</v>
      </c>
      <c r="EU190" t="s">
        <v>404</v>
      </c>
      <c r="EV190" t="s">
        <v>404</v>
      </c>
      <c r="EW190" t="s">
        <v>404</v>
      </c>
      <c r="EX190" t="s">
        <v>404</v>
      </c>
      <c r="EY190" t="s">
        <v>404</v>
      </c>
      <c r="EZ190" t="s">
        <v>404</v>
      </c>
      <c r="FA190" t="s">
        <v>404</v>
      </c>
      <c r="FB190" t="s">
        <v>404</v>
      </c>
      <c r="FC190" t="s">
        <v>404</v>
      </c>
      <c r="FD190" t="s">
        <v>404</v>
      </c>
      <c r="FE190" t="s">
        <v>404</v>
      </c>
      <c r="FF190" t="s">
        <v>404</v>
      </c>
      <c r="FG190" t="s">
        <v>404</v>
      </c>
      <c r="FH190" t="s">
        <v>404</v>
      </c>
      <c r="FI190" t="s">
        <v>404</v>
      </c>
      <c r="FJ190" t="s">
        <v>404</v>
      </c>
      <c r="FK190" t="s">
        <v>404</v>
      </c>
      <c r="FL190" t="s">
        <v>404</v>
      </c>
      <c r="FM190" t="s">
        <v>404</v>
      </c>
      <c r="FN190" t="s">
        <v>404</v>
      </c>
      <c r="FO190" t="s">
        <v>404</v>
      </c>
      <c r="FP190" t="s">
        <v>404</v>
      </c>
      <c r="FQ190" t="s">
        <v>404</v>
      </c>
      <c r="FR190" t="s">
        <v>404</v>
      </c>
      <c r="FT190">
        <v>400</v>
      </c>
      <c r="FY190">
        <v>400</v>
      </c>
      <c r="GF190">
        <v>0</v>
      </c>
      <c r="GM190">
        <v>0</v>
      </c>
      <c r="GT190">
        <v>0</v>
      </c>
      <c r="HA190">
        <v>0</v>
      </c>
      <c r="HH190">
        <v>0</v>
      </c>
      <c r="HO190">
        <v>0</v>
      </c>
      <c r="HW190">
        <v>0</v>
      </c>
      <c r="HX190">
        <v>0</v>
      </c>
      <c r="HY190">
        <v>400</v>
      </c>
      <c r="HZ190">
        <v>0</v>
      </c>
      <c r="IA190">
        <v>0</v>
      </c>
      <c r="IB190">
        <v>0</v>
      </c>
      <c r="IC190">
        <v>0</v>
      </c>
      <c r="ID190">
        <v>400</v>
      </c>
      <c r="IK190">
        <v>0</v>
      </c>
      <c r="IM190">
        <v>400</v>
      </c>
      <c r="IR190">
        <v>400</v>
      </c>
      <c r="IY190">
        <v>0</v>
      </c>
      <c r="JF190">
        <v>0</v>
      </c>
      <c r="JM190">
        <v>0</v>
      </c>
      <c r="JN190">
        <v>0</v>
      </c>
      <c r="JO190">
        <v>400</v>
      </c>
      <c r="JP190">
        <v>0</v>
      </c>
      <c r="JQ190">
        <v>0</v>
      </c>
      <c r="JR190">
        <v>0</v>
      </c>
      <c r="JS190">
        <v>0</v>
      </c>
      <c r="JT190">
        <v>400</v>
      </c>
      <c r="JU190">
        <v>0</v>
      </c>
      <c r="JV190">
        <v>0</v>
      </c>
      <c r="JW190">
        <v>100</v>
      </c>
      <c r="JZ190">
        <v>2</v>
      </c>
      <c r="KA190">
        <v>3</v>
      </c>
      <c r="KB190">
        <v>1</v>
      </c>
      <c r="KC190" t="s">
        <v>407</v>
      </c>
      <c r="OF190" t="s">
        <v>408</v>
      </c>
      <c r="SI190" t="s">
        <v>409</v>
      </c>
      <c r="WL190" t="s">
        <v>410</v>
      </c>
      <c r="AAO190" t="s">
        <v>411</v>
      </c>
      <c r="AER190" t="s">
        <v>412</v>
      </c>
    </row>
    <row r="191" spans="1:824" x14ac:dyDescent="0.2">
      <c r="A191" t="s">
        <v>1786</v>
      </c>
      <c r="B191" t="s">
        <v>396</v>
      </c>
      <c r="C191" t="s">
        <v>1787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>
        <v>816</v>
      </c>
      <c r="W191" s="3">
        <v>43523.620833333334</v>
      </c>
      <c r="X191" t="s">
        <v>816</v>
      </c>
      <c r="Y191">
        <v>2019</v>
      </c>
      <c r="Z191" t="s">
        <v>396</v>
      </c>
      <c r="AA191" t="s">
        <v>1788</v>
      </c>
      <c r="AC191" t="s">
        <v>888</v>
      </c>
      <c r="AE191" t="s">
        <v>452</v>
      </c>
      <c r="AF191" t="s">
        <v>403</v>
      </c>
      <c r="AH191">
        <v>2</v>
      </c>
      <c r="AU191">
        <v>0</v>
      </c>
      <c r="BB191">
        <v>0</v>
      </c>
      <c r="BI191">
        <v>0</v>
      </c>
      <c r="BP191">
        <v>0</v>
      </c>
      <c r="BW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R191">
        <v>0</v>
      </c>
      <c r="CY191">
        <v>0</v>
      </c>
      <c r="DF191">
        <v>0</v>
      </c>
      <c r="DM191">
        <v>0</v>
      </c>
      <c r="DT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 t="s">
        <v>404</v>
      </c>
      <c r="EJ191" t="s">
        <v>404</v>
      </c>
      <c r="EK191" t="s">
        <v>404</v>
      </c>
      <c r="EL191" t="s">
        <v>404</v>
      </c>
      <c r="EM191" t="s">
        <v>404</v>
      </c>
      <c r="EN191" t="s">
        <v>404</v>
      </c>
      <c r="EO191" t="s">
        <v>404</v>
      </c>
      <c r="EP191" t="s">
        <v>404</v>
      </c>
      <c r="EQ191" t="s">
        <v>404</v>
      </c>
      <c r="ER191" t="s">
        <v>404</v>
      </c>
      <c r="ES191" t="s">
        <v>404</v>
      </c>
      <c r="ET191" t="s">
        <v>404</v>
      </c>
      <c r="EU191" t="s">
        <v>404</v>
      </c>
      <c r="EV191" t="s">
        <v>404</v>
      </c>
      <c r="EW191" t="s">
        <v>404</v>
      </c>
      <c r="EX191" t="s">
        <v>404</v>
      </c>
      <c r="EY191" t="s">
        <v>404</v>
      </c>
      <c r="EZ191" t="s">
        <v>404</v>
      </c>
      <c r="FA191" t="s">
        <v>404</v>
      </c>
      <c r="FB191" t="s">
        <v>404</v>
      </c>
      <c r="FC191" t="s">
        <v>404</v>
      </c>
      <c r="FD191" t="s">
        <v>404</v>
      </c>
      <c r="FE191" t="s">
        <v>404</v>
      </c>
      <c r="FF191" t="s">
        <v>404</v>
      </c>
      <c r="FG191" t="s">
        <v>404</v>
      </c>
      <c r="FH191" t="s">
        <v>404</v>
      </c>
      <c r="FI191" t="s">
        <v>404</v>
      </c>
      <c r="FJ191" t="s">
        <v>404</v>
      </c>
      <c r="FK191" t="s">
        <v>404</v>
      </c>
      <c r="FL191" t="s">
        <v>404</v>
      </c>
      <c r="FM191" t="s">
        <v>404</v>
      </c>
      <c r="FN191" t="s">
        <v>404</v>
      </c>
      <c r="FO191" t="s">
        <v>404</v>
      </c>
      <c r="FP191" t="s">
        <v>404</v>
      </c>
      <c r="FQ191" t="s">
        <v>404</v>
      </c>
      <c r="FR191" t="s">
        <v>404</v>
      </c>
      <c r="FY191">
        <v>0</v>
      </c>
      <c r="GF191">
        <v>0</v>
      </c>
      <c r="GM191">
        <v>0</v>
      </c>
      <c r="GT191">
        <v>0</v>
      </c>
      <c r="HA191">
        <v>0</v>
      </c>
      <c r="HH191">
        <v>0</v>
      </c>
      <c r="HO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K191">
        <v>0</v>
      </c>
      <c r="IR191">
        <v>0</v>
      </c>
      <c r="IY191">
        <v>0</v>
      </c>
      <c r="JF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KB191">
        <v>2</v>
      </c>
      <c r="KC191" t="s">
        <v>407</v>
      </c>
      <c r="OF191" t="s">
        <v>408</v>
      </c>
      <c r="SI191" t="s">
        <v>409</v>
      </c>
      <c r="WL191" t="s">
        <v>410</v>
      </c>
      <c r="AAO191" t="s">
        <v>411</v>
      </c>
      <c r="AER191" t="s">
        <v>412</v>
      </c>
    </row>
    <row r="192" spans="1:824" x14ac:dyDescent="0.2">
      <c r="A192" t="s">
        <v>1789</v>
      </c>
      <c r="B192" t="s">
        <v>563</v>
      </c>
      <c r="C192" t="s">
        <v>1790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>
        <v>605</v>
      </c>
      <c r="W192" s="3">
        <v>43481.953472222223</v>
      </c>
      <c r="X192" t="s">
        <v>1791</v>
      </c>
      <c r="Y192">
        <v>2019</v>
      </c>
      <c r="Z192" t="s">
        <v>1792</v>
      </c>
      <c r="AA192" t="s">
        <v>1793</v>
      </c>
      <c r="AB192" t="s">
        <v>1794</v>
      </c>
      <c r="AC192" t="s">
        <v>1795</v>
      </c>
      <c r="AD192" t="s">
        <v>1796</v>
      </c>
      <c r="AE192" t="s">
        <v>571</v>
      </c>
      <c r="AF192" t="s">
        <v>538</v>
      </c>
      <c r="AH192">
        <v>2</v>
      </c>
      <c r="AI192">
        <v>6</v>
      </c>
      <c r="AJ192" t="s">
        <v>1797</v>
      </c>
      <c r="AU192">
        <v>0</v>
      </c>
      <c r="BB192">
        <v>0</v>
      </c>
      <c r="BI192">
        <v>0</v>
      </c>
      <c r="BP192">
        <v>0</v>
      </c>
      <c r="BW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R192">
        <v>0</v>
      </c>
      <c r="CY192">
        <v>0</v>
      </c>
      <c r="DF192">
        <v>0</v>
      </c>
      <c r="DM192">
        <v>0</v>
      </c>
      <c r="DT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 t="s">
        <v>404</v>
      </c>
      <c r="EJ192" t="s">
        <v>404</v>
      </c>
      <c r="EK192" t="s">
        <v>404</v>
      </c>
      <c r="EL192" t="s">
        <v>404</v>
      </c>
      <c r="EM192" t="s">
        <v>404</v>
      </c>
      <c r="EN192" t="s">
        <v>404</v>
      </c>
      <c r="EO192" t="s">
        <v>404</v>
      </c>
      <c r="EP192" t="s">
        <v>404</v>
      </c>
      <c r="EQ192" t="s">
        <v>404</v>
      </c>
      <c r="ER192" t="s">
        <v>404</v>
      </c>
      <c r="ES192" t="s">
        <v>404</v>
      </c>
      <c r="ET192" t="s">
        <v>404</v>
      </c>
      <c r="EU192" t="s">
        <v>404</v>
      </c>
      <c r="EV192" t="s">
        <v>404</v>
      </c>
      <c r="EW192" t="s">
        <v>404</v>
      </c>
      <c r="EX192" t="s">
        <v>404</v>
      </c>
      <c r="EY192" t="s">
        <v>404</v>
      </c>
      <c r="EZ192" t="s">
        <v>404</v>
      </c>
      <c r="FA192" t="s">
        <v>404</v>
      </c>
      <c r="FB192" t="s">
        <v>404</v>
      </c>
      <c r="FC192" t="s">
        <v>404</v>
      </c>
      <c r="FD192" t="s">
        <v>404</v>
      </c>
      <c r="FE192" t="s">
        <v>404</v>
      </c>
      <c r="FF192" t="s">
        <v>404</v>
      </c>
      <c r="FG192" t="s">
        <v>404</v>
      </c>
      <c r="FH192" t="s">
        <v>404</v>
      </c>
      <c r="FI192" t="s">
        <v>404</v>
      </c>
      <c r="FJ192" t="s">
        <v>404</v>
      </c>
      <c r="FK192" t="s">
        <v>404</v>
      </c>
      <c r="FL192" t="s">
        <v>404</v>
      </c>
      <c r="FM192" t="s">
        <v>404</v>
      </c>
      <c r="FN192" t="s">
        <v>404</v>
      </c>
      <c r="FO192" t="s">
        <v>404</v>
      </c>
      <c r="FP192" t="s">
        <v>404</v>
      </c>
      <c r="FQ192" t="s">
        <v>404</v>
      </c>
      <c r="FR192" t="s">
        <v>404</v>
      </c>
      <c r="FY192">
        <v>0</v>
      </c>
      <c r="GF192">
        <v>0</v>
      </c>
      <c r="GM192">
        <v>0</v>
      </c>
      <c r="GT192">
        <v>0</v>
      </c>
      <c r="HA192">
        <v>0</v>
      </c>
      <c r="HH192">
        <v>0</v>
      </c>
      <c r="HO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K192">
        <v>0</v>
      </c>
      <c r="IR192">
        <v>0</v>
      </c>
      <c r="IY192">
        <v>0</v>
      </c>
      <c r="JF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Z192">
        <v>3</v>
      </c>
      <c r="KA192">
        <v>3</v>
      </c>
      <c r="KB192">
        <v>1</v>
      </c>
      <c r="KC192" t="s">
        <v>407</v>
      </c>
      <c r="OF192" t="s">
        <v>408</v>
      </c>
      <c r="SI192" t="s">
        <v>409</v>
      </c>
      <c r="WL192" t="s">
        <v>410</v>
      </c>
      <c r="AAO192" t="s">
        <v>411</v>
      </c>
      <c r="AER192" t="s">
        <v>412</v>
      </c>
    </row>
    <row r="193" spans="1:824" x14ac:dyDescent="0.2">
      <c r="A193" t="s">
        <v>1798</v>
      </c>
      <c r="B193" t="s">
        <v>396</v>
      </c>
      <c r="C193" t="s">
        <v>1799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>
        <v>643</v>
      </c>
      <c r="W193" s="3">
        <v>43515.394444444442</v>
      </c>
      <c r="X193" t="s">
        <v>1800</v>
      </c>
      <c r="Y193">
        <v>2019</v>
      </c>
      <c r="Z193" t="s">
        <v>1801</v>
      </c>
      <c r="AA193" t="s">
        <v>1799</v>
      </c>
      <c r="AB193" t="s">
        <v>1802</v>
      </c>
      <c r="AC193" t="s">
        <v>1803</v>
      </c>
      <c r="AD193">
        <v>4791602270</v>
      </c>
      <c r="AE193" t="s">
        <v>467</v>
      </c>
      <c r="AF193" t="s">
        <v>468</v>
      </c>
      <c r="AH193">
        <v>1</v>
      </c>
      <c r="AK193">
        <v>500</v>
      </c>
      <c r="AL193">
        <v>500</v>
      </c>
      <c r="AM193">
        <v>500</v>
      </c>
      <c r="AN193">
        <v>500</v>
      </c>
      <c r="AU193">
        <v>0</v>
      </c>
      <c r="AV193">
        <v>500</v>
      </c>
      <c r="BB193">
        <v>500</v>
      </c>
      <c r="BI193">
        <v>0</v>
      </c>
      <c r="BP193">
        <v>0</v>
      </c>
      <c r="BW193">
        <v>0</v>
      </c>
      <c r="CD193">
        <v>0</v>
      </c>
      <c r="CE193">
        <v>500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500</v>
      </c>
      <c r="CR193">
        <v>0</v>
      </c>
      <c r="CS193">
        <v>1</v>
      </c>
      <c r="CY193">
        <v>1</v>
      </c>
      <c r="DF193">
        <v>0</v>
      </c>
      <c r="DM193">
        <v>0</v>
      </c>
      <c r="DT193">
        <v>0</v>
      </c>
      <c r="EA193">
        <v>0</v>
      </c>
      <c r="EB193">
        <v>1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1</v>
      </c>
      <c r="EI193" t="s">
        <v>404</v>
      </c>
      <c r="EJ193" t="s">
        <v>404</v>
      </c>
      <c r="EK193" t="s">
        <v>404</v>
      </c>
      <c r="EL193" t="s">
        <v>404</v>
      </c>
      <c r="EM193" t="s">
        <v>404</v>
      </c>
      <c r="EN193" t="s">
        <v>404</v>
      </c>
      <c r="EO193" t="s">
        <v>405</v>
      </c>
      <c r="EP193" t="s">
        <v>404</v>
      </c>
      <c r="EQ193" t="s">
        <v>404</v>
      </c>
      <c r="ER193" t="s">
        <v>404</v>
      </c>
      <c r="ES193" t="s">
        <v>404</v>
      </c>
      <c r="ET193" t="s">
        <v>404</v>
      </c>
      <c r="EU193" t="s">
        <v>404</v>
      </c>
      <c r="EV193" t="s">
        <v>404</v>
      </c>
      <c r="EW193" t="s">
        <v>404</v>
      </c>
      <c r="EX193" t="s">
        <v>404</v>
      </c>
      <c r="EY193" t="s">
        <v>404</v>
      </c>
      <c r="EZ193" t="s">
        <v>404</v>
      </c>
      <c r="FA193" t="s">
        <v>404</v>
      </c>
      <c r="FB193" t="s">
        <v>404</v>
      </c>
      <c r="FC193" t="s">
        <v>404</v>
      </c>
      <c r="FD193" t="s">
        <v>404</v>
      </c>
      <c r="FE193" t="s">
        <v>404</v>
      </c>
      <c r="FF193" t="s">
        <v>404</v>
      </c>
      <c r="FG193" t="s">
        <v>404</v>
      </c>
      <c r="FH193" t="s">
        <v>404</v>
      </c>
      <c r="FI193" t="s">
        <v>404</v>
      </c>
      <c r="FJ193" t="s">
        <v>404</v>
      </c>
      <c r="FK193" t="s">
        <v>404</v>
      </c>
      <c r="FL193" t="s">
        <v>404</v>
      </c>
      <c r="FM193" t="s">
        <v>404</v>
      </c>
      <c r="FN193" t="s">
        <v>404</v>
      </c>
      <c r="FO193" t="s">
        <v>404</v>
      </c>
      <c r="FP193" t="s">
        <v>404</v>
      </c>
      <c r="FQ193" t="s">
        <v>404</v>
      </c>
      <c r="FR193" t="s">
        <v>404</v>
      </c>
      <c r="FS193">
        <v>500</v>
      </c>
      <c r="FY193">
        <v>500</v>
      </c>
      <c r="GF193">
        <v>0</v>
      </c>
      <c r="GM193">
        <v>0</v>
      </c>
      <c r="GT193">
        <v>0</v>
      </c>
      <c r="HA193">
        <v>0</v>
      </c>
      <c r="HH193">
        <v>0</v>
      </c>
      <c r="HO193">
        <v>0</v>
      </c>
      <c r="HW193">
        <v>0</v>
      </c>
      <c r="HX193">
        <v>500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500</v>
      </c>
      <c r="IK193">
        <v>0</v>
      </c>
      <c r="IL193">
        <v>500</v>
      </c>
      <c r="IR193">
        <v>500</v>
      </c>
      <c r="IY193">
        <v>0</v>
      </c>
      <c r="JF193">
        <v>0</v>
      </c>
      <c r="JM193">
        <v>0</v>
      </c>
      <c r="JN193">
        <v>500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500</v>
      </c>
      <c r="JW193">
        <v>100</v>
      </c>
      <c r="JZ193">
        <v>1</v>
      </c>
      <c r="KA193">
        <v>1</v>
      </c>
      <c r="KB193">
        <v>1</v>
      </c>
      <c r="KC193" t="s">
        <v>407</v>
      </c>
      <c r="OF193" t="s">
        <v>408</v>
      </c>
      <c r="SI193" t="s">
        <v>409</v>
      </c>
      <c r="WL193" t="s">
        <v>410</v>
      </c>
      <c r="AAO193" t="s">
        <v>411</v>
      </c>
      <c r="AER193" t="s">
        <v>412</v>
      </c>
    </row>
    <row r="194" spans="1:824" x14ac:dyDescent="0.2">
      <c r="A194" t="s">
        <v>1804</v>
      </c>
      <c r="B194" t="s">
        <v>563</v>
      </c>
      <c r="C194" t="s">
        <v>1805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>
        <v>611</v>
      </c>
      <c r="W194" s="3">
        <v>43482.542361111111</v>
      </c>
      <c r="X194" t="s">
        <v>1806</v>
      </c>
      <c r="Y194">
        <v>2019</v>
      </c>
      <c r="Z194" t="s">
        <v>1807</v>
      </c>
      <c r="AA194" t="s">
        <v>1808</v>
      </c>
      <c r="AB194" t="s">
        <v>734</v>
      </c>
      <c r="AC194" t="s">
        <v>1809</v>
      </c>
      <c r="AD194" t="s">
        <v>1810</v>
      </c>
      <c r="AE194" t="s">
        <v>571</v>
      </c>
      <c r="AF194" t="s">
        <v>538</v>
      </c>
      <c r="AH194">
        <v>2</v>
      </c>
      <c r="AI194">
        <v>6</v>
      </c>
      <c r="AU194">
        <v>0</v>
      </c>
      <c r="BB194">
        <v>0</v>
      </c>
      <c r="BI194">
        <v>0</v>
      </c>
      <c r="BP194">
        <v>0</v>
      </c>
      <c r="BW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R194">
        <v>0</v>
      </c>
      <c r="CY194">
        <v>0</v>
      </c>
      <c r="DF194">
        <v>0</v>
      </c>
      <c r="DM194">
        <v>0</v>
      </c>
      <c r="DT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 t="s">
        <v>404</v>
      </c>
      <c r="EJ194" t="s">
        <v>404</v>
      </c>
      <c r="EK194" t="s">
        <v>404</v>
      </c>
      <c r="EL194" t="s">
        <v>404</v>
      </c>
      <c r="EM194" t="s">
        <v>404</v>
      </c>
      <c r="EN194" t="s">
        <v>404</v>
      </c>
      <c r="EO194" t="s">
        <v>404</v>
      </c>
      <c r="EP194" t="s">
        <v>404</v>
      </c>
      <c r="EQ194" t="s">
        <v>404</v>
      </c>
      <c r="ER194" t="s">
        <v>404</v>
      </c>
      <c r="ES194" t="s">
        <v>404</v>
      </c>
      <c r="ET194" t="s">
        <v>404</v>
      </c>
      <c r="EU194" t="s">
        <v>404</v>
      </c>
      <c r="EV194" t="s">
        <v>404</v>
      </c>
      <c r="EW194" t="s">
        <v>404</v>
      </c>
      <c r="EX194" t="s">
        <v>404</v>
      </c>
      <c r="EY194" t="s">
        <v>404</v>
      </c>
      <c r="EZ194" t="s">
        <v>404</v>
      </c>
      <c r="FA194" t="s">
        <v>404</v>
      </c>
      <c r="FB194" t="s">
        <v>404</v>
      </c>
      <c r="FC194" t="s">
        <v>404</v>
      </c>
      <c r="FD194" t="s">
        <v>404</v>
      </c>
      <c r="FE194" t="s">
        <v>404</v>
      </c>
      <c r="FF194" t="s">
        <v>404</v>
      </c>
      <c r="FG194" t="s">
        <v>404</v>
      </c>
      <c r="FH194" t="s">
        <v>404</v>
      </c>
      <c r="FI194" t="s">
        <v>404</v>
      </c>
      <c r="FJ194" t="s">
        <v>404</v>
      </c>
      <c r="FK194" t="s">
        <v>404</v>
      </c>
      <c r="FL194" t="s">
        <v>404</v>
      </c>
      <c r="FM194" t="s">
        <v>404</v>
      </c>
      <c r="FN194" t="s">
        <v>404</v>
      </c>
      <c r="FO194" t="s">
        <v>404</v>
      </c>
      <c r="FP194" t="s">
        <v>404</v>
      </c>
      <c r="FQ194" t="s">
        <v>404</v>
      </c>
      <c r="FR194" t="s">
        <v>404</v>
      </c>
      <c r="FY194">
        <v>0</v>
      </c>
      <c r="GF194">
        <v>0</v>
      </c>
      <c r="GM194">
        <v>0</v>
      </c>
      <c r="GT194">
        <v>0</v>
      </c>
      <c r="HA194">
        <v>0</v>
      </c>
      <c r="HH194">
        <v>0</v>
      </c>
      <c r="HO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K194">
        <v>0</v>
      </c>
      <c r="IR194">
        <v>0</v>
      </c>
      <c r="IY194">
        <v>0</v>
      </c>
      <c r="JF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Z194">
        <v>1</v>
      </c>
      <c r="KA194">
        <v>3</v>
      </c>
      <c r="KB194">
        <v>1</v>
      </c>
      <c r="KC194" t="s">
        <v>407</v>
      </c>
      <c r="OF194" t="s">
        <v>408</v>
      </c>
      <c r="SI194" t="s">
        <v>409</v>
      </c>
      <c r="WL194" t="s">
        <v>410</v>
      </c>
      <c r="AAO194" t="s">
        <v>411</v>
      </c>
      <c r="AER194" t="s">
        <v>412</v>
      </c>
    </row>
    <row r="195" spans="1:824" x14ac:dyDescent="0.2">
      <c r="A195" t="s">
        <v>1811</v>
      </c>
      <c r="B195" t="s">
        <v>396</v>
      </c>
      <c r="C195" t="s">
        <v>1812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>
        <v>769</v>
      </c>
      <c r="W195" s="3">
        <v>43516.57916666667</v>
      </c>
      <c r="X195" t="s">
        <v>1813</v>
      </c>
      <c r="Y195">
        <v>2019</v>
      </c>
      <c r="Z195" t="s">
        <v>1814</v>
      </c>
      <c r="AA195" t="s">
        <v>1812</v>
      </c>
      <c r="AB195" t="s">
        <v>685</v>
      </c>
      <c r="AC195" t="s">
        <v>1815</v>
      </c>
      <c r="AD195">
        <v>4921141613311</v>
      </c>
      <c r="AE195" t="s">
        <v>444</v>
      </c>
      <c r="AF195" t="s">
        <v>403</v>
      </c>
      <c r="AH195">
        <v>1</v>
      </c>
      <c r="AK195">
        <v>344</v>
      </c>
      <c r="AL195">
        <v>344</v>
      </c>
      <c r="AM195">
        <v>273</v>
      </c>
      <c r="AN195">
        <v>273</v>
      </c>
      <c r="AU195">
        <v>0</v>
      </c>
      <c r="BA195">
        <v>344</v>
      </c>
      <c r="BB195">
        <v>344</v>
      </c>
      <c r="BI195">
        <v>0</v>
      </c>
      <c r="BP195">
        <v>0</v>
      </c>
      <c r="BW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344</v>
      </c>
      <c r="CK195">
        <v>344</v>
      </c>
      <c r="CR195">
        <v>0</v>
      </c>
      <c r="CX195">
        <v>3</v>
      </c>
      <c r="CY195">
        <v>3</v>
      </c>
      <c r="DF195">
        <v>0</v>
      </c>
      <c r="DM195">
        <v>0</v>
      </c>
      <c r="DT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3</v>
      </c>
      <c r="EH195">
        <v>3</v>
      </c>
      <c r="EI195" t="s">
        <v>404</v>
      </c>
      <c r="EJ195" t="s">
        <v>404</v>
      </c>
      <c r="EK195" t="s">
        <v>404</v>
      </c>
      <c r="EL195" t="s">
        <v>404</v>
      </c>
      <c r="EM195" t="s">
        <v>404</v>
      </c>
      <c r="EN195" t="s">
        <v>404</v>
      </c>
      <c r="EO195" t="s">
        <v>404</v>
      </c>
      <c r="EP195" t="s">
        <v>404</v>
      </c>
      <c r="EQ195" t="s">
        <v>404</v>
      </c>
      <c r="ER195" t="s">
        <v>404</v>
      </c>
      <c r="ES195" t="s">
        <v>404</v>
      </c>
      <c r="ET195" t="s">
        <v>405</v>
      </c>
      <c r="EU195" t="s">
        <v>404</v>
      </c>
      <c r="EV195" t="s">
        <v>404</v>
      </c>
      <c r="EW195" t="s">
        <v>404</v>
      </c>
      <c r="EX195" t="s">
        <v>404</v>
      </c>
      <c r="EY195" t="s">
        <v>404</v>
      </c>
      <c r="EZ195" t="s">
        <v>404</v>
      </c>
      <c r="FA195" t="s">
        <v>404</v>
      </c>
      <c r="FB195" t="s">
        <v>404</v>
      </c>
      <c r="FC195" t="s">
        <v>404</v>
      </c>
      <c r="FD195" t="s">
        <v>404</v>
      </c>
      <c r="FE195" t="s">
        <v>404</v>
      </c>
      <c r="FF195" t="s">
        <v>404</v>
      </c>
      <c r="FG195" t="s">
        <v>404</v>
      </c>
      <c r="FH195" t="s">
        <v>404</v>
      </c>
      <c r="FI195" t="s">
        <v>404</v>
      </c>
      <c r="FJ195" t="s">
        <v>404</v>
      </c>
      <c r="FK195" t="s">
        <v>404</v>
      </c>
      <c r="FL195" t="s">
        <v>404</v>
      </c>
      <c r="FM195" t="s">
        <v>404</v>
      </c>
      <c r="FN195" t="s">
        <v>404</v>
      </c>
      <c r="FO195" t="s">
        <v>404</v>
      </c>
      <c r="FP195" t="s">
        <v>404</v>
      </c>
      <c r="FQ195" t="s">
        <v>404</v>
      </c>
      <c r="FR195" t="s">
        <v>404</v>
      </c>
      <c r="FY195">
        <v>0</v>
      </c>
      <c r="GE195">
        <v>344</v>
      </c>
      <c r="GF195">
        <v>344</v>
      </c>
      <c r="GM195">
        <v>0</v>
      </c>
      <c r="GT195">
        <v>0</v>
      </c>
      <c r="HA195">
        <v>0</v>
      </c>
      <c r="HH195">
        <v>0</v>
      </c>
      <c r="HO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344</v>
      </c>
      <c r="ID195">
        <v>344</v>
      </c>
      <c r="IK195">
        <v>0</v>
      </c>
      <c r="IQ195">
        <v>344</v>
      </c>
      <c r="IR195">
        <v>344</v>
      </c>
      <c r="IY195">
        <v>0</v>
      </c>
      <c r="JF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344</v>
      </c>
      <c r="JT195">
        <v>344</v>
      </c>
      <c r="JW195">
        <v>100</v>
      </c>
      <c r="JZ195">
        <v>3</v>
      </c>
      <c r="KA195">
        <v>1</v>
      </c>
      <c r="KB195">
        <v>1</v>
      </c>
      <c r="KC195" t="s">
        <v>407</v>
      </c>
      <c r="OF195" t="s">
        <v>408</v>
      </c>
      <c r="SI195" t="s">
        <v>409</v>
      </c>
      <c r="WL195" t="s">
        <v>410</v>
      </c>
      <c r="AAO195" t="s">
        <v>411</v>
      </c>
      <c r="AER195" t="s">
        <v>412</v>
      </c>
    </row>
    <row r="196" spans="1:824" x14ac:dyDescent="0.2">
      <c r="A196" t="s">
        <v>1816</v>
      </c>
      <c r="B196" t="s">
        <v>396</v>
      </c>
      <c r="C196" t="s">
        <v>1817</v>
      </c>
      <c r="P196" t="b">
        <v>1</v>
      </c>
      <c r="Q196" t="b">
        <v>1</v>
      </c>
      <c r="R196" t="b">
        <v>0</v>
      </c>
      <c r="S196" t="b">
        <v>0</v>
      </c>
      <c r="T196" t="b">
        <v>0</v>
      </c>
      <c r="U196" t="b">
        <v>0</v>
      </c>
      <c r="V196">
        <v>560</v>
      </c>
      <c r="W196" s="3">
        <v>43517.715277777781</v>
      </c>
      <c r="X196" t="s">
        <v>1818</v>
      </c>
      <c r="Y196">
        <v>2019</v>
      </c>
      <c r="Z196" t="s">
        <v>1819</v>
      </c>
      <c r="AA196" t="s">
        <v>1817</v>
      </c>
      <c r="AB196" t="s">
        <v>1820</v>
      </c>
      <c r="AC196" t="s">
        <v>1821</v>
      </c>
      <c r="AE196" t="s">
        <v>491</v>
      </c>
      <c r="AF196" t="s">
        <v>492</v>
      </c>
      <c r="AH196">
        <v>1</v>
      </c>
      <c r="AK196">
        <v>1494</v>
      </c>
      <c r="AL196">
        <v>1494</v>
      </c>
      <c r="AM196">
        <v>352</v>
      </c>
      <c r="AN196">
        <v>352</v>
      </c>
      <c r="AO196">
        <v>201</v>
      </c>
      <c r="AU196">
        <v>201</v>
      </c>
      <c r="AV196">
        <v>1044</v>
      </c>
      <c r="AY196">
        <v>249</v>
      </c>
      <c r="BB196">
        <v>1293</v>
      </c>
      <c r="BI196">
        <v>0</v>
      </c>
      <c r="BP196">
        <v>0</v>
      </c>
      <c r="BW196">
        <v>0</v>
      </c>
      <c r="CD196">
        <v>0</v>
      </c>
      <c r="CE196">
        <v>1245</v>
      </c>
      <c r="CF196">
        <v>0</v>
      </c>
      <c r="CG196">
        <v>0</v>
      </c>
      <c r="CH196">
        <v>249</v>
      </c>
      <c r="CI196">
        <v>0</v>
      </c>
      <c r="CJ196">
        <v>0</v>
      </c>
      <c r="CK196">
        <v>1494</v>
      </c>
      <c r="CL196">
        <v>1</v>
      </c>
      <c r="CR196">
        <v>1</v>
      </c>
      <c r="CS196">
        <v>7</v>
      </c>
      <c r="CV196">
        <v>1</v>
      </c>
      <c r="CY196">
        <v>8</v>
      </c>
      <c r="DF196">
        <v>0</v>
      </c>
      <c r="DM196">
        <v>0</v>
      </c>
      <c r="DT196">
        <v>0</v>
      </c>
      <c r="EA196">
        <v>0</v>
      </c>
      <c r="EB196">
        <v>8</v>
      </c>
      <c r="EC196">
        <v>0</v>
      </c>
      <c r="ED196">
        <v>0</v>
      </c>
      <c r="EE196">
        <v>1</v>
      </c>
      <c r="EF196">
        <v>0</v>
      </c>
      <c r="EG196">
        <v>0</v>
      </c>
      <c r="EH196">
        <v>9</v>
      </c>
      <c r="EI196" t="s">
        <v>405</v>
      </c>
      <c r="EJ196" t="s">
        <v>404</v>
      </c>
      <c r="EK196" t="s">
        <v>404</v>
      </c>
      <c r="EL196" t="s">
        <v>404</v>
      </c>
      <c r="EM196" t="s">
        <v>404</v>
      </c>
      <c r="EN196" t="s">
        <v>404</v>
      </c>
      <c r="EO196" t="s">
        <v>405</v>
      </c>
      <c r="EP196" t="s">
        <v>404</v>
      </c>
      <c r="EQ196" t="s">
        <v>404</v>
      </c>
      <c r="ER196" t="s">
        <v>405</v>
      </c>
      <c r="ES196" t="s">
        <v>404</v>
      </c>
      <c r="ET196" t="s">
        <v>404</v>
      </c>
      <c r="EU196" t="s">
        <v>404</v>
      </c>
      <c r="EV196" t="s">
        <v>404</v>
      </c>
      <c r="EW196" t="s">
        <v>404</v>
      </c>
      <c r="EX196" t="s">
        <v>404</v>
      </c>
      <c r="EY196" t="s">
        <v>404</v>
      </c>
      <c r="EZ196" t="s">
        <v>404</v>
      </c>
      <c r="FA196" t="s">
        <v>404</v>
      </c>
      <c r="FB196" t="s">
        <v>404</v>
      </c>
      <c r="FC196" t="s">
        <v>404</v>
      </c>
      <c r="FD196" t="s">
        <v>404</v>
      </c>
      <c r="FE196" t="s">
        <v>404</v>
      </c>
      <c r="FF196" t="s">
        <v>404</v>
      </c>
      <c r="FG196" t="s">
        <v>404</v>
      </c>
      <c r="FH196" t="s">
        <v>404</v>
      </c>
      <c r="FI196" t="s">
        <v>404</v>
      </c>
      <c r="FJ196" t="s">
        <v>404</v>
      </c>
      <c r="FK196" t="s">
        <v>404</v>
      </c>
      <c r="FL196" t="s">
        <v>404</v>
      </c>
      <c r="FM196" t="s">
        <v>404</v>
      </c>
      <c r="FN196" t="s">
        <v>404</v>
      </c>
      <c r="FO196" t="s">
        <v>404</v>
      </c>
      <c r="FP196" t="s">
        <v>404</v>
      </c>
      <c r="FQ196" t="s">
        <v>404</v>
      </c>
      <c r="FR196" t="s">
        <v>404</v>
      </c>
      <c r="FS196">
        <v>822</v>
      </c>
      <c r="FV196">
        <v>94</v>
      </c>
      <c r="FY196">
        <v>916</v>
      </c>
      <c r="FZ196">
        <v>184</v>
      </c>
      <c r="GF196">
        <v>184</v>
      </c>
      <c r="GM196">
        <v>0</v>
      </c>
      <c r="GN196">
        <v>208</v>
      </c>
      <c r="GT196">
        <v>208</v>
      </c>
      <c r="HA196">
        <v>0</v>
      </c>
      <c r="HB196">
        <v>32</v>
      </c>
      <c r="HH196">
        <v>32</v>
      </c>
      <c r="HO196">
        <v>0</v>
      </c>
      <c r="HP196" t="s">
        <v>1074</v>
      </c>
      <c r="HT196">
        <v>154</v>
      </c>
      <c r="HW196">
        <v>154</v>
      </c>
      <c r="HX196">
        <v>1246</v>
      </c>
      <c r="HY196">
        <v>0</v>
      </c>
      <c r="HZ196">
        <v>0</v>
      </c>
      <c r="IA196">
        <v>248</v>
      </c>
      <c r="IB196">
        <v>0</v>
      </c>
      <c r="IC196">
        <v>0</v>
      </c>
      <c r="ID196">
        <v>1494</v>
      </c>
      <c r="IH196">
        <v>155</v>
      </c>
      <c r="IK196">
        <v>155</v>
      </c>
      <c r="IL196">
        <v>1222</v>
      </c>
      <c r="IR196">
        <v>1222</v>
      </c>
      <c r="IS196">
        <v>117</v>
      </c>
      <c r="IY196">
        <v>117</v>
      </c>
      <c r="JF196">
        <v>0</v>
      </c>
      <c r="JM196">
        <v>0</v>
      </c>
      <c r="JN196">
        <v>1339</v>
      </c>
      <c r="JO196">
        <v>0</v>
      </c>
      <c r="JP196">
        <v>0</v>
      </c>
      <c r="JQ196">
        <v>155</v>
      </c>
      <c r="JR196">
        <v>0</v>
      </c>
      <c r="JS196">
        <v>0</v>
      </c>
      <c r="JT196">
        <v>1494</v>
      </c>
      <c r="JU196">
        <v>7.0000000000000007E-2</v>
      </c>
      <c r="JW196">
        <v>99.93</v>
      </c>
      <c r="JZ196">
        <v>1</v>
      </c>
      <c r="KA196">
        <v>3</v>
      </c>
      <c r="KB196">
        <v>1</v>
      </c>
      <c r="KC196" t="s">
        <v>407</v>
      </c>
      <c r="OF196" t="s">
        <v>408</v>
      </c>
      <c r="SI196" t="s">
        <v>409</v>
      </c>
      <c r="WL196" t="s">
        <v>410</v>
      </c>
      <c r="AAO196" t="s">
        <v>411</v>
      </c>
      <c r="AER196" t="s">
        <v>412</v>
      </c>
    </row>
    <row r="197" spans="1:824" x14ac:dyDescent="0.2">
      <c r="A197" t="s">
        <v>1822</v>
      </c>
      <c r="B197" t="s">
        <v>414</v>
      </c>
      <c r="C197" t="s">
        <v>1823</v>
      </c>
      <c r="P197" t="b">
        <v>0</v>
      </c>
      <c r="Q197" t="b">
        <v>1</v>
      </c>
      <c r="R197" t="b">
        <v>0</v>
      </c>
      <c r="S197" t="b">
        <v>0</v>
      </c>
      <c r="T197" t="b">
        <v>0</v>
      </c>
      <c r="U197" t="b">
        <v>0</v>
      </c>
      <c r="V197">
        <v>545</v>
      </c>
      <c r="W197" s="3">
        <v>43475.281944444447</v>
      </c>
      <c r="X197" t="s">
        <v>1824</v>
      </c>
      <c r="Y197">
        <v>2019</v>
      </c>
      <c r="Z197" t="s">
        <v>1825</v>
      </c>
      <c r="AA197" t="s">
        <v>1826</v>
      </c>
      <c r="AB197" t="s">
        <v>774</v>
      </c>
      <c r="AC197" t="s">
        <v>1827</v>
      </c>
      <c r="AD197">
        <v>92364707</v>
      </c>
      <c r="AE197" t="s">
        <v>420</v>
      </c>
      <c r="AF197" t="s">
        <v>421</v>
      </c>
      <c r="AH197">
        <v>1</v>
      </c>
      <c r="AL197">
        <v>78.3</v>
      </c>
      <c r="AN197">
        <v>78.3</v>
      </c>
      <c r="AR197">
        <v>78.3</v>
      </c>
      <c r="AU197">
        <v>78.3</v>
      </c>
      <c r="BB197">
        <v>0</v>
      </c>
      <c r="BI197">
        <v>0</v>
      </c>
      <c r="BP197">
        <v>0</v>
      </c>
      <c r="BW197">
        <v>0</v>
      </c>
      <c r="CD197">
        <v>0</v>
      </c>
      <c r="CE197">
        <v>0</v>
      </c>
      <c r="CF197">
        <v>0</v>
      </c>
      <c r="CG197">
        <v>0</v>
      </c>
      <c r="CH197">
        <v>78.3</v>
      </c>
      <c r="CI197">
        <v>0</v>
      </c>
      <c r="CJ197">
        <v>0</v>
      </c>
      <c r="CK197">
        <v>78.3</v>
      </c>
      <c r="CO197">
        <v>2</v>
      </c>
      <c r="CR197">
        <v>2</v>
      </c>
      <c r="CY197">
        <v>0</v>
      </c>
      <c r="DF197">
        <v>0</v>
      </c>
      <c r="DM197">
        <v>0</v>
      </c>
      <c r="DT197">
        <v>0</v>
      </c>
      <c r="EA197">
        <v>0</v>
      </c>
      <c r="EB197">
        <v>0</v>
      </c>
      <c r="EC197">
        <v>0</v>
      </c>
      <c r="ED197">
        <v>0</v>
      </c>
      <c r="EE197">
        <v>2</v>
      </c>
      <c r="EF197">
        <v>0</v>
      </c>
      <c r="EG197">
        <v>0</v>
      </c>
      <c r="EH197">
        <v>2</v>
      </c>
      <c r="EI197" t="s">
        <v>404</v>
      </c>
      <c r="EJ197" t="s">
        <v>404</v>
      </c>
      <c r="EK197" t="s">
        <v>404</v>
      </c>
      <c r="EL197" t="s">
        <v>405</v>
      </c>
      <c r="EM197" t="s">
        <v>404</v>
      </c>
      <c r="EN197" t="s">
        <v>404</v>
      </c>
      <c r="EO197" t="s">
        <v>404</v>
      </c>
      <c r="EP197" t="s">
        <v>404</v>
      </c>
      <c r="EQ197" t="s">
        <v>404</v>
      </c>
      <c r="ER197" t="s">
        <v>404</v>
      </c>
      <c r="ES197" t="s">
        <v>404</v>
      </c>
      <c r="ET197" t="s">
        <v>404</v>
      </c>
      <c r="EU197" t="s">
        <v>404</v>
      </c>
      <c r="EV197" t="s">
        <v>404</v>
      </c>
      <c r="EW197" t="s">
        <v>404</v>
      </c>
      <c r="EX197" t="s">
        <v>404</v>
      </c>
      <c r="EY197" t="s">
        <v>404</v>
      </c>
      <c r="EZ197" t="s">
        <v>404</v>
      </c>
      <c r="FA197" t="s">
        <v>404</v>
      </c>
      <c r="FB197" t="s">
        <v>404</v>
      </c>
      <c r="FC197" t="s">
        <v>404</v>
      </c>
      <c r="FD197" t="s">
        <v>404</v>
      </c>
      <c r="FE197" t="s">
        <v>404</v>
      </c>
      <c r="FF197" t="s">
        <v>404</v>
      </c>
      <c r="FG197" t="s">
        <v>404</v>
      </c>
      <c r="FH197" t="s">
        <v>404</v>
      </c>
      <c r="FI197" t="s">
        <v>404</v>
      </c>
      <c r="FJ197" t="s">
        <v>404</v>
      </c>
      <c r="FK197" t="s">
        <v>404</v>
      </c>
      <c r="FL197" t="s">
        <v>404</v>
      </c>
      <c r="FM197" t="s">
        <v>404</v>
      </c>
      <c r="FN197" t="s">
        <v>404</v>
      </c>
      <c r="FO197" t="s">
        <v>404</v>
      </c>
      <c r="FP197" t="s">
        <v>404</v>
      </c>
      <c r="FQ197" t="s">
        <v>404</v>
      </c>
      <c r="FR197" t="s">
        <v>404</v>
      </c>
      <c r="FY197">
        <v>0</v>
      </c>
      <c r="GF197">
        <v>0</v>
      </c>
      <c r="GM197">
        <v>0</v>
      </c>
      <c r="GT197">
        <v>0</v>
      </c>
      <c r="HA197">
        <v>0</v>
      </c>
      <c r="HE197">
        <v>73.3</v>
      </c>
      <c r="HH197">
        <v>73.3</v>
      </c>
      <c r="HL197">
        <v>5</v>
      </c>
      <c r="HO197">
        <v>5</v>
      </c>
      <c r="HW197">
        <v>0</v>
      </c>
      <c r="HX197">
        <v>0</v>
      </c>
      <c r="HY197">
        <v>0</v>
      </c>
      <c r="HZ197">
        <v>0</v>
      </c>
      <c r="IA197">
        <v>78.3</v>
      </c>
      <c r="IB197">
        <v>0</v>
      </c>
      <c r="IC197">
        <v>0</v>
      </c>
      <c r="ID197">
        <v>78.3</v>
      </c>
      <c r="IH197">
        <v>73.3</v>
      </c>
      <c r="IK197">
        <v>73.3</v>
      </c>
      <c r="IR197">
        <v>0</v>
      </c>
      <c r="IV197">
        <v>5</v>
      </c>
      <c r="IY197">
        <v>5</v>
      </c>
      <c r="JF197">
        <v>0</v>
      </c>
      <c r="JM197">
        <v>0</v>
      </c>
      <c r="JN197">
        <v>0</v>
      </c>
      <c r="JO197">
        <v>0</v>
      </c>
      <c r="JP197">
        <v>0</v>
      </c>
      <c r="JQ197">
        <v>78.3</v>
      </c>
      <c r="JR197">
        <v>0</v>
      </c>
      <c r="JS197">
        <v>0</v>
      </c>
      <c r="JT197">
        <v>78.3</v>
      </c>
      <c r="JV197">
        <v>20</v>
      </c>
      <c r="JW197">
        <v>80</v>
      </c>
      <c r="JZ197">
        <v>1</v>
      </c>
      <c r="KA197">
        <v>3</v>
      </c>
      <c r="KB197">
        <v>1</v>
      </c>
      <c r="KC197" t="s">
        <v>407</v>
      </c>
      <c r="OF197" t="s">
        <v>408</v>
      </c>
      <c r="SI197" t="s">
        <v>409</v>
      </c>
      <c r="WL197" t="s">
        <v>410</v>
      </c>
      <c r="AAO197" t="s">
        <v>411</v>
      </c>
      <c r="AER197" t="s">
        <v>412</v>
      </c>
    </row>
    <row r="198" spans="1:824" x14ac:dyDescent="0.2">
      <c r="A198" t="s">
        <v>1828</v>
      </c>
      <c r="B198" t="s">
        <v>396</v>
      </c>
      <c r="C198" t="s">
        <v>1829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>
        <v>663</v>
      </c>
      <c r="W198" s="3">
        <v>43521.615972222222</v>
      </c>
      <c r="X198" t="s">
        <v>993</v>
      </c>
      <c r="Y198">
        <v>2019</v>
      </c>
      <c r="Z198" t="s">
        <v>1830</v>
      </c>
      <c r="AA198" t="s">
        <v>1831</v>
      </c>
      <c r="AC198" t="s">
        <v>1832</v>
      </c>
      <c r="AE198" t="s">
        <v>1833</v>
      </c>
      <c r="AF198" t="s">
        <v>403</v>
      </c>
      <c r="AH198">
        <v>1</v>
      </c>
      <c r="AK198">
        <v>250</v>
      </c>
      <c r="AL198">
        <v>250</v>
      </c>
      <c r="AM198">
        <v>150</v>
      </c>
      <c r="AN198">
        <v>150</v>
      </c>
      <c r="AU198">
        <v>0</v>
      </c>
      <c r="AV198">
        <v>250</v>
      </c>
      <c r="BB198">
        <v>250</v>
      </c>
      <c r="BI198">
        <v>0</v>
      </c>
      <c r="BP198">
        <v>0</v>
      </c>
      <c r="BW198">
        <v>0</v>
      </c>
      <c r="CD198">
        <v>0</v>
      </c>
      <c r="CE198">
        <v>250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250</v>
      </c>
      <c r="CR198">
        <v>0</v>
      </c>
      <c r="CS198">
        <v>2</v>
      </c>
      <c r="CY198">
        <v>2</v>
      </c>
      <c r="DF198">
        <v>0</v>
      </c>
      <c r="DM198">
        <v>0</v>
      </c>
      <c r="DT198">
        <v>0</v>
      </c>
      <c r="EA198">
        <v>0</v>
      </c>
      <c r="EB198">
        <v>2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2</v>
      </c>
      <c r="EI198" t="s">
        <v>404</v>
      </c>
      <c r="EJ198" t="s">
        <v>404</v>
      </c>
      <c r="EK198" t="s">
        <v>404</v>
      </c>
      <c r="EL198" t="s">
        <v>404</v>
      </c>
      <c r="EM198" t="s">
        <v>404</v>
      </c>
      <c r="EN198" t="s">
        <v>404</v>
      </c>
      <c r="EO198" t="s">
        <v>405</v>
      </c>
      <c r="EP198" t="s">
        <v>404</v>
      </c>
      <c r="EQ198" t="s">
        <v>404</v>
      </c>
      <c r="ER198" t="s">
        <v>404</v>
      </c>
      <c r="ES198" t="s">
        <v>404</v>
      </c>
      <c r="ET198" t="s">
        <v>404</v>
      </c>
      <c r="EU198" t="s">
        <v>404</v>
      </c>
      <c r="EV198" t="s">
        <v>404</v>
      </c>
      <c r="EW198" t="s">
        <v>404</v>
      </c>
      <c r="EX198" t="s">
        <v>404</v>
      </c>
      <c r="EY198" t="s">
        <v>404</v>
      </c>
      <c r="EZ198" t="s">
        <v>404</v>
      </c>
      <c r="FA198" t="s">
        <v>404</v>
      </c>
      <c r="FB198" t="s">
        <v>404</v>
      </c>
      <c r="FC198" t="s">
        <v>404</v>
      </c>
      <c r="FD198" t="s">
        <v>404</v>
      </c>
      <c r="FE198" t="s">
        <v>404</v>
      </c>
      <c r="FF198" t="s">
        <v>404</v>
      </c>
      <c r="FG198" t="s">
        <v>404</v>
      </c>
      <c r="FH198" t="s">
        <v>404</v>
      </c>
      <c r="FI198" t="s">
        <v>404</v>
      </c>
      <c r="FJ198" t="s">
        <v>404</v>
      </c>
      <c r="FK198" t="s">
        <v>404</v>
      </c>
      <c r="FL198" t="s">
        <v>404</v>
      </c>
      <c r="FM198" t="s">
        <v>404</v>
      </c>
      <c r="FN198" t="s">
        <v>404</v>
      </c>
      <c r="FO198" t="s">
        <v>404</v>
      </c>
      <c r="FP198" t="s">
        <v>404</v>
      </c>
      <c r="FQ198" t="s">
        <v>404</v>
      </c>
      <c r="FR198" t="s">
        <v>404</v>
      </c>
      <c r="FS198">
        <v>210</v>
      </c>
      <c r="FY198">
        <v>210</v>
      </c>
      <c r="FZ198">
        <v>40</v>
      </c>
      <c r="GF198">
        <v>40</v>
      </c>
      <c r="GM198">
        <v>0</v>
      </c>
      <c r="GT198">
        <v>0</v>
      </c>
      <c r="HA198">
        <v>0</v>
      </c>
      <c r="HH198">
        <v>0</v>
      </c>
      <c r="HO198">
        <v>0</v>
      </c>
      <c r="HW198">
        <v>0</v>
      </c>
      <c r="HX198">
        <v>250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250</v>
      </c>
      <c r="IE198">
        <v>10</v>
      </c>
      <c r="IK198">
        <v>10</v>
      </c>
      <c r="IL198">
        <v>240</v>
      </c>
      <c r="IR198">
        <v>240</v>
      </c>
      <c r="IY198">
        <v>0</v>
      </c>
      <c r="JF198">
        <v>0</v>
      </c>
      <c r="JM198">
        <v>0</v>
      </c>
      <c r="JN198">
        <v>250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250</v>
      </c>
      <c r="JV198">
        <v>25</v>
      </c>
      <c r="JW198">
        <v>75</v>
      </c>
      <c r="JZ198">
        <v>1</v>
      </c>
      <c r="KA198">
        <v>3</v>
      </c>
      <c r="KB198">
        <v>1</v>
      </c>
      <c r="KC198" t="s">
        <v>407</v>
      </c>
      <c r="OF198" t="s">
        <v>408</v>
      </c>
      <c r="SI198" t="s">
        <v>409</v>
      </c>
      <c r="WL198" t="s">
        <v>410</v>
      </c>
      <c r="AAO198" t="s">
        <v>411</v>
      </c>
      <c r="AER198" t="s">
        <v>412</v>
      </c>
    </row>
    <row r="199" spans="1:824" x14ac:dyDescent="0.2">
      <c r="A199" t="s">
        <v>1834</v>
      </c>
      <c r="B199" t="s">
        <v>396</v>
      </c>
      <c r="C199" t="s">
        <v>1835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>
        <v>669</v>
      </c>
      <c r="W199" s="3">
        <v>43515.513194444444</v>
      </c>
      <c r="X199" t="s">
        <v>993</v>
      </c>
      <c r="Y199">
        <v>2019</v>
      </c>
      <c r="Z199" t="s">
        <v>1836</v>
      </c>
      <c r="AA199" t="s">
        <v>1837</v>
      </c>
      <c r="AB199" t="s">
        <v>713</v>
      </c>
      <c r="AC199" t="s">
        <v>1838</v>
      </c>
      <c r="AE199" t="s">
        <v>444</v>
      </c>
      <c r="AF199" t="s">
        <v>403</v>
      </c>
      <c r="AH199">
        <v>1</v>
      </c>
      <c r="AK199">
        <v>400</v>
      </c>
      <c r="AL199">
        <v>400</v>
      </c>
      <c r="AM199">
        <v>350</v>
      </c>
      <c r="AN199">
        <v>350</v>
      </c>
      <c r="AU199">
        <v>0</v>
      </c>
      <c r="AX199">
        <v>280</v>
      </c>
      <c r="AY199">
        <v>120</v>
      </c>
      <c r="BB199">
        <v>400</v>
      </c>
      <c r="BI199">
        <v>0</v>
      </c>
      <c r="BP199">
        <v>0</v>
      </c>
      <c r="BW199">
        <v>0</v>
      </c>
      <c r="CD199">
        <v>0</v>
      </c>
      <c r="CE199">
        <v>0</v>
      </c>
      <c r="CF199">
        <v>0</v>
      </c>
      <c r="CG199">
        <v>280</v>
      </c>
      <c r="CH199">
        <v>120</v>
      </c>
      <c r="CI199">
        <v>0</v>
      </c>
      <c r="CJ199">
        <v>0</v>
      </c>
      <c r="CK199">
        <v>400</v>
      </c>
      <c r="CR199">
        <v>0</v>
      </c>
      <c r="CU199">
        <v>2</v>
      </c>
      <c r="CV199">
        <v>1</v>
      </c>
      <c r="CY199">
        <v>3</v>
      </c>
      <c r="DF199">
        <v>0</v>
      </c>
      <c r="DM199">
        <v>0</v>
      </c>
      <c r="DT199">
        <v>0</v>
      </c>
      <c r="EA199">
        <v>0</v>
      </c>
      <c r="EB199">
        <v>0</v>
      </c>
      <c r="EC199">
        <v>0</v>
      </c>
      <c r="ED199">
        <v>2</v>
      </c>
      <c r="EE199">
        <v>1</v>
      </c>
      <c r="EF199">
        <v>0</v>
      </c>
      <c r="EG199">
        <v>0</v>
      </c>
      <c r="EH199">
        <v>3</v>
      </c>
      <c r="EI199" t="s">
        <v>404</v>
      </c>
      <c r="EJ199" t="s">
        <v>404</v>
      </c>
      <c r="EK199" t="s">
        <v>404</v>
      </c>
      <c r="EL199" t="s">
        <v>404</v>
      </c>
      <c r="EM199" t="s">
        <v>404</v>
      </c>
      <c r="EN199" t="s">
        <v>404</v>
      </c>
      <c r="EO199" t="s">
        <v>404</v>
      </c>
      <c r="EP199" t="s">
        <v>404</v>
      </c>
      <c r="EQ199" t="s">
        <v>405</v>
      </c>
      <c r="ER199" t="s">
        <v>405</v>
      </c>
      <c r="ES199" t="s">
        <v>404</v>
      </c>
      <c r="ET199" t="s">
        <v>404</v>
      </c>
      <c r="EU199" t="s">
        <v>404</v>
      </c>
      <c r="EV199" t="s">
        <v>404</v>
      </c>
      <c r="EW199" t="s">
        <v>404</v>
      </c>
      <c r="EX199" t="s">
        <v>404</v>
      </c>
      <c r="EY199" t="s">
        <v>404</v>
      </c>
      <c r="EZ199" t="s">
        <v>404</v>
      </c>
      <c r="FA199" t="s">
        <v>404</v>
      </c>
      <c r="FB199" t="s">
        <v>404</v>
      </c>
      <c r="FC199" t="s">
        <v>404</v>
      </c>
      <c r="FD199" t="s">
        <v>404</v>
      </c>
      <c r="FE199" t="s">
        <v>404</v>
      </c>
      <c r="FF199" t="s">
        <v>404</v>
      </c>
      <c r="FG199" t="s">
        <v>404</v>
      </c>
      <c r="FH199" t="s">
        <v>404</v>
      </c>
      <c r="FI199" t="s">
        <v>404</v>
      </c>
      <c r="FJ199" t="s">
        <v>404</v>
      </c>
      <c r="FK199" t="s">
        <v>404</v>
      </c>
      <c r="FL199" t="s">
        <v>404</v>
      </c>
      <c r="FM199" t="s">
        <v>404</v>
      </c>
      <c r="FN199" t="s">
        <v>404</v>
      </c>
      <c r="FO199" t="s">
        <v>404</v>
      </c>
      <c r="FP199" t="s">
        <v>404</v>
      </c>
      <c r="FQ199" t="s">
        <v>404</v>
      </c>
      <c r="FR199" t="s">
        <v>404</v>
      </c>
      <c r="FU199">
        <v>280</v>
      </c>
      <c r="FV199">
        <v>120</v>
      </c>
      <c r="FY199">
        <v>400</v>
      </c>
      <c r="GF199">
        <v>0</v>
      </c>
      <c r="GM199">
        <v>0</v>
      </c>
      <c r="GT199">
        <v>0</v>
      </c>
      <c r="HA199">
        <v>0</v>
      </c>
      <c r="HH199">
        <v>0</v>
      </c>
      <c r="HO199">
        <v>0</v>
      </c>
      <c r="HW199">
        <v>0</v>
      </c>
      <c r="HX199">
        <v>0</v>
      </c>
      <c r="HY199">
        <v>0</v>
      </c>
      <c r="HZ199">
        <v>280</v>
      </c>
      <c r="IA199">
        <v>120</v>
      </c>
      <c r="IB199">
        <v>0</v>
      </c>
      <c r="IC199">
        <v>0</v>
      </c>
      <c r="ID199">
        <v>400</v>
      </c>
      <c r="IK199">
        <v>0</v>
      </c>
      <c r="IN199">
        <v>280</v>
      </c>
      <c r="IO199">
        <v>120</v>
      </c>
      <c r="IR199">
        <v>400</v>
      </c>
      <c r="IY199">
        <v>0</v>
      </c>
      <c r="JF199">
        <v>0</v>
      </c>
      <c r="JM199">
        <v>0</v>
      </c>
      <c r="JN199">
        <v>0</v>
      </c>
      <c r="JO199">
        <v>0</v>
      </c>
      <c r="JP199">
        <v>280</v>
      </c>
      <c r="JQ199">
        <v>120</v>
      </c>
      <c r="JR199">
        <v>0</v>
      </c>
      <c r="JS199">
        <v>0</v>
      </c>
      <c r="JT199">
        <v>400</v>
      </c>
      <c r="JW199">
        <v>100</v>
      </c>
      <c r="JZ199">
        <v>2</v>
      </c>
      <c r="KA199">
        <v>2</v>
      </c>
      <c r="KB199">
        <v>1</v>
      </c>
      <c r="KC199" t="s">
        <v>407</v>
      </c>
      <c r="OF199" t="s">
        <v>408</v>
      </c>
      <c r="SI199" t="s">
        <v>409</v>
      </c>
      <c r="WL199" t="s">
        <v>410</v>
      </c>
      <c r="AAO199" t="s">
        <v>411</v>
      </c>
      <c r="AER199" t="s">
        <v>412</v>
      </c>
    </row>
    <row r="200" spans="1:824" x14ac:dyDescent="0.2">
      <c r="A200" t="s">
        <v>1839</v>
      </c>
      <c r="B200" t="s">
        <v>563</v>
      </c>
      <c r="C200" t="s">
        <v>1840</v>
      </c>
      <c r="F200" t="s">
        <v>479</v>
      </c>
      <c r="G200" s="3">
        <v>43515.851388888892</v>
      </c>
      <c r="H200" t="s">
        <v>502</v>
      </c>
      <c r="I200" s="3">
        <v>43515.851388888892</v>
      </c>
      <c r="L200" t="s">
        <v>1051</v>
      </c>
      <c r="M200" s="3">
        <v>43515.851388888892</v>
      </c>
      <c r="P200" t="b">
        <v>1</v>
      </c>
      <c r="Q200" t="b">
        <v>0</v>
      </c>
      <c r="R200" t="b">
        <v>1</v>
      </c>
      <c r="S200" t="b">
        <v>0</v>
      </c>
      <c r="T200" t="b">
        <v>1</v>
      </c>
      <c r="U200" t="b">
        <v>0</v>
      </c>
      <c r="V200">
        <v>626</v>
      </c>
      <c r="W200" s="3">
        <v>43487.967361111114</v>
      </c>
      <c r="X200" t="s">
        <v>1841</v>
      </c>
      <c r="Y200">
        <v>2019</v>
      </c>
      <c r="Z200" t="s">
        <v>1842</v>
      </c>
      <c r="AA200" t="s">
        <v>1843</v>
      </c>
      <c r="AB200" t="s">
        <v>852</v>
      </c>
      <c r="AC200" t="s">
        <v>1844</v>
      </c>
      <c r="AD200">
        <v>4156406432</v>
      </c>
      <c r="AE200" t="s">
        <v>571</v>
      </c>
      <c r="AF200" t="s">
        <v>538</v>
      </c>
      <c r="AH200">
        <v>1</v>
      </c>
      <c r="AK200">
        <v>1930</v>
      </c>
      <c r="AL200">
        <v>1930</v>
      </c>
      <c r="AM200">
        <v>1200</v>
      </c>
      <c r="AN200">
        <v>1200</v>
      </c>
      <c r="AU200">
        <v>0</v>
      </c>
      <c r="AV200">
        <v>200</v>
      </c>
      <c r="BB200">
        <v>200</v>
      </c>
      <c r="BC200">
        <v>930</v>
      </c>
      <c r="BI200">
        <v>930</v>
      </c>
      <c r="BP200">
        <v>0</v>
      </c>
      <c r="BT200">
        <v>800</v>
      </c>
      <c r="BW200">
        <v>800</v>
      </c>
      <c r="CD200">
        <v>0</v>
      </c>
      <c r="CE200">
        <v>1130</v>
      </c>
      <c r="CF200">
        <v>0</v>
      </c>
      <c r="CG200">
        <v>0</v>
      </c>
      <c r="CH200">
        <v>800</v>
      </c>
      <c r="CI200">
        <v>0</v>
      </c>
      <c r="CJ200">
        <v>0</v>
      </c>
      <c r="CK200">
        <v>1930</v>
      </c>
      <c r="CR200">
        <v>0</v>
      </c>
      <c r="CS200">
        <v>1</v>
      </c>
      <c r="CY200">
        <v>1</v>
      </c>
      <c r="CZ200">
        <v>1</v>
      </c>
      <c r="DF200">
        <v>1</v>
      </c>
      <c r="DM200">
        <v>0</v>
      </c>
      <c r="DQ200">
        <v>1</v>
      </c>
      <c r="DT200">
        <v>1</v>
      </c>
      <c r="EA200">
        <v>0</v>
      </c>
      <c r="EB200">
        <v>2</v>
      </c>
      <c r="EC200">
        <v>0</v>
      </c>
      <c r="ED200">
        <v>0</v>
      </c>
      <c r="EE200">
        <v>1</v>
      </c>
      <c r="EF200">
        <v>0</v>
      </c>
      <c r="EG200">
        <v>0</v>
      </c>
      <c r="EH200">
        <v>3</v>
      </c>
      <c r="EI200" t="s">
        <v>404</v>
      </c>
      <c r="EJ200" t="s">
        <v>404</v>
      </c>
      <c r="EK200" t="s">
        <v>404</v>
      </c>
      <c r="EL200" t="s">
        <v>404</v>
      </c>
      <c r="EM200" t="s">
        <v>404</v>
      </c>
      <c r="EN200" t="s">
        <v>404</v>
      </c>
      <c r="EO200" t="s">
        <v>405</v>
      </c>
      <c r="EP200" t="s">
        <v>404</v>
      </c>
      <c r="EQ200" t="s">
        <v>404</v>
      </c>
      <c r="ER200" t="s">
        <v>404</v>
      </c>
      <c r="ES200" t="s">
        <v>404</v>
      </c>
      <c r="ET200" t="s">
        <v>404</v>
      </c>
      <c r="EU200" t="s">
        <v>405</v>
      </c>
      <c r="EV200" t="s">
        <v>404</v>
      </c>
      <c r="EW200" t="s">
        <v>404</v>
      </c>
      <c r="EX200" t="s">
        <v>404</v>
      </c>
      <c r="EY200" t="s">
        <v>404</v>
      </c>
      <c r="EZ200" t="s">
        <v>404</v>
      </c>
      <c r="FA200" t="s">
        <v>404</v>
      </c>
      <c r="FB200" t="s">
        <v>404</v>
      </c>
      <c r="FC200" t="s">
        <v>404</v>
      </c>
      <c r="FD200" t="s">
        <v>404</v>
      </c>
      <c r="FE200" t="s">
        <v>404</v>
      </c>
      <c r="FF200" t="s">
        <v>404</v>
      </c>
      <c r="FG200" t="s">
        <v>404</v>
      </c>
      <c r="FH200" t="s">
        <v>404</v>
      </c>
      <c r="FI200" t="s">
        <v>404</v>
      </c>
      <c r="FJ200" t="s">
        <v>405</v>
      </c>
      <c r="FK200" t="s">
        <v>404</v>
      </c>
      <c r="FL200" t="s">
        <v>404</v>
      </c>
      <c r="FM200" t="s">
        <v>404</v>
      </c>
      <c r="FN200" t="s">
        <v>404</v>
      </c>
      <c r="FO200" t="s">
        <v>404</v>
      </c>
      <c r="FP200" t="s">
        <v>404</v>
      </c>
      <c r="FQ200" t="s">
        <v>404</v>
      </c>
      <c r="FR200" t="s">
        <v>404</v>
      </c>
      <c r="FY200">
        <v>0</v>
      </c>
      <c r="GF200">
        <v>0</v>
      </c>
      <c r="GM200">
        <v>0</v>
      </c>
      <c r="GT200">
        <v>0</v>
      </c>
      <c r="HA200">
        <v>0</v>
      </c>
      <c r="HH200">
        <v>0</v>
      </c>
      <c r="HO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K200">
        <v>0</v>
      </c>
      <c r="IR200">
        <v>0</v>
      </c>
      <c r="IY200">
        <v>0</v>
      </c>
      <c r="JF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5</v>
      </c>
      <c r="JW200">
        <v>95</v>
      </c>
      <c r="JZ200">
        <v>3</v>
      </c>
      <c r="KA200">
        <v>3</v>
      </c>
      <c r="KB200">
        <v>1</v>
      </c>
      <c r="KC200" t="s">
        <v>407</v>
      </c>
      <c r="OF200" t="s">
        <v>408</v>
      </c>
      <c r="OM200">
        <v>0</v>
      </c>
      <c r="OT200">
        <v>0</v>
      </c>
      <c r="PA200">
        <v>0</v>
      </c>
      <c r="PH200">
        <v>0</v>
      </c>
      <c r="PO200">
        <v>0</v>
      </c>
      <c r="PV200">
        <v>0</v>
      </c>
      <c r="QC200">
        <v>0</v>
      </c>
      <c r="QK200">
        <v>0</v>
      </c>
      <c r="QL200">
        <v>0</v>
      </c>
      <c r="QM200">
        <v>0</v>
      </c>
      <c r="QN200">
        <v>0</v>
      </c>
      <c r="QO200">
        <v>0</v>
      </c>
      <c r="QP200">
        <v>0</v>
      </c>
      <c r="QQ200">
        <v>0</v>
      </c>
      <c r="QR200">
        <v>0</v>
      </c>
      <c r="QY200">
        <v>0</v>
      </c>
      <c r="RF200">
        <v>0</v>
      </c>
      <c r="RM200">
        <v>0</v>
      </c>
      <c r="RT200">
        <v>0</v>
      </c>
      <c r="SA200">
        <v>0</v>
      </c>
      <c r="SB200">
        <v>0</v>
      </c>
      <c r="SC200">
        <v>0</v>
      </c>
      <c r="SD200">
        <v>0</v>
      </c>
      <c r="SE200">
        <v>0</v>
      </c>
      <c r="SF200">
        <v>0</v>
      </c>
      <c r="SG200">
        <v>0</v>
      </c>
      <c r="SH200">
        <v>0</v>
      </c>
      <c r="SI200" t="s">
        <v>409</v>
      </c>
      <c r="SP200">
        <v>0</v>
      </c>
      <c r="SW200">
        <v>0</v>
      </c>
      <c r="TD200">
        <v>0</v>
      </c>
      <c r="TK200">
        <v>0</v>
      </c>
      <c r="TR200">
        <v>0</v>
      </c>
      <c r="TY200">
        <v>0</v>
      </c>
      <c r="UF200">
        <v>0</v>
      </c>
      <c r="UN200">
        <v>0</v>
      </c>
      <c r="UO200">
        <v>0</v>
      </c>
      <c r="UP200">
        <v>0</v>
      </c>
      <c r="UQ200">
        <v>0</v>
      </c>
      <c r="UR200">
        <v>0</v>
      </c>
      <c r="US200">
        <v>0</v>
      </c>
      <c r="UT200">
        <v>0</v>
      </c>
      <c r="UU200">
        <v>0</v>
      </c>
      <c r="VB200">
        <v>0</v>
      </c>
      <c r="VI200">
        <v>0</v>
      </c>
      <c r="VP200">
        <v>0</v>
      </c>
      <c r="VW200">
        <v>0</v>
      </c>
      <c r="WD200">
        <v>0</v>
      </c>
      <c r="WE200">
        <v>0</v>
      </c>
      <c r="WF200">
        <v>0</v>
      </c>
      <c r="WG200">
        <v>0</v>
      </c>
      <c r="WH200">
        <v>0</v>
      </c>
      <c r="WI200">
        <v>0</v>
      </c>
      <c r="WJ200">
        <v>0</v>
      </c>
      <c r="WK200">
        <v>0</v>
      </c>
      <c r="WL200" t="s">
        <v>410</v>
      </c>
      <c r="AAO200" t="s">
        <v>411</v>
      </c>
      <c r="AAV200">
        <v>0</v>
      </c>
      <c r="ABC200">
        <v>0</v>
      </c>
      <c r="ABD200">
        <v>800</v>
      </c>
      <c r="ABJ200">
        <v>800</v>
      </c>
      <c r="ABQ200">
        <v>0</v>
      </c>
      <c r="ABX200">
        <v>0</v>
      </c>
      <c r="ACE200">
        <v>0</v>
      </c>
      <c r="ACL200">
        <v>0</v>
      </c>
      <c r="ACT200">
        <v>0</v>
      </c>
      <c r="ACU200">
        <v>800</v>
      </c>
      <c r="ACV200">
        <v>0</v>
      </c>
      <c r="ACW200">
        <v>0</v>
      </c>
      <c r="ACX200">
        <v>0</v>
      </c>
      <c r="ACY200">
        <v>0</v>
      </c>
      <c r="ACZ200">
        <v>0</v>
      </c>
      <c r="ADA200">
        <v>800</v>
      </c>
      <c r="ADH200">
        <v>0</v>
      </c>
      <c r="ADO200">
        <v>0</v>
      </c>
      <c r="ADP200">
        <v>800</v>
      </c>
      <c r="ADV200">
        <v>800</v>
      </c>
      <c r="AEC200">
        <v>0</v>
      </c>
      <c r="AEJ200">
        <v>0</v>
      </c>
      <c r="AEK200">
        <v>800</v>
      </c>
      <c r="AEL200">
        <v>0</v>
      </c>
      <c r="AEM200">
        <v>0</v>
      </c>
      <c r="AEN200">
        <v>0</v>
      </c>
      <c r="AEO200">
        <v>0</v>
      </c>
      <c r="AEP200">
        <v>0</v>
      </c>
      <c r="AEQ200">
        <v>800</v>
      </c>
      <c r="AER200" t="s">
        <v>412</v>
      </c>
    </row>
    <row r="201" spans="1:824" x14ac:dyDescent="0.2">
      <c r="A201" t="s">
        <v>1845</v>
      </c>
      <c r="B201" t="s">
        <v>396</v>
      </c>
      <c r="C201" t="s">
        <v>1846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>
        <v>672</v>
      </c>
      <c r="W201" s="3">
        <v>43496.711111111108</v>
      </c>
      <c r="X201" t="s">
        <v>1847</v>
      </c>
      <c r="Y201">
        <v>2019</v>
      </c>
      <c r="Z201" t="s">
        <v>1848</v>
      </c>
      <c r="AA201" t="s">
        <v>1846</v>
      </c>
      <c r="AB201" t="s">
        <v>1849</v>
      </c>
      <c r="AC201" t="s">
        <v>1850</v>
      </c>
      <c r="AD201" t="s">
        <v>1851</v>
      </c>
      <c r="AE201" t="s">
        <v>592</v>
      </c>
      <c r="AF201" t="s">
        <v>403</v>
      </c>
      <c r="AH201">
        <v>1</v>
      </c>
      <c r="AK201">
        <v>401</v>
      </c>
      <c r="AL201">
        <v>401</v>
      </c>
      <c r="AM201">
        <v>163</v>
      </c>
      <c r="AN201">
        <v>163</v>
      </c>
      <c r="AU201">
        <v>0</v>
      </c>
      <c r="AV201">
        <v>122</v>
      </c>
      <c r="AW201">
        <v>250</v>
      </c>
      <c r="AY201">
        <v>29</v>
      </c>
      <c r="BB201">
        <v>401</v>
      </c>
      <c r="BI201">
        <v>0</v>
      </c>
      <c r="BP201">
        <v>0</v>
      </c>
      <c r="BW201">
        <v>0</v>
      </c>
      <c r="CD201">
        <v>0</v>
      </c>
      <c r="CE201">
        <v>122</v>
      </c>
      <c r="CF201">
        <v>250</v>
      </c>
      <c r="CG201">
        <v>0</v>
      </c>
      <c r="CH201">
        <v>29</v>
      </c>
      <c r="CI201">
        <v>0</v>
      </c>
      <c r="CJ201">
        <v>0</v>
      </c>
      <c r="CK201">
        <v>401</v>
      </c>
      <c r="CR201">
        <v>0</v>
      </c>
      <c r="CS201">
        <v>3</v>
      </c>
      <c r="CT201">
        <v>2</v>
      </c>
      <c r="CV201">
        <v>1</v>
      </c>
      <c r="CY201">
        <v>6</v>
      </c>
      <c r="DF201">
        <v>0</v>
      </c>
      <c r="DM201">
        <v>0</v>
      </c>
      <c r="DT201">
        <v>0</v>
      </c>
      <c r="EA201">
        <v>0</v>
      </c>
      <c r="EB201">
        <v>3</v>
      </c>
      <c r="EC201">
        <v>2</v>
      </c>
      <c r="ED201">
        <v>0</v>
      </c>
      <c r="EE201">
        <v>1</v>
      </c>
      <c r="EF201">
        <v>0</v>
      </c>
      <c r="EG201">
        <v>0</v>
      </c>
      <c r="EH201">
        <v>6</v>
      </c>
      <c r="EI201" t="s">
        <v>404</v>
      </c>
      <c r="EJ201" t="s">
        <v>404</v>
      </c>
      <c r="EK201" t="s">
        <v>404</v>
      </c>
      <c r="EL201" t="s">
        <v>404</v>
      </c>
      <c r="EM201" t="s">
        <v>404</v>
      </c>
      <c r="EN201" t="s">
        <v>404</v>
      </c>
      <c r="EO201" t="s">
        <v>405</v>
      </c>
      <c r="EP201" t="s">
        <v>405</v>
      </c>
      <c r="EQ201" t="s">
        <v>404</v>
      </c>
      <c r="ER201" t="s">
        <v>405</v>
      </c>
      <c r="ES201" t="s">
        <v>404</v>
      </c>
      <c r="ET201" t="s">
        <v>404</v>
      </c>
      <c r="EU201" t="s">
        <v>404</v>
      </c>
      <c r="EV201" t="s">
        <v>404</v>
      </c>
      <c r="EW201" t="s">
        <v>404</v>
      </c>
      <c r="EX201" t="s">
        <v>404</v>
      </c>
      <c r="EY201" t="s">
        <v>404</v>
      </c>
      <c r="EZ201" t="s">
        <v>404</v>
      </c>
      <c r="FA201" t="s">
        <v>404</v>
      </c>
      <c r="FB201" t="s">
        <v>404</v>
      </c>
      <c r="FC201" t="s">
        <v>404</v>
      </c>
      <c r="FD201" t="s">
        <v>404</v>
      </c>
      <c r="FE201" t="s">
        <v>404</v>
      </c>
      <c r="FF201" t="s">
        <v>404</v>
      </c>
      <c r="FG201" t="s">
        <v>404</v>
      </c>
      <c r="FH201" t="s">
        <v>404</v>
      </c>
      <c r="FI201" t="s">
        <v>404</v>
      </c>
      <c r="FJ201" t="s">
        <v>404</v>
      </c>
      <c r="FK201" t="s">
        <v>404</v>
      </c>
      <c r="FL201" t="s">
        <v>404</v>
      </c>
      <c r="FM201" t="s">
        <v>404</v>
      </c>
      <c r="FN201" t="s">
        <v>404</v>
      </c>
      <c r="FO201" t="s">
        <v>404</v>
      </c>
      <c r="FP201" t="s">
        <v>404</v>
      </c>
      <c r="FQ201" t="s">
        <v>404</v>
      </c>
      <c r="FR201" t="s">
        <v>404</v>
      </c>
      <c r="FS201">
        <v>116.5</v>
      </c>
      <c r="FY201">
        <v>116.5</v>
      </c>
      <c r="GF201">
        <v>0</v>
      </c>
      <c r="GM201">
        <v>0</v>
      </c>
      <c r="GT201">
        <v>0</v>
      </c>
      <c r="HA201">
        <v>0</v>
      </c>
      <c r="HH201">
        <v>0</v>
      </c>
      <c r="HI201">
        <v>5.5</v>
      </c>
      <c r="HO201">
        <v>5.5</v>
      </c>
      <c r="HP201" t="s">
        <v>1852</v>
      </c>
      <c r="HR201">
        <v>250</v>
      </c>
      <c r="HT201">
        <v>29</v>
      </c>
      <c r="HW201">
        <v>279</v>
      </c>
      <c r="HX201">
        <v>122</v>
      </c>
      <c r="HY201">
        <v>250</v>
      </c>
      <c r="HZ201">
        <v>0</v>
      </c>
      <c r="IA201">
        <v>29</v>
      </c>
      <c r="IB201">
        <v>0</v>
      </c>
      <c r="IC201">
        <v>0</v>
      </c>
      <c r="ID201">
        <v>401</v>
      </c>
      <c r="IK201">
        <v>0</v>
      </c>
      <c r="IL201">
        <v>122</v>
      </c>
      <c r="IM201">
        <v>250</v>
      </c>
      <c r="IO201">
        <v>29</v>
      </c>
      <c r="IR201">
        <v>401</v>
      </c>
      <c r="IY201">
        <v>0</v>
      </c>
      <c r="JF201">
        <v>0</v>
      </c>
      <c r="JM201">
        <v>0</v>
      </c>
      <c r="JN201">
        <v>122</v>
      </c>
      <c r="JO201">
        <v>250</v>
      </c>
      <c r="JP201">
        <v>0</v>
      </c>
      <c r="JQ201">
        <v>29</v>
      </c>
      <c r="JR201">
        <v>0</v>
      </c>
      <c r="JS201">
        <v>0</v>
      </c>
      <c r="JT201">
        <v>401</v>
      </c>
      <c r="JW201">
        <v>98.6</v>
      </c>
      <c r="JX201" t="s">
        <v>1853</v>
      </c>
      <c r="JY201">
        <v>1.4</v>
      </c>
      <c r="JZ201">
        <v>1</v>
      </c>
      <c r="KA201">
        <v>3</v>
      </c>
      <c r="KB201">
        <v>1</v>
      </c>
      <c r="KC201" t="s">
        <v>407</v>
      </c>
      <c r="OF201" t="s">
        <v>408</v>
      </c>
      <c r="SI201" t="s">
        <v>409</v>
      </c>
      <c r="WL201" t="s">
        <v>410</v>
      </c>
      <c r="AAO201" t="s">
        <v>411</v>
      </c>
      <c r="AER201" t="s">
        <v>412</v>
      </c>
    </row>
    <row r="202" spans="1:824" x14ac:dyDescent="0.2">
      <c r="A202" t="s">
        <v>1854</v>
      </c>
      <c r="B202" t="s">
        <v>396</v>
      </c>
      <c r="C202" t="s">
        <v>1855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>
        <v>584</v>
      </c>
      <c r="W202" s="3">
        <v>43479.329861111109</v>
      </c>
      <c r="X202" t="s">
        <v>1856</v>
      </c>
      <c r="Y202">
        <v>2019</v>
      </c>
      <c r="Z202" t="s">
        <v>1857</v>
      </c>
      <c r="AA202" t="s">
        <v>1858</v>
      </c>
      <c r="AB202" t="s">
        <v>1859</v>
      </c>
      <c r="AC202" t="s">
        <v>1860</v>
      </c>
      <c r="AD202">
        <v>4790556483</v>
      </c>
      <c r="AE202" t="s">
        <v>467</v>
      </c>
      <c r="AF202" t="s">
        <v>403</v>
      </c>
      <c r="AH202">
        <v>1</v>
      </c>
      <c r="AK202">
        <v>100</v>
      </c>
      <c r="AL202">
        <v>100</v>
      </c>
      <c r="AM202">
        <v>100</v>
      </c>
      <c r="AN202">
        <v>100</v>
      </c>
      <c r="AU202">
        <v>0</v>
      </c>
      <c r="AV202">
        <v>100</v>
      </c>
      <c r="BB202">
        <v>100</v>
      </c>
      <c r="BI202">
        <v>0</v>
      </c>
      <c r="BP202">
        <v>0</v>
      </c>
      <c r="BW202">
        <v>0</v>
      </c>
      <c r="CD202">
        <v>0</v>
      </c>
      <c r="CE202">
        <v>100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100</v>
      </c>
      <c r="CR202">
        <v>0</v>
      </c>
      <c r="CS202">
        <v>1</v>
      </c>
      <c r="CY202">
        <v>1</v>
      </c>
      <c r="DF202">
        <v>0</v>
      </c>
      <c r="DM202">
        <v>0</v>
      </c>
      <c r="DT202">
        <v>0</v>
      </c>
      <c r="EA202">
        <v>0</v>
      </c>
      <c r="EB202">
        <v>1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1</v>
      </c>
      <c r="EI202" t="s">
        <v>404</v>
      </c>
      <c r="EJ202" t="s">
        <v>404</v>
      </c>
      <c r="EK202" t="s">
        <v>404</v>
      </c>
      <c r="EL202" t="s">
        <v>404</v>
      </c>
      <c r="EM202" t="s">
        <v>404</v>
      </c>
      <c r="EN202" t="s">
        <v>404</v>
      </c>
      <c r="EO202" t="s">
        <v>405</v>
      </c>
      <c r="EP202" t="s">
        <v>404</v>
      </c>
      <c r="EQ202" t="s">
        <v>404</v>
      </c>
      <c r="ER202" t="s">
        <v>404</v>
      </c>
      <c r="ES202" t="s">
        <v>404</v>
      </c>
      <c r="ET202" t="s">
        <v>404</v>
      </c>
      <c r="EU202" t="s">
        <v>404</v>
      </c>
      <c r="EV202" t="s">
        <v>404</v>
      </c>
      <c r="EW202" t="s">
        <v>404</v>
      </c>
      <c r="EX202" t="s">
        <v>404</v>
      </c>
      <c r="EY202" t="s">
        <v>404</v>
      </c>
      <c r="EZ202" t="s">
        <v>404</v>
      </c>
      <c r="FA202" t="s">
        <v>404</v>
      </c>
      <c r="FB202" t="s">
        <v>404</v>
      </c>
      <c r="FC202" t="s">
        <v>404</v>
      </c>
      <c r="FD202" t="s">
        <v>404</v>
      </c>
      <c r="FE202" t="s">
        <v>404</v>
      </c>
      <c r="FF202" t="s">
        <v>404</v>
      </c>
      <c r="FG202" t="s">
        <v>404</v>
      </c>
      <c r="FH202" t="s">
        <v>404</v>
      </c>
      <c r="FI202" t="s">
        <v>404</v>
      </c>
      <c r="FJ202" t="s">
        <v>404</v>
      </c>
      <c r="FK202" t="s">
        <v>404</v>
      </c>
      <c r="FL202" t="s">
        <v>404</v>
      </c>
      <c r="FM202" t="s">
        <v>404</v>
      </c>
      <c r="FN202" t="s">
        <v>404</v>
      </c>
      <c r="FO202" t="s">
        <v>404</v>
      </c>
      <c r="FP202" t="s">
        <v>404</v>
      </c>
      <c r="FQ202" t="s">
        <v>404</v>
      </c>
      <c r="FR202" t="s">
        <v>404</v>
      </c>
      <c r="FS202">
        <v>100</v>
      </c>
      <c r="FY202">
        <v>100</v>
      </c>
      <c r="GF202">
        <v>0</v>
      </c>
      <c r="GM202">
        <v>0</v>
      </c>
      <c r="GT202">
        <v>0</v>
      </c>
      <c r="HA202">
        <v>0</v>
      </c>
      <c r="HH202">
        <v>0</v>
      </c>
      <c r="HO202">
        <v>0</v>
      </c>
      <c r="HW202">
        <v>0</v>
      </c>
      <c r="HX202">
        <v>100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100</v>
      </c>
      <c r="IK202">
        <v>0</v>
      </c>
      <c r="IL202">
        <v>100</v>
      </c>
      <c r="IR202">
        <v>100</v>
      </c>
      <c r="IY202">
        <v>0</v>
      </c>
      <c r="JF202">
        <v>0</v>
      </c>
      <c r="JM202">
        <v>0</v>
      </c>
      <c r="JN202">
        <v>100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100</v>
      </c>
      <c r="JW202">
        <v>100</v>
      </c>
      <c r="JZ202">
        <v>1</v>
      </c>
      <c r="KA202">
        <v>2</v>
      </c>
      <c r="KB202">
        <v>1</v>
      </c>
      <c r="KC202" t="s">
        <v>407</v>
      </c>
      <c r="OF202" t="s">
        <v>408</v>
      </c>
      <c r="SI202" t="s">
        <v>409</v>
      </c>
      <c r="WL202" t="s">
        <v>410</v>
      </c>
      <c r="AAO202" t="s">
        <v>411</v>
      </c>
      <c r="AER202" t="s">
        <v>412</v>
      </c>
    </row>
    <row r="203" spans="1:824" x14ac:dyDescent="0.2">
      <c r="A203" t="s">
        <v>1861</v>
      </c>
      <c r="B203" t="s">
        <v>396</v>
      </c>
      <c r="C203" t="s">
        <v>1862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>
        <v>802</v>
      </c>
      <c r="W203" s="3">
        <v>43521.65347222222</v>
      </c>
      <c r="X203" t="s">
        <v>1863</v>
      </c>
      <c r="Y203">
        <v>2019</v>
      </c>
      <c r="Z203" t="s">
        <v>1864</v>
      </c>
      <c r="AA203" t="s">
        <v>1862</v>
      </c>
      <c r="AB203" t="s">
        <v>685</v>
      </c>
      <c r="AC203" t="s">
        <v>1865</v>
      </c>
      <c r="AD203">
        <v>78123251306</v>
      </c>
      <c r="AE203" t="s">
        <v>1866</v>
      </c>
      <c r="AF203" t="s">
        <v>538</v>
      </c>
      <c r="AH203">
        <v>1</v>
      </c>
      <c r="AK203">
        <v>30</v>
      </c>
      <c r="AL203">
        <v>30</v>
      </c>
      <c r="AM203">
        <v>30</v>
      </c>
      <c r="AN203">
        <v>30</v>
      </c>
      <c r="AU203">
        <v>0</v>
      </c>
      <c r="AW203">
        <v>100</v>
      </c>
      <c r="BB203">
        <v>100</v>
      </c>
      <c r="BI203">
        <v>0</v>
      </c>
      <c r="BP203">
        <v>0</v>
      </c>
      <c r="BW203">
        <v>0</v>
      </c>
      <c r="CD203">
        <v>0</v>
      </c>
      <c r="CE203">
        <v>0</v>
      </c>
      <c r="CF203">
        <v>100</v>
      </c>
      <c r="CG203">
        <v>0</v>
      </c>
      <c r="CH203">
        <v>0</v>
      </c>
      <c r="CI203">
        <v>0</v>
      </c>
      <c r="CJ203">
        <v>0</v>
      </c>
      <c r="CK203">
        <v>100</v>
      </c>
      <c r="CR203">
        <v>0</v>
      </c>
      <c r="CS203" s="2"/>
      <c r="CT203" s="2"/>
      <c r="CU203" s="2"/>
      <c r="CV203" s="2"/>
      <c r="CW203" s="2"/>
      <c r="CX203" s="2"/>
      <c r="CY203" s="2"/>
      <c r="DF203">
        <v>0</v>
      </c>
      <c r="DM203">
        <v>0</v>
      </c>
      <c r="DT203">
        <v>0</v>
      </c>
      <c r="EA203">
        <v>0</v>
      </c>
      <c r="EB203" s="2"/>
      <c r="EC203" s="2"/>
      <c r="ED203">
        <v>0</v>
      </c>
      <c r="EE203">
        <v>0</v>
      </c>
      <c r="EF203">
        <v>0</v>
      </c>
      <c r="EG203">
        <v>0</v>
      </c>
      <c r="EH203" s="2"/>
      <c r="EI203" t="s">
        <v>404</v>
      </c>
      <c r="EJ203" t="s">
        <v>404</v>
      </c>
      <c r="EK203" t="s">
        <v>404</v>
      </c>
      <c r="EL203" t="s">
        <v>404</v>
      </c>
      <c r="EM203" t="s">
        <v>404</v>
      </c>
      <c r="EN203" t="s">
        <v>404</v>
      </c>
      <c r="EO203" t="s">
        <v>404</v>
      </c>
      <c r="EP203" t="s">
        <v>405</v>
      </c>
      <c r="EQ203" t="s">
        <v>404</v>
      </c>
      <c r="ER203" t="s">
        <v>404</v>
      </c>
      <c r="ES203" t="s">
        <v>404</v>
      </c>
      <c r="ET203" t="s">
        <v>404</v>
      </c>
      <c r="EU203" t="s">
        <v>404</v>
      </c>
      <c r="EV203" t="s">
        <v>404</v>
      </c>
      <c r="EW203" t="s">
        <v>404</v>
      </c>
      <c r="EX203" t="s">
        <v>404</v>
      </c>
      <c r="EY203" t="s">
        <v>404</v>
      </c>
      <c r="EZ203" t="s">
        <v>404</v>
      </c>
      <c r="FA203" t="s">
        <v>404</v>
      </c>
      <c r="FB203" t="s">
        <v>404</v>
      </c>
      <c r="FC203" t="s">
        <v>404</v>
      </c>
      <c r="FD203" t="s">
        <v>404</v>
      </c>
      <c r="FE203" t="s">
        <v>404</v>
      </c>
      <c r="FF203" t="s">
        <v>404</v>
      </c>
      <c r="FG203" t="s">
        <v>404</v>
      </c>
      <c r="FH203" t="s">
        <v>404</v>
      </c>
      <c r="FI203" t="s">
        <v>404</v>
      </c>
      <c r="FJ203" t="s">
        <v>404</v>
      </c>
      <c r="FK203" t="s">
        <v>404</v>
      </c>
      <c r="FL203" t="s">
        <v>404</v>
      </c>
      <c r="FM203" t="s">
        <v>404</v>
      </c>
      <c r="FN203" t="s">
        <v>404</v>
      </c>
      <c r="FO203" t="s">
        <v>404</v>
      </c>
      <c r="FP203" t="s">
        <v>404</v>
      </c>
      <c r="FQ203" t="s">
        <v>404</v>
      </c>
      <c r="FR203" t="s">
        <v>404</v>
      </c>
      <c r="FY203">
        <v>0</v>
      </c>
      <c r="GF203">
        <v>0</v>
      </c>
      <c r="GM203">
        <v>0</v>
      </c>
      <c r="GT203">
        <v>0</v>
      </c>
      <c r="HA203">
        <v>0</v>
      </c>
      <c r="HH203">
        <v>0</v>
      </c>
      <c r="HJ203">
        <v>100</v>
      </c>
      <c r="HO203">
        <v>100</v>
      </c>
      <c r="HW203">
        <v>0</v>
      </c>
      <c r="HX203">
        <v>0</v>
      </c>
      <c r="HY203">
        <v>100</v>
      </c>
      <c r="HZ203">
        <v>0</v>
      </c>
      <c r="IA203">
        <v>0</v>
      </c>
      <c r="IB203">
        <v>0</v>
      </c>
      <c r="IC203">
        <v>0</v>
      </c>
      <c r="ID203">
        <v>100</v>
      </c>
      <c r="IK203">
        <v>0</v>
      </c>
      <c r="IR203">
        <v>0</v>
      </c>
      <c r="IT203">
        <v>100</v>
      </c>
      <c r="IY203">
        <v>100</v>
      </c>
      <c r="JF203">
        <v>0</v>
      </c>
      <c r="JM203">
        <v>0</v>
      </c>
      <c r="JN203">
        <v>0</v>
      </c>
      <c r="JO203">
        <v>100</v>
      </c>
      <c r="JP203">
        <v>0</v>
      </c>
      <c r="JQ203">
        <v>0</v>
      </c>
      <c r="JR203">
        <v>0</v>
      </c>
      <c r="JS203">
        <v>0</v>
      </c>
      <c r="JT203">
        <v>100</v>
      </c>
      <c r="JU203">
        <v>0</v>
      </c>
      <c r="JV203">
        <v>0</v>
      </c>
      <c r="JW203">
        <v>100</v>
      </c>
      <c r="JZ203">
        <v>1</v>
      </c>
      <c r="KA203">
        <v>2</v>
      </c>
      <c r="KB203">
        <v>1</v>
      </c>
      <c r="KC203" t="s">
        <v>407</v>
      </c>
      <c r="OF203" t="s">
        <v>408</v>
      </c>
      <c r="SI203" t="s">
        <v>409</v>
      </c>
      <c r="WL203" t="s">
        <v>410</v>
      </c>
      <c r="AAO203" t="s">
        <v>411</v>
      </c>
      <c r="AER203" t="s">
        <v>412</v>
      </c>
    </row>
    <row r="204" spans="1:824" x14ac:dyDescent="0.2">
      <c r="A204" t="s">
        <v>1867</v>
      </c>
      <c r="B204" t="s">
        <v>396</v>
      </c>
      <c r="C204" t="s">
        <v>1868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  <c r="U204" t="b">
        <v>0</v>
      </c>
      <c r="V204">
        <v>758</v>
      </c>
      <c r="W204" s="3">
        <v>43517.618750000001</v>
      </c>
      <c r="X204" t="s">
        <v>1869</v>
      </c>
      <c r="Y204">
        <v>2019</v>
      </c>
      <c r="Z204" t="s">
        <v>1870</v>
      </c>
      <c r="AA204" t="s">
        <v>1871</v>
      </c>
      <c r="AB204" t="s">
        <v>852</v>
      </c>
      <c r="AC204" t="s">
        <v>1872</v>
      </c>
      <c r="AD204" t="s">
        <v>1873</v>
      </c>
      <c r="AE204" t="s">
        <v>571</v>
      </c>
      <c r="AF204" t="s">
        <v>538</v>
      </c>
      <c r="AH204">
        <v>1</v>
      </c>
      <c r="AK204">
        <v>600</v>
      </c>
      <c r="AL204">
        <v>600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600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600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600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600</v>
      </c>
      <c r="CR204">
        <v>0</v>
      </c>
      <c r="CY204">
        <v>0</v>
      </c>
      <c r="DF204">
        <v>0</v>
      </c>
      <c r="DG204">
        <v>1</v>
      </c>
      <c r="DM204">
        <v>1</v>
      </c>
      <c r="DT204">
        <v>0</v>
      </c>
      <c r="EA204">
        <v>0</v>
      </c>
      <c r="EB204">
        <v>1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1</v>
      </c>
      <c r="EI204" t="s">
        <v>404</v>
      </c>
      <c r="EJ204" t="s">
        <v>404</v>
      </c>
      <c r="EK204" t="s">
        <v>404</v>
      </c>
      <c r="EL204" t="s">
        <v>404</v>
      </c>
      <c r="EM204" t="s">
        <v>404</v>
      </c>
      <c r="EN204" t="s">
        <v>404</v>
      </c>
      <c r="EO204" t="s">
        <v>404</v>
      </c>
      <c r="EP204" t="s">
        <v>404</v>
      </c>
      <c r="EQ204" t="s">
        <v>404</v>
      </c>
      <c r="ER204" t="s">
        <v>404</v>
      </c>
      <c r="ES204" t="s">
        <v>404</v>
      </c>
      <c r="ET204" t="s">
        <v>404</v>
      </c>
      <c r="EU204" t="s">
        <v>404</v>
      </c>
      <c r="EV204" t="s">
        <v>404</v>
      </c>
      <c r="EW204" t="s">
        <v>404</v>
      </c>
      <c r="EX204" t="s">
        <v>404</v>
      </c>
      <c r="EY204" t="s">
        <v>404</v>
      </c>
      <c r="EZ204" t="s">
        <v>404</v>
      </c>
      <c r="FA204" t="s">
        <v>405</v>
      </c>
      <c r="FB204" t="s">
        <v>404</v>
      </c>
      <c r="FC204" t="s">
        <v>404</v>
      </c>
      <c r="FD204" t="s">
        <v>404</v>
      </c>
      <c r="FE204" t="s">
        <v>404</v>
      </c>
      <c r="FF204" t="s">
        <v>404</v>
      </c>
      <c r="FG204" t="s">
        <v>404</v>
      </c>
      <c r="FH204" t="s">
        <v>404</v>
      </c>
      <c r="FI204" t="s">
        <v>404</v>
      </c>
      <c r="FJ204" t="s">
        <v>404</v>
      </c>
      <c r="FK204" t="s">
        <v>404</v>
      </c>
      <c r="FL204" t="s">
        <v>404</v>
      </c>
      <c r="FM204" t="s">
        <v>404</v>
      </c>
      <c r="FN204" t="s">
        <v>404</v>
      </c>
      <c r="FO204" t="s">
        <v>404</v>
      </c>
      <c r="FP204" t="s">
        <v>404</v>
      </c>
      <c r="FQ204" t="s">
        <v>404</v>
      </c>
      <c r="FR204" t="s">
        <v>404</v>
      </c>
      <c r="FS204">
        <v>250</v>
      </c>
      <c r="FY204">
        <v>250</v>
      </c>
      <c r="FZ204">
        <v>100</v>
      </c>
      <c r="GF204">
        <v>100</v>
      </c>
      <c r="GG204">
        <v>140</v>
      </c>
      <c r="GM204">
        <v>140</v>
      </c>
      <c r="GT204">
        <v>0</v>
      </c>
      <c r="GU204">
        <v>33</v>
      </c>
      <c r="HA204">
        <v>33</v>
      </c>
      <c r="HH204">
        <v>0</v>
      </c>
      <c r="HI204">
        <v>27</v>
      </c>
      <c r="HO204">
        <v>27</v>
      </c>
      <c r="HP204" t="s">
        <v>1874</v>
      </c>
      <c r="HQ204">
        <v>50</v>
      </c>
      <c r="HW204">
        <v>50</v>
      </c>
      <c r="HX204">
        <v>600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600</v>
      </c>
      <c r="IE204">
        <v>340</v>
      </c>
      <c r="IK204">
        <v>340</v>
      </c>
      <c r="IL204">
        <v>65</v>
      </c>
      <c r="IR204">
        <v>65</v>
      </c>
      <c r="IS204">
        <v>195</v>
      </c>
      <c r="IY204">
        <v>195</v>
      </c>
      <c r="JF204">
        <v>0</v>
      </c>
      <c r="JM204">
        <v>0</v>
      </c>
      <c r="JN204">
        <v>600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600</v>
      </c>
      <c r="JU204">
        <v>17</v>
      </c>
      <c r="JW204">
        <v>83</v>
      </c>
      <c r="JZ204">
        <v>1</v>
      </c>
      <c r="KA204">
        <v>2</v>
      </c>
      <c r="KB204">
        <v>1</v>
      </c>
      <c r="KC204" t="s">
        <v>407</v>
      </c>
      <c r="OF204" t="s">
        <v>408</v>
      </c>
      <c r="SI204" t="s">
        <v>409</v>
      </c>
      <c r="WL204" t="s">
        <v>410</v>
      </c>
      <c r="AAO204" t="s">
        <v>411</v>
      </c>
      <c r="AER204" t="s">
        <v>412</v>
      </c>
    </row>
    <row r="216" spans="259:259" x14ac:dyDescent="0.2">
      <c r="IY216">
        <f>1002-262</f>
        <v>740</v>
      </c>
    </row>
  </sheetData>
  <autoFilter ref="A1:AIT204" xr:uid="{97E3DE55-8EDB-4635-A5FC-663D17AF9229}"/>
  <pageMargins left="0.7" right="0.7" top="0.75" bottom="0.75" header="0.3" footer="0.3"/>
  <customProperties>
    <customPr name="layoutContexts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A1824-8142-4427-B90F-F84784FC7640}">
  <sheetPr>
    <tabColor theme="8" tint="-0.499984740745262"/>
  </sheetPr>
  <dimension ref="A1:F950"/>
  <sheetViews>
    <sheetView zoomScale="80" zoomScaleNormal="80" workbookViewId="0">
      <pane ySplit="1" topLeftCell="A2" activePane="bottomLeft" state="frozenSplit"/>
      <selection sqref="A1:A1048576"/>
      <selection pane="bottomLeft" activeCell="B298" sqref="B298"/>
    </sheetView>
  </sheetViews>
  <sheetFormatPr defaultColWidth="9" defaultRowHeight="15" x14ac:dyDescent="0.25"/>
  <cols>
    <col min="1" max="1" width="32.85546875" style="6" customWidth="1"/>
    <col min="2" max="2" width="30.5703125" style="6" customWidth="1"/>
    <col min="3" max="3" width="30" style="6" bestFit="1" customWidth="1"/>
    <col min="4" max="4" width="9" style="8"/>
    <col min="5" max="5" width="129.5703125" style="6" bestFit="1" customWidth="1"/>
    <col min="6" max="16384" width="9" style="6"/>
  </cols>
  <sheetData>
    <row r="1" spans="1:6" s="4" customFormat="1" x14ac:dyDescent="0.25">
      <c r="A1" s="4" t="s">
        <v>1875</v>
      </c>
      <c r="B1" s="4" t="s">
        <v>2086</v>
      </c>
      <c r="C1" s="4" t="s">
        <v>2736</v>
      </c>
      <c r="D1" s="5" t="s">
        <v>1876</v>
      </c>
      <c r="E1" s="4" t="s">
        <v>1877</v>
      </c>
      <c r="F1" s="16" t="s">
        <v>2738</v>
      </c>
    </row>
    <row r="2" spans="1:6" x14ac:dyDescent="0.25">
      <c r="A2" s="6" t="str">
        <f>_xlfn.CONCAT(C2,B2)</f>
        <v>Surveycode</v>
      </c>
      <c r="C2" s="6" t="s">
        <v>0</v>
      </c>
      <c r="D2" s="7" t="s">
        <v>1878</v>
      </c>
      <c r="E2" s="6" t="s">
        <v>0</v>
      </c>
    </row>
    <row r="3" spans="1:6" x14ac:dyDescent="0.25">
      <c r="A3" s="6" t="str">
        <f t="shared" ref="A3:A66" si="0">_xlfn.CONCAT(C3,B3)</f>
        <v>Association (Sample)</v>
      </c>
      <c r="C3" s="6" t="s">
        <v>1</v>
      </c>
      <c r="D3" s="7" t="s">
        <v>1878</v>
      </c>
      <c r="E3" s="6" t="s">
        <v>1879</v>
      </c>
    </row>
    <row r="4" spans="1:6" x14ac:dyDescent="0.25">
      <c r="A4" s="6" t="str">
        <f t="shared" si="0"/>
        <v>Company (Sample)</v>
      </c>
      <c r="C4" s="6" t="s">
        <v>2</v>
      </c>
      <c r="D4" s="7" t="s">
        <v>1878</v>
      </c>
      <c r="E4" s="6" t="s">
        <v>1880</v>
      </c>
    </row>
    <row r="5" spans="1:6" x14ac:dyDescent="0.25">
      <c r="A5" s="6" t="str">
        <f t="shared" si="0"/>
        <v>REGION</v>
      </c>
      <c r="C5" s="6" t="s">
        <v>3</v>
      </c>
      <c r="D5" s="7" t="s">
        <v>1881</v>
      </c>
      <c r="E5" s="6" t="s">
        <v>1882</v>
      </c>
    </row>
    <row r="6" spans="1:6" x14ac:dyDescent="0.25">
      <c r="A6" s="6" t="str">
        <f t="shared" si="0"/>
        <v>DateCompleted (Asia)</v>
      </c>
      <c r="C6" s="6" t="s">
        <v>4</v>
      </c>
      <c r="D6" s="7" t="s">
        <v>1881</v>
      </c>
      <c r="E6" s="6" t="s">
        <v>4</v>
      </c>
    </row>
    <row r="7" spans="1:6" x14ac:dyDescent="0.25">
      <c r="A7" s="6" t="str">
        <f t="shared" si="0"/>
        <v>REGION</v>
      </c>
      <c r="C7" s="6" t="s">
        <v>3</v>
      </c>
      <c r="D7" s="7" t="s">
        <v>1881</v>
      </c>
      <c r="E7" s="6" t="s">
        <v>1882</v>
      </c>
    </row>
    <row r="8" spans="1:6" x14ac:dyDescent="0.25">
      <c r="A8" s="6" t="str">
        <f t="shared" si="0"/>
        <v>DateCompleted (Europe)</v>
      </c>
      <c r="C8" s="6" t="s">
        <v>5</v>
      </c>
      <c r="D8" s="7" t="s">
        <v>1881</v>
      </c>
      <c r="E8" s="6" t="s">
        <v>5</v>
      </c>
    </row>
    <row r="9" spans="1:6" x14ac:dyDescent="0.25">
      <c r="A9" s="6" t="str">
        <f t="shared" si="0"/>
        <v>REGION</v>
      </c>
      <c r="C9" s="6" t="s">
        <v>3</v>
      </c>
      <c r="D9" s="7" t="s">
        <v>1881</v>
      </c>
      <c r="E9" s="6" t="s">
        <v>1882</v>
      </c>
    </row>
    <row r="10" spans="1:6" x14ac:dyDescent="0.25">
      <c r="A10" s="6" t="str">
        <f t="shared" si="0"/>
        <v>DateCompleted (NorthAmerica)</v>
      </c>
      <c r="C10" s="6" t="s">
        <v>6</v>
      </c>
      <c r="D10" s="7" t="s">
        <v>1881</v>
      </c>
      <c r="E10" s="6" t="s">
        <v>6</v>
      </c>
    </row>
    <row r="11" spans="1:6" x14ac:dyDescent="0.25">
      <c r="A11" s="6" t="str">
        <f t="shared" si="0"/>
        <v>REGION</v>
      </c>
      <c r="C11" s="6" t="s">
        <v>3</v>
      </c>
      <c r="D11" s="7" t="s">
        <v>1881</v>
      </c>
      <c r="E11" s="6" t="s">
        <v>1882</v>
      </c>
    </row>
    <row r="12" spans="1:6" x14ac:dyDescent="0.25">
      <c r="A12" s="6" t="str">
        <f t="shared" si="0"/>
        <v>DateCompleted (Global)</v>
      </c>
      <c r="C12" s="6" t="s">
        <v>7</v>
      </c>
      <c r="D12" s="7" t="s">
        <v>1881</v>
      </c>
      <c r="E12" s="6" t="s">
        <v>7</v>
      </c>
    </row>
    <row r="13" spans="1:6" x14ac:dyDescent="0.25">
      <c r="A13" s="6" t="str">
        <f t="shared" si="0"/>
        <v>REGION</v>
      </c>
      <c r="C13" s="6" t="s">
        <v>3</v>
      </c>
      <c r="D13" s="7" t="s">
        <v>1881</v>
      </c>
      <c r="E13" s="6" t="s">
        <v>1882</v>
      </c>
    </row>
    <row r="14" spans="1:6" x14ac:dyDescent="0.25">
      <c r="A14" s="6" t="str">
        <f t="shared" si="0"/>
        <v>DateCompleted (SouthAmerica)</v>
      </c>
      <c r="C14" s="6" t="s">
        <v>8</v>
      </c>
      <c r="D14" s="7" t="s">
        <v>1881</v>
      </c>
      <c r="E14" s="6" t="s">
        <v>8</v>
      </c>
    </row>
    <row r="15" spans="1:6" x14ac:dyDescent="0.25">
      <c r="A15" s="6" t="str">
        <f t="shared" si="0"/>
        <v>REGION</v>
      </c>
      <c r="C15" s="6" t="s">
        <v>3</v>
      </c>
      <c r="D15" s="7" t="s">
        <v>1881</v>
      </c>
      <c r="E15" s="6" t="s">
        <v>1882</v>
      </c>
    </row>
    <row r="16" spans="1:6" x14ac:dyDescent="0.25">
      <c r="A16" s="6" t="str">
        <f t="shared" si="0"/>
        <v>DateCompleted (Africa)</v>
      </c>
      <c r="C16" s="6" t="s">
        <v>9</v>
      </c>
      <c r="D16" s="7" t="s">
        <v>1881</v>
      </c>
      <c r="E16" s="6" t="s">
        <v>9</v>
      </c>
    </row>
    <row r="17" spans="1:5" x14ac:dyDescent="0.25">
      <c r="A17" s="6" t="str">
        <f t="shared" si="0"/>
        <v>ShowEurope</v>
      </c>
      <c r="C17" s="6" t="s">
        <v>10</v>
      </c>
      <c r="D17" s="7" t="s">
        <v>1881</v>
      </c>
      <c r="E17" s="6" t="s">
        <v>10</v>
      </c>
    </row>
    <row r="18" spans="1:5" x14ac:dyDescent="0.25">
      <c r="A18" s="6" t="str">
        <f t="shared" si="0"/>
        <v>ShowAsia</v>
      </c>
      <c r="C18" s="6" t="s">
        <v>11</v>
      </c>
      <c r="D18" s="7" t="s">
        <v>1881</v>
      </c>
      <c r="E18" s="6" t="s">
        <v>11</v>
      </c>
    </row>
    <row r="19" spans="1:5" x14ac:dyDescent="0.25">
      <c r="A19" s="6" t="str">
        <f t="shared" si="0"/>
        <v>ShowNA</v>
      </c>
      <c r="C19" s="6" t="s">
        <v>12</v>
      </c>
      <c r="D19" s="7" t="s">
        <v>1881</v>
      </c>
      <c r="E19" s="6" t="s">
        <v>12</v>
      </c>
    </row>
    <row r="20" spans="1:5" x14ac:dyDescent="0.25">
      <c r="A20" s="6" t="str">
        <f t="shared" si="0"/>
        <v>ShowGlobal</v>
      </c>
      <c r="C20" s="6" t="s">
        <v>13</v>
      </c>
      <c r="D20" s="7" t="s">
        <v>1881</v>
      </c>
      <c r="E20" s="6" t="s">
        <v>13</v>
      </c>
    </row>
    <row r="21" spans="1:5" x14ac:dyDescent="0.25">
      <c r="A21" s="6" t="str">
        <f t="shared" si="0"/>
        <v>ShowSA</v>
      </c>
      <c r="C21" s="6" t="s">
        <v>14</v>
      </c>
      <c r="D21" s="7" t="s">
        <v>1881</v>
      </c>
      <c r="E21" s="6" t="s">
        <v>14</v>
      </c>
    </row>
    <row r="22" spans="1:5" x14ac:dyDescent="0.25">
      <c r="A22" s="6" t="str">
        <f t="shared" si="0"/>
        <v>ShowAfrica</v>
      </c>
      <c r="C22" s="6" t="s">
        <v>15</v>
      </c>
      <c r="D22" s="7" t="s">
        <v>1881</v>
      </c>
      <c r="E22" s="6" t="s">
        <v>15</v>
      </c>
    </row>
    <row r="23" spans="1:5" x14ac:dyDescent="0.25">
      <c r="A23" s="6" t="str">
        <f t="shared" si="0"/>
        <v>RecordNo</v>
      </c>
      <c r="C23" s="6" t="s">
        <v>16</v>
      </c>
      <c r="D23" s="7" t="s">
        <v>1883</v>
      </c>
      <c r="E23" s="6" t="s">
        <v>16</v>
      </c>
    </row>
    <row r="24" spans="1:5" x14ac:dyDescent="0.25">
      <c r="A24" s="6" t="str">
        <f t="shared" si="0"/>
        <v>Surveycode</v>
      </c>
      <c r="C24" s="6" t="s">
        <v>0</v>
      </c>
      <c r="D24" s="7" t="s">
        <v>1883</v>
      </c>
      <c r="E24" s="6" t="s">
        <v>0</v>
      </c>
    </row>
    <row r="25" spans="1:5" x14ac:dyDescent="0.25">
      <c r="A25" s="6" t="str">
        <f t="shared" si="0"/>
        <v>URIstring</v>
      </c>
      <c r="C25" s="6" t="s">
        <v>1884</v>
      </c>
      <c r="D25" s="7" t="s">
        <v>1883</v>
      </c>
      <c r="E25" s="6" t="s">
        <v>1884</v>
      </c>
    </row>
    <row r="26" spans="1:5" x14ac:dyDescent="0.25">
      <c r="A26" s="6" t="str">
        <f t="shared" si="0"/>
        <v>DateUpdated</v>
      </c>
      <c r="C26" s="6" t="s">
        <v>1885</v>
      </c>
      <c r="D26" s="7" t="s">
        <v>1883</v>
      </c>
      <c r="E26" s="6" t="s">
        <v>1885</v>
      </c>
    </row>
    <row r="27" spans="1:5" x14ac:dyDescent="0.25">
      <c r="A27" s="6" t="str">
        <f t="shared" si="0"/>
        <v>DateCompleted</v>
      </c>
      <c r="C27" s="6" t="s">
        <v>17</v>
      </c>
      <c r="D27" s="7" t="s">
        <v>1883</v>
      </c>
      <c r="E27" s="6" t="s">
        <v>17</v>
      </c>
    </row>
    <row r="28" spans="1:5" x14ac:dyDescent="0.25">
      <c r="A28" s="6" t="str">
        <f t="shared" si="0"/>
        <v>PageNo</v>
      </c>
      <c r="C28" s="6" t="s">
        <v>1886</v>
      </c>
      <c r="D28" s="7" t="s">
        <v>1883</v>
      </c>
      <c r="E28" s="6" t="s">
        <v>1886</v>
      </c>
    </row>
    <row r="29" spans="1:5" x14ac:dyDescent="0.25">
      <c r="A29" s="6" t="str">
        <f t="shared" si="0"/>
        <v>PathInfo</v>
      </c>
      <c r="C29" s="6" t="s">
        <v>1887</v>
      </c>
      <c r="D29" s="7" t="s">
        <v>1883</v>
      </c>
      <c r="E29" s="6" t="s">
        <v>1887</v>
      </c>
    </row>
    <row r="30" spans="1:5" x14ac:dyDescent="0.25">
      <c r="A30" s="6" t="str">
        <f t="shared" si="0"/>
        <v>Referrer</v>
      </c>
      <c r="C30" s="6" t="s">
        <v>1888</v>
      </c>
      <c r="D30" s="7" t="s">
        <v>1883</v>
      </c>
      <c r="E30" s="6" t="s">
        <v>1888</v>
      </c>
    </row>
    <row r="31" spans="1:5" x14ac:dyDescent="0.25">
      <c r="A31" s="6" t="str">
        <f t="shared" si="0"/>
        <v>IPaddress</v>
      </c>
      <c r="C31" s="6" t="s">
        <v>18</v>
      </c>
      <c r="D31" s="7" t="s">
        <v>1883</v>
      </c>
      <c r="E31" s="6" t="s">
        <v>18</v>
      </c>
    </row>
    <row r="32" spans="1:5" x14ac:dyDescent="0.25">
      <c r="A32" s="6" t="str">
        <f t="shared" si="0"/>
        <v>Version</v>
      </c>
      <c r="C32" s="6" t="s">
        <v>19</v>
      </c>
      <c r="D32" s="7" t="s">
        <v>1883</v>
      </c>
      <c r="E32" s="6" t="s">
        <v>1889</v>
      </c>
    </row>
    <row r="33" spans="1:6" x14ac:dyDescent="0.25">
      <c r="A33" s="6" t="str">
        <f t="shared" si="0"/>
        <v>qName</v>
      </c>
      <c r="C33" s="6" t="s">
        <v>20</v>
      </c>
      <c r="D33" s="8" t="s">
        <v>1890</v>
      </c>
      <c r="E33" s="6" t="s">
        <v>1891</v>
      </c>
    </row>
    <row r="34" spans="1:6" x14ac:dyDescent="0.25">
      <c r="A34" s="6" t="str">
        <f t="shared" si="0"/>
        <v>qCompany</v>
      </c>
      <c r="C34" s="6" t="s">
        <v>21</v>
      </c>
      <c r="D34" s="8" t="s">
        <v>1890</v>
      </c>
      <c r="E34" s="6" t="s">
        <v>1892</v>
      </c>
    </row>
    <row r="35" spans="1:6" x14ac:dyDescent="0.25">
      <c r="A35" s="6" t="str">
        <f t="shared" si="0"/>
        <v>qJobtitle</v>
      </c>
      <c r="C35" s="6" t="s">
        <v>22</v>
      </c>
      <c r="D35" s="8" t="s">
        <v>1890</v>
      </c>
      <c r="E35" s="6" t="s">
        <v>1893</v>
      </c>
    </row>
    <row r="36" spans="1:6" x14ac:dyDescent="0.25">
      <c r="A36" s="6" t="str">
        <f t="shared" si="0"/>
        <v>qEmail</v>
      </c>
      <c r="C36" s="6" t="s">
        <v>23</v>
      </c>
      <c r="D36" s="8" t="s">
        <v>1890</v>
      </c>
      <c r="E36" s="6" t="s">
        <v>1894</v>
      </c>
    </row>
    <row r="37" spans="1:6" x14ac:dyDescent="0.25">
      <c r="A37" s="6" t="str">
        <f t="shared" si="0"/>
        <v>qTelephone</v>
      </c>
      <c r="C37" s="6" t="s">
        <v>24</v>
      </c>
      <c r="D37" s="8" t="s">
        <v>1890</v>
      </c>
      <c r="E37" s="6" t="s">
        <v>1895</v>
      </c>
    </row>
    <row r="38" spans="1:6" x14ac:dyDescent="0.25">
      <c r="A38" s="6" t="str">
        <f t="shared" si="0"/>
        <v>qCountry</v>
      </c>
      <c r="C38" s="6" t="s">
        <v>25</v>
      </c>
      <c r="D38" s="8" t="s">
        <v>1890</v>
      </c>
      <c r="E38" s="6" t="s">
        <v>1896</v>
      </c>
    </row>
    <row r="39" spans="1:6" x14ac:dyDescent="0.25">
      <c r="A39" s="6" t="str">
        <f t="shared" si="0"/>
        <v>qCurrency</v>
      </c>
      <c r="C39" s="6" t="s">
        <v>26</v>
      </c>
      <c r="D39" s="8" t="s">
        <v>1897</v>
      </c>
      <c r="E39" s="6" t="s">
        <v>1898</v>
      </c>
    </row>
    <row r="40" spans="1:6" x14ac:dyDescent="0.25">
      <c r="A40" s="6" t="str">
        <f t="shared" si="0"/>
        <v>qCurrencyOther</v>
      </c>
      <c r="C40" s="6" t="s">
        <v>27</v>
      </c>
      <c r="D40" s="8" t="s">
        <v>1890</v>
      </c>
      <c r="E40" s="6" t="s">
        <v>1899</v>
      </c>
    </row>
    <row r="41" spans="1:6" s="9" customFormat="1" x14ac:dyDescent="0.25">
      <c r="A41" s="6" t="str">
        <f t="shared" si="0"/>
        <v>q1</v>
      </c>
      <c r="C41" s="9" t="s">
        <v>28</v>
      </c>
      <c r="D41" s="10" t="s">
        <v>1900</v>
      </c>
      <c r="E41" s="9" t="s">
        <v>1901</v>
      </c>
      <c r="F41" s="6">
        <f>VLOOKUP(E41,'[3]Full Data-Map'!$C:$D,2,FALSE)</f>
        <v>1</v>
      </c>
    </row>
    <row r="42" spans="1:6" s="9" customFormat="1" x14ac:dyDescent="0.25">
      <c r="A42" s="6" t="str">
        <f t="shared" si="0"/>
        <v>q2</v>
      </c>
      <c r="C42" s="9" t="s">
        <v>29</v>
      </c>
      <c r="D42" s="10" t="s">
        <v>1900</v>
      </c>
      <c r="E42" s="9" t="s">
        <v>1902</v>
      </c>
      <c r="F42" s="6">
        <f>VLOOKUP(E42,'[3]Full Data-Map'!$C:$D,2,FALSE)</f>
        <v>2</v>
      </c>
    </row>
    <row r="43" spans="1:6" x14ac:dyDescent="0.25">
      <c r="A43" s="6" t="str">
        <f t="shared" si="0"/>
        <v>q2other</v>
      </c>
      <c r="C43" s="6" t="s">
        <v>30</v>
      </c>
      <c r="D43" s="8" t="s">
        <v>1890</v>
      </c>
      <c r="E43" s="6" t="s">
        <v>1903</v>
      </c>
      <c r="F43" s="6">
        <f>VLOOKUP(E43,'[3]Full Data-Map'!$C:$D,2,FALSE)</f>
        <v>3</v>
      </c>
    </row>
    <row r="44" spans="1:6" s="9" customFormat="1" x14ac:dyDescent="0.25">
      <c r="A44" s="6" t="str">
        <f t="shared" si="0"/>
        <v/>
      </c>
      <c r="D44" s="10"/>
      <c r="E44" s="9" t="s">
        <v>1904</v>
      </c>
      <c r="F44" s="6">
        <f>VLOOKUP(E44,'[3]Full Data-Map'!$C:$D,2,FALSE)</f>
        <v>4</v>
      </c>
    </row>
    <row r="45" spans="1:6" x14ac:dyDescent="0.25">
      <c r="A45" s="6" t="str">
        <f t="shared" si="0"/>
        <v>q3A_TotalRealEstate</v>
      </c>
      <c r="C45" s="6" t="s">
        <v>31</v>
      </c>
      <c r="D45" s="8" t="s">
        <v>1905</v>
      </c>
      <c r="E45" s="6" t="s">
        <v>1906</v>
      </c>
      <c r="F45" s="6" t="str">
        <f>VLOOKUP(E45,'[3]Full Data-Map'!$C:$D,2,FALSE)</f>
        <v>4_1</v>
      </c>
    </row>
    <row r="46" spans="1:6" x14ac:dyDescent="0.25">
      <c r="A46" s="6" t="str">
        <f t="shared" si="0"/>
        <v>q3A_NonListedRealEstate</v>
      </c>
      <c r="C46" s="6" t="s">
        <v>32</v>
      </c>
      <c r="D46" s="8" t="s">
        <v>1905</v>
      </c>
      <c r="E46" s="6" t="s">
        <v>1907</v>
      </c>
      <c r="F46" s="6" t="str">
        <f>VLOOKUP(E46,'[3]Full Data-Map'!$C:$D,2,FALSE)</f>
        <v>4_2</v>
      </c>
    </row>
    <row r="47" spans="1:6" s="9" customFormat="1" x14ac:dyDescent="0.25">
      <c r="A47" s="6" t="str">
        <f t="shared" si="0"/>
        <v/>
      </c>
      <c r="D47" s="10"/>
      <c r="E47" s="9" t="s">
        <v>1908</v>
      </c>
      <c r="F47" s="6">
        <f>VLOOKUP(E47,'[3]Full Data-Map'!$C:$D,2,FALSE)</f>
        <v>5</v>
      </c>
    </row>
    <row r="48" spans="1:6" x14ac:dyDescent="0.25">
      <c r="A48" s="6" t="str">
        <f t="shared" si="0"/>
        <v>q3B_TotalRealEstate</v>
      </c>
      <c r="C48" s="6" t="s">
        <v>33</v>
      </c>
      <c r="D48" s="8" t="s">
        <v>1905</v>
      </c>
      <c r="E48" s="6" t="s">
        <v>1906</v>
      </c>
      <c r="F48" s="17" t="s">
        <v>2739</v>
      </c>
    </row>
    <row r="49" spans="1:6" x14ac:dyDescent="0.25">
      <c r="A49" s="6" t="str">
        <f t="shared" si="0"/>
        <v>q3B_NonListedRealEstate</v>
      </c>
      <c r="C49" s="6" t="s">
        <v>34</v>
      </c>
      <c r="D49" s="8" t="s">
        <v>1905</v>
      </c>
      <c r="E49" s="6" t="s">
        <v>1909</v>
      </c>
      <c r="F49" s="6" t="str">
        <f>VLOOKUP(E49,'[3]Full Data-Map'!$C:$D,2,FALSE)</f>
        <v>5_2</v>
      </c>
    </row>
    <row r="50" spans="1:6" s="9" customFormat="1" x14ac:dyDescent="0.25">
      <c r="A50" s="6" t="str">
        <f t="shared" si="0"/>
        <v/>
      </c>
      <c r="D50" s="10"/>
      <c r="E50" s="9" t="s">
        <v>1910</v>
      </c>
      <c r="F50" s="6">
        <f>VLOOKUP(E50,'[3]Full Data-Map'!$C:$D,2,FALSE)</f>
        <v>6</v>
      </c>
    </row>
    <row r="51" spans="1:6" x14ac:dyDescent="0.25">
      <c r="A51" s="6" t="str">
        <f t="shared" si="0"/>
        <v>q31_1</v>
      </c>
      <c r="C51" s="6" t="s">
        <v>35</v>
      </c>
      <c r="D51" s="8" t="s">
        <v>1905</v>
      </c>
      <c r="E51" s="6" t="s">
        <v>1911</v>
      </c>
      <c r="F51" s="6" t="str">
        <f>VLOOKUP(E51,'[3]Full Data-Map'!$C:$D,2,FALSE)</f>
        <v>6_1</v>
      </c>
    </row>
    <row r="52" spans="1:6" x14ac:dyDescent="0.25">
      <c r="A52" s="6" t="str">
        <f t="shared" si="0"/>
        <v>q31_2</v>
      </c>
      <c r="C52" s="6" t="s">
        <v>36</v>
      </c>
      <c r="D52" s="8" t="s">
        <v>1905</v>
      </c>
      <c r="E52" s="6" t="s">
        <v>1912</v>
      </c>
      <c r="F52" s="6" t="str">
        <f>VLOOKUP(E52,'[3]Full Data-Map'!$C:$D,2,FALSE)</f>
        <v>6_2</v>
      </c>
    </row>
    <row r="53" spans="1:6" x14ac:dyDescent="0.25">
      <c r="A53" s="6" t="str">
        <f t="shared" si="0"/>
        <v>q31_3</v>
      </c>
      <c r="C53" s="6" t="s">
        <v>37</v>
      </c>
      <c r="D53" s="8" t="s">
        <v>1905</v>
      </c>
      <c r="E53" s="6" t="s">
        <v>1913</v>
      </c>
      <c r="F53" s="6" t="str">
        <f>VLOOKUP(E53,'[3]Full Data-Map'!$C:$D,2,FALSE)</f>
        <v>6_3</v>
      </c>
    </row>
    <row r="54" spans="1:6" x14ac:dyDescent="0.25">
      <c r="A54" s="6" t="str">
        <f t="shared" si="0"/>
        <v>q31_4</v>
      </c>
      <c r="C54" s="6" t="s">
        <v>38</v>
      </c>
      <c r="D54" s="8" t="s">
        <v>1905</v>
      </c>
      <c r="E54" s="6" t="s">
        <v>1914</v>
      </c>
      <c r="F54" s="6" t="str">
        <f>VLOOKUP(E54,'[3]Full Data-Map'!$C:$D,2,FALSE)</f>
        <v>6_4</v>
      </c>
    </row>
    <row r="55" spans="1:6" x14ac:dyDescent="0.25">
      <c r="A55" s="6" t="str">
        <f t="shared" si="0"/>
        <v>q31_5</v>
      </c>
      <c r="C55" s="6" t="s">
        <v>39</v>
      </c>
      <c r="D55" s="8" t="s">
        <v>1905</v>
      </c>
      <c r="E55" s="6" t="s">
        <v>1915</v>
      </c>
      <c r="F55" s="6" t="str">
        <f>VLOOKUP(E55,'[3]Full Data-Map'!$C:$D,2,FALSE)</f>
        <v>6_5</v>
      </c>
    </row>
    <row r="56" spans="1:6" x14ac:dyDescent="0.25">
      <c r="A56" s="6" t="str">
        <f t="shared" si="0"/>
        <v>q31_6</v>
      </c>
      <c r="C56" s="6" t="s">
        <v>40</v>
      </c>
      <c r="D56" s="8" t="s">
        <v>1905</v>
      </c>
      <c r="E56" s="6" t="s">
        <v>1916</v>
      </c>
      <c r="F56" s="6" t="str">
        <f>VLOOKUP(E56,'[3]Full Data-Map'!$C:$D,2,FALSE)</f>
        <v>6_6</v>
      </c>
    </row>
    <row r="57" spans="1:6" x14ac:dyDescent="0.25">
      <c r="A57" s="6" t="str">
        <f t="shared" si="0"/>
        <v>q3ROW1_hidden</v>
      </c>
      <c r="C57" s="6" t="s">
        <v>41</v>
      </c>
      <c r="D57" s="8" t="s">
        <v>1905</v>
      </c>
      <c r="E57" s="11" t="s">
        <v>1917</v>
      </c>
      <c r="F57" s="6" t="str">
        <f>VLOOKUP(E57,'[3]Full Data-Map'!$C:$D,2,FALSE)</f>
        <v>6_7</v>
      </c>
    </row>
    <row r="58" spans="1:6" x14ac:dyDescent="0.25">
      <c r="A58" s="6" t="str">
        <f t="shared" si="0"/>
        <v>q32_1</v>
      </c>
      <c r="C58" s="6" t="s">
        <v>42</v>
      </c>
      <c r="D58" s="8" t="s">
        <v>1905</v>
      </c>
      <c r="E58" s="6" t="s">
        <v>1918</v>
      </c>
      <c r="F58" s="6" t="str">
        <f>VLOOKUP(E58,'[3]Full Data-Map'!$C:$D,2,FALSE)</f>
        <v>6_8</v>
      </c>
    </row>
    <row r="59" spans="1:6" x14ac:dyDescent="0.25">
      <c r="A59" s="6" t="str">
        <f t="shared" si="0"/>
        <v>q32_2</v>
      </c>
      <c r="C59" s="6" t="s">
        <v>43</v>
      </c>
      <c r="D59" s="8" t="s">
        <v>1905</v>
      </c>
      <c r="E59" s="6" t="s">
        <v>1919</v>
      </c>
      <c r="F59" s="6" t="str">
        <f>VLOOKUP(E59,'[3]Full Data-Map'!$C:$D,2,FALSE)</f>
        <v>6_9</v>
      </c>
    </row>
    <row r="60" spans="1:6" x14ac:dyDescent="0.25">
      <c r="A60" s="6" t="str">
        <f t="shared" si="0"/>
        <v>q32_3</v>
      </c>
      <c r="C60" s="6" t="s">
        <v>44</v>
      </c>
      <c r="D60" s="8" t="s">
        <v>1905</v>
      </c>
      <c r="E60" s="6" t="s">
        <v>1920</v>
      </c>
      <c r="F60" s="6" t="str">
        <f>VLOOKUP(E60,'[3]Full Data-Map'!$C:$D,2,FALSE)</f>
        <v>6_10</v>
      </c>
    </row>
    <row r="61" spans="1:6" x14ac:dyDescent="0.25">
      <c r="A61" s="6" t="str">
        <f t="shared" si="0"/>
        <v>q32_4</v>
      </c>
      <c r="C61" s="6" t="s">
        <v>45</v>
      </c>
      <c r="D61" s="8" t="s">
        <v>1905</v>
      </c>
      <c r="E61" s="6" t="s">
        <v>1921</v>
      </c>
      <c r="F61" s="6" t="str">
        <f>VLOOKUP(E61,'[3]Full Data-Map'!$C:$D,2,FALSE)</f>
        <v>6_11</v>
      </c>
    </row>
    <row r="62" spans="1:6" x14ac:dyDescent="0.25">
      <c r="A62" s="6" t="str">
        <f t="shared" si="0"/>
        <v>q32_5</v>
      </c>
      <c r="C62" s="6" t="s">
        <v>46</v>
      </c>
      <c r="D62" s="8" t="s">
        <v>1905</v>
      </c>
      <c r="E62" s="6" t="s">
        <v>1922</v>
      </c>
      <c r="F62" s="6" t="str">
        <f>VLOOKUP(E62,'[3]Full Data-Map'!$C:$D,2,FALSE)</f>
        <v>6_12</v>
      </c>
    </row>
    <row r="63" spans="1:6" x14ac:dyDescent="0.25">
      <c r="A63" s="6" t="str">
        <f t="shared" si="0"/>
        <v>q32_6</v>
      </c>
      <c r="C63" s="6" t="s">
        <v>47</v>
      </c>
      <c r="D63" s="8" t="s">
        <v>1905</v>
      </c>
      <c r="E63" s="6" t="s">
        <v>1923</v>
      </c>
      <c r="F63" s="6" t="str">
        <f>VLOOKUP(E63,'[3]Full Data-Map'!$C:$D,2,FALSE)</f>
        <v>6_13</v>
      </c>
    </row>
    <row r="64" spans="1:6" x14ac:dyDescent="0.25">
      <c r="A64" s="6" t="str">
        <f t="shared" si="0"/>
        <v>q3ROW2_hidden</v>
      </c>
      <c r="C64" s="6" t="s">
        <v>48</v>
      </c>
      <c r="D64" s="8" t="s">
        <v>1905</v>
      </c>
      <c r="E64" s="11" t="s">
        <v>1924</v>
      </c>
      <c r="F64" s="6" t="str">
        <f>VLOOKUP(E64,'[3]Full Data-Map'!$C:$D,2,FALSE)</f>
        <v>6_14</v>
      </c>
    </row>
    <row r="65" spans="1:6" x14ac:dyDescent="0.25">
      <c r="A65" s="6" t="str">
        <f t="shared" si="0"/>
        <v>q33_1</v>
      </c>
      <c r="C65" s="6" t="s">
        <v>49</v>
      </c>
      <c r="D65" s="8" t="s">
        <v>1905</v>
      </c>
      <c r="E65" s="6" t="s">
        <v>1925</v>
      </c>
      <c r="F65" s="6" t="str">
        <f>VLOOKUP(E65,'[3]Full Data-Map'!$C:$D,2,FALSE)</f>
        <v>6_15</v>
      </c>
    </row>
    <row r="66" spans="1:6" x14ac:dyDescent="0.25">
      <c r="A66" s="6" t="str">
        <f t="shared" si="0"/>
        <v>q33_2</v>
      </c>
      <c r="C66" s="6" t="s">
        <v>50</v>
      </c>
      <c r="D66" s="8" t="s">
        <v>1905</v>
      </c>
      <c r="E66" s="6" t="s">
        <v>1926</v>
      </c>
      <c r="F66" s="6" t="str">
        <f>VLOOKUP(E66,'[3]Full Data-Map'!$C:$D,2,FALSE)</f>
        <v>6_16</v>
      </c>
    </row>
    <row r="67" spans="1:6" x14ac:dyDescent="0.25">
      <c r="A67" s="6" t="str">
        <f t="shared" ref="A67:A130" si="1">_xlfn.CONCAT(C67,B67)</f>
        <v>q33_3</v>
      </c>
      <c r="C67" s="6" t="s">
        <v>51</v>
      </c>
      <c r="D67" s="8" t="s">
        <v>1905</v>
      </c>
      <c r="E67" s="6" t="s">
        <v>1927</v>
      </c>
      <c r="F67" s="6" t="str">
        <f>VLOOKUP(E67,'[3]Full Data-Map'!$C:$D,2,FALSE)</f>
        <v>6_17</v>
      </c>
    </row>
    <row r="68" spans="1:6" x14ac:dyDescent="0.25">
      <c r="A68" s="6" t="str">
        <f t="shared" si="1"/>
        <v>q33_4</v>
      </c>
      <c r="C68" s="6" t="s">
        <v>52</v>
      </c>
      <c r="D68" s="8" t="s">
        <v>1905</v>
      </c>
      <c r="E68" s="6" t="s">
        <v>1928</v>
      </c>
      <c r="F68" s="6" t="str">
        <f>VLOOKUP(E68,'[3]Full Data-Map'!$C:$D,2,FALSE)</f>
        <v>6_18</v>
      </c>
    </row>
    <row r="69" spans="1:6" x14ac:dyDescent="0.25">
      <c r="A69" s="6" t="str">
        <f t="shared" si="1"/>
        <v>q33_5</v>
      </c>
      <c r="C69" s="6" t="s">
        <v>53</v>
      </c>
      <c r="D69" s="8" t="s">
        <v>1905</v>
      </c>
      <c r="E69" s="6" t="s">
        <v>1929</v>
      </c>
      <c r="F69" s="6" t="str">
        <f>VLOOKUP(E69,'[3]Full Data-Map'!$C:$D,2,FALSE)</f>
        <v>6_19</v>
      </c>
    </row>
    <row r="70" spans="1:6" x14ac:dyDescent="0.25">
      <c r="A70" s="6" t="str">
        <f t="shared" si="1"/>
        <v>q33_6</v>
      </c>
      <c r="C70" s="6" t="s">
        <v>54</v>
      </c>
      <c r="D70" s="8" t="s">
        <v>1905</v>
      </c>
      <c r="E70" s="6" t="s">
        <v>1930</v>
      </c>
      <c r="F70" s="6" t="str">
        <f>VLOOKUP(E70,'[3]Full Data-Map'!$C:$D,2,FALSE)</f>
        <v>6_20</v>
      </c>
    </row>
    <row r="71" spans="1:6" x14ac:dyDescent="0.25">
      <c r="A71" s="6" t="str">
        <f t="shared" si="1"/>
        <v>q3ROW3_hidden</v>
      </c>
      <c r="C71" s="6" t="s">
        <v>55</v>
      </c>
      <c r="D71" s="8" t="s">
        <v>1905</v>
      </c>
      <c r="E71" s="11" t="s">
        <v>1931</v>
      </c>
      <c r="F71" s="6" t="str">
        <f>VLOOKUP(E71,'[3]Full Data-Map'!$C:$D,2,FALSE)</f>
        <v>6_21</v>
      </c>
    </row>
    <row r="72" spans="1:6" x14ac:dyDescent="0.25">
      <c r="A72" s="6" t="str">
        <f t="shared" si="1"/>
        <v>q34_1</v>
      </c>
      <c r="C72" s="6" t="s">
        <v>56</v>
      </c>
      <c r="D72" s="8" t="s">
        <v>1905</v>
      </c>
      <c r="E72" s="6" t="s">
        <v>1932</v>
      </c>
      <c r="F72" s="6" t="str">
        <f>VLOOKUP(E72,'[3]Full Data-Map'!$C:$D,2,FALSE)</f>
        <v>6_22</v>
      </c>
    </row>
    <row r="73" spans="1:6" x14ac:dyDescent="0.25">
      <c r="A73" s="6" t="str">
        <f t="shared" si="1"/>
        <v>q34_2</v>
      </c>
      <c r="C73" s="6" t="s">
        <v>57</v>
      </c>
      <c r="D73" s="8" t="s">
        <v>1905</v>
      </c>
      <c r="E73" s="6" t="s">
        <v>1933</v>
      </c>
      <c r="F73" s="6" t="str">
        <f>VLOOKUP(E73,'[3]Full Data-Map'!$C:$D,2,FALSE)</f>
        <v>6_23</v>
      </c>
    </row>
    <row r="74" spans="1:6" x14ac:dyDescent="0.25">
      <c r="A74" s="6" t="str">
        <f t="shared" si="1"/>
        <v>q34_3</v>
      </c>
      <c r="C74" s="6" t="s">
        <v>58</v>
      </c>
      <c r="D74" s="8" t="s">
        <v>1905</v>
      </c>
      <c r="E74" s="6" t="s">
        <v>1934</v>
      </c>
      <c r="F74" s="6" t="str">
        <f>VLOOKUP(E74,'[3]Full Data-Map'!$C:$D,2,FALSE)</f>
        <v>6_24</v>
      </c>
    </row>
    <row r="75" spans="1:6" x14ac:dyDescent="0.25">
      <c r="A75" s="6" t="str">
        <f t="shared" si="1"/>
        <v>q34_4</v>
      </c>
      <c r="C75" s="6" t="s">
        <v>59</v>
      </c>
      <c r="D75" s="8" t="s">
        <v>1905</v>
      </c>
      <c r="E75" s="6" t="s">
        <v>1935</v>
      </c>
      <c r="F75" s="6" t="str">
        <f>VLOOKUP(E75,'[3]Full Data-Map'!$C:$D,2,FALSE)</f>
        <v>6_25</v>
      </c>
    </row>
    <row r="76" spans="1:6" x14ac:dyDescent="0.25">
      <c r="A76" s="6" t="str">
        <f t="shared" si="1"/>
        <v>q34_5</v>
      </c>
      <c r="C76" s="6" t="s">
        <v>60</v>
      </c>
      <c r="D76" s="8" t="s">
        <v>1905</v>
      </c>
      <c r="E76" s="6" t="s">
        <v>1936</v>
      </c>
      <c r="F76" s="6" t="str">
        <f>VLOOKUP(E76,'[3]Full Data-Map'!$C:$D,2,FALSE)</f>
        <v>6_26</v>
      </c>
    </row>
    <row r="77" spans="1:6" x14ac:dyDescent="0.25">
      <c r="A77" s="6" t="str">
        <f t="shared" si="1"/>
        <v>q34_6</v>
      </c>
      <c r="C77" s="6" t="s">
        <v>61</v>
      </c>
      <c r="D77" s="8" t="s">
        <v>1905</v>
      </c>
      <c r="E77" s="6" t="s">
        <v>1937</v>
      </c>
      <c r="F77" s="6" t="str">
        <f>VLOOKUP(E77,'[3]Full Data-Map'!$C:$D,2,FALSE)</f>
        <v>6_27</v>
      </c>
    </row>
    <row r="78" spans="1:6" x14ac:dyDescent="0.25">
      <c r="A78" s="6" t="str">
        <f t="shared" si="1"/>
        <v>q3ROW4_hidden</v>
      </c>
      <c r="C78" s="6" t="s">
        <v>62</v>
      </c>
      <c r="D78" s="8" t="s">
        <v>1905</v>
      </c>
      <c r="E78" s="11" t="s">
        <v>1938</v>
      </c>
      <c r="F78" s="6" t="str">
        <f>VLOOKUP(E78,'[3]Full Data-Map'!$C:$D,2,FALSE)</f>
        <v>6_28</v>
      </c>
    </row>
    <row r="79" spans="1:6" x14ac:dyDescent="0.25">
      <c r="A79" s="6" t="str">
        <f t="shared" si="1"/>
        <v>q35_1</v>
      </c>
      <c r="C79" s="6" t="s">
        <v>63</v>
      </c>
      <c r="D79" s="8" t="s">
        <v>1905</v>
      </c>
      <c r="E79" s="6" t="s">
        <v>1939</v>
      </c>
      <c r="F79" s="6" t="str">
        <f>VLOOKUP(E79,'[3]Full Data-Map'!$C:$D,2,FALSE)</f>
        <v>6_29</v>
      </c>
    </row>
    <row r="80" spans="1:6" x14ac:dyDescent="0.25">
      <c r="A80" s="6" t="str">
        <f t="shared" si="1"/>
        <v>q35_2</v>
      </c>
      <c r="C80" s="6" t="s">
        <v>64</v>
      </c>
      <c r="D80" s="8" t="s">
        <v>1905</v>
      </c>
      <c r="E80" s="6" t="s">
        <v>1940</v>
      </c>
      <c r="F80" s="6" t="str">
        <f>VLOOKUP(E80,'[3]Full Data-Map'!$C:$D,2,FALSE)</f>
        <v>6_30</v>
      </c>
    </row>
    <row r="81" spans="1:6" x14ac:dyDescent="0.25">
      <c r="A81" s="6" t="str">
        <f t="shared" si="1"/>
        <v>q35_3</v>
      </c>
      <c r="C81" s="6" t="s">
        <v>65</v>
      </c>
      <c r="D81" s="8" t="s">
        <v>1905</v>
      </c>
      <c r="E81" s="6" t="s">
        <v>1941</v>
      </c>
      <c r="F81" s="6" t="str">
        <f>VLOOKUP(E81,'[3]Full Data-Map'!$C:$D,2,FALSE)</f>
        <v>6_31</v>
      </c>
    </row>
    <row r="82" spans="1:6" x14ac:dyDescent="0.25">
      <c r="A82" s="6" t="str">
        <f t="shared" si="1"/>
        <v>q35_4</v>
      </c>
      <c r="C82" s="6" t="s">
        <v>66</v>
      </c>
      <c r="D82" s="8" t="s">
        <v>1905</v>
      </c>
      <c r="E82" s="6" t="s">
        <v>1942</v>
      </c>
      <c r="F82" s="6" t="str">
        <f>VLOOKUP(E82,'[3]Full Data-Map'!$C:$D,2,FALSE)</f>
        <v>6_32</v>
      </c>
    </row>
    <row r="83" spans="1:6" x14ac:dyDescent="0.25">
      <c r="A83" s="6" t="str">
        <f t="shared" si="1"/>
        <v>q35_5</v>
      </c>
      <c r="C83" s="6" t="s">
        <v>67</v>
      </c>
      <c r="D83" s="8" t="s">
        <v>1905</v>
      </c>
      <c r="E83" s="6" t="s">
        <v>1943</v>
      </c>
      <c r="F83" s="6" t="str">
        <f>VLOOKUP(E83,'[3]Full Data-Map'!$C:$D,2,FALSE)</f>
        <v>6_33</v>
      </c>
    </row>
    <row r="84" spans="1:6" x14ac:dyDescent="0.25">
      <c r="A84" s="6" t="str">
        <f t="shared" si="1"/>
        <v>q35_6</v>
      </c>
      <c r="C84" s="6" t="s">
        <v>68</v>
      </c>
      <c r="D84" s="8" t="s">
        <v>1905</v>
      </c>
      <c r="E84" s="6" t="s">
        <v>1944</v>
      </c>
      <c r="F84" s="6" t="str">
        <f>VLOOKUP(E84,'[3]Full Data-Map'!$C:$D,2,FALSE)</f>
        <v>6_34</v>
      </c>
    </row>
    <row r="85" spans="1:6" x14ac:dyDescent="0.25">
      <c r="A85" s="6" t="str">
        <f t="shared" si="1"/>
        <v>q3ROW5_hidden</v>
      </c>
      <c r="C85" s="6" t="s">
        <v>69</v>
      </c>
      <c r="D85" s="8" t="s">
        <v>1905</v>
      </c>
      <c r="E85" s="11" t="s">
        <v>1945</v>
      </c>
      <c r="F85" s="6" t="str">
        <f>VLOOKUP(E85,'[3]Full Data-Map'!$C:$D,2,FALSE)</f>
        <v>6_35</v>
      </c>
    </row>
    <row r="86" spans="1:6" x14ac:dyDescent="0.25">
      <c r="A86" s="6" t="str">
        <f t="shared" si="1"/>
        <v>q36_1</v>
      </c>
      <c r="C86" s="6" t="s">
        <v>70</v>
      </c>
      <c r="D86" s="8" t="s">
        <v>1905</v>
      </c>
      <c r="E86" s="6" t="s">
        <v>1946</v>
      </c>
      <c r="F86" s="6" t="str">
        <f>VLOOKUP(E86,'[3]Full Data-Map'!$C:$D,2,FALSE)</f>
        <v>6_36</v>
      </c>
    </row>
    <row r="87" spans="1:6" x14ac:dyDescent="0.25">
      <c r="A87" s="6" t="str">
        <f t="shared" si="1"/>
        <v>q36_2</v>
      </c>
      <c r="C87" s="6" t="s">
        <v>71</v>
      </c>
      <c r="D87" s="8" t="s">
        <v>1905</v>
      </c>
      <c r="E87" s="6" t="s">
        <v>1947</v>
      </c>
      <c r="F87" s="6" t="str">
        <f>VLOOKUP(E87,'[3]Full Data-Map'!$C:$D,2,FALSE)</f>
        <v>6_37</v>
      </c>
    </row>
    <row r="88" spans="1:6" x14ac:dyDescent="0.25">
      <c r="A88" s="6" t="str">
        <f t="shared" si="1"/>
        <v>q36_3</v>
      </c>
      <c r="C88" s="6" t="s">
        <v>72</v>
      </c>
      <c r="D88" s="8" t="s">
        <v>1905</v>
      </c>
      <c r="E88" s="6" t="s">
        <v>1948</v>
      </c>
      <c r="F88" s="6" t="str">
        <f>VLOOKUP(E88,'[3]Full Data-Map'!$C:$D,2,FALSE)</f>
        <v>6_38</v>
      </c>
    </row>
    <row r="89" spans="1:6" x14ac:dyDescent="0.25">
      <c r="A89" s="6" t="str">
        <f t="shared" si="1"/>
        <v>q36_4</v>
      </c>
      <c r="C89" s="6" t="s">
        <v>73</v>
      </c>
      <c r="D89" s="8" t="s">
        <v>1905</v>
      </c>
      <c r="E89" s="6" t="s">
        <v>1949</v>
      </c>
      <c r="F89" s="6" t="str">
        <f>VLOOKUP(E89,'[3]Full Data-Map'!$C:$D,2,FALSE)</f>
        <v>6_39</v>
      </c>
    </row>
    <row r="90" spans="1:6" x14ac:dyDescent="0.25">
      <c r="A90" s="6" t="str">
        <f t="shared" si="1"/>
        <v>q36_5</v>
      </c>
      <c r="C90" s="6" t="s">
        <v>74</v>
      </c>
      <c r="D90" s="8" t="s">
        <v>1905</v>
      </c>
      <c r="E90" s="6" t="s">
        <v>1950</v>
      </c>
      <c r="F90" s="6" t="str">
        <f>VLOOKUP(E90,'[3]Full Data-Map'!$C:$D,2,FALSE)</f>
        <v>6_40</v>
      </c>
    </row>
    <row r="91" spans="1:6" x14ac:dyDescent="0.25">
      <c r="A91" s="6" t="str">
        <f t="shared" si="1"/>
        <v>q36_6</v>
      </c>
      <c r="C91" s="6" t="s">
        <v>75</v>
      </c>
      <c r="D91" s="8" t="s">
        <v>1905</v>
      </c>
      <c r="E91" s="6" t="s">
        <v>1951</v>
      </c>
      <c r="F91" s="6" t="str">
        <f>VLOOKUP(E91,'[3]Full Data-Map'!$C:$D,2,FALSE)</f>
        <v>6_41</v>
      </c>
    </row>
    <row r="92" spans="1:6" x14ac:dyDescent="0.25">
      <c r="A92" s="6" t="str">
        <f t="shared" si="1"/>
        <v>q3ROW6_hidden</v>
      </c>
      <c r="C92" s="6" t="s">
        <v>76</v>
      </c>
      <c r="D92" s="8" t="s">
        <v>1905</v>
      </c>
      <c r="E92" s="11" t="s">
        <v>1952</v>
      </c>
      <c r="F92" s="6" t="str">
        <f>VLOOKUP(E92,'[3]Full Data-Map'!$C:$D,2,FALSE)</f>
        <v>6_42</v>
      </c>
    </row>
    <row r="93" spans="1:6" x14ac:dyDescent="0.25">
      <c r="A93" s="6" t="str">
        <f t="shared" si="1"/>
        <v>q3COL1_hidden</v>
      </c>
      <c r="C93" s="6" t="s">
        <v>77</v>
      </c>
      <c r="D93" s="8" t="s">
        <v>1905</v>
      </c>
      <c r="E93" s="11" t="s">
        <v>1953</v>
      </c>
      <c r="F93" s="6" t="str">
        <f>VLOOKUP(E93,'[3]Full Data-Map'!$C:$D,2,FALSE)</f>
        <v>6_43</v>
      </c>
    </row>
    <row r="94" spans="1:6" x14ac:dyDescent="0.25">
      <c r="A94" s="6" t="str">
        <f t="shared" si="1"/>
        <v>q3COL2_hidden</v>
      </c>
      <c r="C94" s="6" t="s">
        <v>78</v>
      </c>
      <c r="D94" s="8" t="s">
        <v>1905</v>
      </c>
      <c r="E94" s="11" t="s">
        <v>1954</v>
      </c>
      <c r="F94" s="6" t="str">
        <f>VLOOKUP(E94,'[3]Full Data-Map'!$C:$D,2,FALSE)</f>
        <v>6_44</v>
      </c>
    </row>
    <row r="95" spans="1:6" x14ac:dyDescent="0.25">
      <c r="A95" s="6" t="str">
        <f t="shared" si="1"/>
        <v>q3COL3_hidden</v>
      </c>
      <c r="C95" s="6" t="s">
        <v>79</v>
      </c>
      <c r="D95" s="8" t="s">
        <v>1905</v>
      </c>
      <c r="E95" s="11" t="s">
        <v>1955</v>
      </c>
      <c r="F95" s="6" t="str">
        <f>VLOOKUP(E95,'[3]Full Data-Map'!$C:$D,2,FALSE)</f>
        <v>6_45</v>
      </c>
    </row>
    <row r="96" spans="1:6" x14ac:dyDescent="0.25">
      <c r="A96" s="6" t="str">
        <f t="shared" si="1"/>
        <v>q3COL4_hidden</v>
      </c>
      <c r="C96" s="6" t="s">
        <v>80</v>
      </c>
      <c r="D96" s="8" t="s">
        <v>1905</v>
      </c>
      <c r="E96" s="11" t="s">
        <v>1956</v>
      </c>
      <c r="F96" s="6" t="str">
        <f>VLOOKUP(E96,'[3]Full Data-Map'!$C:$D,2,FALSE)</f>
        <v>6_46</v>
      </c>
    </row>
    <row r="97" spans="1:6" x14ac:dyDescent="0.25">
      <c r="A97" s="6" t="str">
        <f t="shared" si="1"/>
        <v>q3COL5_hidden</v>
      </c>
      <c r="C97" s="6" t="s">
        <v>81</v>
      </c>
      <c r="D97" s="8" t="s">
        <v>1905</v>
      </c>
      <c r="E97" s="11" t="s">
        <v>1957</v>
      </c>
      <c r="F97" s="6" t="str">
        <f>VLOOKUP(E97,'[3]Full Data-Map'!$C:$D,2,FALSE)</f>
        <v>6_47</v>
      </c>
    </row>
    <row r="98" spans="1:6" x14ac:dyDescent="0.25">
      <c r="A98" s="6" t="str">
        <f t="shared" si="1"/>
        <v>q3COL6_hidden</v>
      </c>
      <c r="C98" s="6" t="s">
        <v>82</v>
      </c>
      <c r="D98" s="8" t="s">
        <v>1905</v>
      </c>
      <c r="E98" s="11" t="s">
        <v>1958</v>
      </c>
      <c r="F98" s="6" t="str">
        <f>VLOOKUP(E98,'[3]Full Data-Map'!$C:$D,2,FALSE)</f>
        <v>6_48</v>
      </c>
    </row>
    <row r="99" spans="1:6" x14ac:dyDescent="0.25">
      <c r="A99" s="6" t="str">
        <f t="shared" si="1"/>
        <v>q3GRANDTotal_hidden</v>
      </c>
      <c r="C99" s="6" t="s">
        <v>83</v>
      </c>
      <c r="D99" s="8" t="s">
        <v>1905</v>
      </c>
      <c r="E99" s="11" t="s">
        <v>1959</v>
      </c>
      <c r="F99" s="6" t="str">
        <f>VLOOKUP(E99,'[3]Full Data-Map'!$C:$D,2,FALSE)</f>
        <v>6_49</v>
      </c>
    </row>
    <row r="100" spans="1:6" s="9" customFormat="1" x14ac:dyDescent="0.25">
      <c r="A100" s="6" t="str">
        <f t="shared" si="1"/>
        <v/>
      </c>
      <c r="D100" s="10"/>
      <c r="E100" s="9" t="s">
        <v>1960</v>
      </c>
      <c r="F100" s="6">
        <f>VLOOKUP(E100,'[3]Full Data-Map'!$C:$D,2,FALSE)</f>
        <v>7</v>
      </c>
    </row>
    <row r="101" spans="1:6" x14ac:dyDescent="0.25">
      <c r="A101" s="6" t="str">
        <f t="shared" si="1"/>
        <v>q41_1</v>
      </c>
      <c r="C101" s="6" t="s">
        <v>84</v>
      </c>
      <c r="D101" s="8" t="s">
        <v>1961</v>
      </c>
      <c r="E101" s="6" t="s">
        <v>1911</v>
      </c>
      <c r="F101" s="17" t="s">
        <v>2740</v>
      </c>
    </row>
    <row r="102" spans="1:6" x14ac:dyDescent="0.25">
      <c r="A102" s="6" t="str">
        <f t="shared" si="1"/>
        <v>q41_2</v>
      </c>
      <c r="C102" s="6" t="s">
        <v>85</v>
      </c>
      <c r="D102" s="8" t="s">
        <v>1961</v>
      </c>
      <c r="E102" s="6" t="s">
        <v>1912</v>
      </c>
      <c r="F102" s="17" t="s">
        <v>2741</v>
      </c>
    </row>
    <row r="103" spans="1:6" x14ac:dyDescent="0.25">
      <c r="A103" s="6" t="str">
        <f t="shared" si="1"/>
        <v>q41_3</v>
      </c>
      <c r="C103" s="6" t="s">
        <v>86</v>
      </c>
      <c r="D103" s="8" t="s">
        <v>1961</v>
      </c>
      <c r="E103" s="6" t="s">
        <v>1913</v>
      </c>
      <c r="F103" s="17" t="s">
        <v>2742</v>
      </c>
    </row>
    <row r="104" spans="1:6" x14ac:dyDescent="0.25">
      <c r="A104" s="6" t="str">
        <f t="shared" si="1"/>
        <v>q41_4</v>
      </c>
      <c r="C104" s="6" t="s">
        <v>87</v>
      </c>
      <c r="D104" s="8" t="s">
        <v>1961</v>
      </c>
      <c r="E104" s="6" t="s">
        <v>1914</v>
      </c>
      <c r="F104" s="17" t="s">
        <v>2743</v>
      </c>
    </row>
    <row r="105" spans="1:6" x14ac:dyDescent="0.25">
      <c r="A105" s="6" t="str">
        <f t="shared" si="1"/>
        <v>q41_5</v>
      </c>
      <c r="C105" s="6" t="s">
        <v>88</v>
      </c>
      <c r="D105" s="8" t="s">
        <v>1961</v>
      </c>
      <c r="E105" s="6" t="s">
        <v>1915</v>
      </c>
      <c r="F105" s="17" t="s">
        <v>2744</v>
      </c>
    </row>
    <row r="106" spans="1:6" x14ac:dyDescent="0.25">
      <c r="A106" s="6" t="str">
        <f t="shared" si="1"/>
        <v>q41_6</v>
      </c>
      <c r="C106" s="6" t="s">
        <v>89</v>
      </c>
      <c r="D106" s="8" t="s">
        <v>1961</v>
      </c>
      <c r="E106" s="6" t="s">
        <v>1916</v>
      </c>
      <c r="F106" s="17" t="s">
        <v>2745</v>
      </c>
    </row>
    <row r="107" spans="1:6" x14ac:dyDescent="0.25">
      <c r="A107" s="6" t="str">
        <f t="shared" si="1"/>
        <v>q4ROW1_hidden</v>
      </c>
      <c r="C107" s="6" t="s">
        <v>90</v>
      </c>
      <c r="D107" s="8" t="s">
        <v>1961</v>
      </c>
      <c r="E107" s="11" t="s">
        <v>1917</v>
      </c>
      <c r="F107" s="17" t="s">
        <v>2746</v>
      </c>
    </row>
    <row r="108" spans="1:6" x14ac:dyDescent="0.25">
      <c r="A108" s="6" t="str">
        <f t="shared" si="1"/>
        <v>q42_1</v>
      </c>
      <c r="C108" s="6" t="s">
        <v>91</v>
      </c>
      <c r="D108" s="8" t="s">
        <v>1961</v>
      </c>
      <c r="E108" s="6" t="s">
        <v>1918</v>
      </c>
      <c r="F108" s="17" t="s">
        <v>2747</v>
      </c>
    </row>
    <row r="109" spans="1:6" x14ac:dyDescent="0.25">
      <c r="A109" s="6" t="str">
        <f t="shared" si="1"/>
        <v>q42_2</v>
      </c>
      <c r="C109" s="6" t="s">
        <v>92</v>
      </c>
      <c r="D109" s="8" t="s">
        <v>1961</v>
      </c>
      <c r="E109" s="6" t="s">
        <v>1919</v>
      </c>
      <c r="F109" s="17" t="s">
        <v>2748</v>
      </c>
    </row>
    <row r="110" spans="1:6" x14ac:dyDescent="0.25">
      <c r="A110" s="6" t="str">
        <f t="shared" si="1"/>
        <v>q42_3</v>
      </c>
      <c r="C110" s="6" t="s">
        <v>93</v>
      </c>
      <c r="D110" s="8" t="s">
        <v>1961</v>
      </c>
      <c r="E110" s="6" t="s">
        <v>1920</v>
      </c>
      <c r="F110" s="17" t="s">
        <v>2749</v>
      </c>
    </row>
    <row r="111" spans="1:6" x14ac:dyDescent="0.25">
      <c r="A111" s="6" t="str">
        <f t="shared" si="1"/>
        <v>q42_4</v>
      </c>
      <c r="C111" s="6" t="s">
        <v>94</v>
      </c>
      <c r="D111" s="8" t="s">
        <v>1961</v>
      </c>
      <c r="E111" s="6" t="s">
        <v>1921</v>
      </c>
      <c r="F111" s="17" t="s">
        <v>2750</v>
      </c>
    </row>
    <row r="112" spans="1:6" x14ac:dyDescent="0.25">
      <c r="A112" s="6" t="str">
        <f t="shared" si="1"/>
        <v>q42_5</v>
      </c>
      <c r="C112" s="6" t="s">
        <v>95</v>
      </c>
      <c r="D112" s="8" t="s">
        <v>1961</v>
      </c>
      <c r="E112" s="6" t="s">
        <v>1922</v>
      </c>
      <c r="F112" s="17" t="s">
        <v>2751</v>
      </c>
    </row>
    <row r="113" spans="1:6" x14ac:dyDescent="0.25">
      <c r="A113" s="6" t="str">
        <f t="shared" si="1"/>
        <v>q42_6</v>
      </c>
      <c r="C113" s="6" t="s">
        <v>96</v>
      </c>
      <c r="D113" s="8" t="s">
        <v>1961</v>
      </c>
      <c r="E113" s="6" t="s">
        <v>1923</v>
      </c>
      <c r="F113" s="17" t="s">
        <v>2752</v>
      </c>
    </row>
    <row r="114" spans="1:6" x14ac:dyDescent="0.25">
      <c r="A114" s="6" t="str">
        <f t="shared" si="1"/>
        <v>q4ROW2_hidden</v>
      </c>
      <c r="C114" s="6" t="s">
        <v>97</v>
      </c>
      <c r="D114" s="8" t="s">
        <v>1961</v>
      </c>
      <c r="E114" s="11" t="s">
        <v>1924</v>
      </c>
      <c r="F114" s="17" t="s">
        <v>2753</v>
      </c>
    </row>
    <row r="115" spans="1:6" x14ac:dyDescent="0.25">
      <c r="A115" s="6" t="str">
        <f t="shared" si="1"/>
        <v>q43_1</v>
      </c>
      <c r="C115" s="6" t="s">
        <v>98</v>
      </c>
      <c r="D115" s="8" t="s">
        <v>1961</v>
      </c>
      <c r="E115" s="6" t="s">
        <v>1925</v>
      </c>
      <c r="F115" s="17" t="s">
        <v>2754</v>
      </c>
    </row>
    <row r="116" spans="1:6" x14ac:dyDescent="0.25">
      <c r="A116" s="6" t="str">
        <f t="shared" si="1"/>
        <v>q43_2</v>
      </c>
      <c r="C116" s="6" t="s">
        <v>99</v>
      </c>
      <c r="D116" s="8" t="s">
        <v>1961</v>
      </c>
      <c r="E116" s="6" t="s">
        <v>1926</v>
      </c>
      <c r="F116" s="17" t="s">
        <v>2755</v>
      </c>
    </row>
    <row r="117" spans="1:6" x14ac:dyDescent="0.25">
      <c r="A117" s="6" t="str">
        <f t="shared" si="1"/>
        <v>q43_3</v>
      </c>
      <c r="C117" s="6" t="s">
        <v>100</v>
      </c>
      <c r="D117" s="8" t="s">
        <v>1961</v>
      </c>
      <c r="E117" s="6" t="s">
        <v>1927</v>
      </c>
      <c r="F117" s="17" t="s">
        <v>2756</v>
      </c>
    </row>
    <row r="118" spans="1:6" x14ac:dyDescent="0.25">
      <c r="A118" s="6" t="str">
        <f t="shared" si="1"/>
        <v>q43_4</v>
      </c>
      <c r="C118" s="6" t="s">
        <v>101</v>
      </c>
      <c r="D118" s="8" t="s">
        <v>1961</v>
      </c>
      <c r="E118" s="6" t="s">
        <v>1928</v>
      </c>
      <c r="F118" s="17" t="s">
        <v>2757</v>
      </c>
    </row>
    <row r="119" spans="1:6" x14ac:dyDescent="0.25">
      <c r="A119" s="6" t="str">
        <f t="shared" si="1"/>
        <v>q43_5</v>
      </c>
      <c r="C119" s="6" t="s">
        <v>102</v>
      </c>
      <c r="D119" s="8" t="s">
        <v>1961</v>
      </c>
      <c r="E119" s="6" t="s">
        <v>1929</v>
      </c>
      <c r="F119" s="17" t="s">
        <v>2758</v>
      </c>
    </row>
    <row r="120" spans="1:6" x14ac:dyDescent="0.25">
      <c r="A120" s="6" t="str">
        <f t="shared" si="1"/>
        <v>q43_6</v>
      </c>
      <c r="C120" s="6" t="s">
        <v>103</v>
      </c>
      <c r="D120" s="8" t="s">
        <v>1961</v>
      </c>
      <c r="E120" s="6" t="s">
        <v>1930</v>
      </c>
      <c r="F120" s="17" t="s">
        <v>2759</v>
      </c>
    </row>
    <row r="121" spans="1:6" x14ac:dyDescent="0.25">
      <c r="A121" s="6" t="str">
        <f t="shared" si="1"/>
        <v>q4ROW3_hidden</v>
      </c>
      <c r="C121" s="6" t="s">
        <v>104</v>
      </c>
      <c r="D121" s="8" t="s">
        <v>1961</v>
      </c>
      <c r="E121" s="11" t="s">
        <v>1931</v>
      </c>
      <c r="F121" s="17" t="s">
        <v>2760</v>
      </c>
    </row>
    <row r="122" spans="1:6" x14ac:dyDescent="0.25">
      <c r="A122" s="6" t="str">
        <f t="shared" si="1"/>
        <v>q44_1</v>
      </c>
      <c r="C122" s="6" t="s">
        <v>105</v>
      </c>
      <c r="D122" s="8" t="s">
        <v>1961</v>
      </c>
      <c r="E122" s="6" t="s">
        <v>1932</v>
      </c>
      <c r="F122" s="17" t="s">
        <v>2761</v>
      </c>
    </row>
    <row r="123" spans="1:6" x14ac:dyDescent="0.25">
      <c r="A123" s="6" t="str">
        <f t="shared" si="1"/>
        <v>q44_2</v>
      </c>
      <c r="C123" s="6" t="s">
        <v>106</v>
      </c>
      <c r="D123" s="8" t="s">
        <v>1961</v>
      </c>
      <c r="E123" s="6" t="s">
        <v>1933</v>
      </c>
      <c r="F123" s="17" t="s">
        <v>2762</v>
      </c>
    </row>
    <row r="124" spans="1:6" x14ac:dyDescent="0.25">
      <c r="A124" s="6" t="str">
        <f t="shared" si="1"/>
        <v>q44_3</v>
      </c>
      <c r="C124" s="6" t="s">
        <v>107</v>
      </c>
      <c r="D124" s="8" t="s">
        <v>1961</v>
      </c>
      <c r="E124" s="6" t="s">
        <v>1934</v>
      </c>
      <c r="F124" s="17" t="s">
        <v>2763</v>
      </c>
    </row>
    <row r="125" spans="1:6" x14ac:dyDescent="0.25">
      <c r="A125" s="6" t="str">
        <f t="shared" si="1"/>
        <v>q44_4</v>
      </c>
      <c r="C125" s="6" t="s">
        <v>108</v>
      </c>
      <c r="D125" s="8" t="s">
        <v>1961</v>
      </c>
      <c r="E125" s="6" t="s">
        <v>1935</v>
      </c>
      <c r="F125" s="17" t="s">
        <v>2764</v>
      </c>
    </row>
    <row r="126" spans="1:6" x14ac:dyDescent="0.25">
      <c r="A126" s="6" t="str">
        <f t="shared" si="1"/>
        <v>q44_5</v>
      </c>
      <c r="C126" s="6" t="s">
        <v>109</v>
      </c>
      <c r="D126" s="8" t="s">
        <v>1961</v>
      </c>
      <c r="E126" s="6" t="s">
        <v>1936</v>
      </c>
      <c r="F126" s="17" t="s">
        <v>2765</v>
      </c>
    </row>
    <row r="127" spans="1:6" x14ac:dyDescent="0.25">
      <c r="A127" s="6" t="str">
        <f t="shared" si="1"/>
        <v>q44_6</v>
      </c>
      <c r="C127" s="6" t="s">
        <v>110</v>
      </c>
      <c r="D127" s="8" t="s">
        <v>1961</v>
      </c>
      <c r="E127" s="6" t="s">
        <v>1937</v>
      </c>
      <c r="F127" s="17" t="s">
        <v>2766</v>
      </c>
    </row>
    <row r="128" spans="1:6" x14ac:dyDescent="0.25">
      <c r="A128" s="6" t="str">
        <f t="shared" si="1"/>
        <v>q4ROW4_hidden</v>
      </c>
      <c r="C128" s="6" t="s">
        <v>111</v>
      </c>
      <c r="D128" s="8" t="s">
        <v>1961</v>
      </c>
      <c r="E128" s="11" t="s">
        <v>1938</v>
      </c>
      <c r="F128" s="17" t="s">
        <v>2767</v>
      </c>
    </row>
    <row r="129" spans="1:6" x14ac:dyDescent="0.25">
      <c r="A129" s="6" t="str">
        <f t="shared" si="1"/>
        <v>q45_1</v>
      </c>
      <c r="C129" s="6" t="s">
        <v>112</v>
      </c>
      <c r="D129" s="8" t="s">
        <v>1961</v>
      </c>
      <c r="E129" s="6" t="s">
        <v>1939</v>
      </c>
      <c r="F129" s="17" t="s">
        <v>2768</v>
      </c>
    </row>
    <row r="130" spans="1:6" x14ac:dyDescent="0.25">
      <c r="A130" s="6" t="str">
        <f t="shared" si="1"/>
        <v>q45_2</v>
      </c>
      <c r="C130" s="6" t="s">
        <v>113</v>
      </c>
      <c r="D130" s="8" t="s">
        <v>1961</v>
      </c>
      <c r="E130" s="6" t="s">
        <v>1940</v>
      </c>
      <c r="F130" s="17" t="s">
        <v>2769</v>
      </c>
    </row>
    <row r="131" spans="1:6" x14ac:dyDescent="0.25">
      <c r="A131" s="6" t="str">
        <f t="shared" ref="A131:A194" si="2">_xlfn.CONCAT(C131,B131)</f>
        <v>q45_3</v>
      </c>
      <c r="C131" s="6" t="s">
        <v>114</v>
      </c>
      <c r="D131" s="8" t="s">
        <v>1961</v>
      </c>
      <c r="E131" s="6" t="s">
        <v>1941</v>
      </c>
      <c r="F131" s="17" t="s">
        <v>2770</v>
      </c>
    </row>
    <row r="132" spans="1:6" x14ac:dyDescent="0.25">
      <c r="A132" s="6" t="str">
        <f t="shared" si="2"/>
        <v>q45_4</v>
      </c>
      <c r="C132" s="6" t="s">
        <v>115</v>
      </c>
      <c r="D132" s="8" t="s">
        <v>1961</v>
      </c>
      <c r="E132" s="6" t="s">
        <v>1942</v>
      </c>
      <c r="F132" s="17" t="s">
        <v>2771</v>
      </c>
    </row>
    <row r="133" spans="1:6" x14ac:dyDescent="0.25">
      <c r="A133" s="6" t="str">
        <f t="shared" si="2"/>
        <v>q45_5</v>
      </c>
      <c r="C133" s="6" t="s">
        <v>116</v>
      </c>
      <c r="D133" s="8" t="s">
        <v>1961</v>
      </c>
      <c r="E133" s="6" t="s">
        <v>1943</v>
      </c>
      <c r="F133" s="17" t="s">
        <v>2772</v>
      </c>
    </row>
    <row r="134" spans="1:6" x14ac:dyDescent="0.25">
      <c r="A134" s="6" t="str">
        <f t="shared" si="2"/>
        <v>q45_6</v>
      </c>
      <c r="C134" s="6" t="s">
        <v>117</v>
      </c>
      <c r="D134" s="8" t="s">
        <v>1961</v>
      </c>
      <c r="E134" s="6" t="s">
        <v>1944</v>
      </c>
      <c r="F134" s="17" t="s">
        <v>2773</v>
      </c>
    </row>
    <row r="135" spans="1:6" x14ac:dyDescent="0.25">
      <c r="A135" s="6" t="str">
        <f t="shared" si="2"/>
        <v>q4ROW5_hidden</v>
      </c>
      <c r="C135" s="6" t="s">
        <v>118</v>
      </c>
      <c r="D135" s="8" t="s">
        <v>1961</v>
      </c>
      <c r="E135" s="11" t="s">
        <v>1945</v>
      </c>
      <c r="F135" s="17" t="s">
        <v>2774</v>
      </c>
    </row>
    <row r="136" spans="1:6" x14ac:dyDescent="0.25">
      <c r="A136" s="6" t="str">
        <f t="shared" si="2"/>
        <v>q46_1</v>
      </c>
      <c r="C136" s="6" t="s">
        <v>119</v>
      </c>
      <c r="D136" s="8" t="s">
        <v>1961</v>
      </c>
      <c r="E136" s="6" t="s">
        <v>1946</v>
      </c>
      <c r="F136" s="17" t="s">
        <v>2775</v>
      </c>
    </row>
    <row r="137" spans="1:6" x14ac:dyDescent="0.25">
      <c r="A137" s="6" t="str">
        <f t="shared" si="2"/>
        <v>q46_2</v>
      </c>
      <c r="C137" s="6" t="s">
        <v>120</v>
      </c>
      <c r="D137" s="8" t="s">
        <v>1961</v>
      </c>
      <c r="E137" s="6" t="s">
        <v>1947</v>
      </c>
      <c r="F137" s="17" t="s">
        <v>2776</v>
      </c>
    </row>
    <row r="138" spans="1:6" x14ac:dyDescent="0.25">
      <c r="A138" s="6" t="str">
        <f t="shared" si="2"/>
        <v>q46_3</v>
      </c>
      <c r="C138" s="6" t="s">
        <v>121</v>
      </c>
      <c r="D138" s="8" t="s">
        <v>1961</v>
      </c>
      <c r="E138" s="6" t="s">
        <v>1948</v>
      </c>
      <c r="F138" s="17" t="s">
        <v>2777</v>
      </c>
    </row>
    <row r="139" spans="1:6" x14ac:dyDescent="0.25">
      <c r="A139" s="6" t="str">
        <f t="shared" si="2"/>
        <v>q46_4</v>
      </c>
      <c r="C139" s="6" t="s">
        <v>122</v>
      </c>
      <c r="D139" s="8" t="s">
        <v>1961</v>
      </c>
      <c r="E139" s="6" t="s">
        <v>1949</v>
      </c>
      <c r="F139" s="17" t="s">
        <v>2778</v>
      </c>
    </row>
    <row r="140" spans="1:6" x14ac:dyDescent="0.25">
      <c r="A140" s="6" t="str">
        <f t="shared" si="2"/>
        <v>q46_5</v>
      </c>
      <c r="C140" s="6" t="s">
        <v>123</v>
      </c>
      <c r="D140" s="8" t="s">
        <v>1961</v>
      </c>
      <c r="E140" s="6" t="s">
        <v>1950</v>
      </c>
      <c r="F140" s="17" t="s">
        <v>2779</v>
      </c>
    </row>
    <row r="141" spans="1:6" x14ac:dyDescent="0.25">
      <c r="A141" s="6" t="str">
        <f t="shared" si="2"/>
        <v>q46_6</v>
      </c>
      <c r="C141" s="6" t="s">
        <v>124</v>
      </c>
      <c r="D141" s="8" t="s">
        <v>1961</v>
      </c>
      <c r="E141" s="6" t="s">
        <v>1951</v>
      </c>
      <c r="F141" s="17" t="s">
        <v>2780</v>
      </c>
    </row>
    <row r="142" spans="1:6" x14ac:dyDescent="0.25">
      <c r="A142" s="6" t="str">
        <f t="shared" si="2"/>
        <v>q4ROW6_hidden</v>
      </c>
      <c r="C142" s="6" t="s">
        <v>125</v>
      </c>
      <c r="D142" s="8" t="s">
        <v>1961</v>
      </c>
      <c r="E142" s="11" t="s">
        <v>1952</v>
      </c>
      <c r="F142" s="17" t="s">
        <v>2781</v>
      </c>
    </row>
    <row r="143" spans="1:6" x14ac:dyDescent="0.25">
      <c r="A143" s="6" t="str">
        <f t="shared" si="2"/>
        <v>q4COL1_hidden</v>
      </c>
      <c r="C143" s="6" t="s">
        <v>126</v>
      </c>
      <c r="D143" s="8" t="s">
        <v>1961</v>
      </c>
      <c r="E143" s="11" t="s">
        <v>1953</v>
      </c>
      <c r="F143" s="17" t="s">
        <v>2782</v>
      </c>
    </row>
    <row r="144" spans="1:6" x14ac:dyDescent="0.25">
      <c r="A144" s="6" t="str">
        <f t="shared" si="2"/>
        <v>q4COL2_hidden</v>
      </c>
      <c r="C144" s="6" t="s">
        <v>127</v>
      </c>
      <c r="D144" s="8" t="s">
        <v>1961</v>
      </c>
      <c r="E144" s="11" t="s">
        <v>1954</v>
      </c>
      <c r="F144" s="17" t="s">
        <v>2783</v>
      </c>
    </row>
    <row r="145" spans="1:6" x14ac:dyDescent="0.25">
      <c r="A145" s="6" t="str">
        <f t="shared" si="2"/>
        <v>q4COL3_hidden</v>
      </c>
      <c r="C145" s="6" t="s">
        <v>128</v>
      </c>
      <c r="D145" s="8" t="s">
        <v>1961</v>
      </c>
      <c r="E145" s="11" t="s">
        <v>1955</v>
      </c>
      <c r="F145" s="17" t="s">
        <v>2784</v>
      </c>
    </row>
    <row r="146" spans="1:6" x14ac:dyDescent="0.25">
      <c r="A146" s="6" t="str">
        <f t="shared" si="2"/>
        <v>q4COL4_hidden</v>
      </c>
      <c r="C146" s="6" t="s">
        <v>129</v>
      </c>
      <c r="D146" s="8" t="s">
        <v>1961</v>
      </c>
      <c r="E146" s="11" t="s">
        <v>1956</v>
      </c>
      <c r="F146" s="17" t="s">
        <v>2785</v>
      </c>
    </row>
    <row r="147" spans="1:6" x14ac:dyDescent="0.25">
      <c r="A147" s="6" t="str">
        <f t="shared" si="2"/>
        <v>q4COL5_hidden</v>
      </c>
      <c r="C147" s="6" t="s">
        <v>130</v>
      </c>
      <c r="D147" s="8" t="s">
        <v>1961</v>
      </c>
      <c r="E147" s="11" t="s">
        <v>1957</v>
      </c>
      <c r="F147" s="17" t="s">
        <v>2786</v>
      </c>
    </row>
    <row r="148" spans="1:6" x14ac:dyDescent="0.25">
      <c r="A148" s="6" t="str">
        <f t="shared" si="2"/>
        <v>q4COL6_hidden</v>
      </c>
      <c r="C148" s="6" t="s">
        <v>131</v>
      </c>
      <c r="D148" s="8" t="s">
        <v>1961</v>
      </c>
      <c r="E148" s="11" t="s">
        <v>1958</v>
      </c>
      <c r="F148" s="17" t="s">
        <v>2787</v>
      </c>
    </row>
    <row r="149" spans="1:6" x14ac:dyDescent="0.25">
      <c r="A149" s="6" t="str">
        <f t="shared" si="2"/>
        <v>q4GRANDTotal_hidden</v>
      </c>
      <c r="C149" s="6" t="s">
        <v>132</v>
      </c>
      <c r="D149" s="8" t="s">
        <v>1961</v>
      </c>
      <c r="E149" s="11" t="s">
        <v>1962</v>
      </c>
      <c r="F149" s="17" t="s">
        <v>2788</v>
      </c>
    </row>
    <row r="150" spans="1:6" x14ac:dyDescent="0.25">
      <c r="A150" s="6" t="str">
        <f t="shared" si="2"/>
        <v>Alert41_1</v>
      </c>
      <c r="C150" s="6" t="s">
        <v>133</v>
      </c>
      <c r="D150" s="7" t="s">
        <v>1883</v>
      </c>
      <c r="E150" s="6" t="s">
        <v>1963</v>
      </c>
      <c r="F150" s="17" t="s">
        <v>2789</v>
      </c>
    </row>
    <row r="151" spans="1:6" x14ac:dyDescent="0.25">
      <c r="A151" s="6" t="str">
        <f t="shared" si="2"/>
        <v>Alert41_2</v>
      </c>
      <c r="C151" s="6" t="s">
        <v>134</v>
      </c>
      <c r="D151" s="7" t="s">
        <v>1883</v>
      </c>
      <c r="E151" s="6" t="s">
        <v>1963</v>
      </c>
      <c r="F151" s="17" t="s">
        <v>2790</v>
      </c>
    </row>
    <row r="152" spans="1:6" x14ac:dyDescent="0.25">
      <c r="A152" s="6" t="str">
        <f t="shared" si="2"/>
        <v>Alert41_3</v>
      </c>
      <c r="C152" s="6" t="s">
        <v>135</v>
      </c>
      <c r="D152" s="7" t="s">
        <v>1883</v>
      </c>
      <c r="E152" s="6" t="s">
        <v>1963</v>
      </c>
      <c r="F152" s="17" t="s">
        <v>2791</v>
      </c>
    </row>
    <row r="153" spans="1:6" x14ac:dyDescent="0.25">
      <c r="A153" s="6" t="str">
        <f t="shared" si="2"/>
        <v>Alert41_4</v>
      </c>
      <c r="C153" s="6" t="s">
        <v>136</v>
      </c>
      <c r="D153" s="7" t="s">
        <v>1883</v>
      </c>
      <c r="E153" s="6" t="s">
        <v>1963</v>
      </c>
      <c r="F153" s="17" t="s">
        <v>2792</v>
      </c>
    </row>
    <row r="154" spans="1:6" x14ac:dyDescent="0.25">
      <c r="A154" s="6" t="str">
        <f t="shared" si="2"/>
        <v>Alert41_5</v>
      </c>
      <c r="C154" s="6" t="s">
        <v>137</v>
      </c>
      <c r="D154" s="7" t="s">
        <v>1883</v>
      </c>
      <c r="E154" s="6" t="s">
        <v>1963</v>
      </c>
      <c r="F154" s="17" t="s">
        <v>2793</v>
      </c>
    </row>
    <row r="155" spans="1:6" x14ac:dyDescent="0.25">
      <c r="A155" s="6" t="str">
        <f t="shared" si="2"/>
        <v>Alert41_6</v>
      </c>
      <c r="C155" s="6" t="s">
        <v>138</v>
      </c>
      <c r="D155" s="7" t="s">
        <v>1883</v>
      </c>
      <c r="E155" s="6" t="s">
        <v>1963</v>
      </c>
      <c r="F155" s="17" t="s">
        <v>2794</v>
      </c>
    </row>
    <row r="156" spans="1:6" x14ac:dyDescent="0.25">
      <c r="A156" s="6" t="str">
        <f t="shared" si="2"/>
        <v>Alert42_1</v>
      </c>
      <c r="C156" s="6" t="s">
        <v>139</v>
      </c>
      <c r="D156" s="7" t="s">
        <v>1883</v>
      </c>
      <c r="E156" s="6" t="s">
        <v>1963</v>
      </c>
      <c r="F156" s="17" t="s">
        <v>2795</v>
      </c>
    </row>
    <row r="157" spans="1:6" x14ac:dyDescent="0.25">
      <c r="A157" s="6" t="str">
        <f t="shared" si="2"/>
        <v>Alert42_2</v>
      </c>
      <c r="C157" s="6" t="s">
        <v>140</v>
      </c>
      <c r="D157" s="7" t="s">
        <v>1883</v>
      </c>
      <c r="E157" s="6" t="s">
        <v>1963</v>
      </c>
      <c r="F157" s="17" t="s">
        <v>2796</v>
      </c>
    </row>
    <row r="158" spans="1:6" x14ac:dyDescent="0.25">
      <c r="A158" s="6" t="str">
        <f t="shared" si="2"/>
        <v>Alert42_3</v>
      </c>
      <c r="C158" s="6" t="s">
        <v>141</v>
      </c>
      <c r="D158" s="7" t="s">
        <v>1883</v>
      </c>
      <c r="E158" s="6" t="s">
        <v>1963</v>
      </c>
      <c r="F158" s="17" t="s">
        <v>2797</v>
      </c>
    </row>
    <row r="159" spans="1:6" x14ac:dyDescent="0.25">
      <c r="A159" s="6" t="str">
        <f t="shared" si="2"/>
        <v>Alert42_4</v>
      </c>
      <c r="C159" s="6" t="s">
        <v>142</v>
      </c>
      <c r="D159" s="7" t="s">
        <v>1883</v>
      </c>
      <c r="E159" s="6" t="s">
        <v>1963</v>
      </c>
      <c r="F159" s="17" t="s">
        <v>2798</v>
      </c>
    </row>
    <row r="160" spans="1:6" x14ac:dyDescent="0.25">
      <c r="A160" s="6" t="str">
        <f t="shared" si="2"/>
        <v>Alert42_5</v>
      </c>
      <c r="C160" s="6" t="s">
        <v>143</v>
      </c>
      <c r="D160" s="7" t="s">
        <v>1883</v>
      </c>
      <c r="E160" s="6" t="s">
        <v>1963</v>
      </c>
      <c r="F160" s="17" t="s">
        <v>2799</v>
      </c>
    </row>
    <row r="161" spans="1:6" x14ac:dyDescent="0.25">
      <c r="A161" s="6" t="str">
        <f t="shared" si="2"/>
        <v>Alert42_6</v>
      </c>
      <c r="C161" s="6" t="s">
        <v>144</v>
      </c>
      <c r="D161" s="7" t="s">
        <v>1883</v>
      </c>
      <c r="E161" s="6" t="s">
        <v>1963</v>
      </c>
      <c r="F161" s="17" t="s">
        <v>2800</v>
      </c>
    </row>
    <row r="162" spans="1:6" x14ac:dyDescent="0.25">
      <c r="A162" s="6" t="str">
        <f t="shared" si="2"/>
        <v>Alert43_1</v>
      </c>
      <c r="C162" s="6" t="s">
        <v>145</v>
      </c>
      <c r="D162" s="7" t="s">
        <v>1883</v>
      </c>
      <c r="E162" s="6" t="s">
        <v>1963</v>
      </c>
      <c r="F162" s="17" t="s">
        <v>2801</v>
      </c>
    </row>
    <row r="163" spans="1:6" x14ac:dyDescent="0.25">
      <c r="A163" s="6" t="str">
        <f t="shared" si="2"/>
        <v>Alert43_2</v>
      </c>
      <c r="C163" s="6" t="s">
        <v>146</v>
      </c>
      <c r="D163" s="7" t="s">
        <v>1883</v>
      </c>
      <c r="E163" s="6" t="s">
        <v>1963</v>
      </c>
      <c r="F163" s="17" t="s">
        <v>2802</v>
      </c>
    </row>
    <row r="164" spans="1:6" x14ac:dyDescent="0.25">
      <c r="A164" s="6" t="str">
        <f t="shared" si="2"/>
        <v>Alert43_3</v>
      </c>
      <c r="C164" s="6" t="s">
        <v>147</v>
      </c>
      <c r="D164" s="7" t="s">
        <v>1883</v>
      </c>
      <c r="E164" s="6" t="s">
        <v>1963</v>
      </c>
      <c r="F164" s="17" t="s">
        <v>2803</v>
      </c>
    </row>
    <row r="165" spans="1:6" x14ac:dyDescent="0.25">
      <c r="A165" s="6" t="str">
        <f t="shared" si="2"/>
        <v>Alert43_4</v>
      </c>
      <c r="C165" s="6" t="s">
        <v>148</v>
      </c>
      <c r="D165" s="7" t="s">
        <v>1883</v>
      </c>
      <c r="E165" s="6" t="s">
        <v>1963</v>
      </c>
      <c r="F165" s="17" t="s">
        <v>2804</v>
      </c>
    </row>
    <row r="166" spans="1:6" x14ac:dyDescent="0.25">
      <c r="A166" s="6" t="str">
        <f t="shared" si="2"/>
        <v>Alert43_5</v>
      </c>
      <c r="C166" s="6" t="s">
        <v>149</v>
      </c>
      <c r="D166" s="7" t="s">
        <v>1883</v>
      </c>
      <c r="E166" s="6" t="s">
        <v>1963</v>
      </c>
      <c r="F166" s="17" t="s">
        <v>2805</v>
      </c>
    </row>
    <row r="167" spans="1:6" x14ac:dyDescent="0.25">
      <c r="A167" s="6" t="str">
        <f t="shared" si="2"/>
        <v>Alert43_6</v>
      </c>
      <c r="C167" s="6" t="s">
        <v>150</v>
      </c>
      <c r="D167" s="7" t="s">
        <v>1883</v>
      </c>
      <c r="E167" s="6" t="s">
        <v>1963</v>
      </c>
      <c r="F167" s="17" t="s">
        <v>2806</v>
      </c>
    </row>
    <row r="168" spans="1:6" x14ac:dyDescent="0.25">
      <c r="A168" s="6" t="str">
        <f t="shared" si="2"/>
        <v>Alert44_1</v>
      </c>
      <c r="C168" s="6" t="s">
        <v>151</v>
      </c>
      <c r="D168" s="7" t="s">
        <v>1883</v>
      </c>
      <c r="E168" s="6" t="s">
        <v>1963</v>
      </c>
      <c r="F168" s="17" t="s">
        <v>2807</v>
      </c>
    </row>
    <row r="169" spans="1:6" x14ac:dyDescent="0.25">
      <c r="A169" s="6" t="str">
        <f t="shared" si="2"/>
        <v>Alert44_2</v>
      </c>
      <c r="C169" s="6" t="s">
        <v>152</v>
      </c>
      <c r="D169" s="7" t="s">
        <v>1883</v>
      </c>
      <c r="E169" s="6" t="s">
        <v>1963</v>
      </c>
      <c r="F169" s="17" t="s">
        <v>2808</v>
      </c>
    </row>
    <row r="170" spans="1:6" x14ac:dyDescent="0.25">
      <c r="A170" s="6" t="str">
        <f t="shared" si="2"/>
        <v>Alert44_3</v>
      </c>
      <c r="C170" s="6" t="s">
        <v>153</v>
      </c>
      <c r="D170" s="7" t="s">
        <v>1883</v>
      </c>
      <c r="E170" s="6" t="s">
        <v>1963</v>
      </c>
      <c r="F170" s="17" t="s">
        <v>2809</v>
      </c>
    </row>
    <row r="171" spans="1:6" x14ac:dyDescent="0.25">
      <c r="A171" s="6" t="str">
        <f t="shared" si="2"/>
        <v>Alert44_4</v>
      </c>
      <c r="C171" s="6" t="s">
        <v>154</v>
      </c>
      <c r="D171" s="7" t="s">
        <v>1883</v>
      </c>
      <c r="E171" s="6" t="s">
        <v>1963</v>
      </c>
      <c r="F171" s="17" t="s">
        <v>2810</v>
      </c>
    </row>
    <row r="172" spans="1:6" x14ac:dyDescent="0.25">
      <c r="A172" s="6" t="str">
        <f t="shared" si="2"/>
        <v>Alert44_5</v>
      </c>
      <c r="C172" s="6" t="s">
        <v>155</v>
      </c>
      <c r="D172" s="7" t="s">
        <v>1883</v>
      </c>
      <c r="E172" s="6" t="s">
        <v>1963</v>
      </c>
      <c r="F172" s="17" t="s">
        <v>2811</v>
      </c>
    </row>
    <row r="173" spans="1:6" x14ac:dyDescent="0.25">
      <c r="A173" s="6" t="str">
        <f t="shared" si="2"/>
        <v>Alert44_6</v>
      </c>
      <c r="C173" s="6" t="s">
        <v>156</v>
      </c>
      <c r="D173" s="7" t="s">
        <v>1883</v>
      </c>
      <c r="E173" s="6" t="s">
        <v>1963</v>
      </c>
      <c r="F173" s="17" t="s">
        <v>2812</v>
      </c>
    </row>
    <row r="174" spans="1:6" x14ac:dyDescent="0.25">
      <c r="A174" s="6" t="str">
        <f t="shared" si="2"/>
        <v>Alert45_1</v>
      </c>
      <c r="C174" s="6" t="s">
        <v>157</v>
      </c>
      <c r="D174" s="7" t="s">
        <v>1883</v>
      </c>
      <c r="E174" s="6" t="s">
        <v>1963</v>
      </c>
      <c r="F174" s="17" t="s">
        <v>2813</v>
      </c>
    </row>
    <row r="175" spans="1:6" x14ac:dyDescent="0.25">
      <c r="A175" s="6" t="str">
        <f t="shared" si="2"/>
        <v>Alert45_2</v>
      </c>
      <c r="C175" s="6" t="s">
        <v>158</v>
      </c>
      <c r="D175" s="7" t="s">
        <v>1883</v>
      </c>
      <c r="E175" s="6" t="s">
        <v>1963</v>
      </c>
      <c r="F175" s="17" t="s">
        <v>2814</v>
      </c>
    </row>
    <row r="176" spans="1:6" x14ac:dyDescent="0.25">
      <c r="A176" s="6" t="str">
        <f t="shared" si="2"/>
        <v>Alert45_3</v>
      </c>
      <c r="C176" s="6" t="s">
        <v>159</v>
      </c>
      <c r="D176" s="7" t="s">
        <v>1883</v>
      </c>
      <c r="E176" s="6" t="s">
        <v>1963</v>
      </c>
      <c r="F176" s="17" t="s">
        <v>2815</v>
      </c>
    </row>
    <row r="177" spans="1:6" x14ac:dyDescent="0.25">
      <c r="A177" s="6" t="str">
        <f t="shared" si="2"/>
        <v>Alert45_4</v>
      </c>
      <c r="C177" s="6" t="s">
        <v>160</v>
      </c>
      <c r="D177" s="7" t="s">
        <v>1883</v>
      </c>
      <c r="E177" s="6" t="s">
        <v>1963</v>
      </c>
      <c r="F177" s="17" t="s">
        <v>2816</v>
      </c>
    </row>
    <row r="178" spans="1:6" x14ac:dyDescent="0.25">
      <c r="A178" s="6" t="str">
        <f t="shared" si="2"/>
        <v>Alert45_5</v>
      </c>
      <c r="C178" s="6" t="s">
        <v>161</v>
      </c>
      <c r="D178" s="7" t="s">
        <v>1883</v>
      </c>
      <c r="E178" s="6" t="s">
        <v>1963</v>
      </c>
      <c r="F178" s="17" t="s">
        <v>2817</v>
      </c>
    </row>
    <row r="179" spans="1:6" x14ac:dyDescent="0.25">
      <c r="A179" s="6" t="str">
        <f t="shared" si="2"/>
        <v>Alert45_6</v>
      </c>
      <c r="C179" s="6" t="s">
        <v>162</v>
      </c>
      <c r="D179" s="7" t="s">
        <v>1883</v>
      </c>
      <c r="E179" s="6" t="s">
        <v>1963</v>
      </c>
      <c r="F179" s="17" t="s">
        <v>2818</v>
      </c>
    </row>
    <row r="180" spans="1:6" x14ac:dyDescent="0.25">
      <c r="A180" s="6" t="str">
        <f t="shared" si="2"/>
        <v>Alert46_1</v>
      </c>
      <c r="C180" s="6" t="s">
        <v>163</v>
      </c>
      <c r="D180" s="7" t="s">
        <v>1883</v>
      </c>
      <c r="E180" s="6" t="s">
        <v>1963</v>
      </c>
      <c r="F180" s="17" t="s">
        <v>2819</v>
      </c>
    </row>
    <row r="181" spans="1:6" x14ac:dyDescent="0.25">
      <c r="A181" s="6" t="str">
        <f t="shared" si="2"/>
        <v>Alert46_2</v>
      </c>
      <c r="C181" s="6" t="s">
        <v>164</v>
      </c>
      <c r="D181" s="7" t="s">
        <v>1883</v>
      </c>
      <c r="E181" s="6" t="s">
        <v>1963</v>
      </c>
      <c r="F181" s="17" t="s">
        <v>2820</v>
      </c>
    </row>
    <row r="182" spans="1:6" x14ac:dyDescent="0.25">
      <c r="A182" s="6" t="str">
        <f t="shared" si="2"/>
        <v>Alert46_3</v>
      </c>
      <c r="C182" s="6" t="s">
        <v>165</v>
      </c>
      <c r="D182" s="7" t="s">
        <v>1883</v>
      </c>
      <c r="E182" s="6" t="s">
        <v>1963</v>
      </c>
      <c r="F182" s="17" t="s">
        <v>2821</v>
      </c>
    </row>
    <row r="183" spans="1:6" x14ac:dyDescent="0.25">
      <c r="A183" s="6" t="str">
        <f t="shared" si="2"/>
        <v>Alert46_4</v>
      </c>
      <c r="C183" s="6" t="s">
        <v>166</v>
      </c>
      <c r="D183" s="7" t="s">
        <v>1883</v>
      </c>
      <c r="E183" s="6" t="s">
        <v>1963</v>
      </c>
      <c r="F183" s="17" t="s">
        <v>2822</v>
      </c>
    </row>
    <row r="184" spans="1:6" x14ac:dyDescent="0.25">
      <c r="A184" s="6" t="str">
        <f t="shared" si="2"/>
        <v>Alert46_5</v>
      </c>
      <c r="C184" s="6" t="s">
        <v>167</v>
      </c>
      <c r="D184" s="7" t="s">
        <v>1883</v>
      </c>
      <c r="E184" s="6" t="s">
        <v>1963</v>
      </c>
      <c r="F184" s="17" t="s">
        <v>2823</v>
      </c>
    </row>
    <row r="185" spans="1:6" x14ac:dyDescent="0.25">
      <c r="A185" s="6" t="str">
        <f t="shared" si="2"/>
        <v>Alert46_6</v>
      </c>
      <c r="C185" s="6" t="s">
        <v>168</v>
      </c>
      <c r="D185" s="7" t="s">
        <v>1883</v>
      </c>
      <c r="E185" s="6" t="s">
        <v>1963</v>
      </c>
      <c r="F185" s="17" t="s">
        <v>2824</v>
      </c>
    </row>
    <row r="186" spans="1:6" s="9" customFormat="1" x14ac:dyDescent="0.25">
      <c r="A186" s="6" t="str">
        <f t="shared" si="2"/>
        <v/>
      </c>
      <c r="D186" s="10"/>
      <c r="E186" s="9" t="s">
        <v>1964</v>
      </c>
      <c r="F186" s="6">
        <f>VLOOKUP(E186,'[3]Full Data-Map'!$C:$D,2,FALSE)</f>
        <v>8</v>
      </c>
    </row>
    <row r="187" spans="1:6" x14ac:dyDescent="0.25">
      <c r="A187" s="6" t="str">
        <f t="shared" si="2"/>
        <v>q51_1</v>
      </c>
      <c r="C187" s="6" t="s">
        <v>169</v>
      </c>
      <c r="D187" s="8" t="s">
        <v>1905</v>
      </c>
      <c r="E187" s="6" t="s">
        <v>1965</v>
      </c>
      <c r="F187" s="6" t="str">
        <f>VLOOKUP(E187,'[3]Full Data-Map'!$C:$D,2,FALSE)</f>
        <v>8_1</v>
      </c>
    </row>
    <row r="188" spans="1:6" x14ac:dyDescent="0.25">
      <c r="A188" s="6" t="str">
        <f t="shared" si="2"/>
        <v>q51_2</v>
      </c>
      <c r="C188" s="6" t="s">
        <v>170</v>
      </c>
      <c r="D188" s="8" t="s">
        <v>1905</v>
      </c>
      <c r="E188" s="6" t="s">
        <v>1966</v>
      </c>
      <c r="F188" s="6" t="str">
        <f>VLOOKUP(E188,'[3]Full Data-Map'!$C:$D,2,FALSE)</f>
        <v>8_2</v>
      </c>
    </row>
    <row r="189" spans="1:6" x14ac:dyDescent="0.25">
      <c r="A189" s="6" t="str">
        <f t="shared" si="2"/>
        <v>q51_3</v>
      </c>
      <c r="C189" s="6" t="s">
        <v>171</v>
      </c>
      <c r="D189" s="8" t="s">
        <v>1905</v>
      </c>
      <c r="E189" s="6" t="s">
        <v>1967</v>
      </c>
      <c r="F189" s="6" t="str">
        <f>VLOOKUP(E189,'[3]Full Data-Map'!$C:$D,2,FALSE)</f>
        <v>8_3</v>
      </c>
    </row>
    <row r="190" spans="1:6" x14ac:dyDescent="0.25">
      <c r="A190" s="6" t="str">
        <f t="shared" si="2"/>
        <v>q51_4</v>
      </c>
      <c r="C190" s="6" t="s">
        <v>172</v>
      </c>
      <c r="D190" s="8" t="s">
        <v>1905</v>
      </c>
      <c r="E190" s="6" t="s">
        <v>1968</v>
      </c>
      <c r="F190" s="6" t="str">
        <f>VLOOKUP(E190,'[3]Full Data-Map'!$C:$D,2,FALSE)</f>
        <v>8_4</v>
      </c>
    </row>
    <row r="191" spans="1:6" x14ac:dyDescent="0.25">
      <c r="A191" s="6" t="str">
        <f t="shared" si="2"/>
        <v>q51_5</v>
      </c>
      <c r="C191" s="6" t="s">
        <v>173</v>
      </c>
      <c r="D191" s="8" t="s">
        <v>1905</v>
      </c>
      <c r="E191" s="6" t="s">
        <v>1969</v>
      </c>
      <c r="F191" s="6" t="str">
        <f>VLOOKUP(E191,'[3]Full Data-Map'!$C:$D,2,FALSE)</f>
        <v>8_5</v>
      </c>
    </row>
    <row r="192" spans="1:6" x14ac:dyDescent="0.25">
      <c r="A192" s="6" t="str">
        <f t="shared" si="2"/>
        <v>q51_6</v>
      </c>
      <c r="C192" s="6" t="s">
        <v>174</v>
      </c>
      <c r="D192" s="8" t="s">
        <v>1905</v>
      </c>
      <c r="E192" s="6" t="s">
        <v>1970</v>
      </c>
      <c r="F192" s="6" t="str">
        <f>VLOOKUP(E192,'[3]Full Data-Map'!$C:$D,2,FALSE)</f>
        <v>8_6</v>
      </c>
    </row>
    <row r="193" spans="1:6" x14ac:dyDescent="0.25">
      <c r="A193" s="6" t="str">
        <f t="shared" si="2"/>
        <v>q5ROW1_hidden</v>
      </c>
      <c r="C193" s="6" t="s">
        <v>175</v>
      </c>
      <c r="D193" s="8" t="s">
        <v>1905</v>
      </c>
      <c r="E193" s="11" t="s">
        <v>1971</v>
      </c>
      <c r="F193" s="6" t="str">
        <f>VLOOKUP(E193,'[3]Full Data-Map'!$C:$D,2,FALSE)</f>
        <v>8_7</v>
      </c>
    </row>
    <row r="194" spans="1:6" x14ac:dyDescent="0.25">
      <c r="A194" s="6" t="str">
        <f t="shared" si="2"/>
        <v>q52_1</v>
      </c>
      <c r="C194" s="6" t="s">
        <v>176</v>
      </c>
      <c r="D194" s="8" t="s">
        <v>1905</v>
      </c>
      <c r="E194" s="6" t="s">
        <v>1972</v>
      </c>
      <c r="F194" s="6" t="str">
        <f>VLOOKUP(E194,'[3]Full Data-Map'!$C:$D,2,FALSE)</f>
        <v>8_8</v>
      </c>
    </row>
    <row r="195" spans="1:6" x14ac:dyDescent="0.25">
      <c r="A195" s="6" t="str">
        <f t="shared" ref="A195:A258" si="3">_xlfn.CONCAT(C195,B195)</f>
        <v>q52_2</v>
      </c>
      <c r="C195" s="6" t="s">
        <v>177</v>
      </c>
      <c r="D195" s="8" t="s">
        <v>1905</v>
      </c>
      <c r="E195" s="6" t="s">
        <v>1973</v>
      </c>
      <c r="F195" s="6" t="str">
        <f>VLOOKUP(E195,'[3]Full Data-Map'!$C:$D,2,FALSE)</f>
        <v>8_9</v>
      </c>
    </row>
    <row r="196" spans="1:6" x14ac:dyDescent="0.25">
      <c r="A196" s="6" t="str">
        <f t="shared" si="3"/>
        <v>q52_3</v>
      </c>
      <c r="C196" s="6" t="s">
        <v>178</v>
      </c>
      <c r="D196" s="8" t="s">
        <v>1905</v>
      </c>
      <c r="E196" s="6" t="s">
        <v>1974</v>
      </c>
      <c r="F196" s="6" t="str">
        <f>VLOOKUP(E196,'[3]Full Data-Map'!$C:$D,2,FALSE)</f>
        <v>8_10</v>
      </c>
    </row>
    <row r="197" spans="1:6" x14ac:dyDescent="0.25">
      <c r="A197" s="6" t="str">
        <f t="shared" si="3"/>
        <v>q52_4</v>
      </c>
      <c r="C197" s="6" t="s">
        <v>179</v>
      </c>
      <c r="D197" s="8" t="s">
        <v>1905</v>
      </c>
      <c r="E197" s="6" t="s">
        <v>1975</v>
      </c>
      <c r="F197" s="6" t="str">
        <f>VLOOKUP(E197,'[3]Full Data-Map'!$C:$D,2,FALSE)</f>
        <v>8_11</v>
      </c>
    </row>
    <row r="198" spans="1:6" x14ac:dyDescent="0.25">
      <c r="A198" s="6" t="str">
        <f t="shared" si="3"/>
        <v>q52_5</v>
      </c>
      <c r="C198" s="6" t="s">
        <v>180</v>
      </c>
      <c r="D198" s="8" t="s">
        <v>1905</v>
      </c>
      <c r="E198" s="6" t="s">
        <v>1976</v>
      </c>
      <c r="F198" s="6" t="str">
        <f>VLOOKUP(E198,'[3]Full Data-Map'!$C:$D,2,FALSE)</f>
        <v>8_12</v>
      </c>
    </row>
    <row r="199" spans="1:6" x14ac:dyDescent="0.25">
      <c r="A199" s="6" t="str">
        <f t="shared" si="3"/>
        <v>q52_6</v>
      </c>
      <c r="C199" s="6" t="s">
        <v>181</v>
      </c>
      <c r="D199" s="8" t="s">
        <v>1905</v>
      </c>
      <c r="E199" s="6" t="s">
        <v>1977</v>
      </c>
      <c r="F199" s="6" t="str">
        <f>VLOOKUP(E199,'[3]Full Data-Map'!$C:$D,2,FALSE)</f>
        <v>8_13</v>
      </c>
    </row>
    <row r="200" spans="1:6" x14ac:dyDescent="0.25">
      <c r="A200" s="6" t="str">
        <f t="shared" si="3"/>
        <v>q5ROW2_hidden</v>
      </c>
      <c r="C200" s="6" t="s">
        <v>182</v>
      </c>
      <c r="D200" s="8" t="s">
        <v>1905</v>
      </c>
      <c r="E200" s="11" t="s">
        <v>1978</v>
      </c>
      <c r="F200" s="6" t="str">
        <f>VLOOKUP(E200,'[3]Full Data-Map'!$C:$D,2,FALSE)</f>
        <v>8_14</v>
      </c>
    </row>
    <row r="201" spans="1:6" x14ac:dyDescent="0.25">
      <c r="A201" s="6" t="str">
        <f t="shared" si="3"/>
        <v>q53_1</v>
      </c>
      <c r="C201" s="6" t="s">
        <v>183</v>
      </c>
      <c r="D201" s="8" t="s">
        <v>1905</v>
      </c>
      <c r="E201" s="6" t="s">
        <v>1979</v>
      </c>
      <c r="F201" s="6" t="str">
        <f>VLOOKUP(E201,'[3]Full Data-Map'!$C:$D,2,FALSE)</f>
        <v>8_15</v>
      </c>
    </row>
    <row r="202" spans="1:6" x14ac:dyDescent="0.25">
      <c r="A202" s="6" t="str">
        <f t="shared" si="3"/>
        <v>q53_2</v>
      </c>
      <c r="C202" s="6" t="s">
        <v>184</v>
      </c>
      <c r="D202" s="8" t="s">
        <v>1905</v>
      </c>
      <c r="E202" s="6" t="s">
        <v>1980</v>
      </c>
      <c r="F202" s="6" t="str">
        <f>VLOOKUP(E202,'[3]Full Data-Map'!$C:$D,2,FALSE)</f>
        <v>8_16</v>
      </c>
    </row>
    <row r="203" spans="1:6" x14ac:dyDescent="0.25">
      <c r="A203" s="6" t="str">
        <f t="shared" si="3"/>
        <v>q53_3</v>
      </c>
      <c r="C203" s="6" t="s">
        <v>185</v>
      </c>
      <c r="D203" s="8" t="s">
        <v>1905</v>
      </c>
      <c r="E203" s="6" t="s">
        <v>1981</v>
      </c>
      <c r="F203" s="6" t="str">
        <f>VLOOKUP(E203,'[3]Full Data-Map'!$C:$D,2,FALSE)</f>
        <v>8_17</v>
      </c>
    </row>
    <row r="204" spans="1:6" x14ac:dyDescent="0.25">
      <c r="A204" s="6" t="str">
        <f t="shared" si="3"/>
        <v>q53_4</v>
      </c>
      <c r="C204" s="6" t="s">
        <v>186</v>
      </c>
      <c r="D204" s="8" t="s">
        <v>1905</v>
      </c>
      <c r="E204" s="6" t="s">
        <v>1982</v>
      </c>
      <c r="F204" s="6" t="str">
        <f>VLOOKUP(E204,'[3]Full Data-Map'!$C:$D,2,FALSE)</f>
        <v>8_18</v>
      </c>
    </row>
    <row r="205" spans="1:6" x14ac:dyDescent="0.25">
      <c r="A205" s="6" t="str">
        <f t="shared" si="3"/>
        <v>q53_5</v>
      </c>
      <c r="C205" s="6" t="s">
        <v>187</v>
      </c>
      <c r="D205" s="8" t="s">
        <v>1905</v>
      </c>
      <c r="E205" s="6" t="s">
        <v>1983</v>
      </c>
      <c r="F205" s="6" t="str">
        <f>VLOOKUP(E205,'[3]Full Data-Map'!$C:$D,2,FALSE)</f>
        <v>8_19</v>
      </c>
    </row>
    <row r="206" spans="1:6" x14ac:dyDescent="0.25">
      <c r="A206" s="6" t="str">
        <f t="shared" si="3"/>
        <v>q53_6</v>
      </c>
      <c r="C206" s="6" t="s">
        <v>188</v>
      </c>
      <c r="D206" s="8" t="s">
        <v>1905</v>
      </c>
      <c r="E206" s="6" t="s">
        <v>1984</v>
      </c>
      <c r="F206" s="6" t="str">
        <f>VLOOKUP(E206,'[3]Full Data-Map'!$C:$D,2,FALSE)</f>
        <v>8_20</v>
      </c>
    </row>
    <row r="207" spans="1:6" x14ac:dyDescent="0.25">
      <c r="A207" s="6" t="str">
        <f t="shared" si="3"/>
        <v>q5ROW3_hidden</v>
      </c>
      <c r="C207" s="6" t="s">
        <v>189</v>
      </c>
      <c r="D207" s="8" t="s">
        <v>1905</v>
      </c>
      <c r="E207" s="11" t="s">
        <v>1985</v>
      </c>
      <c r="F207" s="6" t="str">
        <f>VLOOKUP(E207,'[3]Full Data-Map'!$C:$D,2,FALSE)</f>
        <v>8_21</v>
      </c>
    </row>
    <row r="208" spans="1:6" x14ac:dyDescent="0.25">
      <c r="A208" s="6" t="str">
        <f t="shared" si="3"/>
        <v>q54_1</v>
      </c>
      <c r="C208" s="6" t="s">
        <v>190</v>
      </c>
      <c r="D208" s="8" t="s">
        <v>1905</v>
      </c>
      <c r="E208" s="6" t="s">
        <v>1986</v>
      </c>
      <c r="F208" s="6" t="str">
        <f>VLOOKUP(E208,'[3]Full Data-Map'!$C:$D,2,FALSE)</f>
        <v>8_22</v>
      </c>
    </row>
    <row r="209" spans="1:6" x14ac:dyDescent="0.25">
      <c r="A209" s="6" t="str">
        <f t="shared" si="3"/>
        <v>q54_2</v>
      </c>
      <c r="C209" s="6" t="s">
        <v>191</v>
      </c>
      <c r="D209" s="8" t="s">
        <v>1905</v>
      </c>
      <c r="E209" s="6" t="s">
        <v>1987</v>
      </c>
      <c r="F209" s="6" t="str">
        <f>VLOOKUP(E209,'[3]Full Data-Map'!$C:$D,2,FALSE)</f>
        <v>8_23</v>
      </c>
    </row>
    <row r="210" spans="1:6" x14ac:dyDescent="0.25">
      <c r="A210" s="6" t="str">
        <f t="shared" si="3"/>
        <v>q54_3</v>
      </c>
      <c r="C210" s="6" t="s">
        <v>192</v>
      </c>
      <c r="D210" s="8" t="s">
        <v>1905</v>
      </c>
      <c r="E210" s="6" t="s">
        <v>1988</v>
      </c>
      <c r="F210" s="6" t="str">
        <f>VLOOKUP(E210,'[3]Full Data-Map'!$C:$D,2,FALSE)</f>
        <v>8_24</v>
      </c>
    </row>
    <row r="211" spans="1:6" x14ac:dyDescent="0.25">
      <c r="A211" s="6" t="str">
        <f t="shared" si="3"/>
        <v>q54_4</v>
      </c>
      <c r="C211" s="6" t="s">
        <v>193</v>
      </c>
      <c r="D211" s="8" t="s">
        <v>1905</v>
      </c>
      <c r="E211" s="6" t="s">
        <v>1989</v>
      </c>
      <c r="F211" s="6" t="str">
        <f>VLOOKUP(E211,'[3]Full Data-Map'!$C:$D,2,FALSE)</f>
        <v>8_25</v>
      </c>
    </row>
    <row r="212" spans="1:6" x14ac:dyDescent="0.25">
      <c r="A212" s="6" t="str">
        <f t="shared" si="3"/>
        <v>q54_5</v>
      </c>
      <c r="C212" s="6" t="s">
        <v>194</v>
      </c>
      <c r="D212" s="8" t="s">
        <v>1905</v>
      </c>
      <c r="E212" s="6" t="s">
        <v>1990</v>
      </c>
      <c r="F212" s="6" t="str">
        <f>VLOOKUP(E212,'[3]Full Data-Map'!$C:$D,2,FALSE)</f>
        <v>8_26</v>
      </c>
    </row>
    <row r="213" spans="1:6" x14ac:dyDescent="0.25">
      <c r="A213" s="6" t="str">
        <f t="shared" si="3"/>
        <v>q54_6</v>
      </c>
      <c r="C213" s="6" t="s">
        <v>195</v>
      </c>
      <c r="D213" s="8" t="s">
        <v>1905</v>
      </c>
      <c r="E213" s="6" t="s">
        <v>1991</v>
      </c>
      <c r="F213" s="6" t="str">
        <f>VLOOKUP(E213,'[3]Full Data-Map'!$C:$D,2,FALSE)</f>
        <v>8_27</v>
      </c>
    </row>
    <row r="214" spans="1:6" x14ac:dyDescent="0.25">
      <c r="A214" s="6" t="str">
        <f t="shared" si="3"/>
        <v>q5ROW4_hidden</v>
      </c>
      <c r="C214" s="6" t="s">
        <v>196</v>
      </c>
      <c r="D214" s="8" t="s">
        <v>1905</v>
      </c>
      <c r="E214" s="11" t="s">
        <v>1992</v>
      </c>
      <c r="F214" s="6" t="str">
        <f>VLOOKUP(E214,'[3]Full Data-Map'!$C:$D,2,FALSE)</f>
        <v>8_28</v>
      </c>
    </row>
    <row r="215" spans="1:6" x14ac:dyDescent="0.25">
      <c r="A215" s="6" t="str">
        <f t="shared" si="3"/>
        <v>q55_1</v>
      </c>
      <c r="C215" s="6" t="s">
        <v>197</v>
      </c>
      <c r="D215" s="8" t="s">
        <v>1905</v>
      </c>
      <c r="E215" s="6" t="s">
        <v>1993</v>
      </c>
      <c r="F215" s="6" t="str">
        <f>VLOOKUP(E215,'[3]Full Data-Map'!$C:$D,2,FALSE)</f>
        <v>8_29</v>
      </c>
    </row>
    <row r="216" spans="1:6" x14ac:dyDescent="0.25">
      <c r="A216" s="6" t="str">
        <f t="shared" si="3"/>
        <v>q55_2</v>
      </c>
      <c r="C216" s="6" t="s">
        <v>198</v>
      </c>
      <c r="D216" s="8" t="s">
        <v>1905</v>
      </c>
      <c r="E216" s="6" t="s">
        <v>1994</v>
      </c>
      <c r="F216" s="6" t="str">
        <f>VLOOKUP(E216,'[3]Full Data-Map'!$C:$D,2,FALSE)</f>
        <v>8_30</v>
      </c>
    </row>
    <row r="217" spans="1:6" x14ac:dyDescent="0.25">
      <c r="A217" s="6" t="str">
        <f t="shared" si="3"/>
        <v>q55_3</v>
      </c>
      <c r="C217" s="6" t="s">
        <v>199</v>
      </c>
      <c r="D217" s="8" t="s">
        <v>1905</v>
      </c>
      <c r="E217" s="6" t="s">
        <v>1995</v>
      </c>
      <c r="F217" s="6" t="str">
        <f>VLOOKUP(E217,'[3]Full Data-Map'!$C:$D,2,FALSE)</f>
        <v>8_31</v>
      </c>
    </row>
    <row r="218" spans="1:6" x14ac:dyDescent="0.25">
      <c r="A218" s="6" t="str">
        <f t="shared" si="3"/>
        <v>q55_4</v>
      </c>
      <c r="C218" s="6" t="s">
        <v>200</v>
      </c>
      <c r="D218" s="8" t="s">
        <v>1905</v>
      </c>
      <c r="E218" s="6" t="s">
        <v>1996</v>
      </c>
      <c r="F218" s="6" t="str">
        <f>VLOOKUP(E218,'[3]Full Data-Map'!$C:$D,2,FALSE)</f>
        <v>8_32</v>
      </c>
    </row>
    <row r="219" spans="1:6" x14ac:dyDescent="0.25">
      <c r="A219" s="6" t="str">
        <f t="shared" si="3"/>
        <v>q55_5</v>
      </c>
      <c r="C219" s="6" t="s">
        <v>201</v>
      </c>
      <c r="D219" s="8" t="s">
        <v>1905</v>
      </c>
      <c r="E219" s="6" t="s">
        <v>1997</v>
      </c>
      <c r="F219" s="6" t="str">
        <f>VLOOKUP(E219,'[3]Full Data-Map'!$C:$D,2,FALSE)</f>
        <v>8_33</v>
      </c>
    </row>
    <row r="220" spans="1:6" x14ac:dyDescent="0.25">
      <c r="A220" s="6" t="str">
        <f t="shared" si="3"/>
        <v>q55_6</v>
      </c>
      <c r="C220" s="6" t="s">
        <v>202</v>
      </c>
      <c r="D220" s="8" t="s">
        <v>1905</v>
      </c>
      <c r="E220" s="6" t="s">
        <v>1998</v>
      </c>
      <c r="F220" s="6" t="str">
        <f>VLOOKUP(E220,'[3]Full Data-Map'!$C:$D,2,FALSE)</f>
        <v>8_34</v>
      </c>
    </row>
    <row r="221" spans="1:6" x14ac:dyDescent="0.25">
      <c r="A221" s="6" t="str">
        <f t="shared" si="3"/>
        <v>q5ROW5_hidden</v>
      </c>
      <c r="C221" s="6" t="s">
        <v>203</v>
      </c>
      <c r="D221" s="8" t="s">
        <v>1905</v>
      </c>
      <c r="E221" s="11" t="s">
        <v>1999</v>
      </c>
      <c r="F221" s="6" t="str">
        <f>VLOOKUP(E221,'[3]Full Data-Map'!$C:$D,2,FALSE)</f>
        <v>8_35</v>
      </c>
    </row>
    <row r="222" spans="1:6" x14ac:dyDescent="0.25">
      <c r="A222" s="6" t="str">
        <f t="shared" si="3"/>
        <v>q56_1</v>
      </c>
      <c r="C222" s="6" t="s">
        <v>204</v>
      </c>
      <c r="D222" s="8" t="s">
        <v>1905</v>
      </c>
      <c r="E222" s="6" t="s">
        <v>2000</v>
      </c>
      <c r="F222" s="6" t="str">
        <f>VLOOKUP(E222,'[3]Full Data-Map'!$C:$D,2,FALSE)</f>
        <v>8_36</v>
      </c>
    </row>
    <row r="223" spans="1:6" x14ac:dyDescent="0.25">
      <c r="A223" s="6" t="str">
        <f t="shared" si="3"/>
        <v>q56_2</v>
      </c>
      <c r="C223" s="6" t="s">
        <v>205</v>
      </c>
      <c r="D223" s="8" t="s">
        <v>1905</v>
      </c>
      <c r="E223" s="6" t="s">
        <v>2001</v>
      </c>
      <c r="F223" s="6" t="str">
        <f>VLOOKUP(E223,'[3]Full Data-Map'!$C:$D,2,FALSE)</f>
        <v>8_37</v>
      </c>
    </row>
    <row r="224" spans="1:6" x14ac:dyDescent="0.25">
      <c r="A224" s="6" t="str">
        <f t="shared" si="3"/>
        <v>q56_3</v>
      </c>
      <c r="C224" s="6" t="s">
        <v>206</v>
      </c>
      <c r="D224" s="8" t="s">
        <v>1905</v>
      </c>
      <c r="E224" s="6" t="s">
        <v>2002</v>
      </c>
      <c r="F224" s="6" t="str">
        <f>VLOOKUP(E224,'[3]Full Data-Map'!$C:$D,2,FALSE)</f>
        <v>8_38</v>
      </c>
    </row>
    <row r="225" spans="1:6" x14ac:dyDescent="0.25">
      <c r="A225" s="6" t="str">
        <f t="shared" si="3"/>
        <v>q56_4</v>
      </c>
      <c r="C225" s="6" t="s">
        <v>207</v>
      </c>
      <c r="D225" s="8" t="s">
        <v>1905</v>
      </c>
      <c r="E225" s="6" t="s">
        <v>2003</v>
      </c>
      <c r="F225" s="6" t="str">
        <f>VLOOKUP(E225,'[3]Full Data-Map'!$C:$D,2,FALSE)</f>
        <v>8_39</v>
      </c>
    </row>
    <row r="226" spans="1:6" x14ac:dyDescent="0.25">
      <c r="A226" s="6" t="str">
        <f t="shared" si="3"/>
        <v>q56_5</v>
      </c>
      <c r="C226" s="6" t="s">
        <v>208</v>
      </c>
      <c r="D226" s="8" t="s">
        <v>1905</v>
      </c>
      <c r="E226" s="6" t="s">
        <v>2004</v>
      </c>
      <c r="F226" s="6" t="str">
        <f>VLOOKUP(E226,'[3]Full Data-Map'!$C:$D,2,FALSE)</f>
        <v>8_40</v>
      </c>
    </row>
    <row r="227" spans="1:6" x14ac:dyDescent="0.25">
      <c r="A227" s="6" t="str">
        <f t="shared" si="3"/>
        <v>q56_6</v>
      </c>
      <c r="C227" s="6" t="s">
        <v>209</v>
      </c>
      <c r="D227" s="8" t="s">
        <v>1905</v>
      </c>
      <c r="E227" s="6" t="s">
        <v>2005</v>
      </c>
      <c r="F227" s="6" t="str">
        <f>VLOOKUP(E227,'[3]Full Data-Map'!$C:$D,2,FALSE)</f>
        <v>8_41</v>
      </c>
    </row>
    <row r="228" spans="1:6" x14ac:dyDescent="0.25">
      <c r="A228" s="6" t="str">
        <f t="shared" si="3"/>
        <v>q5ROW6_hidden</v>
      </c>
      <c r="C228" s="6" t="s">
        <v>210</v>
      </c>
      <c r="D228" s="8" t="s">
        <v>1905</v>
      </c>
      <c r="E228" s="11" t="s">
        <v>1957</v>
      </c>
      <c r="F228" s="6" t="str">
        <f>VLOOKUP(E228,'[3]Full Data-Map'!$C:$D,2,FALSE)</f>
        <v>6_47</v>
      </c>
    </row>
    <row r="229" spans="1:6" x14ac:dyDescent="0.25">
      <c r="A229" s="6" t="str">
        <f t="shared" si="3"/>
        <v>q57_1</v>
      </c>
      <c r="C229" s="6" t="s">
        <v>211</v>
      </c>
      <c r="D229" s="8" t="s">
        <v>1905</v>
      </c>
      <c r="E229" s="6" t="s">
        <v>2006</v>
      </c>
      <c r="F229" s="6" t="str">
        <f>VLOOKUP(E229,'[3]Full Data-Map'!$C:$D,2,FALSE)</f>
        <v>8_43</v>
      </c>
    </row>
    <row r="230" spans="1:6" x14ac:dyDescent="0.25">
      <c r="A230" s="6" t="str">
        <f t="shared" si="3"/>
        <v>q57_2</v>
      </c>
      <c r="C230" s="6" t="s">
        <v>212</v>
      </c>
      <c r="D230" s="8" t="s">
        <v>1905</v>
      </c>
      <c r="E230" s="6" t="s">
        <v>2007</v>
      </c>
      <c r="F230" s="6" t="str">
        <f>VLOOKUP(E230,'[3]Full Data-Map'!$C:$D,2,FALSE)</f>
        <v>8_44</v>
      </c>
    </row>
    <row r="231" spans="1:6" x14ac:dyDescent="0.25">
      <c r="A231" s="6" t="str">
        <f t="shared" si="3"/>
        <v>q57_3</v>
      </c>
      <c r="C231" s="6" t="s">
        <v>213</v>
      </c>
      <c r="D231" s="8" t="s">
        <v>1905</v>
      </c>
      <c r="E231" s="6" t="s">
        <v>2008</v>
      </c>
      <c r="F231" s="6" t="str">
        <f>VLOOKUP(E231,'[3]Full Data-Map'!$C:$D,2,FALSE)</f>
        <v>8_45</v>
      </c>
    </row>
    <row r="232" spans="1:6" x14ac:dyDescent="0.25">
      <c r="A232" s="6" t="str">
        <f t="shared" si="3"/>
        <v>q57_4</v>
      </c>
      <c r="C232" s="6" t="s">
        <v>214</v>
      </c>
      <c r="D232" s="8" t="s">
        <v>1905</v>
      </c>
      <c r="E232" s="6" t="s">
        <v>2009</v>
      </c>
      <c r="F232" s="6" t="str">
        <f>VLOOKUP(E232,'[3]Full Data-Map'!$C:$D,2,FALSE)</f>
        <v>8_46</v>
      </c>
    </row>
    <row r="233" spans="1:6" x14ac:dyDescent="0.25">
      <c r="A233" s="6" t="str">
        <f t="shared" si="3"/>
        <v>q57_5</v>
      </c>
      <c r="C233" s="6" t="s">
        <v>215</v>
      </c>
      <c r="D233" s="8" t="s">
        <v>1905</v>
      </c>
      <c r="E233" s="6" t="s">
        <v>2010</v>
      </c>
      <c r="F233" s="6" t="str">
        <f>VLOOKUP(E233,'[3]Full Data-Map'!$C:$D,2,FALSE)</f>
        <v>8_47</v>
      </c>
    </row>
    <row r="234" spans="1:6" x14ac:dyDescent="0.25">
      <c r="A234" s="6" t="str">
        <f t="shared" si="3"/>
        <v>q57_6</v>
      </c>
      <c r="C234" s="6" t="s">
        <v>216</v>
      </c>
      <c r="D234" s="8" t="s">
        <v>1905</v>
      </c>
      <c r="E234" s="6" t="s">
        <v>2011</v>
      </c>
      <c r="F234" s="6" t="str">
        <f>VLOOKUP(E234,'[3]Full Data-Map'!$C:$D,2,FALSE)</f>
        <v>8_48</v>
      </c>
    </row>
    <row r="235" spans="1:6" x14ac:dyDescent="0.25">
      <c r="A235" s="6" t="str">
        <f t="shared" si="3"/>
        <v>q5ROW7_hidden</v>
      </c>
      <c r="C235" s="6" t="s">
        <v>217</v>
      </c>
      <c r="D235" s="8" t="s">
        <v>1905</v>
      </c>
      <c r="E235" s="11" t="s">
        <v>2012</v>
      </c>
      <c r="F235" s="6" t="str">
        <f>VLOOKUP(E235,'[3]Full Data-Map'!$C:$D,2,FALSE)</f>
        <v>8_49</v>
      </c>
    </row>
    <row r="236" spans="1:6" x14ac:dyDescent="0.25">
      <c r="A236" s="6" t="str">
        <f t="shared" si="3"/>
        <v>q5other</v>
      </c>
      <c r="C236" s="6" t="s">
        <v>218</v>
      </c>
      <c r="D236" s="8" t="s">
        <v>1905</v>
      </c>
      <c r="E236" s="6" t="s">
        <v>2013</v>
      </c>
      <c r="F236" s="6" t="str">
        <f>VLOOKUP(E236,'[3]Full Data-Map'!$C:$D,2,FALSE)</f>
        <v>8_50</v>
      </c>
    </row>
    <row r="237" spans="1:6" x14ac:dyDescent="0.25">
      <c r="A237" s="6" t="str">
        <f t="shared" si="3"/>
        <v>q58_1</v>
      </c>
      <c r="C237" s="6" t="s">
        <v>219</v>
      </c>
      <c r="D237" s="8" t="s">
        <v>1905</v>
      </c>
      <c r="E237" s="6" t="s">
        <v>2014</v>
      </c>
      <c r="F237" s="6" t="str">
        <f>VLOOKUP(E237,'[3]Full Data-Map'!$C:$D,2,FALSE)</f>
        <v>8_51</v>
      </c>
    </row>
    <row r="238" spans="1:6" x14ac:dyDescent="0.25">
      <c r="A238" s="6" t="str">
        <f t="shared" si="3"/>
        <v>q58_2</v>
      </c>
      <c r="C238" s="6" t="s">
        <v>220</v>
      </c>
      <c r="D238" s="8" t="s">
        <v>1905</v>
      </c>
      <c r="E238" s="6" t="s">
        <v>2015</v>
      </c>
      <c r="F238" s="6" t="str">
        <f>VLOOKUP(E238,'[3]Full Data-Map'!$C:$D,2,FALSE)</f>
        <v>8_52</v>
      </c>
    </row>
    <row r="239" spans="1:6" x14ac:dyDescent="0.25">
      <c r="A239" s="6" t="str">
        <f t="shared" si="3"/>
        <v>q58_3</v>
      </c>
      <c r="C239" s="6" t="s">
        <v>221</v>
      </c>
      <c r="D239" s="8" t="s">
        <v>1905</v>
      </c>
      <c r="E239" s="6" t="s">
        <v>2016</v>
      </c>
      <c r="F239" s="6" t="str">
        <f>VLOOKUP(E239,'[3]Full Data-Map'!$C:$D,2,FALSE)</f>
        <v>8_53</v>
      </c>
    </row>
    <row r="240" spans="1:6" x14ac:dyDescent="0.25">
      <c r="A240" s="6" t="str">
        <f t="shared" si="3"/>
        <v>q58_4</v>
      </c>
      <c r="C240" s="6" t="s">
        <v>222</v>
      </c>
      <c r="D240" s="8" t="s">
        <v>1905</v>
      </c>
      <c r="E240" s="6" t="s">
        <v>2017</v>
      </c>
      <c r="F240" s="6" t="str">
        <f>VLOOKUP(E240,'[3]Full Data-Map'!$C:$D,2,FALSE)</f>
        <v>8_54</v>
      </c>
    </row>
    <row r="241" spans="1:6" x14ac:dyDescent="0.25">
      <c r="A241" s="6" t="str">
        <f t="shared" si="3"/>
        <v>q58_5</v>
      </c>
      <c r="C241" s="6" t="s">
        <v>223</v>
      </c>
      <c r="D241" s="8" t="s">
        <v>1905</v>
      </c>
      <c r="E241" s="6" t="s">
        <v>2018</v>
      </c>
      <c r="F241" s="6" t="str">
        <f>VLOOKUP(E241,'[3]Full Data-Map'!$C:$D,2,FALSE)</f>
        <v>8_55</v>
      </c>
    </row>
    <row r="242" spans="1:6" x14ac:dyDescent="0.25">
      <c r="A242" s="6" t="str">
        <f t="shared" si="3"/>
        <v>q58_6</v>
      </c>
      <c r="C242" s="6" t="s">
        <v>224</v>
      </c>
      <c r="D242" s="8" t="s">
        <v>1905</v>
      </c>
      <c r="E242" s="6" t="s">
        <v>2019</v>
      </c>
      <c r="F242" s="6" t="str">
        <f>VLOOKUP(E242,'[3]Full Data-Map'!$C:$D,2,FALSE)</f>
        <v>8_56</v>
      </c>
    </row>
    <row r="243" spans="1:6" x14ac:dyDescent="0.25">
      <c r="A243" s="6" t="str">
        <f t="shared" si="3"/>
        <v>q5ROW8_hidden</v>
      </c>
      <c r="C243" s="6" t="s">
        <v>225</v>
      </c>
      <c r="D243" s="8" t="s">
        <v>1905</v>
      </c>
      <c r="E243" s="11" t="s">
        <v>2020</v>
      </c>
      <c r="F243" s="6" t="str">
        <f>VLOOKUP(E243,'[3]Full Data-Map'!$C:$D,2,FALSE)</f>
        <v>8_57</v>
      </c>
    </row>
    <row r="244" spans="1:6" x14ac:dyDescent="0.25">
      <c r="A244" s="6" t="str">
        <f t="shared" si="3"/>
        <v>q5COL1_hidden</v>
      </c>
      <c r="C244" s="6" t="s">
        <v>226</v>
      </c>
      <c r="D244" s="8" t="s">
        <v>1905</v>
      </c>
      <c r="E244" s="11" t="s">
        <v>1953</v>
      </c>
      <c r="F244" s="17" t="s">
        <v>2827</v>
      </c>
    </row>
    <row r="245" spans="1:6" x14ac:dyDescent="0.25">
      <c r="A245" s="6" t="str">
        <f t="shared" si="3"/>
        <v>q5COL2_hidden</v>
      </c>
      <c r="C245" s="6" t="s">
        <v>227</v>
      </c>
      <c r="D245" s="8" t="s">
        <v>1905</v>
      </c>
      <c r="E245" s="11" t="s">
        <v>1954</v>
      </c>
      <c r="F245" s="17" t="s">
        <v>2828</v>
      </c>
    </row>
    <row r="246" spans="1:6" x14ac:dyDescent="0.25">
      <c r="A246" s="6" t="str">
        <f t="shared" si="3"/>
        <v>q5COL3_hidden</v>
      </c>
      <c r="C246" s="6" t="s">
        <v>228</v>
      </c>
      <c r="D246" s="8" t="s">
        <v>1905</v>
      </c>
      <c r="E246" s="11" t="s">
        <v>1955</v>
      </c>
      <c r="F246" s="17" t="s">
        <v>2829</v>
      </c>
    </row>
    <row r="247" spans="1:6" x14ac:dyDescent="0.25">
      <c r="A247" s="6" t="str">
        <f t="shared" si="3"/>
        <v>q5COL4_hidden</v>
      </c>
      <c r="C247" s="6" t="s">
        <v>229</v>
      </c>
      <c r="D247" s="8" t="s">
        <v>1905</v>
      </c>
      <c r="E247" s="11" t="s">
        <v>1956</v>
      </c>
      <c r="F247" s="17" t="s">
        <v>2830</v>
      </c>
    </row>
    <row r="248" spans="1:6" x14ac:dyDescent="0.25">
      <c r="A248" s="6" t="str">
        <f t="shared" si="3"/>
        <v>q5COL5_hidden</v>
      </c>
      <c r="C248" s="6" t="s">
        <v>230</v>
      </c>
      <c r="D248" s="8" t="s">
        <v>1905</v>
      </c>
      <c r="E248" s="11" t="s">
        <v>1957</v>
      </c>
      <c r="F248" s="17" t="s">
        <v>2831</v>
      </c>
    </row>
    <row r="249" spans="1:6" x14ac:dyDescent="0.25">
      <c r="A249" s="6" t="str">
        <f t="shared" si="3"/>
        <v>q5COL6_hidden</v>
      </c>
      <c r="C249" s="6" t="s">
        <v>231</v>
      </c>
      <c r="D249" s="8" t="s">
        <v>1905</v>
      </c>
      <c r="E249" s="11" t="s">
        <v>1958</v>
      </c>
      <c r="F249" s="17" t="s">
        <v>2832</v>
      </c>
    </row>
    <row r="250" spans="1:6" x14ac:dyDescent="0.25">
      <c r="A250" s="6" t="str">
        <f t="shared" si="3"/>
        <v>q5GRANDTotal_hidden</v>
      </c>
      <c r="C250" s="6" t="s">
        <v>232</v>
      </c>
      <c r="D250" s="8" t="s">
        <v>1905</v>
      </c>
      <c r="E250" s="11" t="s">
        <v>2021</v>
      </c>
      <c r="F250" s="17" t="s">
        <v>2833</v>
      </c>
    </row>
    <row r="251" spans="1:6" s="9" customFormat="1" x14ac:dyDescent="0.25">
      <c r="A251" s="6" t="str">
        <f t="shared" si="3"/>
        <v/>
      </c>
      <c r="D251" s="10"/>
      <c r="E251" s="9" t="s">
        <v>2022</v>
      </c>
      <c r="F251" s="6">
        <f>VLOOKUP(E251,'[3]Full Data-Map'!$C:$D,2,FALSE)</f>
        <v>9</v>
      </c>
    </row>
    <row r="252" spans="1:6" x14ac:dyDescent="0.25">
      <c r="A252" s="6" t="str">
        <f t="shared" si="3"/>
        <v>q61_1</v>
      </c>
      <c r="C252" s="6" t="s">
        <v>233</v>
      </c>
      <c r="D252" s="8" t="s">
        <v>1905</v>
      </c>
      <c r="E252" s="6" t="s">
        <v>2023</v>
      </c>
      <c r="F252" s="6" t="str">
        <f>VLOOKUP(E252,'[3]Full Data-Map'!$C:$D,2,FALSE)</f>
        <v>9_1</v>
      </c>
    </row>
    <row r="253" spans="1:6" x14ac:dyDescent="0.25">
      <c r="A253" s="6" t="str">
        <f t="shared" si="3"/>
        <v>q61_2</v>
      </c>
      <c r="C253" s="6" t="s">
        <v>234</v>
      </c>
      <c r="D253" s="8" t="s">
        <v>1905</v>
      </c>
      <c r="E253" s="6" t="s">
        <v>2024</v>
      </c>
      <c r="F253" s="6" t="str">
        <f>VLOOKUP(E253,'[3]Full Data-Map'!$C:$D,2,FALSE)</f>
        <v>9_2</v>
      </c>
    </row>
    <row r="254" spans="1:6" x14ac:dyDescent="0.25">
      <c r="A254" s="6" t="str">
        <f t="shared" si="3"/>
        <v>q61_3</v>
      </c>
      <c r="C254" s="6" t="s">
        <v>235</v>
      </c>
      <c r="D254" s="8" t="s">
        <v>1905</v>
      </c>
      <c r="E254" s="6" t="s">
        <v>2025</v>
      </c>
      <c r="F254" s="6" t="str">
        <f>VLOOKUP(E254,'[3]Full Data-Map'!$C:$D,2,FALSE)</f>
        <v>9_3</v>
      </c>
    </row>
    <row r="255" spans="1:6" x14ac:dyDescent="0.25">
      <c r="A255" s="6" t="str">
        <f t="shared" si="3"/>
        <v>q61_4</v>
      </c>
      <c r="C255" s="6" t="s">
        <v>236</v>
      </c>
      <c r="D255" s="8" t="s">
        <v>1905</v>
      </c>
      <c r="E255" s="6" t="s">
        <v>2026</v>
      </c>
      <c r="F255" s="6" t="str">
        <f>VLOOKUP(E255,'[3]Full Data-Map'!$C:$D,2,FALSE)</f>
        <v>9_4</v>
      </c>
    </row>
    <row r="256" spans="1:6" x14ac:dyDescent="0.25">
      <c r="A256" s="6" t="str">
        <f t="shared" si="3"/>
        <v>q61_5</v>
      </c>
      <c r="C256" s="6" t="s">
        <v>237</v>
      </c>
      <c r="D256" s="8" t="s">
        <v>1905</v>
      </c>
      <c r="E256" s="6" t="s">
        <v>2027</v>
      </c>
      <c r="F256" s="6" t="str">
        <f>VLOOKUP(E256,'[3]Full Data-Map'!$C:$D,2,FALSE)</f>
        <v>9_5</v>
      </c>
    </row>
    <row r="257" spans="1:6" x14ac:dyDescent="0.25">
      <c r="A257" s="6" t="str">
        <f t="shared" si="3"/>
        <v>q61_6</v>
      </c>
      <c r="C257" s="6" t="s">
        <v>238</v>
      </c>
      <c r="D257" s="8" t="s">
        <v>1905</v>
      </c>
      <c r="E257" s="6" t="s">
        <v>2028</v>
      </c>
      <c r="F257" s="6" t="str">
        <f>VLOOKUP(E257,'[3]Full Data-Map'!$C:$D,2,FALSE)</f>
        <v>9_6</v>
      </c>
    </row>
    <row r="258" spans="1:6" x14ac:dyDescent="0.25">
      <c r="A258" s="6" t="str">
        <f t="shared" si="3"/>
        <v>q6ROW1_hidden</v>
      </c>
      <c r="C258" s="6" t="s">
        <v>239</v>
      </c>
      <c r="D258" s="8" t="s">
        <v>1905</v>
      </c>
      <c r="E258" s="11" t="s">
        <v>2029</v>
      </c>
      <c r="F258" s="6" t="str">
        <f>VLOOKUP(E258,'[3]Full Data-Map'!$C:$D,2,FALSE)</f>
        <v>9_7</v>
      </c>
    </row>
    <row r="259" spans="1:6" x14ac:dyDescent="0.25">
      <c r="A259" s="6" t="str">
        <f t="shared" ref="A259:A322" si="4">_xlfn.CONCAT(C259,B259)</f>
        <v>q62_1</v>
      </c>
      <c r="C259" s="6" t="s">
        <v>240</v>
      </c>
      <c r="D259" s="8" t="s">
        <v>1905</v>
      </c>
      <c r="E259" s="6" t="s">
        <v>2030</v>
      </c>
      <c r="F259" s="6" t="str">
        <f>VLOOKUP(E259,'[3]Full Data-Map'!$C:$D,2,FALSE)</f>
        <v>9_8</v>
      </c>
    </row>
    <row r="260" spans="1:6" x14ac:dyDescent="0.25">
      <c r="A260" s="6" t="str">
        <f t="shared" si="4"/>
        <v>q62_2</v>
      </c>
      <c r="C260" s="6" t="s">
        <v>241</v>
      </c>
      <c r="D260" s="8" t="s">
        <v>1905</v>
      </c>
      <c r="E260" s="6" t="s">
        <v>2031</v>
      </c>
      <c r="F260" s="6" t="str">
        <f>VLOOKUP(E260,'[3]Full Data-Map'!$C:$D,2,FALSE)</f>
        <v>9_9</v>
      </c>
    </row>
    <row r="261" spans="1:6" x14ac:dyDescent="0.25">
      <c r="A261" s="6" t="str">
        <f t="shared" si="4"/>
        <v>q62_3</v>
      </c>
      <c r="C261" s="6" t="s">
        <v>242</v>
      </c>
      <c r="D261" s="8" t="s">
        <v>1905</v>
      </c>
      <c r="E261" s="6" t="s">
        <v>2032</v>
      </c>
      <c r="F261" s="6" t="str">
        <f>VLOOKUP(E261,'[3]Full Data-Map'!$C:$D,2,FALSE)</f>
        <v>9_10</v>
      </c>
    </row>
    <row r="262" spans="1:6" x14ac:dyDescent="0.25">
      <c r="A262" s="6" t="str">
        <f t="shared" si="4"/>
        <v>q62_4</v>
      </c>
      <c r="C262" s="6" t="s">
        <v>243</v>
      </c>
      <c r="D262" s="8" t="s">
        <v>1905</v>
      </c>
      <c r="E262" s="6" t="s">
        <v>2033</v>
      </c>
      <c r="F262" s="6" t="str">
        <f>VLOOKUP(E262,'[3]Full Data-Map'!$C:$D,2,FALSE)</f>
        <v>9_11</v>
      </c>
    </row>
    <row r="263" spans="1:6" x14ac:dyDescent="0.25">
      <c r="A263" s="6" t="str">
        <f t="shared" si="4"/>
        <v>q62_5</v>
      </c>
      <c r="C263" s="6" t="s">
        <v>244</v>
      </c>
      <c r="D263" s="8" t="s">
        <v>1905</v>
      </c>
      <c r="E263" s="6" t="s">
        <v>2034</v>
      </c>
      <c r="F263" s="6" t="str">
        <f>VLOOKUP(E263,'[3]Full Data-Map'!$C:$D,2,FALSE)</f>
        <v>9_12</v>
      </c>
    </row>
    <row r="264" spans="1:6" x14ac:dyDescent="0.25">
      <c r="A264" s="6" t="str">
        <f t="shared" si="4"/>
        <v>q62_6</v>
      </c>
      <c r="C264" s="6" t="s">
        <v>245</v>
      </c>
      <c r="D264" s="8" t="s">
        <v>1905</v>
      </c>
      <c r="E264" s="6" t="s">
        <v>2035</v>
      </c>
      <c r="F264" s="6" t="str">
        <f>VLOOKUP(E264,'[3]Full Data-Map'!$C:$D,2,FALSE)</f>
        <v>9_13</v>
      </c>
    </row>
    <row r="265" spans="1:6" x14ac:dyDescent="0.25">
      <c r="A265" s="6" t="str">
        <f t="shared" si="4"/>
        <v>q6ROW2_hidden</v>
      </c>
      <c r="C265" s="6" t="s">
        <v>246</v>
      </c>
      <c r="D265" s="8" t="s">
        <v>1905</v>
      </c>
      <c r="E265" s="11" t="s">
        <v>2036</v>
      </c>
      <c r="F265" s="6" t="str">
        <f>VLOOKUP(E265,'[3]Full Data-Map'!$C:$D,2,FALSE)</f>
        <v>9_14</v>
      </c>
    </row>
    <row r="266" spans="1:6" x14ac:dyDescent="0.25">
      <c r="A266" s="6" t="str">
        <f t="shared" si="4"/>
        <v>q63_1</v>
      </c>
      <c r="C266" s="6" t="s">
        <v>247</v>
      </c>
      <c r="D266" s="8" t="s">
        <v>1905</v>
      </c>
      <c r="E266" s="6" t="s">
        <v>2037</v>
      </c>
      <c r="F266" s="6" t="str">
        <f>VLOOKUP(E266,'[3]Full Data-Map'!$C:$D,2,FALSE)</f>
        <v>9_15</v>
      </c>
    </row>
    <row r="267" spans="1:6" x14ac:dyDescent="0.25">
      <c r="A267" s="6" t="str">
        <f t="shared" si="4"/>
        <v>q63_2</v>
      </c>
      <c r="C267" s="6" t="s">
        <v>248</v>
      </c>
      <c r="D267" s="8" t="s">
        <v>1905</v>
      </c>
      <c r="E267" s="6" t="s">
        <v>2038</v>
      </c>
      <c r="F267" s="6" t="str">
        <f>VLOOKUP(E267,'[3]Full Data-Map'!$C:$D,2,FALSE)</f>
        <v>9_16</v>
      </c>
    </row>
    <row r="268" spans="1:6" x14ac:dyDescent="0.25">
      <c r="A268" s="6" t="str">
        <f t="shared" si="4"/>
        <v>q63_3</v>
      </c>
      <c r="C268" s="6" t="s">
        <v>249</v>
      </c>
      <c r="D268" s="8" t="s">
        <v>1905</v>
      </c>
      <c r="E268" s="6" t="s">
        <v>2039</v>
      </c>
      <c r="F268" s="6" t="str">
        <f>VLOOKUP(E268,'[3]Full Data-Map'!$C:$D,2,FALSE)</f>
        <v>9_17</v>
      </c>
    </row>
    <row r="269" spans="1:6" x14ac:dyDescent="0.25">
      <c r="A269" s="6" t="str">
        <f t="shared" si="4"/>
        <v>q63_4</v>
      </c>
      <c r="C269" s="6" t="s">
        <v>250</v>
      </c>
      <c r="D269" s="8" t="s">
        <v>1905</v>
      </c>
      <c r="E269" s="6" t="s">
        <v>2040</v>
      </c>
      <c r="F269" s="6" t="str">
        <f>VLOOKUP(E269,'[3]Full Data-Map'!$C:$D,2,FALSE)</f>
        <v>9_18</v>
      </c>
    </row>
    <row r="270" spans="1:6" x14ac:dyDescent="0.25">
      <c r="A270" s="6" t="str">
        <f t="shared" si="4"/>
        <v>q63_5</v>
      </c>
      <c r="C270" s="6" t="s">
        <v>251</v>
      </c>
      <c r="D270" s="8" t="s">
        <v>1905</v>
      </c>
      <c r="E270" s="6" t="s">
        <v>2041</v>
      </c>
      <c r="F270" s="6" t="str">
        <f>VLOOKUP(E270,'[3]Full Data-Map'!$C:$D,2,FALSE)</f>
        <v>9_19</v>
      </c>
    </row>
    <row r="271" spans="1:6" x14ac:dyDescent="0.25">
      <c r="A271" s="6" t="str">
        <f t="shared" si="4"/>
        <v>q63_6</v>
      </c>
      <c r="C271" s="6" t="s">
        <v>252</v>
      </c>
      <c r="D271" s="8" t="s">
        <v>1905</v>
      </c>
      <c r="E271" s="6" t="s">
        <v>2042</v>
      </c>
      <c r="F271" s="6" t="str">
        <f>VLOOKUP(E271,'[3]Full Data-Map'!$C:$D,2,FALSE)</f>
        <v>9_20</v>
      </c>
    </row>
    <row r="272" spans="1:6" x14ac:dyDescent="0.25">
      <c r="A272" s="6" t="str">
        <f t="shared" si="4"/>
        <v>q6ROW3_hidden</v>
      </c>
      <c r="C272" s="6" t="s">
        <v>253</v>
      </c>
      <c r="D272" s="8" t="s">
        <v>1905</v>
      </c>
      <c r="E272" s="11" t="s">
        <v>2043</v>
      </c>
      <c r="F272" s="6" t="str">
        <f>VLOOKUP(E272,'[3]Full Data-Map'!$C:$D,2,FALSE)</f>
        <v>9_21</v>
      </c>
    </row>
    <row r="273" spans="1:6" x14ac:dyDescent="0.25">
      <c r="A273" s="6" t="str">
        <f t="shared" si="4"/>
        <v>q64_1</v>
      </c>
      <c r="C273" s="6" t="s">
        <v>254</v>
      </c>
      <c r="D273" s="8" t="s">
        <v>1905</v>
      </c>
      <c r="E273" s="6" t="s">
        <v>2044</v>
      </c>
      <c r="F273" s="6" t="str">
        <f>VLOOKUP(E273,'[3]Full Data-Map'!$C:$D,2,FALSE)</f>
        <v>9_22</v>
      </c>
    </row>
    <row r="274" spans="1:6" x14ac:dyDescent="0.25">
      <c r="A274" s="6" t="str">
        <f t="shared" si="4"/>
        <v>q64_2</v>
      </c>
      <c r="C274" s="6" t="s">
        <v>255</v>
      </c>
      <c r="D274" s="8" t="s">
        <v>1905</v>
      </c>
      <c r="E274" s="6" t="s">
        <v>2045</v>
      </c>
      <c r="F274" s="6" t="str">
        <f>VLOOKUP(E274,'[3]Full Data-Map'!$C:$D,2,FALSE)</f>
        <v>9_23</v>
      </c>
    </row>
    <row r="275" spans="1:6" x14ac:dyDescent="0.25">
      <c r="A275" s="6" t="str">
        <f t="shared" si="4"/>
        <v>q64_3</v>
      </c>
      <c r="C275" s="6" t="s">
        <v>256</v>
      </c>
      <c r="D275" s="8" t="s">
        <v>1905</v>
      </c>
      <c r="E275" s="6" t="s">
        <v>2046</v>
      </c>
      <c r="F275" s="6" t="str">
        <f>VLOOKUP(E275,'[3]Full Data-Map'!$C:$D,2,FALSE)</f>
        <v>9_24</v>
      </c>
    </row>
    <row r="276" spans="1:6" x14ac:dyDescent="0.25">
      <c r="A276" s="6" t="str">
        <f t="shared" si="4"/>
        <v>q64_4</v>
      </c>
      <c r="C276" s="6" t="s">
        <v>257</v>
      </c>
      <c r="D276" s="8" t="s">
        <v>1905</v>
      </c>
      <c r="E276" s="6" t="s">
        <v>2047</v>
      </c>
      <c r="F276" s="6" t="str">
        <f>VLOOKUP(E276,'[3]Full Data-Map'!$C:$D,2,FALSE)</f>
        <v>9_25</v>
      </c>
    </row>
    <row r="277" spans="1:6" x14ac:dyDescent="0.25">
      <c r="A277" s="6" t="str">
        <f t="shared" si="4"/>
        <v>q64_5</v>
      </c>
      <c r="C277" s="6" t="s">
        <v>258</v>
      </c>
      <c r="D277" s="8" t="s">
        <v>1905</v>
      </c>
      <c r="E277" s="6" t="s">
        <v>2048</v>
      </c>
      <c r="F277" s="6" t="str">
        <f>VLOOKUP(E277,'[3]Full Data-Map'!$C:$D,2,FALSE)</f>
        <v>9_26</v>
      </c>
    </row>
    <row r="278" spans="1:6" x14ac:dyDescent="0.25">
      <c r="A278" s="6" t="str">
        <f t="shared" si="4"/>
        <v>q64_6</v>
      </c>
      <c r="C278" s="6" t="s">
        <v>259</v>
      </c>
      <c r="D278" s="8" t="s">
        <v>1905</v>
      </c>
      <c r="E278" s="6" t="s">
        <v>2049</v>
      </c>
      <c r="F278" s="6" t="str">
        <f>VLOOKUP(E278,'[3]Full Data-Map'!$C:$D,2,FALSE)</f>
        <v>9_27</v>
      </c>
    </row>
    <row r="279" spans="1:6" x14ac:dyDescent="0.25">
      <c r="A279" s="6" t="str">
        <f t="shared" si="4"/>
        <v>q6ROW4_hidden</v>
      </c>
      <c r="C279" s="6" t="s">
        <v>260</v>
      </c>
      <c r="D279" s="8" t="s">
        <v>1905</v>
      </c>
      <c r="E279" s="11" t="s">
        <v>2050</v>
      </c>
      <c r="F279" s="6" t="str">
        <f>VLOOKUP(E279,'[3]Full Data-Map'!$C:$D,2,FALSE)</f>
        <v>9_28</v>
      </c>
    </row>
    <row r="280" spans="1:6" x14ac:dyDescent="0.25">
      <c r="A280" s="6" t="str">
        <f t="shared" si="4"/>
        <v>q65_1</v>
      </c>
      <c r="C280" s="6" t="s">
        <v>261</v>
      </c>
      <c r="D280" s="8" t="s">
        <v>1905</v>
      </c>
      <c r="E280" s="6" t="s">
        <v>2051</v>
      </c>
      <c r="F280" s="6" t="str">
        <f>VLOOKUP(E280,'[3]Full Data-Map'!$C:$D,2,FALSE)</f>
        <v>9_29</v>
      </c>
    </row>
    <row r="281" spans="1:6" x14ac:dyDescent="0.25">
      <c r="A281" s="6" t="str">
        <f t="shared" si="4"/>
        <v>q65_2</v>
      </c>
      <c r="C281" s="6" t="s">
        <v>262</v>
      </c>
      <c r="D281" s="8" t="s">
        <v>1905</v>
      </c>
      <c r="E281" s="6" t="s">
        <v>2052</v>
      </c>
      <c r="F281" s="6" t="str">
        <f>VLOOKUP(E281,'[3]Full Data-Map'!$C:$D,2,FALSE)</f>
        <v>9_30</v>
      </c>
    </row>
    <row r="282" spans="1:6" x14ac:dyDescent="0.25">
      <c r="A282" s="6" t="str">
        <f t="shared" si="4"/>
        <v>q65_3</v>
      </c>
      <c r="C282" s="6" t="s">
        <v>263</v>
      </c>
      <c r="D282" s="8" t="s">
        <v>1905</v>
      </c>
      <c r="E282" s="6" t="s">
        <v>2053</v>
      </c>
      <c r="F282" s="6" t="str">
        <f>VLOOKUP(E282,'[3]Full Data-Map'!$C:$D,2,FALSE)</f>
        <v>9_31</v>
      </c>
    </row>
    <row r="283" spans="1:6" x14ac:dyDescent="0.25">
      <c r="A283" s="6" t="str">
        <f t="shared" si="4"/>
        <v>q65_4</v>
      </c>
      <c r="C283" s="6" t="s">
        <v>264</v>
      </c>
      <c r="D283" s="8" t="s">
        <v>1905</v>
      </c>
      <c r="E283" s="6" t="s">
        <v>2054</v>
      </c>
      <c r="F283" s="6" t="str">
        <f>VLOOKUP(E283,'[3]Full Data-Map'!$C:$D,2,FALSE)</f>
        <v>9_32</v>
      </c>
    </row>
    <row r="284" spans="1:6" x14ac:dyDescent="0.25">
      <c r="A284" s="6" t="str">
        <f t="shared" si="4"/>
        <v>q65_5</v>
      </c>
      <c r="C284" s="6" t="s">
        <v>265</v>
      </c>
      <c r="D284" s="8" t="s">
        <v>1905</v>
      </c>
      <c r="E284" s="6" t="s">
        <v>2055</v>
      </c>
      <c r="F284" s="6" t="str">
        <f>VLOOKUP(E284,'[3]Full Data-Map'!$C:$D,2,FALSE)</f>
        <v>9_33</v>
      </c>
    </row>
    <row r="285" spans="1:6" x14ac:dyDescent="0.25">
      <c r="A285" s="6" t="str">
        <f t="shared" si="4"/>
        <v>q65_6</v>
      </c>
      <c r="C285" s="6" t="s">
        <v>266</v>
      </c>
      <c r="D285" s="8" t="s">
        <v>1905</v>
      </c>
      <c r="E285" s="6" t="s">
        <v>2056</v>
      </c>
      <c r="F285" s="6" t="str">
        <f>VLOOKUP(E285,'[3]Full Data-Map'!$C:$D,2,FALSE)</f>
        <v>9_34</v>
      </c>
    </row>
    <row r="286" spans="1:6" x14ac:dyDescent="0.25">
      <c r="A286" s="6" t="str">
        <f t="shared" si="4"/>
        <v>q6ROW5_hidden</v>
      </c>
      <c r="C286" s="6" t="s">
        <v>267</v>
      </c>
      <c r="D286" s="8" t="s">
        <v>1905</v>
      </c>
      <c r="E286" s="11" t="s">
        <v>2057</v>
      </c>
      <c r="F286" s="6" t="str">
        <f>VLOOKUP(E286,'[3]Full Data-Map'!$C:$D,2,FALSE)</f>
        <v>9_35</v>
      </c>
    </row>
    <row r="287" spans="1:6" x14ac:dyDescent="0.25">
      <c r="A287" s="6" t="str">
        <f t="shared" si="4"/>
        <v>q6COL1_hidden</v>
      </c>
      <c r="C287" s="6" t="s">
        <v>268</v>
      </c>
      <c r="D287" s="8" t="s">
        <v>1905</v>
      </c>
      <c r="E287" s="11" t="s">
        <v>1953</v>
      </c>
      <c r="F287" s="17" t="s">
        <v>2834</v>
      </c>
    </row>
    <row r="288" spans="1:6" x14ac:dyDescent="0.25">
      <c r="A288" s="6" t="str">
        <f t="shared" si="4"/>
        <v>q6COL2_hidden</v>
      </c>
      <c r="C288" s="6" t="s">
        <v>269</v>
      </c>
      <c r="D288" s="8" t="s">
        <v>1905</v>
      </c>
      <c r="E288" s="11" t="s">
        <v>1954</v>
      </c>
      <c r="F288" s="17" t="s">
        <v>2835</v>
      </c>
    </row>
    <row r="289" spans="1:6" x14ac:dyDescent="0.25">
      <c r="A289" s="6" t="str">
        <f t="shared" si="4"/>
        <v>q6COL3_hidden</v>
      </c>
      <c r="C289" s="6" t="s">
        <v>270</v>
      </c>
      <c r="D289" s="8" t="s">
        <v>1905</v>
      </c>
      <c r="E289" s="11" t="s">
        <v>1955</v>
      </c>
      <c r="F289" s="17" t="s">
        <v>2836</v>
      </c>
    </row>
    <row r="290" spans="1:6" x14ac:dyDescent="0.25">
      <c r="A290" s="6" t="str">
        <f t="shared" si="4"/>
        <v>q6COL4_hidden</v>
      </c>
      <c r="C290" s="6" t="s">
        <v>271</v>
      </c>
      <c r="D290" s="8" t="s">
        <v>1905</v>
      </c>
      <c r="E290" s="11" t="s">
        <v>1956</v>
      </c>
      <c r="F290" s="17" t="s">
        <v>2837</v>
      </c>
    </row>
    <row r="291" spans="1:6" x14ac:dyDescent="0.25">
      <c r="A291" s="6" t="str">
        <f t="shared" si="4"/>
        <v>q6COL5_hidden</v>
      </c>
      <c r="C291" s="6" t="s">
        <v>272</v>
      </c>
      <c r="D291" s="8" t="s">
        <v>1905</v>
      </c>
      <c r="E291" s="11" t="s">
        <v>1957</v>
      </c>
      <c r="F291" s="17" t="s">
        <v>2838</v>
      </c>
    </row>
    <row r="292" spans="1:6" x14ac:dyDescent="0.25">
      <c r="A292" s="6" t="str">
        <f t="shared" si="4"/>
        <v>q6COL6_hidden</v>
      </c>
      <c r="C292" s="6" t="s">
        <v>273</v>
      </c>
      <c r="D292" s="8" t="s">
        <v>1905</v>
      </c>
      <c r="E292" s="11" t="s">
        <v>1958</v>
      </c>
      <c r="F292" s="17" t="s">
        <v>2839</v>
      </c>
    </row>
    <row r="293" spans="1:6" x14ac:dyDescent="0.25">
      <c r="A293" s="6" t="str">
        <f t="shared" si="4"/>
        <v>q6GRANDTotal_hidden</v>
      </c>
      <c r="C293" s="6" t="s">
        <v>274</v>
      </c>
      <c r="D293" s="8" t="s">
        <v>1905</v>
      </c>
      <c r="E293" s="11" t="s">
        <v>2058</v>
      </c>
      <c r="F293" s="17" t="s">
        <v>2840</v>
      </c>
    </row>
    <row r="294" spans="1:6" s="9" customFormat="1" x14ac:dyDescent="0.25">
      <c r="A294" s="6" t="str">
        <f t="shared" si="4"/>
        <v/>
      </c>
      <c r="D294" s="10"/>
      <c r="E294" s="9" t="s">
        <v>2059</v>
      </c>
      <c r="F294" s="6">
        <f>VLOOKUP(E294,'[3]Full Data-Map'!$C:$D,2,FALSE)</f>
        <v>10</v>
      </c>
    </row>
    <row r="295" spans="1:6" x14ac:dyDescent="0.25">
      <c r="A295" s="6" t="str">
        <f t="shared" si="4"/>
        <v>q7_1</v>
      </c>
      <c r="C295" s="6" t="s">
        <v>275</v>
      </c>
      <c r="D295" s="8" t="s">
        <v>2060</v>
      </c>
      <c r="E295" s="6" t="s">
        <v>2061</v>
      </c>
      <c r="F295" s="6" t="str">
        <f>VLOOKUP(E295,'[3]Full Data-Map'!$C:$D,2,FALSE)</f>
        <v>10_1</v>
      </c>
    </row>
    <row r="296" spans="1:6" x14ac:dyDescent="0.25">
      <c r="A296" s="6" t="str">
        <f t="shared" si="4"/>
        <v>q7_2</v>
      </c>
      <c r="C296" s="6" t="s">
        <v>276</v>
      </c>
      <c r="D296" s="8" t="s">
        <v>2060</v>
      </c>
      <c r="E296" s="6" t="s">
        <v>2062</v>
      </c>
      <c r="F296" s="6" t="str">
        <f>VLOOKUP(E296,'[3]Full Data-Map'!$C:$D,2,FALSE)</f>
        <v>10_2</v>
      </c>
    </row>
    <row r="297" spans="1:6" x14ac:dyDescent="0.25">
      <c r="A297" s="6" t="str">
        <f t="shared" si="4"/>
        <v>q7_3</v>
      </c>
      <c r="C297" s="6" t="s">
        <v>277</v>
      </c>
      <c r="D297" s="8" t="s">
        <v>2060</v>
      </c>
      <c r="E297" s="6" t="s">
        <v>2063</v>
      </c>
      <c r="F297" s="6" t="str">
        <f>VLOOKUP(E297,'[3]Full Data-Map'!$C:$D,2,FALSE)</f>
        <v>10_3</v>
      </c>
    </row>
    <row r="298" spans="1:6" x14ac:dyDescent="0.25">
      <c r="A298" s="6" t="str">
        <f t="shared" si="4"/>
        <v>q7other</v>
      </c>
      <c r="C298" s="6" t="s">
        <v>278</v>
      </c>
      <c r="D298" s="8" t="s">
        <v>1890</v>
      </c>
      <c r="E298" s="6" t="s">
        <v>2013</v>
      </c>
      <c r="F298" s="17" t="s">
        <v>2825</v>
      </c>
    </row>
    <row r="299" spans="1:6" x14ac:dyDescent="0.25">
      <c r="A299" s="6" t="str">
        <f t="shared" si="4"/>
        <v>q7_4</v>
      </c>
      <c r="C299" s="6" t="s">
        <v>279</v>
      </c>
      <c r="D299" s="8" t="s">
        <v>2060</v>
      </c>
      <c r="E299" s="6" t="s">
        <v>2064</v>
      </c>
      <c r="F299" s="6" t="str">
        <f>VLOOKUP(E299,'[3]Full Data-Map'!$C:$D,2,FALSE)</f>
        <v>10_5</v>
      </c>
    </row>
    <row r="300" spans="1:6" s="9" customFormat="1" x14ac:dyDescent="0.25">
      <c r="A300" s="6" t="str">
        <f t="shared" si="4"/>
        <v>q8</v>
      </c>
      <c r="C300" s="9" t="s">
        <v>280</v>
      </c>
      <c r="D300" s="10" t="s">
        <v>1900</v>
      </c>
      <c r="E300" s="12" t="s">
        <v>2065</v>
      </c>
      <c r="F300" s="6">
        <f>VLOOKUP(E300,'[3]Full Data-Map'!$C:$D,2,FALSE)</f>
        <v>11</v>
      </c>
    </row>
    <row r="301" spans="1:6" s="9" customFormat="1" x14ac:dyDescent="0.25">
      <c r="A301" s="6" t="str">
        <f t="shared" si="4"/>
        <v>q9</v>
      </c>
      <c r="C301" s="9" t="s">
        <v>281</v>
      </c>
      <c r="D301" s="10" t="s">
        <v>1900</v>
      </c>
      <c r="E301" s="12" t="s">
        <v>2066</v>
      </c>
      <c r="F301" s="6">
        <f>VLOOKUP(E301,'[3]Full Data-Map'!$C:$D,2,FALSE)</f>
        <v>12</v>
      </c>
    </row>
    <row r="302" spans="1:6" s="9" customFormat="1" x14ac:dyDescent="0.25">
      <c r="A302" s="6" t="str">
        <f t="shared" si="4"/>
        <v>q91</v>
      </c>
      <c r="C302" s="9" t="s">
        <v>282</v>
      </c>
      <c r="D302" s="10" t="s">
        <v>1900</v>
      </c>
      <c r="E302" s="12" t="s">
        <v>2067</v>
      </c>
      <c r="F302" s="6">
        <f>VLOOKUP(E302,'[3]Full Data-Map'!$C:$D,2,FALSE)</f>
        <v>13</v>
      </c>
    </row>
    <row r="303" spans="1:6" x14ac:dyDescent="0.25">
      <c r="A303" s="6" t="str">
        <f t="shared" si="4"/>
        <v>ASIA PACIFIC_apac</v>
      </c>
      <c r="B303" s="6" t="s">
        <v>2087</v>
      </c>
      <c r="C303" s="13" t="s">
        <v>283</v>
      </c>
      <c r="D303" s="14"/>
      <c r="E303" s="12" t="s">
        <v>2068</v>
      </c>
      <c r="F303" s="6">
        <f>VLOOKUP(E303,'[3]Full Data-Map'!$C:$D,2,FALSE)</f>
        <v>14</v>
      </c>
    </row>
    <row r="304" spans="1:6" x14ac:dyDescent="0.25">
      <c r="A304" s="6" t="str">
        <f t="shared" si="4"/>
        <v>q101_1_apac</v>
      </c>
      <c r="B304" s="6" t="str">
        <f t="shared" ref="B304:B335" si="5">B303</f>
        <v>_apac</v>
      </c>
      <c r="C304" s="6" t="s">
        <v>284</v>
      </c>
      <c r="D304" s="15" t="s">
        <v>1905</v>
      </c>
      <c r="E304" s="6" t="s">
        <v>1965</v>
      </c>
      <c r="F304" s="17" t="s">
        <v>2826</v>
      </c>
    </row>
    <row r="305" spans="1:6" x14ac:dyDescent="0.25">
      <c r="A305" s="6" t="str">
        <f t="shared" si="4"/>
        <v>q101_2_apac</v>
      </c>
      <c r="B305" s="6" t="str">
        <f t="shared" si="5"/>
        <v>_apac</v>
      </c>
      <c r="C305" s="6" t="s">
        <v>285</v>
      </c>
      <c r="D305" s="15" t="s">
        <v>1905</v>
      </c>
      <c r="E305" s="6" t="s">
        <v>1966</v>
      </c>
      <c r="F305" s="17" t="s">
        <v>2841</v>
      </c>
    </row>
    <row r="306" spans="1:6" x14ac:dyDescent="0.25">
      <c r="A306" s="6" t="str">
        <f t="shared" si="4"/>
        <v>q101_3_apac</v>
      </c>
      <c r="B306" s="6" t="str">
        <f t="shared" si="5"/>
        <v>_apac</v>
      </c>
      <c r="C306" s="6" t="s">
        <v>286</v>
      </c>
      <c r="D306" s="15" t="s">
        <v>1905</v>
      </c>
      <c r="E306" s="6" t="s">
        <v>1967</v>
      </c>
      <c r="F306" s="17" t="s">
        <v>2842</v>
      </c>
    </row>
    <row r="307" spans="1:6" x14ac:dyDescent="0.25">
      <c r="A307" s="6" t="str">
        <f t="shared" si="4"/>
        <v>q101_4_apac</v>
      </c>
      <c r="B307" s="6" t="str">
        <f t="shared" si="5"/>
        <v>_apac</v>
      </c>
      <c r="C307" s="6" t="s">
        <v>287</v>
      </c>
      <c r="D307" s="15" t="s">
        <v>1905</v>
      </c>
      <c r="E307" s="6" t="s">
        <v>1968</v>
      </c>
      <c r="F307" s="17" t="s">
        <v>2843</v>
      </c>
    </row>
    <row r="308" spans="1:6" x14ac:dyDescent="0.25">
      <c r="A308" s="6" t="str">
        <f t="shared" si="4"/>
        <v>q101_5_apac</v>
      </c>
      <c r="B308" s="6" t="str">
        <f t="shared" si="5"/>
        <v>_apac</v>
      </c>
      <c r="C308" s="6" t="s">
        <v>288</v>
      </c>
      <c r="D308" s="15" t="s">
        <v>1905</v>
      </c>
      <c r="E308" s="6" t="s">
        <v>1969</v>
      </c>
      <c r="F308" s="17" t="s">
        <v>2844</v>
      </c>
    </row>
    <row r="309" spans="1:6" x14ac:dyDescent="0.25">
      <c r="A309" s="6" t="str">
        <f t="shared" si="4"/>
        <v>q101_6_apac</v>
      </c>
      <c r="B309" s="6" t="str">
        <f t="shared" si="5"/>
        <v>_apac</v>
      </c>
      <c r="C309" s="6" t="s">
        <v>289</v>
      </c>
      <c r="D309" s="15" t="s">
        <v>1905</v>
      </c>
      <c r="E309" s="6" t="s">
        <v>1970</v>
      </c>
      <c r="F309" s="17" t="s">
        <v>2845</v>
      </c>
    </row>
    <row r="310" spans="1:6" x14ac:dyDescent="0.25">
      <c r="A310" s="6" t="str">
        <f t="shared" si="4"/>
        <v>q10ROW1_hidden_apac</v>
      </c>
      <c r="B310" s="6" t="str">
        <f t="shared" si="5"/>
        <v>_apac</v>
      </c>
      <c r="C310" s="6" t="s">
        <v>290</v>
      </c>
      <c r="D310" s="15" t="s">
        <v>1905</v>
      </c>
      <c r="E310" s="11" t="s">
        <v>1971</v>
      </c>
      <c r="F310" s="17" t="s">
        <v>2846</v>
      </c>
    </row>
    <row r="311" spans="1:6" x14ac:dyDescent="0.25">
      <c r="A311" s="6" t="str">
        <f t="shared" si="4"/>
        <v>q102_1_apac</v>
      </c>
      <c r="B311" s="6" t="str">
        <f t="shared" si="5"/>
        <v>_apac</v>
      </c>
      <c r="C311" s="6" t="s">
        <v>291</v>
      </c>
      <c r="D311" s="15" t="s">
        <v>1905</v>
      </c>
      <c r="E311" s="6" t="s">
        <v>1972</v>
      </c>
      <c r="F311" s="17" t="s">
        <v>2847</v>
      </c>
    </row>
    <row r="312" spans="1:6" x14ac:dyDescent="0.25">
      <c r="A312" s="6" t="str">
        <f t="shared" si="4"/>
        <v>q102_2_apac</v>
      </c>
      <c r="B312" s="6" t="str">
        <f t="shared" si="5"/>
        <v>_apac</v>
      </c>
      <c r="C312" s="6" t="s">
        <v>292</v>
      </c>
      <c r="D312" s="15" t="s">
        <v>1905</v>
      </c>
      <c r="E312" s="6" t="s">
        <v>1973</v>
      </c>
      <c r="F312" s="17" t="s">
        <v>2848</v>
      </c>
    </row>
    <row r="313" spans="1:6" x14ac:dyDescent="0.25">
      <c r="A313" s="6" t="str">
        <f t="shared" si="4"/>
        <v>q102_3_apac</v>
      </c>
      <c r="B313" s="6" t="str">
        <f t="shared" si="5"/>
        <v>_apac</v>
      </c>
      <c r="C313" s="6" t="s">
        <v>293</v>
      </c>
      <c r="D313" s="15" t="s">
        <v>1905</v>
      </c>
      <c r="E313" s="6" t="s">
        <v>1974</v>
      </c>
      <c r="F313" s="17" t="s">
        <v>2849</v>
      </c>
    </row>
    <row r="314" spans="1:6" x14ac:dyDescent="0.25">
      <c r="A314" s="6" t="str">
        <f t="shared" si="4"/>
        <v>q102_4_apac</v>
      </c>
      <c r="B314" s="6" t="str">
        <f t="shared" si="5"/>
        <v>_apac</v>
      </c>
      <c r="C314" s="6" t="s">
        <v>294</v>
      </c>
      <c r="D314" s="15" t="s">
        <v>1905</v>
      </c>
      <c r="E314" s="6" t="s">
        <v>1975</v>
      </c>
      <c r="F314" s="17" t="s">
        <v>2850</v>
      </c>
    </row>
    <row r="315" spans="1:6" x14ac:dyDescent="0.25">
      <c r="A315" s="6" t="str">
        <f t="shared" si="4"/>
        <v>q102_5_apac</v>
      </c>
      <c r="B315" s="6" t="str">
        <f t="shared" si="5"/>
        <v>_apac</v>
      </c>
      <c r="C315" s="6" t="s">
        <v>295</v>
      </c>
      <c r="D315" s="15" t="s">
        <v>1905</v>
      </c>
      <c r="E315" s="6" t="s">
        <v>1976</v>
      </c>
      <c r="F315" s="17" t="s">
        <v>2851</v>
      </c>
    </row>
    <row r="316" spans="1:6" x14ac:dyDescent="0.25">
      <c r="A316" s="6" t="str">
        <f t="shared" si="4"/>
        <v>q102_6_apac</v>
      </c>
      <c r="B316" s="6" t="str">
        <f t="shared" si="5"/>
        <v>_apac</v>
      </c>
      <c r="C316" s="6" t="s">
        <v>296</v>
      </c>
      <c r="D316" s="15" t="s">
        <v>1905</v>
      </c>
      <c r="E316" s="6" t="s">
        <v>1977</v>
      </c>
      <c r="F316" s="17" t="s">
        <v>2852</v>
      </c>
    </row>
    <row r="317" spans="1:6" x14ac:dyDescent="0.25">
      <c r="A317" s="6" t="str">
        <f t="shared" si="4"/>
        <v>q10ROW2_hidden_apac</v>
      </c>
      <c r="B317" s="6" t="str">
        <f t="shared" si="5"/>
        <v>_apac</v>
      </c>
      <c r="C317" s="6" t="s">
        <v>297</v>
      </c>
      <c r="D317" s="15" t="s">
        <v>1905</v>
      </c>
      <c r="E317" s="11" t="s">
        <v>1978</v>
      </c>
      <c r="F317" s="17" t="s">
        <v>2853</v>
      </c>
    </row>
    <row r="318" spans="1:6" x14ac:dyDescent="0.25">
      <c r="A318" s="6" t="str">
        <f t="shared" si="4"/>
        <v>q103_1_apac</v>
      </c>
      <c r="B318" s="6" t="str">
        <f t="shared" si="5"/>
        <v>_apac</v>
      </c>
      <c r="C318" s="6" t="s">
        <v>298</v>
      </c>
      <c r="D318" s="15" t="s">
        <v>1905</v>
      </c>
      <c r="E318" s="6" t="s">
        <v>1979</v>
      </c>
      <c r="F318" s="17" t="s">
        <v>2854</v>
      </c>
    </row>
    <row r="319" spans="1:6" x14ac:dyDescent="0.25">
      <c r="A319" s="6" t="str">
        <f t="shared" si="4"/>
        <v>q103_2_apac</v>
      </c>
      <c r="B319" s="6" t="str">
        <f t="shared" si="5"/>
        <v>_apac</v>
      </c>
      <c r="C319" s="6" t="s">
        <v>299</v>
      </c>
      <c r="D319" s="15" t="s">
        <v>1905</v>
      </c>
      <c r="E319" s="6" t="s">
        <v>1980</v>
      </c>
      <c r="F319" s="17" t="s">
        <v>2855</v>
      </c>
    </row>
    <row r="320" spans="1:6" x14ac:dyDescent="0.25">
      <c r="A320" s="6" t="str">
        <f t="shared" si="4"/>
        <v>q103_3_apac</v>
      </c>
      <c r="B320" s="6" t="str">
        <f t="shared" si="5"/>
        <v>_apac</v>
      </c>
      <c r="C320" s="6" t="s">
        <v>300</v>
      </c>
      <c r="D320" s="15" t="s">
        <v>1905</v>
      </c>
      <c r="E320" s="6" t="s">
        <v>1981</v>
      </c>
      <c r="F320" s="17" t="s">
        <v>2856</v>
      </c>
    </row>
    <row r="321" spans="1:6" x14ac:dyDescent="0.25">
      <c r="A321" s="6" t="str">
        <f t="shared" si="4"/>
        <v>q103_4_apac</v>
      </c>
      <c r="B321" s="6" t="str">
        <f t="shared" si="5"/>
        <v>_apac</v>
      </c>
      <c r="C321" s="6" t="s">
        <v>301</v>
      </c>
      <c r="D321" s="15" t="s">
        <v>1905</v>
      </c>
      <c r="E321" s="6" t="s">
        <v>1982</v>
      </c>
      <c r="F321" s="17" t="s">
        <v>2857</v>
      </c>
    </row>
    <row r="322" spans="1:6" x14ac:dyDescent="0.25">
      <c r="A322" s="6" t="str">
        <f t="shared" si="4"/>
        <v>q103_5_apac</v>
      </c>
      <c r="B322" s="6" t="str">
        <f t="shared" si="5"/>
        <v>_apac</v>
      </c>
      <c r="C322" s="6" t="s">
        <v>302</v>
      </c>
      <c r="D322" s="15" t="s">
        <v>1905</v>
      </c>
      <c r="E322" s="6" t="s">
        <v>1983</v>
      </c>
      <c r="F322" s="17" t="s">
        <v>2858</v>
      </c>
    </row>
    <row r="323" spans="1:6" x14ac:dyDescent="0.25">
      <c r="A323" s="6" t="str">
        <f t="shared" ref="A323:A386" si="6">_xlfn.CONCAT(C323,B323)</f>
        <v>q103_6_apac</v>
      </c>
      <c r="B323" s="6" t="str">
        <f t="shared" si="5"/>
        <v>_apac</v>
      </c>
      <c r="C323" s="6" t="s">
        <v>303</v>
      </c>
      <c r="D323" s="15" t="s">
        <v>1905</v>
      </c>
      <c r="E323" s="6" t="s">
        <v>1984</v>
      </c>
      <c r="F323" s="17" t="s">
        <v>2859</v>
      </c>
    </row>
    <row r="324" spans="1:6" x14ac:dyDescent="0.25">
      <c r="A324" s="6" t="str">
        <f t="shared" si="6"/>
        <v>q10ROW3_hidden_apac</v>
      </c>
      <c r="B324" s="6" t="str">
        <f t="shared" si="5"/>
        <v>_apac</v>
      </c>
      <c r="C324" s="6" t="s">
        <v>304</v>
      </c>
      <c r="D324" s="15" t="s">
        <v>1905</v>
      </c>
      <c r="E324" s="11" t="s">
        <v>1985</v>
      </c>
      <c r="F324" s="17" t="s">
        <v>2860</v>
      </c>
    </row>
    <row r="325" spans="1:6" x14ac:dyDescent="0.25">
      <c r="A325" s="6" t="str">
        <f t="shared" si="6"/>
        <v>q104_1_apac</v>
      </c>
      <c r="B325" s="6" t="str">
        <f t="shared" si="5"/>
        <v>_apac</v>
      </c>
      <c r="C325" s="6" t="s">
        <v>305</v>
      </c>
      <c r="D325" s="15" t="s">
        <v>1905</v>
      </c>
      <c r="E325" s="6" t="s">
        <v>1986</v>
      </c>
      <c r="F325" s="17" t="s">
        <v>2861</v>
      </c>
    </row>
    <row r="326" spans="1:6" x14ac:dyDescent="0.25">
      <c r="A326" s="6" t="str">
        <f t="shared" si="6"/>
        <v>q104_2_apac</v>
      </c>
      <c r="B326" s="6" t="str">
        <f t="shared" si="5"/>
        <v>_apac</v>
      </c>
      <c r="C326" s="6" t="s">
        <v>306</v>
      </c>
      <c r="D326" s="15" t="s">
        <v>1905</v>
      </c>
      <c r="E326" s="6" t="s">
        <v>1987</v>
      </c>
      <c r="F326" s="17" t="s">
        <v>2862</v>
      </c>
    </row>
    <row r="327" spans="1:6" x14ac:dyDescent="0.25">
      <c r="A327" s="6" t="str">
        <f t="shared" si="6"/>
        <v>q104_3_apac</v>
      </c>
      <c r="B327" s="6" t="str">
        <f t="shared" si="5"/>
        <v>_apac</v>
      </c>
      <c r="C327" s="6" t="s">
        <v>307</v>
      </c>
      <c r="D327" s="15" t="s">
        <v>1905</v>
      </c>
      <c r="E327" s="6" t="s">
        <v>1988</v>
      </c>
      <c r="F327" s="17" t="s">
        <v>2863</v>
      </c>
    </row>
    <row r="328" spans="1:6" x14ac:dyDescent="0.25">
      <c r="A328" s="6" t="str">
        <f t="shared" si="6"/>
        <v>q104_4_apac</v>
      </c>
      <c r="B328" s="6" t="str">
        <f t="shared" si="5"/>
        <v>_apac</v>
      </c>
      <c r="C328" s="6" t="s">
        <v>308</v>
      </c>
      <c r="D328" s="15" t="s">
        <v>1905</v>
      </c>
      <c r="E328" s="6" t="s">
        <v>1989</v>
      </c>
      <c r="F328" s="17" t="s">
        <v>2864</v>
      </c>
    </row>
    <row r="329" spans="1:6" x14ac:dyDescent="0.25">
      <c r="A329" s="6" t="str">
        <f t="shared" si="6"/>
        <v>q104_5_apac</v>
      </c>
      <c r="B329" s="6" t="str">
        <f t="shared" si="5"/>
        <v>_apac</v>
      </c>
      <c r="C329" s="6" t="s">
        <v>309</v>
      </c>
      <c r="D329" s="15" t="s">
        <v>1905</v>
      </c>
      <c r="E329" s="6" t="s">
        <v>1990</v>
      </c>
      <c r="F329" s="17" t="s">
        <v>2865</v>
      </c>
    </row>
    <row r="330" spans="1:6" x14ac:dyDescent="0.25">
      <c r="A330" s="6" t="str">
        <f t="shared" si="6"/>
        <v>q104_6_apac</v>
      </c>
      <c r="B330" s="6" t="str">
        <f t="shared" si="5"/>
        <v>_apac</v>
      </c>
      <c r="C330" s="6" t="s">
        <v>310</v>
      </c>
      <c r="D330" s="15" t="s">
        <v>1905</v>
      </c>
      <c r="E330" s="6" t="s">
        <v>1991</v>
      </c>
      <c r="F330" s="17" t="s">
        <v>2866</v>
      </c>
    </row>
    <row r="331" spans="1:6" x14ac:dyDescent="0.25">
      <c r="A331" s="6" t="str">
        <f t="shared" si="6"/>
        <v>q10ROW4_hidden_apac</v>
      </c>
      <c r="B331" s="6" t="str">
        <f t="shared" si="5"/>
        <v>_apac</v>
      </c>
      <c r="C331" s="6" t="s">
        <v>311</v>
      </c>
      <c r="D331" s="15" t="s">
        <v>1905</v>
      </c>
      <c r="E331" s="11" t="s">
        <v>1992</v>
      </c>
      <c r="F331" s="17" t="s">
        <v>2867</v>
      </c>
    </row>
    <row r="332" spans="1:6" x14ac:dyDescent="0.25">
      <c r="A332" s="6" t="str">
        <f t="shared" si="6"/>
        <v>q105_1_apac</v>
      </c>
      <c r="B332" s="6" t="str">
        <f t="shared" si="5"/>
        <v>_apac</v>
      </c>
      <c r="C332" s="6" t="s">
        <v>312</v>
      </c>
      <c r="D332" s="15" t="s">
        <v>1905</v>
      </c>
      <c r="E332" s="6" t="s">
        <v>1993</v>
      </c>
      <c r="F332" s="17" t="s">
        <v>2868</v>
      </c>
    </row>
    <row r="333" spans="1:6" x14ac:dyDescent="0.25">
      <c r="A333" s="6" t="str">
        <f t="shared" si="6"/>
        <v>q105_2_apac</v>
      </c>
      <c r="B333" s="6" t="str">
        <f t="shared" si="5"/>
        <v>_apac</v>
      </c>
      <c r="C333" s="6" t="s">
        <v>313</v>
      </c>
      <c r="D333" s="15" t="s">
        <v>1905</v>
      </c>
      <c r="E333" s="6" t="s">
        <v>1994</v>
      </c>
      <c r="F333" s="17" t="s">
        <v>2869</v>
      </c>
    </row>
    <row r="334" spans="1:6" x14ac:dyDescent="0.25">
      <c r="A334" s="6" t="str">
        <f t="shared" si="6"/>
        <v>q105_3_apac</v>
      </c>
      <c r="B334" s="6" t="str">
        <f t="shared" si="5"/>
        <v>_apac</v>
      </c>
      <c r="C334" s="6" t="s">
        <v>314</v>
      </c>
      <c r="D334" s="15" t="s">
        <v>1905</v>
      </c>
      <c r="E334" s="6" t="s">
        <v>1995</v>
      </c>
      <c r="F334" s="17" t="s">
        <v>2870</v>
      </c>
    </row>
    <row r="335" spans="1:6" x14ac:dyDescent="0.25">
      <c r="A335" s="6" t="str">
        <f t="shared" si="6"/>
        <v>q105_4_apac</v>
      </c>
      <c r="B335" s="6" t="str">
        <f t="shared" si="5"/>
        <v>_apac</v>
      </c>
      <c r="C335" s="6" t="s">
        <v>315</v>
      </c>
      <c r="D335" s="15" t="s">
        <v>1905</v>
      </c>
      <c r="E335" s="6" t="s">
        <v>1996</v>
      </c>
      <c r="F335" s="17" t="s">
        <v>2871</v>
      </c>
    </row>
    <row r="336" spans="1:6" x14ac:dyDescent="0.25">
      <c r="A336" s="6" t="str">
        <f t="shared" si="6"/>
        <v>q105_5_apac</v>
      </c>
      <c r="B336" s="6" t="str">
        <f t="shared" ref="B336:B367" si="7">B335</f>
        <v>_apac</v>
      </c>
      <c r="C336" s="6" t="s">
        <v>316</v>
      </c>
      <c r="D336" s="15" t="s">
        <v>1905</v>
      </c>
      <c r="E336" s="6" t="s">
        <v>1997</v>
      </c>
      <c r="F336" s="17" t="s">
        <v>2872</v>
      </c>
    </row>
    <row r="337" spans="1:6" x14ac:dyDescent="0.25">
      <c r="A337" s="6" t="str">
        <f t="shared" si="6"/>
        <v>q105_6_apac</v>
      </c>
      <c r="B337" s="6" t="str">
        <f t="shared" si="7"/>
        <v>_apac</v>
      </c>
      <c r="C337" s="6" t="s">
        <v>317</v>
      </c>
      <c r="D337" s="15" t="s">
        <v>1905</v>
      </c>
      <c r="E337" s="6" t="s">
        <v>1998</v>
      </c>
      <c r="F337" s="17" t="s">
        <v>2873</v>
      </c>
    </row>
    <row r="338" spans="1:6" x14ac:dyDescent="0.25">
      <c r="A338" s="6" t="str">
        <f t="shared" si="6"/>
        <v>q10ROW5_hidden_apac</v>
      </c>
      <c r="B338" s="6" t="str">
        <f t="shared" si="7"/>
        <v>_apac</v>
      </c>
      <c r="C338" s="6" t="s">
        <v>318</v>
      </c>
      <c r="D338" s="15" t="s">
        <v>1905</v>
      </c>
      <c r="E338" s="11" t="s">
        <v>1999</v>
      </c>
      <c r="F338" s="17" t="s">
        <v>2874</v>
      </c>
    </row>
    <row r="339" spans="1:6" x14ac:dyDescent="0.25">
      <c r="A339" s="6" t="str">
        <f t="shared" si="6"/>
        <v>q106_1_apac</v>
      </c>
      <c r="B339" s="6" t="str">
        <f t="shared" si="7"/>
        <v>_apac</v>
      </c>
      <c r="C339" s="6" t="s">
        <v>319</v>
      </c>
      <c r="D339" s="15" t="s">
        <v>1905</v>
      </c>
      <c r="E339" s="6" t="s">
        <v>2000</v>
      </c>
      <c r="F339" s="17" t="s">
        <v>2875</v>
      </c>
    </row>
    <row r="340" spans="1:6" x14ac:dyDescent="0.25">
      <c r="A340" s="6" t="str">
        <f t="shared" si="6"/>
        <v>q106_2_apac</v>
      </c>
      <c r="B340" s="6" t="str">
        <f t="shared" si="7"/>
        <v>_apac</v>
      </c>
      <c r="C340" s="6" t="s">
        <v>320</v>
      </c>
      <c r="D340" s="15" t="s">
        <v>1905</v>
      </c>
      <c r="E340" s="6" t="s">
        <v>2001</v>
      </c>
      <c r="F340" s="17" t="s">
        <v>2876</v>
      </c>
    </row>
    <row r="341" spans="1:6" x14ac:dyDescent="0.25">
      <c r="A341" s="6" t="str">
        <f t="shared" si="6"/>
        <v>q106_3_apac</v>
      </c>
      <c r="B341" s="6" t="str">
        <f t="shared" si="7"/>
        <v>_apac</v>
      </c>
      <c r="C341" s="6" t="s">
        <v>321</v>
      </c>
      <c r="D341" s="15" t="s">
        <v>1905</v>
      </c>
      <c r="E341" s="6" t="s">
        <v>2002</v>
      </c>
      <c r="F341" s="17" t="s">
        <v>2877</v>
      </c>
    </row>
    <row r="342" spans="1:6" x14ac:dyDescent="0.25">
      <c r="A342" s="6" t="str">
        <f t="shared" si="6"/>
        <v>q106_4_apac</v>
      </c>
      <c r="B342" s="6" t="str">
        <f t="shared" si="7"/>
        <v>_apac</v>
      </c>
      <c r="C342" s="6" t="s">
        <v>322</v>
      </c>
      <c r="D342" s="15" t="s">
        <v>1905</v>
      </c>
      <c r="E342" s="6" t="s">
        <v>2003</v>
      </c>
      <c r="F342" s="17" t="s">
        <v>2878</v>
      </c>
    </row>
    <row r="343" spans="1:6" x14ac:dyDescent="0.25">
      <c r="A343" s="6" t="str">
        <f t="shared" si="6"/>
        <v>q106_5_apac</v>
      </c>
      <c r="B343" s="6" t="str">
        <f t="shared" si="7"/>
        <v>_apac</v>
      </c>
      <c r="C343" s="6" t="s">
        <v>323</v>
      </c>
      <c r="D343" s="15" t="s">
        <v>1905</v>
      </c>
      <c r="E343" s="6" t="s">
        <v>2004</v>
      </c>
      <c r="F343" s="17" t="s">
        <v>2879</v>
      </c>
    </row>
    <row r="344" spans="1:6" x14ac:dyDescent="0.25">
      <c r="A344" s="6" t="str">
        <f t="shared" si="6"/>
        <v>q106_6_apac</v>
      </c>
      <c r="B344" s="6" t="str">
        <f t="shared" si="7"/>
        <v>_apac</v>
      </c>
      <c r="C344" s="6" t="s">
        <v>324</v>
      </c>
      <c r="D344" s="15" t="s">
        <v>1905</v>
      </c>
      <c r="E344" s="6" t="s">
        <v>2005</v>
      </c>
      <c r="F344" s="17" t="s">
        <v>2880</v>
      </c>
    </row>
    <row r="345" spans="1:6" x14ac:dyDescent="0.25">
      <c r="A345" s="6" t="str">
        <f t="shared" si="6"/>
        <v>q10ROW6_hidden_apac</v>
      </c>
      <c r="B345" s="6" t="str">
        <f t="shared" si="7"/>
        <v>_apac</v>
      </c>
      <c r="C345" s="6" t="s">
        <v>325</v>
      </c>
      <c r="D345" s="15" t="s">
        <v>1905</v>
      </c>
      <c r="E345" s="11" t="s">
        <v>1957</v>
      </c>
      <c r="F345" s="17" t="s">
        <v>2881</v>
      </c>
    </row>
    <row r="346" spans="1:6" x14ac:dyDescent="0.25">
      <c r="A346" s="6" t="str">
        <f t="shared" si="6"/>
        <v>q107_1_apac</v>
      </c>
      <c r="B346" s="6" t="str">
        <f t="shared" si="7"/>
        <v>_apac</v>
      </c>
      <c r="C346" s="6" t="s">
        <v>326</v>
      </c>
      <c r="D346" s="15" t="s">
        <v>1905</v>
      </c>
      <c r="E346" s="6" t="s">
        <v>2006</v>
      </c>
      <c r="F346" s="17" t="s">
        <v>2882</v>
      </c>
    </row>
    <row r="347" spans="1:6" x14ac:dyDescent="0.25">
      <c r="A347" s="6" t="str">
        <f t="shared" si="6"/>
        <v>q107_2_apac</v>
      </c>
      <c r="B347" s="6" t="str">
        <f t="shared" si="7"/>
        <v>_apac</v>
      </c>
      <c r="C347" s="6" t="s">
        <v>327</v>
      </c>
      <c r="D347" s="15" t="s">
        <v>1905</v>
      </c>
      <c r="E347" s="6" t="s">
        <v>2007</v>
      </c>
      <c r="F347" s="17" t="s">
        <v>2883</v>
      </c>
    </row>
    <row r="348" spans="1:6" x14ac:dyDescent="0.25">
      <c r="A348" s="6" t="str">
        <f t="shared" si="6"/>
        <v>q107_3_apac</v>
      </c>
      <c r="B348" s="6" t="str">
        <f t="shared" si="7"/>
        <v>_apac</v>
      </c>
      <c r="C348" s="6" t="s">
        <v>328</v>
      </c>
      <c r="D348" s="15" t="s">
        <v>1905</v>
      </c>
      <c r="E348" s="6" t="s">
        <v>2008</v>
      </c>
      <c r="F348" s="17" t="s">
        <v>2884</v>
      </c>
    </row>
    <row r="349" spans="1:6" x14ac:dyDescent="0.25">
      <c r="A349" s="6" t="str">
        <f t="shared" si="6"/>
        <v>q107_4_apac</v>
      </c>
      <c r="B349" s="6" t="str">
        <f t="shared" si="7"/>
        <v>_apac</v>
      </c>
      <c r="C349" s="6" t="s">
        <v>329</v>
      </c>
      <c r="D349" s="15" t="s">
        <v>1905</v>
      </c>
      <c r="E349" s="6" t="s">
        <v>2009</v>
      </c>
      <c r="F349" s="17" t="s">
        <v>2885</v>
      </c>
    </row>
    <row r="350" spans="1:6" x14ac:dyDescent="0.25">
      <c r="A350" s="6" t="str">
        <f t="shared" si="6"/>
        <v>q107_5_apac</v>
      </c>
      <c r="B350" s="6" t="str">
        <f t="shared" si="7"/>
        <v>_apac</v>
      </c>
      <c r="C350" s="6" t="s">
        <v>330</v>
      </c>
      <c r="D350" s="15" t="s">
        <v>1905</v>
      </c>
      <c r="E350" s="6" t="s">
        <v>2010</v>
      </c>
      <c r="F350" s="17" t="s">
        <v>2886</v>
      </c>
    </row>
    <row r="351" spans="1:6" x14ac:dyDescent="0.25">
      <c r="A351" s="6" t="str">
        <f t="shared" si="6"/>
        <v>q107_6_apac</v>
      </c>
      <c r="B351" s="6" t="str">
        <f t="shared" si="7"/>
        <v>_apac</v>
      </c>
      <c r="C351" s="6" t="s">
        <v>331</v>
      </c>
      <c r="D351" s="15" t="s">
        <v>1905</v>
      </c>
      <c r="E351" s="6" t="s">
        <v>2011</v>
      </c>
      <c r="F351" s="17" t="s">
        <v>2887</v>
      </c>
    </row>
    <row r="352" spans="1:6" x14ac:dyDescent="0.25">
      <c r="A352" s="6" t="str">
        <f t="shared" si="6"/>
        <v>q10ROW7_hidden_apac</v>
      </c>
      <c r="B352" s="6" t="str">
        <f t="shared" si="7"/>
        <v>_apac</v>
      </c>
      <c r="C352" s="6" t="s">
        <v>332</v>
      </c>
      <c r="D352" s="15" t="s">
        <v>1905</v>
      </c>
      <c r="E352" s="11" t="s">
        <v>2012</v>
      </c>
      <c r="F352" s="17" t="s">
        <v>2888</v>
      </c>
    </row>
    <row r="353" spans="1:6" x14ac:dyDescent="0.25">
      <c r="A353" s="6" t="str">
        <f t="shared" si="6"/>
        <v>q10other_apac</v>
      </c>
      <c r="B353" s="6" t="str">
        <f t="shared" si="7"/>
        <v>_apac</v>
      </c>
      <c r="C353" s="6" t="s">
        <v>333</v>
      </c>
      <c r="D353" s="15" t="s">
        <v>1905</v>
      </c>
      <c r="E353" s="6" t="s">
        <v>2013</v>
      </c>
      <c r="F353" s="17" t="s">
        <v>2889</v>
      </c>
    </row>
    <row r="354" spans="1:6" x14ac:dyDescent="0.25">
      <c r="A354" s="6" t="str">
        <f t="shared" si="6"/>
        <v>q108_1_apac</v>
      </c>
      <c r="B354" s="6" t="str">
        <f t="shared" si="7"/>
        <v>_apac</v>
      </c>
      <c r="C354" s="6" t="s">
        <v>334</v>
      </c>
      <c r="D354" s="15" t="s">
        <v>1905</v>
      </c>
      <c r="E354" s="6" t="s">
        <v>2014</v>
      </c>
      <c r="F354" s="17" t="s">
        <v>2890</v>
      </c>
    </row>
    <row r="355" spans="1:6" x14ac:dyDescent="0.25">
      <c r="A355" s="6" t="str">
        <f t="shared" si="6"/>
        <v>q108_2_apac</v>
      </c>
      <c r="B355" s="6" t="str">
        <f t="shared" si="7"/>
        <v>_apac</v>
      </c>
      <c r="C355" s="6" t="s">
        <v>335</v>
      </c>
      <c r="D355" s="15" t="s">
        <v>1905</v>
      </c>
      <c r="E355" s="6" t="s">
        <v>2015</v>
      </c>
      <c r="F355" s="17" t="s">
        <v>2891</v>
      </c>
    </row>
    <row r="356" spans="1:6" x14ac:dyDescent="0.25">
      <c r="A356" s="6" t="str">
        <f t="shared" si="6"/>
        <v>q108_3_apac</v>
      </c>
      <c r="B356" s="6" t="str">
        <f t="shared" si="7"/>
        <v>_apac</v>
      </c>
      <c r="C356" s="6" t="s">
        <v>336</v>
      </c>
      <c r="D356" s="15" t="s">
        <v>1905</v>
      </c>
      <c r="E356" s="6" t="s">
        <v>2016</v>
      </c>
      <c r="F356" s="17" t="s">
        <v>2892</v>
      </c>
    </row>
    <row r="357" spans="1:6" x14ac:dyDescent="0.25">
      <c r="A357" s="6" t="str">
        <f t="shared" si="6"/>
        <v>q108_4_apac</v>
      </c>
      <c r="B357" s="6" t="str">
        <f t="shared" si="7"/>
        <v>_apac</v>
      </c>
      <c r="C357" s="6" t="s">
        <v>337</v>
      </c>
      <c r="D357" s="15" t="s">
        <v>1905</v>
      </c>
      <c r="E357" s="6" t="s">
        <v>2017</v>
      </c>
      <c r="F357" s="17" t="s">
        <v>2893</v>
      </c>
    </row>
    <row r="358" spans="1:6" x14ac:dyDescent="0.25">
      <c r="A358" s="6" t="str">
        <f t="shared" si="6"/>
        <v>q108_5_apac</v>
      </c>
      <c r="B358" s="6" t="str">
        <f t="shared" si="7"/>
        <v>_apac</v>
      </c>
      <c r="C358" s="6" t="s">
        <v>338</v>
      </c>
      <c r="D358" s="15" t="s">
        <v>1905</v>
      </c>
      <c r="E358" s="6" t="s">
        <v>2018</v>
      </c>
      <c r="F358" s="17" t="s">
        <v>2894</v>
      </c>
    </row>
    <row r="359" spans="1:6" x14ac:dyDescent="0.25">
      <c r="A359" s="6" t="str">
        <f t="shared" si="6"/>
        <v>q108_6_apac</v>
      </c>
      <c r="B359" s="6" t="str">
        <f t="shared" si="7"/>
        <v>_apac</v>
      </c>
      <c r="C359" s="6" t="s">
        <v>339</v>
      </c>
      <c r="D359" s="15" t="s">
        <v>1905</v>
      </c>
      <c r="E359" s="6" t="s">
        <v>2019</v>
      </c>
      <c r="F359" s="17" t="s">
        <v>2895</v>
      </c>
    </row>
    <row r="360" spans="1:6" x14ac:dyDescent="0.25">
      <c r="A360" s="6" t="str">
        <f t="shared" si="6"/>
        <v>q10ROW8_hidden_apac</v>
      </c>
      <c r="B360" s="6" t="str">
        <f t="shared" si="7"/>
        <v>_apac</v>
      </c>
      <c r="C360" s="6" t="s">
        <v>340</v>
      </c>
      <c r="D360" s="15" t="s">
        <v>1905</v>
      </c>
      <c r="E360" s="11" t="s">
        <v>2020</v>
      </c>
      <c r="F360" s="17" t="s">
        <v>2896</v>
      </c>
    </row>
    <row r="361" spans="1:6" x14ac:dyDescent="0.25">
      <c r="A361" s="6" t="str">
        <f t="shared" si="6"/>
        <v>q10COL1_hidden_apac</v>
      </c>
      <c r="B361" s="6" t="str">
        <f t="shared" si="7"/>
        <v>_apac</v>
      </c>
      <c r="C361" s="6" t="s">
        <v>341</v>
      </c>
      <c r="D361" s="15" t="s">
        <v>1905</v>
      </c>
      <c r="E361" s="11" t="s">
        <v>1953</v>
      </c>
      <c r="F361" s="17" t="s">
        <v>2897</v>
      </c>
    </row>
    <row r="362" spans="1:6" x14ac:dyDescent="0.25">
      <c r="A362" s="6" t="str">
        <f t="shared" si="6"/>
        <v>q10COL2_hidden_apac</v>
      </c>
      <c r="B362" s="6" t="str">
        <f t="shared" si="7"/>
        <v>_apac</v>
      </c>
      <c r="C362" s="6" t="s">
        <v>342</v>
      </c>
      <c r="D362" s="15" t="s">
        <v>1905</v>
      </c>
      <c r="E362" s="11" t="s">
        <v>1954</v>
      </c>
      <c r="F362" s="17" t="s">
        <v>2898</v>
      </c>
    </row>
    <row r="363" spans="1:6" x14ac:dyDescent="0.25">
      <c r="A363" s="6" t="str">
        <f t="shared" si="6"/>
        <v>q10COL3_hidden_apac</v>
      </c>
      <c r="B363" s="6" t="str">
        <f t="shared" si="7"/>
        <v>_apac</v>
      </c>
      <c r="C363" s="6" t="s">
        <v>343</v>
      </c>
      <c r="D363" s="15" t="s">
        <v>1905</v>
      </c>
      <c r="E363" s="11" t="s">
        <v>1955</v>
      </c>
      <c r="F363" s="17" t="s">
        <v>2899</v>
      </c>
    </row>
    <row r="364" spans="1:6" x14ac:dyDescent="0.25">
      <c r="A364" s="6" t="str">
        <f t="shared" si="6"/>
        <v>q10COL4_hidden_apac</v>
      </c>
      <c r="B364" s="6" t="str">
        <f t="shared" si="7"/>
        <v>_apac</v>
      </c>
      <c r="C364" s="6" t="s">
        <v>344</v>
      </c>
      <c r="D364" s="15" t="s">
        <v>1905</v>
      </c>
      <c r="E364" s="11" t="s">
        <v>1956</v>
      </c>
      <c r="F364" s="17" t="s">
        <v>2900</v>
      </c>
    </row>
    <row r="365" spans="1:6" x14ac:dyDescent="0.25">
      <c r="A365" s="6" t="str">
        <f t="shared" si="6"/>
        <v>q10COL5_hidden_apac</v>
      </c>
      <c r="B365" s="6" t="str">
        <f t="shared" si="7"/>
        <v>_apac</v>
      </c>
      <c r="C365" s="6" t="s">
        <v>345</v>
      </c>
      <c r="D365" s="15" t="s">
        <v>1905</v>
      </c>
      <c r="E365" s="11" t="s">
        <v>1957</v>
      </c>
      <c r="F365" s="17" t="s">
        <v>2901</v>
      </c>
    </row>
    <row r="366" spans="1:6" x14ac:dyDescent="0.25">
      <c r="A366" s="6" t="str">
        <f t="shared" si="6"/>
        <v>q10COL6_hidden_apac</v>
      </c>
      <c r="B366" s="6" t="str">
        <f t="shared" si="7"/>
        <v>_apac</v>
      </c>
      <c r="C366" s="6" t="s">
        <v>346</v>
      </c>
      <c r="D366" s="15" t="s">
        <v>1905</v>
      </c>
      <c r="E366" s="11" t="s">
        <v>1958</v>
      </c>
      <c r="F366" s="17" t="s">
        <v>2902</v>
      </c>
    </row>
    <row r="367" spans="1:6" x14ac:dyDescent="0.25">
      <c r="A367" s="6" t="str">
        <f t="shared" si="6"/>
        <v>q10GRANDTotal_hidden_apac</v>
      </c>
      <c r="B367" s="6" t="str">
        <f t="shared" si="7"/>
        <v>_apac</v>
      </c>
      <c r="C367" s="6" t="s">
        <v>347</v>
      </c>
      <c r="D367" s="15" t="s">
        <v>1905</v>
      </c>
      <c r="E367" s="11" t="s">
        <v>2069</v>
      </c>
      <c r="F367" s="17" t="s">
        <v>2903</v>
      </c>
    </row>
    <row r="368" spans="1:6" x14ac:dyDescent="0.25">
      <c r="A368" s="6" t="str">
        <f t="shared" si="6"/>
        <v>_apac</v>
      </c>
      <c r="B368" s="6" t="str">
        <f t="shared" ref="B368:B399" si="8">B367</f>
        <v>_apac</v>
      </c>
      <c r="C368" s="9"/>
      <c r="D368" s="9"/>
      <c r="E368" s="12" t="s">
        <v>2070</v>
      </c>
      <c r="F368" s="6">
        <f>VLOOKUP(E368,'[3]Full Data-Map'!$C:$D,2,FALSE)</f>
        <v>15</v>
      </c>
    </row>
    <row r="369" spans="1:6" x14ac:dyDescent="0.25">
      <c r="A369" s="6" t="str">
        <f t="shared" si="6"/>
        <v>q111_1_apac</v>
      </c>
      <c r="B369" s="6" t="str">
        <f t="shared" si="8"/>
        <v>_apac</v>
      </c>
      <c r="C369" s="6" t="s">
        <v>348</v>
      </c>
      <c r="D369" s="15" t="s">
        <v>1905</v>
      </c>
      <c r="E369" s="6" t="s">
        <v>2030</v>
      </c>
      <c r="F369" s="17" t="s">
        <v>2904</v>
      </c>
    </row>
    <row r="370" spans="1:6" x14ac:dyDescent="0.25">
      <c r="A370" s="6" t="str">
        <f t="shared" si="6"/>
        <v>q111_2_apac</v>
      </c>
      <c r="B370" s="6" t="str">
        <f t="shared" si="8"/>
        <v>_apac</v>
      </c>
      <c r="C370" s="6" t="s">
        <v>349</v>
      </c>
      <c r="D370" s="15" t="s">
        <v>1905</v>
      </c>
      <c r="E370" s="6" t="s">
        <v>2031</v>
      </c>
      <c r="F370" s="17" t="s">
        <v>2905</v>
      </c>
    </row>
    <row r="371" spans="1:6" x14ac:dyDescent="0.25">
      <c r="A371" s="6" t="str">
        <f t="shared" si="6"/>
        <v>q111_3_apac</v>
      </c>
      <c r="B371" s="6" t="str">
        <f t="shared" si="8"/>
        <v>_apac</v>
      </c>
      <c r="C371" s="6" t="s">
        <v>350</v>
      </c>
      <c r="D371" s="15" t="s">
        <v>1905</v>
      </c>
      <c r="E371" s="6" t="s">
        <v>2032</v>
      </c>
      <c r="F371" s="17" t="s">
        <v>2906</v>
      </c>
    </row>
    <row r="372" spans="1:6" x14ac:dyDescent="0.25">
      <c r="A372" s="6" t="str">
        <f t="shared" si="6"/>
        <v>q111_4_apac</v>
      </c>
      <c r="B372" s="6" t="str">
        <f t="shared" si="8"/>
        <v>_apac</v>
      </c>
      <c r="C372" s="6" t="s">
        <v>351</v>
      </c>
      <c r="D372" s="15" t="s">
        <v>1905</v>
      </c>
      <c r="E372" s="6" t="s">
        <v>2033</v>
      </c>
      <c r="F372" s="17" t="s">
        <v>2907</v>
      </c>
    </row>
    <row r="373" spans="1:6" x14ac:dyDescent="0.25">
      <c r="A373" s="6" t="str">
        <f t="shared" si="6"/>
        <v>q111_5_apac</v>
      </c>
      <c r="B373" s="6" t="str">
        <f t="shared" si="8"/>
        <v>_apac</v>
      </c>
      <c r="C373" s="6" t="s">
        <v>352</v>
      </c>
      <c r="D373" s="15" t="s">
        <v>1905</v>
      </c>
      <c r="E373" s="6" t="s">
        <v>2034</v>
      </c>
      <c r="F373" s="17" t="s">
        <v>2908</v>
      </c>
    </row>
    <row r="374" spans="1:6" x14ac:dyDescent="0.25">
      <c r="A374" s="6" t="str">
        <f t="shared" si="6"/>
        <v>q111_6_apac</v>
      </c>
      <c r="B374" s="6" t="str">
        <f t="shared" si="8"/>
        <v>_apac</v>
      </c>
      <c r="C374" s="6" t="s">
        <v>353</v>
      </c>
      <c r="D374" s="15" t="s">
        <v>1905</v>
      </c>
      <c r="E374" s="6" t="s">
        <v>2035</v>
      </c>
      <c r="F374" s="17" t="s">
        <v>2909</v>
      </c>
    </row>
    <row r="375" spans="1:6" x14ac:dyDescent="0.25">
      <c r="A375" s="6" t="str">
        <f t="shared" si="6"/>
        <v>q11ROW1_hidden_apac</v>
      </c>
      <c r="B375" s="6" t="str">
        <f t="shared" si="8"/>
        <v>_apac</v>
      </c>
      <c r="C375" s="6" t="s">
        <v>354</v>
      </c>
      <c r="D375" s="15" t="s">
        <v>1905</v>
      </c>
      <c r="E375" s="11" t="s">
        <v>2071</v>
      </c>
      <c r="F375" s="17" t="s">
        <v>2910</v>
      </c>
    </row>
    <row r="376" spans="1:6" x14ac:dyDescent="0.25">
      <c r="A376" s="6" t="str">
        <f t="shared" si="6"/>
        <v>q112_1_apac</v>
      </c>
      <c r="B376" s="6" t="str">
        <f t="shared" si="8"/>
        <v>_apac</v>
      </c>
      <c r="C376" s="6" t="s">
        <v>355</v>
      </c>
      <c r="D376" s="15" t="s">
        <v>1905</v>
      </c>
      <c r="E376" s="6" t="s">
        <v>2023</v>
      </c>
      <c r="F376" s="17" t="s">
        <v>2911</v>
      </c>
    </row>
    <row r="377" spans="1:6" x14ac:dyDescent="0.25">
      <c r="A377" s="6" t="str">
        <f t="shared" si="6"/>
        <v>q112_2_apac</v>
      </c>
      <c r="B377" s="6" t="str">
        <f t="shared" si="8"/>
        <v>_apac</v>
      </c>
      <c r="C377" s="6" t="s">
        <v>356</v>
      </c>
      <c r="D377" s="15" t="s">
        <v>1905</v>
      </c>
      <c r="E377" s="6" t="s">
        <v>2024</v>
      </c>
      <c r="F377" s="17" t="s">
        <v>2912</v>
      </c>
    </row>
    <row r="378" spans="1:6" x14ac:dyDescent="0.25">
      <c r="A378" s="6" t="str">
        <f t="shared" si="6"/>
        <v>q112_3_apac</v>
      </c>
      <c r="B378" s="6" t="str">
        <f t="shared" si="8"/>
        <v>_apac</v>
      </c>
      <c r="C378" s="6" t="s">
        <v>357</v>
      </c>
      <c r="D378" s="15" t="s">
        <v>1905</v>
      </c>
      <c r="E378" s="6" t="s">
        <v>2025</v>
      </c>
      <c r="F378" s="17" t="s">
        <v>2913</v>
      </c>
    </row>
    <row r="379" spans="1:6" x14ac:dyDescent="0.25">
      <c r="A379" s="6" t="str">
        <f t="shared" si="6"/>
        <v>q112_4_apac</v>
      </c>
      <c r="B379" s="6" t="str">
        <f t="shared" si="8"/>
        <v>_apac</v>
      </c>
      <c r="C379" s="6" t="s">
        <v>358</v>
      </c>
      <c r="D379" s="15" t="s">
        <v>1905</v>
      </c>
      <c r="E379" s="6" t="s">
        <v>2026</v>
      </c>
      <c r="F379" s="17" t="s">
        <v>2914</v>
      </c>
    </row>
    <row r="380" spans="1:6" x14ac:dyDescent="0.25">
      <c r="A380" s="6" t="str">
        <f t="shared" si="6"/>
        <v>q112_5_apac</v>
      </c>
      <c r="B380" s="6" t="str">
        <f t="shared" si="8"/>
        <v>_apac</v>
      </c>
      <c r="C380" s="6" t="s">
        <v>359</v>
      </c>
      <c r="D380" s="15" t="s">
        <v>1905</v>
      </c>
      <c r="E380" s="6" t="s">
        <v>2027</v>
      </c>
      <c r="F380" s="17" t="s">
        <v>2915</v>
      </c>
    </row>
    <row r="381" spans="1:6" x14ac:dyDescent="0.25">
      <c r="A381" s="6" t="str">
        <f t="shared" si="6"/>
        <v>q112_6_apac</v>
      </c>
      <c r="B381" s="6" t="str">
        <f t="shared" si="8"/>
        <v>_apac</v>
      </c>
      <c r="C381" s="6" t="s">
        <v>360</v>
      </c>
      <c r="D381" s="15" t="s">
        <v>1905</v>
      </c>
      <c r="E381" s="6" t="s">
        <v>2028</v>
      </c>
      <c r="F381" s="17" t="s">
        <v>2916</v>
      </c>
    </row>
    <row r="382" spans="1:6" x14ac:dyDescent="0.25">
      <c r="A382" s="6" t="str">
        <f t="shared" si="6"/>
        <v>q11ROW2_hidden_apac</v>
      </c>
      <c r="B382" s="6" t="str">
        <f t="shared" si="8"/>
        <v>_apac</v>
      </c>
      <c r="C382" s="6" t="s">
        <v>361</v>
      </c>
      <c r="D382" s="15" t="s">
        <v>1905</v>
      </c>
      <c r="E382" s="11" t="s">
        <v>2072</v>
      </c>
      <c r="F382" s="17" t="s">
        <v>2917</v>
      </c>
    </row>
    <row r="383" spans="1:6" x14ac:dyDescent="0.25">
      <c r="A383" s="6" t="str">
        <f t="shared" si="6"/>
        <v>q113_1_apac</v>
      </c>
      <c r="B383" s="6" t="str">
        <f t="shared" si="8"/>
        <v>_apac</v>
      </c>
      <c r="C383" s="6" t="s">
        <v>362</v>
      </c>
      <c r="D383" s="15" t="s">
        <v>1905</v>
      </c>
      <c r="E383" s="6" t="s">
        <v>2037</v>
      </c>
      <c r="F383" s="17" t="s">
        <v>2918</v>
      </c>
    </row>
    <row r="384" spans="1:6" x14ac:dyDescent="0.25">
      <c r="A384" s="6" t="str">
        <f t="shared" si="6"/>
        <v>q113_2_apac</v>
      </c>
      <c r="B384" s="6" t="str">
        <f t="shared" si="8"/>
        <v>_apac</v>
      </c>
      <c r="C384" s="6" t="s">
        <v>363</v>
      </c>
      <c r="D384" s="15" t="s">
        <v>1905</v>
      </c>
      <c r="E384" s="6" t="s">
        <v>2038</v>
      </c>
      <c r="F384" s="17" t="s">
        <v>2919</v>
      </c>
    </row>
    <row r="385" spans="1:6" x14ac:dyDescent="0.25">
      <c r="A385" s="6" t="str">
        <f t="shared" si="6"/>
        <v>q113_3_apac</v>
      </c>
      <c r="B385" s="6" t="str">
        <f t="shared" si="8"/>
        <v>_apac</v>
      </c>
      <c r="C385" s="6" t="s">
        <v>364</v>
      </c>
      <c r="D385" s="15" t="s">
        <v>1905</v>
      </c>
      <c r="E385" s="6" t="s">
        <v>2039</v>
      </c>
      <c r="F385" s="17" t="s">
        <v>2920</v>
      </c>
    </row>
    <row r="386" spans="1:6" x14ac:dyDescent="0.25">
      <c r="A386" s="6" t="str">
        <f t="shared" si="6"/>
        <v>q113_4_apac</v>
      </c>
      <c r="B386" s="6" t="str">
        <f t="shared" si="8"/>
        <v>_apac</v>
      </c>
      <c r="C386" s="6" t="s">
        <v>365</v>
      </c>
      <c r="D386" s="15" t="s">
        <v>1905</v>
      </c>
      <c r="E386" s="6" t="s">
        <v>2040</v>
      </c>
      <c r="F386" s="17" t="s">
        <v>2921</v>
      </c>
    </row>
    <row r="387" spans="1:6" x14ac:dyDescent="0.25">
      <c r="A387" s="6" t="str">
        <f t="shared" ref="A387:A450" si="9">_xlfn.CONCAT(C387,B387)</f>
        <v>q113_5_apac</v>
      </c>
      <c r="B387" s="6" t="str">
        <f t="shared" si="8"/>
        <v>_apac</v>
      </c>
      <c r="C387" s="6" t="s">
        <v>366</v>
      </c>
      <c r="D387" s="15" t="s">
        <v>1905</v>
      </c>
      <c r="E387" s="6" t="s">
        <v>2041</v>
      </c>
      <c r="F387" s="17" t="s">
        <v>2922</v>
      </c>
    </row>
    <row r="388" spans="1:6" x14ac:dyDescent="0.25">
      <c r="A388" s="6" t="str">
        <f t="shared" si="9"/>
        <v>q113_6_apac</v>
      </c>
      <c r="B388" s="6" t="str">
        <f t="shared" si="8"/>
        <v>_apac</v>
      </c>
      <c r="C388" s="6" t="s">
        <v>367</v>
      </c>
      <c r="D388" s="15" t="s">
        <v>1905</v>
      </c>
      <c r="E388" s="6" t="s">
        <v>2042</v>
      </c>
      <c r="F388" s="17" t="s">
        <v>2923</v>
      </c>
    </row>
    <row r="389" spans="1:6" x14ac:dyDescent="0.25">
      <c r="A389" s="6" t="str">
        <f t="shared" si="9"/>
        <v>q11ROW3_hidden_apac</v>
      </c>
      <c r="B389" s="6" t="str">
        <f t="shared" si="8"/>
        <v>_apac</v>
      </c>
      <c r="C389" s="6" t="s">
        <v>368</v>
      </c>
      <c r="D389" s="15" t="s">
        <v>1905</v>
      </c>
      <c r="E389" s="11" t="s">
        <v>2073</v>
      </c>
      <c r="F389" s="17" t="s">
        <v>2924</v>
      </c>
    </row>
    <row r="390" spans="1:6" x14ac:dyDescent="0.25">
      <c r="A390" s="6" t="str">
        <f t="shared" si="9"/>
        <v>q114_1_apac</v>
      </c>
      <c r="B390" s="6" t="str">
        <f t="shared" si="8"/>
        <v>_apac</v>
      </c>
      <c r="C390" s="6" t="s">
        <v>369</v>
      </c>
      <c r="D390" s="15" t="s">
        <v>1905</v>
      </c>
      <c r="E390" s="6" t="s">
        <v>2044</v>
      </c>
      <c r="F390" s="17" t="s">
        <v>2925</v>
      </c>
    </row>
    <row r="391" spans="1:6" x14ac:dyDescent="0.25">
      <c r="A391" s="6" t="str">
        <f t="shared" si="9"/>
        <v>q114_2_apac</v>
      </c>
      <c r="B391" s="6" t="str">
        <f t="shared" si="8"/>
        <v>_apac</v>
      </c>
      <c r="C391" s="6" t="s">
        <v>370</v>
      </c>
      <c r="D391" s="15" t="s">
        <v>1905</v>
      </c>
      <c r="E391" s="6" t="s">
        <v>2045</v>
      </c>
      <c r="F391" s="17" t="s">
        <v>2926</v>
      </c>
    </row>
    <row r="392" spans="1:6" x14ac:dyDescent="0.25">
      <c r="A392" s="6" t="str">
        <f t="shared" si="9"/>
        <v>q114_3_apac</v>
      </c>
      <c r="B392" s="6" t="str">
        <f t="shared" si="8"/>
        <v>_apac</v>
      </c>
      <c r="C392" s="6" t="s">
        <v>371</v>
      </c>
      <c r="D392" s="15" t="s">
        <v>1905</v>
      </c>
      <c r="E392" s="6" t="s">
        <v>2046</v>
      </c>
      <c r="F392" s="17" t="s">
        <v>2927</v>
      </c>
    </row>
    <row r="393" spans="1:6" x14ac:dyDescent="0.25">
      <c r="A393" s="6" t="str">
        <f t="shared" si="9"/>
        <v>q114_4_apac</v>
      </c>
      <c r="B393" s="6" t="str">
        <f t="shared" si="8"/>
        <v>_apac</v>
      </c>
      <c r="C393" s="6" t="s">
        <v>372</v>
      </c>
      <c r="D393" s="15" t="s">
        <v>1905</v>
      </c>
      <c r="E393" s="6" t="s">
        <v>2047</v>
      </c>
      <c r="F393" s="17" t="s">
        <v>2928</v>
      </c>
    </row>
    <row r="394" spans="1:6" x14ac:dyDescent="0.25">
      <c r="A394" s="6" t="str">
        <f t="shared" si="9"/>
        <v>q114_5_apac</v>
      </c>
      <c r="B394" s="6" t="str">
        <f t="shared" si="8"/>
        <v>_apac</v>
      </c>
      <c r="C394" s="6" t="s">
        <v>373</v>
      </c>
      <c r="D394" s="15" t="s">
        <v>1905</v>
      </c>
      <c r="E394" s="6" t="s">
        <v>2048</v>
      </c>
      <c r="F394" s="17" t="s">
        <v>2929</v>
      </c>
    </row>
    <row r="395" spans="1:6" x14ac:dyDescent="0.25">
      <c r="A395" s="6" t="str">
        <f t="shared" si="9"/>
        <v>q114_6_apac</v>
      </c>
      <c r="B395" s="6" t="str">
        <f t="shared" si="8"/>
        <v>_apac</v>
      </c>
      <c r="C395" s="6" t="s">
        <v>374</v>
      </c>
      <c r="D395" s="15" t="s">
        <v>1905</v>
      </c>
      <c r="E395" s="6" t="s">
        <v>2049</v>
      </c>
      <c r="F395" s="17" t="s">
        <v>2930</v>
      </c>
    </row>
    <row r="396" spans="1:6" x14ac:dyDescent="0.25">
      <c r="A396" s="6" t="str">
        <f t="shared" si="9"/>
        <v>q11ROW4_hidden_apac</v>
      </c>
      <c r="B396" s="6" t="str">
        <f t="shared" si="8"/>
        <v>_apac</v>
      </c>
      <c r="C396" s="6" t="s">
        <v>375</v>
      </c>
      <c r="D396" s="15" t="s">
        <v>1905</v>
      </c>
      <c r="E396" s="11" t="s">
        <v>2074</v>
      </c>
      <c r="F396" s="17" t="s">
        <v>2931</v>
      </c>
    </row>
    <row r="397" spans="1:6" x14ac:dyDescent="0.25">
      <c r="A397" s="6" t="str">
        <f t="shared" si="9"/>
        <v>q115_1_apac</v>
      </c>
      <c r="B397" s="6" t="str">
        <f t="shared" si="8"/>
        <v>_apac</v>
      </c>
      <c r="C397" s="6" t="s">
        <v>376</v>
      </c>
      <c r="D397" s="15" t="s">
        <v>1905</v>
      </c>
      <c r="E397" s="6" t="s">
        <v>2051</v>
      </c>
      <c r="F397" s="17" t="s">
        <v>2932</v>
      </c>
    </row>
    <row r="398" spans="1:6" x14ac:dyDescent="0.25">
      <c r="A398" s="6" t="str">
        <f t="shared" si="9"/>
        <v>q115_2_apac</v>
      </c>
      <c r="B398" s="6" t="str">
        <f t="shared" si="8"/>
        <v>_apac</v>
      </c>
      <c r="C398" s="6" t="s">
        <v>377</v>
      </c>
      <c r="D398" s="15" t="s">
        <v>1905</v>
      </c>
      <c r="E398" s="6" t="s">
        <v>2052</v>
      </c>
      <c r="F398" s="17" t="s">
        <v>2933</v>
      </c>
    </row>
    <row r="399" spans="1:6" x14ac:dyDescent="0.25">
      <c r="A399" s="6" t="str">
        <f t="shared" si="9"/>
        <v>q115_3_apac</v>
      </c>
      <c r="B399" s="6" t="str">
        <f t="shared" si="8"/>
        <v>_apac</v>
      </c>
      <c r="C399" s="6" t="s">
        <v>378</v>
      </c>
      <c r="D399" s="15" t="s">
        <v>1905</v>
      </c>
      <c r="E399" s="6" t="s">
        <v>2053</v>
      </c>
      <c r="F399" s="17" t="s">
        <v>2934</v>
      </c>
    </row>
    <row r="400" spans="1:6" x14ac:dyDescent="0.25">
      <c r="A400" s="6" t="str">
        <f t="shared" si="9"/>
        <v>q115_4_apac</v>
      </c>
      <c r="B400" s="6" t="str">
        <f t="shared" ref="B400:B410" si="10">B399</f>
        <v>_apac</v>
      </c>
      <c r="C400" s="6" t="s">
        <v>379</v>
      </c>
      <c r="D400" s="15" t="s">
        <v>1905</v>
      </c>
      <c r="E400" s="6" t="s">
        <v>2054</v>
      </c>
      <c r="F400" s="17" t="s">
        <v>2935</v>
      </c>
    </row>
    <row r="401" spans="1:6" x14ac:dyDescent="0.25">
      <c r="A401" s="6" t="str">
        <f t="shared" si="9"/>
        <v>q115_5_apac</v>
      </c>
      <c r="B401" s="6" t="str">
        <f t="shared" si="10"/>
        <v>_apac</v>
      </c>
      <c r="C401" s="6" t="s">
        <v>380</v>
      </c>
      <c r="D401" s="15" t="s">
        <v>1905</v>
      </c>
      <c r="E401" s="6" t="s">
        <v>2055</v>
      </c>
      <c r="F401" s="17" t="s">
        <v>2936</v>
      </c>
    </row>
    <row r="402" spans="1:6" x14ac:dyDescent="0.25">
      <c r="A402" s="6" t="str">
        <f t="shared" si="9"/>
        <v>q115_6_apac</v>
      </c>
      <c r="B402" s="6" t="str">
        <f t="shared" si="10"/>
        <v>_apac</v>
      </c>
      <c r="C402" s="6" t="s">
        <v>381</v>
      </c>
      <c r="D402" s="15" t="s">
        <v>1905</v>
      </c>
      <c r="E402" s="6" t="s">
        <v>2056</v>
      </c>
      <c r="F402" s="17" t="s">
        <v>2937</v>
      </c>
    </row>
    <row r="403" spans="1:6" x14ac:dyDescent="0.25">
      <c r="A403" s="6" t="str">
        <f t="shared" si="9"/>
        <v>q11ROW5_hidden_apac</v>
      </c>
      <c r="B403" s="6" t="str">
        <f t="shared" si="10"/>
        <v>_apac</v>
      </c>
      <c r="C403" s="6" t="s">
        <v>382</v>
      </c>
      <c r="D403" s="15" t="s">
        <v>1905</v>
      </c>
      <c r="E403" s="11" t="s">
        <v>2057</v>
      </c>
      <c r="F403" s="17" t="s">
        <v>2938</v>
      </c>
    </row>
    <row r="404" spans="1:6" x14ac:dyDescent="0.25">
      <c r="A404" s="6" t="str">
        <f t="shared" si="9"/>
        <v>q11COL1_hidden_apac</v>
      </c>
      <c r="B404" s="6" t="str">
        <f t="shared" si="10"/>
        <v>_apac</v>
      </c>
      <c r="C404" s="6" t="s">
        <v>383</v>
      </c>
      <c r="D404" s="15" t="s">
        <v>1905</v>
      </c>
      <c r="E404" s="11" t="s">
        <v>1953</v>
      </c>
      <c r="F404" s="17" t="s">
        <v>2939</v>
      </c>
    </row>
    <row r="405" spans="1:6" x14ac:dyDescent="0.25">
      <c r="A405" s="6" t="str">
        <f t="shared" si="9"/>
        <v>q11COL2_hidden_apac</v>
      </c>
      <c r="B405" s="6" t="str">
        <f t="shared" si="10"/>
        <v>_apac</v>
      </c>
      <c r="C405" s="6" t="s">
        <v>384</v>
      </c>
      <c r="D405" s="15" t="s">
        <v>1905</v>
      </c>
      <c r="E405" s="11" t="s">
        <v>1954</v>
      </c>
      <c r="F405" s="17" t="s">
        <v>2940</v>
      </c>
    </row>
    <row r="406" spans="1:6" x14ac:dyDescent="0.25">
      <c r="A406" s="6" t="str">
        <f t="shared" si="9"/>
        <v>q11COL3_hidden_apac</v>
      </c>
      <c r="B406" s="6" t="str">
        <f t="shared" si="10"/>
        <v>_apac</v>
      </c>
      <c r="C406" s="6" t="s">
        <v>385</v>
      </c>
      <c r="D406" s="15" t="s">
        <v>1905</v>
      </c>
      <c r="E406" s="11" t="s">
        <v>1955</v>
      </c>
      <c r="F406" s="17" t="s">
        <v>2941</v>
      </c>
    </row>
    <row r="407" spans="1:6" x14ac:dyDescent="0.25">
      <c r="A407" s="6" t="str">
        <f t="shared" si="9"/>
        <v>q11COL4_hidden_apac</v>
      </c>
      <c r="B407" s="6" t="str">
        <f t="shared" si="10"/>
        <v>_apac</v>
      </c>
      <c r="C407" s="6" t="s">
        <v>386</v>
      </c>
      <c r="D407" s="15" t="s">
        <v>1905</v>
      </c>
      <c r="E407" s="11" t="s">
        <v>1956</v>
      </c>
      <c r="F407" s="17" t="s">
        <v>2942</v>
      </c>
    </row>
    <row r="408" spans="1:6" x14ac:dyDescent="0.25">
      <c r="A408" s="6" t="str">
        <f t="shared" si="9"/>
        <v>q11COL5_hidden_apac</v>
      </c>
      <c r="B408" s="6" t="str">
        <f t="shared" si="10"/>
        <v>_apac</v>
      </c>
      <c r="C408" s="6" t="s">
        <v>387</v>
      </c>
      <c r="D408" s="15" t="s">
        <v>1905</v>
      </c>
      <c r="E408" s="11" t="s">
        <v>1957</v>
      </c>
      <c r="F408" s="17" t="s">
        <v>2943</v>
      </c>
    </row>
    <row r="409" spans="1:6" x14ac:dyDescent="0.25">
      <c r="A409" s="6" t="str">
        <f t="shared" si="9"/>
        <v>q11COL6_hidden_apac</v>
      </c>
      <c r="B409" s="6" t="str">
        <f t="shared" si="10"/>
        <v>_apac</v>
      </c>
      <c r="C409" s="6" t="s">
        <v>388</v>
      </c>
      <c r="D409" s="15" t="s">
        <v>1905</v>
      </c>
      <c r="E409" s="11" t="s">
        <v>1958</v>
      </c>
      <c r="F409" s="17" t="s">
        <v>2944</v>
      </c>
    </row>
    <row r="410" spans="1:6" x14ac:dyDescent="0.25">
      <c r="A410" s="6" t="str">
        <f t="shared" si="9"/>
        <v>q11GRANDTotal_hidden_apac</v>
      </c>
      <c r="B410" s="6" t="str">
        <f t="shared" si="10"/>
        <v>_apac</v>
      </c>
      <c r="C410" s="6" t="s">
        <v>389</v>
      </c>
      <c r="D410" s="15" t="s">
        <v>1905</v>
      </c>
      <c r="E410" s="11" t="s">
        <v>2075</v>
      </c>
      <c r="F410" s="17" t="s">
        <v>2945</v>
      </c>
    </row>
    <row r="411" spans="1:6" x14ac:dyDescent="0.25">
      <c r="A411" s="6" t="str">
        <f t="shared" si="9"/>
        <v>EUROPE_europe</v>
      </c>
      <c r="B411" s="6" t="s">
        <v>2088</v>
      </c>
      <c r="C411" s="13" t="s">
        <v>390</v>
      </c>
      <c r="D411" s="14"/>
      <c r="E411" s="12" t="s">
        <v>2076</v>
      </c>
      <c r="F411" s="6">
        <f>VLOOKUP(E411,'[3]Full Data-Map'!$C:$D,2,FALSE)</f>
        <v>16</v>
      </c>
    </row>
    <row r="412" spans="1:6" x14ac:dyDescent="0.25">
      <c r="A412" s="6" t="str">
        <f t="shared" si="9"/>
        <v>q101_1_europe</v>
      </c>
      <c r="B412" s="6" t="str">
        <f t="shared" ref="B412:B443" si="11">B411</f>
        <v>_europe</v>
      </c>
      <c r="C412" s="6" t="s">
        <v>284</v>
      </c>
      <c r="D412" s="15" t="s">
        <v>1905</v>
      </c>
      <c r="E412" s="6" t="s">
        <v>1965</v>
      </c>
      <c r="F412" s="17" t="s">
        <v>2946</v>
      </c>
    </row>
    <row r="413" spans="1:6" x14ac:dyDescent="0.25">
      <c r="A413" s="6" t="str">
        <f t="shared" si="9"/>
        <v>q101_2_europe</v>
      </c>
      <c r="B413" s="6" t="str">
        <f t="shared" si="11"/>
        <v>_europe</v>
      </c>
      <c r="C413" s="6" t="s">
        <v>285</v>
      </c>
      <c r="D413" s="15" t="s">
        <v>1905</v>
      </c>
      <c r="E413" s="6" t="s">
        <v>1966</v>
      </c>
      <c r="F413" s="17" t="s">
        <v>2947</v>
      </c>
    </row>
    <row r="414" spans="1:6" x14ac:dyDescent="0.25">
      <c r="A414" s="6" t="str">
        <f t="shared" si="9"/>
        <v>q101_3_europe</v>
      </c>
      <c r="B414" s="6" t="str">
        <f t="shared" si="11"/>
        <v>_europe</v>
      </c>
      <c r="C414" s="6" t="s">
        <v>286</v>
      </c>
      <c r="D414" s="15" t="s">
        <v>1905</v>
      </c>
      <c r="E414" s="6" t="s">
        <v>1967</v>
      </c>
      <c r="F414" s="17" t="s">
        <v>2948</v>
      </c>
    </row>
    <row r="415" spans="1:6" x14ac:dyDescent="0.25">
      <c r="A415" s="6" t="str">
        <f t="shared" si="9"/>
        <v>q101_4_europe</v>
      </c>
      <c r="B415" s="6" t="str">
        <f t="shared" si="11"/>
        <v>_europe</v>
      </c>
      <c r="C415" s="6" t="s">
        <v>287</v>
      </c>
      <c r="D415" s="15" t="s">
        <v>1905</v>
      </c>
      <c r="E415" s="6" t="s">
        <v>1968</v>
      </c>
      <c r="F415" s="17" t="s">
        <v>2949</v>
      </c>
    </row>
    <row r="416" spans="1:6" x14ac:dyDescent="0.25">
      <c r="A416" s="6" t="str">
        <f t="shared" si="9"/>
        <v>q101_5_europe</v>
      </c>
      <c r="B416" s="6" t="str">
        <f t="shared" si="11"/>
        <v>_europe</v>
      </c>
      <c r="C416" s="6" t="s">
        <v>288</v>
      </c>
      <c r="D416" s="15" t="s">
        <v>1905</v>
      </c>
      <c r="E416" s="6" t="s">
        <v>1969</v>
      </c>
      <c r="F416" s="17" t="s">
        <v>2950</v>
      </c>
    </row>
    <row r="417" spans="1:6" x14ac:dyDescent="0.25">
      <c r="A417" s="6" t="str">
        <f t="shared" si="9"/>
        <v>q101_6_europe</v>
      </c>
      <c r="B417" s="6" t="str">
        <f t="shared" si="11"/>
        <v>_europe</v>
      </c>
      <c r="C417" s="6" t="s">
        <v>289</v>
      </c>
      <c r="D417" s="15" t="s">
        <v>1905</v>
      </c>
      <c r="E417" s="6" t="s">
        <v>1970</v>
      </c>
      <c r="F417" s="17" t="s">
        <v>2951</v>
      </c>
    </row>
    <row r="418" spans="1:6" x14ac:dyDescent="0.25">
      <c r="A418" s="6" t="str">
        <f t="shared" si="9"/>
        <v>q10ROW1_hidden_europe</v>
      </c>
      <c r="B418" s="6" t="str">
        <f t="shared" si="11"/>
        <v>_europe</v>
      </c>
      <c r="C418" s="6" t="s">
        <v>290</v>
      </c>
      <c r="D418" s="15" t="s">
        <v>1905</v>
      </c>
      <c r="E418" s="11" t="s">
        <v>1971</v>
      </c>
      <c r="F418" s="17" t="s">
        <v>2952</v>
      </c>
    </row>
    <row r="419" spans="1:6" x14ac:dyDescent="0.25">
      <c r="A419" s="6" t="str">
        <f t="shared" si="9"/>
        <v>q102_1_europe</v>
      </c>
      <c r="B419" s="6" t="str">
        <f t="shared" si="11"/>
        <v>_europe</v>
      </c>
      <c r="C419" s="6" t="s">
        <v>291</v>
      </c>
      <c r="D419" s="15" t="s">
        <v>1905</v>
      </c>
      <c r="E419" s="6" t="s">
        <v>1972</v>
      </c>
      <c r="F419" s="17" t="s">
        <v>2953</v>
      </c>
    </row>
    <row r="420" spans="1:6" x14ac:dyDescent="0.25">
      <c r="A420" s="6" t="str">
        <f t="shared" si="9"/>
        <v>q102_2_europe</v>
      </c>
      <c r="B420" s="6" t="str">
        <f t="shared" si="11"/>
        <v>_europe</v>
      </c>
      <c r="C420" s="6" t="s">
        <v>292</v>
      </c>
      <c r="D420" s="15" t="s">
        <v>1905</v>
      </c>
      <c r="E420" s="6" t="s">
        <v>1973</v>
      </c>
      <c r="F420" s="17" t="s">
        <v>2954</v>
      </c>
    </row>
    <row r="421" spans="1:6" x14ac:dyDescent="0.25">
      <c r="A421" s="6" t="str">
        <f t="shared" si="9"/>
        <v>q102_3_europe</v>
      </c>
      <c r="B421" s="6" t="str">
        <f t="shared" si="11"/>
        <v>_europe</v>
      </c>
      <c r="C421" s="6" t="s">
        <v>293</v>
      </c>
      <c r="D421" s="15" t="s">
        <v>1905</v>
      </c>
      <c r="E421" s="6" t="s">
        <v>1974</v>
      </c>
      <c r="F421" s="17" t="s">
        <v>2955</v>
      </c>
    </row>
    <row r="422" spans="1:6" x14ac:dyDescent="0.25">
      <c r="A422" s="6" t="str">
        <f t="shared" si="9"/>
        <v>q102_4_europe</v>
      </c>
      <c r="B422" s="6" t="str">
        <f t="shared" si="11"/>
        <v>_europe</v>
      </c>
      <c r="C422" s="6" t="s">
        <v>294</v>
      </c>
      <c r="D422" s="15" t="s">
        <v>1905</v>
      </c>
      <c r="E422" s="6" t="s">
        <v>1975</v>
      </c>
      <c r="F422" s="17" t="s">
        <v>2956</v>
      </c>
    </row>
    <row r="423" spans="1:6" x14ac:dyDescent="0.25">
      <c r="A423" s="6" t="str">
        <f t="shared" si="9"/>
        <v>q102_5_europe</v>
      </c>
      <c r="B423" s="6" t="str">
        <f t="shared" si="11"/>
        <v>_europe</v>
      </c>
      <c r="C423" s="6" t="s">
        <v>295</v>
      </c>
      <c r="D423" s="15" t="s">
        <v>1905</v>
      </c>
      <c r="E423" s="6" t="s">
        <v>1976</v>
      </c>
      <c r="F423" s="17" t="s">
        <v>2957</v>
      </c>
    </row>
    <row r="424" spans="1:6" x14ac:dyDescent="0.25">
      <c r="A424" s="6" t="str">
        <f t="shared" si="9"/>
        <v>q102_6_europe</v>
      </c>
      <c r="B424" s="6" t="str">
        <f t="shared" si="11"/>
        <v>_europe</v>
      </c>
      <c r="C424" s="6" t="s">
        <v>296</v>
      </c>
      <c r="D424" s="15" t="s">
        <v>1905</v>
      </c>
      <c r="E424" s="6" t="s">
        <v>1977</v>
      </c>
      <c r="F424" s="17" t="s">
        <v>2958</v>
      </c>
    </row>
    <row r="425" spans="1:6" x14ac:dyDescent="0.25">
      <c r="A425" s="6" t="str">
        <f t="shared" si="9"/>
        <v>q10ROW2_hidden_europe</v>
      </c>
      <c r="B425" s="6" t="str">
        <f t="shared" si="11"/>
        <v>_europe</v>
      </c>
      <c r="C425" s="6" t="s">
        <v>297</v>
      </c>
      <c r="D425" s="15" t="s">
        <v>1905</v>
      </c>
      <c r="E425" s="11" t="s">
        <v>1978</v>
      </c>
      <c r="F425" s="17" t="s">
        <v>2959</v>
      </c>
    </row>
    <row r="426" spans="1:6" x14ac:dyDescent="0.25">
      <c r="A426" s="6" t="str">
        <f t="shared" si="9"/>
        <v>q103_1_europe</v>
      </c>
      <c r="B426" s="6" t="str">
        <f t="shared" si="11"/>
        <v>_europe</v>
      </c>
      <c r="C426" s="6" t="s">
        <v>298</v>
      </c>
      <c r="D426" s="15" t="s">
        <v>1905</v>
      </c>
      <c r="E426" s="6" t="s">
        <v>1979</v>
      </c>
      <c r="F426" s="17" t="s">
        <v>2960</v>
      </c>
    </row>
    <row r="427" spans="1:6" x14ac:dyDescent="0.25">
      <c r="A427" s="6" t="str">
        <f t="shared" si="9"/>
        <v>q103_2_europe</v>
      </c>
      <c r="B427" s="6" t="str">
        <f t="shared" si="11"/>
        <v>_europe</v>
      </c>
      <c r="C427" s="6" t="s">
        <v>299</v>
      </c>
      <c r="D427" s="15" t="s">
        <v>1905</v>
      </c>
      <c r="E427" s="6" t="s">
        <v>1980</v>
      </c>
      <c r="F427" s="17" t="s">
        <v>2961</v>
      </c>
    </row>
    <row r="428" spans="1:6" x14ac:dyDescent="0.25">
      <c r="A428" s="6" t="str">
        <f t="shared" si="9"/>
        <v>q103_3_europe</v>
      </c>
      <c r="B428" s="6" t="str">
        <f t="shared" si="11"/>
        <v>_europe</v>
      </c>
      <c r="C428" s="6" t="s">
        <v>300</v>
      </c>
      <c r="D428" s="15" t="s">
        <v>1905</v>
      </c>
      <c r="E428" s="6" t="s">
        <v>1981</v>
      </c>
      <c r="F428" s="17" t="s">
        <v>2962</v>
      </c>
    </row>
    <row r="429" spans="1:6" x14ac:dyDescent="0.25">
      <c r="A429" s="6" t="str">
        <f t="shared" si="9"/>
        <v>q103_4_europe</v>
      </c>
      <c r="B429" s="6" t="str">
        <f t="shared" si="11"/>
        <v>_europe</v>
      </c>
      <c r="C429" s="6" t="s">
        <v>301</v>
      </c>
      <c r="D429" s="15" t="s">
        <v>1905</v>
      </c>
      <c r="E429" s="6" t="s">
        <v>1982</v>
      </c>
      <c r="F429" s="17" t="s">
        <v>2963</v>
      </c>
    </row>
    <row r="430" spans="1:6" x14ac:dyDescent="0.25">
      <c r="A430" s="6" t="str">
        <f t="shared" si="9"/>
        <v>q103_5_europe</v>
      </c>
      <c r="B430" s="6" t="str">
        <f t="shared" si="11"/>
        <v>_europe</v>
      </c>
      <c r="C430" s="6" t="s">
        <v>302</v>
      </c>
      <c r="D430" s="15" t="s">
        <v>1905</v>
      </c>
      <c r="E430" s="6" t="s">
        <v>1983</v>
      </c>
      <c r="F430" s="17" t="s">
        <v>2964</v>
      </c>
    </row>
    <row r="431" spans="1:6" x14ac:dyDescent="0.25">
      <c r="A431" s="6" t="str">
        <f t="shared" si="9"/>
        <v>q103_6_europe</v>
      </c>
      <c r="B431" s="6" t="str">
        <f t="shared" si="11"/>
        <v>_europe</v>
      </c>
      <c r="C431" s="6" t="s">
        <v>303</v>
      </c>
      <c r="D431" s="15" t="s">
        <v>1905</v>
      </c>
      <c r="E431" s="6" t="s">
        <v>1984</v>
      </c>
      <c r="F431" s="17" t="s">
        <v>2965</v>
      </c>
    </row>
    <row r="432" spans="1:6" x14ac:dyDescent="0.25">
      <c r="A432" s="6" t="str">
        <f t="shared" si="9"/>
        <v>q10ROW3_hidden_europe</v>
      </c>
      <c r="B432" s="6" t="str">
        <f t="shared" si="11"/>
        <v>_europe</v>
      </c>
      <c r="C432" s="6" t="s">
        <v>304</v>
      </c>
      <c r="D432" s="15" t="s">
        <v>1905</v>
      </c>
      <c r="E432" s="11" t="s">
        <v>1985</v>
      </c>
      <c r="F432" s="17" t="s">
        <v>2966</v>
      </c>
    </row>
    <row r="433" spans="1:6" x14ac:dyDescent="0.25">
      <c r="A433" s="6" t="str">
        <f t="shared" si="9"/>
        <v>q104_1_europe</v>
      </c>
      <c r="B433" s="6" t="str">
        <f t="shared" si="11"/>
        <v>_europe</v>
      </c>
      <c r="C433" s="6" t="s">
        <v>305</v>
      </c>
      <c r="D433" s="15" t="s">
        <v>1905</v>
      </c>
      <c r="E433" s="6" t="s">
        <v>1986</v>
      </c>
      <c r="F433" s="17" t="s">
        <v>2967</v>
      </c>
    </row>
    <row r="434" spans="1:6" x14ac:dyDescent="0.25">
      <c r="A434" s="6" t="str">
        <f t="shared" si="9"/>
        <v>q104_2_europe</v>
      </c>
      <c r="B434" s="6" t="str">
        <f t="shared" si="11"/>
        <v>_europe</v>
      </c>
      <c r="C434" s="6" t="s">
        <v>306</v>
      </c>
      <c r="D434" s="15" t="s">
        <v>1905</v>
      </c>
      <c r="E434" s="6" t="s">
        <v>1987</v>
      </c>
      <c r="F434" s="17" t="s">
        <v>2968</v>
      </c>
    </row>
    <row r="435" spans="1:6" x14ac:dyDescent="0.25">
      <c r="A435" s="6" t="str">
        <f t="shared" si="9"/>
        <v>q104_3_europe</v>
      </c>
      <c r="B435" s="6" t="str">
        <f t="shared" si="11"/>
        <v>_europe</v>
      </c>
      <c r="C435" s="6" t="s">
        <v>307</v>
      </c>
      <c r="D435" s="15" t="s">
        <v>1905</v>
      </c>
      <c r="E435" s="6" t="s">
        <v>1988</v>
      </c>
      <c r="F435" s="17" t="s">
        <v>2969</v>
      </c>
    </row>
    <row r="436" spans="1:6" x14ac:dyDescent="0.25">
      <c r="A436" s="6" t="str">
        <f t="shared" si="9"/>
        <v>q104_4_europe</v>
      </c>
      <c r="B436" s="6" t="str">
        <f t="shared" si="11"/>
        <v>_europe</v>
      </c>
      <c r="C436" s="6" t="s">
        <v>308</v>
      </c>
      <c r="D436" s="15" t="s">
        <v>1905</v>
      </c>
      <c r="E436" s="6" t="s">
        <v>1989</v>
      </c>
      <c r="F436" s="17" t="s">
        <v>2970</v>
      </c>
    </row>
    <row r="437" spans="1:6" x14ac:dyDescent="0.25">
      <c r="A437" s="6" t="str">
        <f t="shared" si="9"/>
        <v>q104_5_europe</v>
      </c>
      <c r="B437" s="6" t="str">
        <f t="shared" si="11"/>
        <v>_europe</v>
      </c>
      <c r="C437" s="6" t="s">
        <v>309</v>
      </c>
      <c r="D437" s="15" t="s">
        <v>1905</v>
      </c>
      <c r="E437" s="6" t="s">
        <v>1990</v>
      </c>
      <c r="F437" s="17" t="s">
        <v>2971</v>
      </c>
    </row>
    <row r="438" spans="1:6" x14ac:dyDescent="0.25">
      <c r="A438" s="6" t="str">
        <f t="shared" si="9"/>
        <v>q104_6_europe</v>
      </c>
      <c r="B438" s="6" t="str">
        <f t="shared" si="11"/>
        <v>_europe</v>
      </c>
      <c r="C438" s="6" t="s">
        <v>310</v>
      </c>
      <c r="D438" s="15" t="s">
        <v>1905</v>
      </c>
      <c r="E438" s="6" t="s">
        <v>1991</v>
      </c>
      <c r="F438" s="17" t="s">
        <v>2972</v>
      </c>
    </row>
    <row r="439" spans="1:6" x14ac:dyDescent="0.25">
      <c r="A439" s="6" t="str">
        <f t="shared" si="9"/>
        <v>q10ROW4_hidden_europe</v>
      </c>
      <c r="B439" s="6" t="str">
        <f t="shared" si="11"/>
        <v>_europe</v>
      </c>
      <c r="C439" s="6" t="s">
        <v>311</v>
      </c>
      <c r="D439" s="15" t="s">
        <v>1905</v>
      </c>
      <c r="E439" s="11" t="s">
        <v>1992</v>
      </c>
      <c r="F439" s="17" t="s">
        <v>2973</v>
      </c>
    </row>
    <row r="440" spans="1:6" x14ac:dyDescent="0.25">
      <c r="A440" s="6" t="str">
        <f t="shared" si="9"/>
        <v>q105_1_europe</v>
      </c>
      <c r="B440" s="6" t="str">
        <f t="shared" si="11"/>
        <v>_europe</v>
      </c>
      <c r="C440" s="6" t="s">
        <v>312</v>
      </c>
      <c r="D440" s="15" t="s">
        <v>1905</v>
      </c>
      <c r="E440" s="6" t="s">
        <v>1993</v>
      </c>
      <c r="F440" s="17" t="s">
        <v>2974</v>
      </c>
    </row>
    <row r="441" spans="1:6" x14ac:dyDescent="0.25">
      <c r="A441" s="6" t="str">
        <f t="shared" si="9"/>
        <v>q105_2_europe</v>
      </c>
      <c r="B441" s="6" t="str">
        <f t="shared" si="11"/>
        <v>_europe</v>
      </c>
      <c r="C441" s="6" t="s">
        <v>313</v>
      </c>
      <c r="D441" s="15" t="s">
        <v>1905</v>
      </c>
      <c r="E441" s="6" t="s">
        <v>1994</v>
      </c>
      <c r="F441" s="17" t="s">
        <v>2975</v>
      </c>
    </row>
    <row r="442" spans="1:6" x14ac:dyDescent="0.25">
      <c r="A442" s="6" t="str">
        <f t="shared" si="9"/>
        <v>q105_3_europe</v>
      </c>
      <c r="B442" s="6" t="str">
        <f t="shared" si="11"/>
        <v>_europe</v>
      </c>
      <c r="C442" s="6" t="s">
        <v>314</v>
      </c>
      <c r="D442" s="15" t="s">
        <v>1905</v>
      </c>
      <c r="E442" s="6" t="s">
        <v>1995</v>
      </c>
      <c r="F442" s="17" t="s">
        <v>2976</v>
      </c>
    </row>
    <row r="443" spans="1:6" x14ac:dyDescent="0.25">
      <c r="A443" s="6" t="str">
        <f t="shared" si="9"/>
        <v>q105_4_europe</v>
      </c>
      <c r="B443" s="6" t="str">
        <f t="shared" si="11"/>
        <v>_europe</v>
      </c>
      <c r="C443" s="6" t="s">
        <v>315</v>
      </c>
      <c r="D443" s="15" t="s">
        <v>1905</v>
      </c>
      <c r="E443" s="6" t="s">
        <v>1996</v>
      </c>
      <c r="F443" s="17" t="s">
        <v>2977</v>
      </c>
    </row>
    <row r="444" spans="1:6" x14ac:dyDescent="0.25">
      <c r="A444" s="6" t="str">
        <f t="shared" si="9"/>
        <v>q105_5_europe</v>
      </c>
      <c r="B444" s="6" t="str">
        <f t="shared" ref="B444:B475" si="12">B443</f>
        <v>_europe</v>
      </c>
      <c r="C444" s="6" t="s">
        <v>316</v>
      </c>
      <c r="D444" s="15" t="s">
        <v>1905</v>
      </c>
      <c r="E444" s="6" t="s">
        <v>1997</v>
      </c>
      <c r="F444" s="17" t="s">
        <v>2978</v>
      </c>
    </row>
    <row r="445" spans="1:6" x14ac:dyDescent="0.25">
      <c r="A445" s="6" t="str">
        <f t="shared" si="9"/>
        <v>q105_6_europe</v>
      </c>
      <c r="B445" s="6" t="str">
        <f t="shared" si="12"/>
        <v>_europe</v>
      </c>
      <c r="C445" s="6" t="s">
        <v>317</v>
      </c>
      <c r="D445" s="15" t="s">
        <v>1905</v>
      </c>
      <c r="E445" s="6" t="s">
        <v>1998</v>
      </c>
      <c r="F445" s="17" t="s">
        <v>2979</v>
      </c>
    </row>
    <row r="446" spans="1:6" x14ac:dyDescent="0.25">
      <c r="A446" s="6" t="str">
        <f t="shared" si="9"/>
        <v>q10ROW5_hidden_europe</v>
      </c>
      <c r="B446" s="6" t="str">
        <f t="shared" si="12"/>
        <v>_europe</v>
      </c>
      <c r="C446" s="6" t="s">
        <v>318</v>
      </c>
      <c r="D446" s="15" t="s">
        <v>1905</v>
      </c>
      <c r="E446" s="11" t="s">
        <v>1999</v>
      </c>
      <c r="F446" s="17" t="s">
        <v>2980</v>
      </c>
    </row>
    <row r="447" spans="1:6" x14ac:dyDescent="0.25">
      <c r="A447" s="6" t="str">
        <f t="shared" si="9"/>
        <v>q106_1_europe</v>
      </c>
      <c r="B447" s="6" t="str">
        <f t="shared" si="12"/>
        <v>_europe</v>
      </c>
      <c r="C447" s="6" t="s">
        <v>319</v>
      </c>
      <c r="D447" s="15" t="s">
        <v>1905</v>
      </c>
      <c r="E447" s="6" t="s">
        <v>2000</v>
      </c>
      <c r="F447" s="17" t="s">
        <v>2981</v>
      </c>
    </row>
    <row r="448" spans="1:6" x14ac:dyDescent="0.25">
      <c r="A448" s="6" t="str">
        <f t="shared" si="9"/>
        <v>q106_2_europe</v>
      </c>
      <c r="B448" s="6" t="str">
        <f t="shared" si="12"/>
        <v>_europe</v>
      </c>
      <c r="C448" s="6" t="s">
        <v>320</v>
      </c>
      <c r="D448" s="15" t="s">
        <v>1905</v>
      </c>
      <c r="E448" s="6" t="s">
        <v>2001</v>
      </c>
      <c r="F448" s="17" t="s">
        <v>2982</v>
      </c>
    </row>
    <row r="449" spans="1:6" x14ac:dyDescent="0.25">
      <c r="A449" s="6" t="str">
        <f t="shared" si="9"/>
        <v>q106_3_europe</v>
      </c>
      <c r="B449" s="6" t="str">
        <f t="shared" si="12"/>
        <v>_europe</v>
      </c>
      <c r="C449" s="6" t="s">
        <v>321</v>
      </c>
      <c r="D449" s="15" t="s">
        <v>1905</v>
      </c>
      <c r="E449" s="6" t="s">
        <v>2002</v>
      </c>
      <c r="F449" s="17" t="s">
        <v>2983</v>
      </c>
    </row>
    <row r="450" spans="1:6" x14ac:dyDescent="0.25">
      <c r="A450" s="6" t="str">
        <f t="shared" si="9"/>
        <v>q106_4_europe</v>
      </c>
      <c r="B450" s="6" t="str">
        <f t="shared" si="12"/>
        <v>_europe</v>
      </c>
      <c r="C450" s="6" t="s">
        <v>322</v>
      </c>
      <c r="D450" s="15" t="s">
        <v>1905</v>
      </c>
      <c r="E450" s="6" t="s">
        <v>2003</v>
      </c>
      <c r="F450" s="17" t="s">
        <v>2984</v>
      </c>
    </row>
    <row r="451" spans="1:6" x14ac:dyDescent="0.25">
      <c r="A451" s="6" t="str">
        <f t="shared" ref="A451:A514" si="13">_xlfn.CONCAT(C451,B451)</f>
        <v>q106_5_europe</v>
      </c>
      <c r="B451" s="6" t="str">
        <f t="shared" si="12"/>
        <v>_europe</v>
      </c>
      <c r="C451" s="6" t="s">
        <v>323</v>
      </c>
      <c r="D451" s="15" t="s">
        <v>1905</v>
      </c>
      <c r="E451" s="6" t="s">
        <v>2004</v>
      </c>
      <c r="F451" s="17" t="s">
        <v>2985</v>
      </c>
    </row>
    <row r="452" spans="1:6" x14ac:dyDescent="0.25">
      <c r="A452" s="6" t="str">
        <f t="shared" si="13"/>
        <v>q106_6_europe</v>
      </c>
      <c r="B452" s="6" t="str">
        <f t="shared" si="12"/>
        <v>_europe</v>
      </c>
      <c r="C452" s="6" t="s">
        <v>324</v>
      </c>
      <c r="D452" s="15" t="s">
        <v>1905</v>
      </c>
      <c r="E452" s="6" t="s">
        <v>2005</v>
      </c>
      <c r="F452" s="17" t="s">
        <v>2986</v>
      </c>
    </row>
    <row r="453" spans="1:6" x14ac:dyDescent="0.25">
      <c r="A453" s="6" t="str">
        <f t="shared" si="13"/>
        <v>q10ROW6_hidden_europe</v>
      </c>
      <c r="B453" s="6" t="str">
        <f t="shared" si="12"/>
        <v>_europe</v>
      </c>
      <c r="C453" s="6" t="s">
        <v>325</v>
      </c>
      <c r="D453" s="15" t="s">
        <v>1905</v>
      </c>
      <c r="E453" s="11" t="s">
        <v>1957</v>
      </c>
      <c r="F453" s="17" t="s">
        <v>2987</v>
      </c>
    </row>
    <row r="454" spans="1:6" x14ac:dyDescent="0.25">
      <c r="A454" s="6" t="str">
        <f t="shared" si="13"/>
        <v>q107_1_europe</v>
      </c>
      <c r="B454" s="6" t="str">
        <f t="shared" si="12"/>
        <v>_europe</v>
      </c>
      <c r="C454" s="6" t="s">
        <v>326</v>
      </c>
      <c r="D454" s="15" t="s">
        <v>1905</v>
      </c>
      <c r="E454" s="6" t="s">
        <v>2006</v>
      </c>
      <c r="F454" s="17" t="s">
        <v>2988</v>
      </c>
    </row>
    <row r="455" spans="1:6" x14ac:dyDescent="0.25">
      <c r="A455" s="6" t="str">
        <f t="shared" si="13"/>
        <v>q107_2_europe</v>
      </c>
      <c r="B455" s="6" t="str">
        <f t="shared" si="12"/>
        <v>_europe</v>
      </c>
      <c r="C455" s="6" t="s">
        <v>327</v>
      </c>
      <c r="D455" s="15" t="s">
        <v>1905</v>
      </c>
      <c r="E455" s="6" t="s">
        <v>2007</v>
      </c>
      <c r="F455" s="17" t="s">
        <v>2989</v>
      </c>
    </row>
    <row r="456" spans="1:6" x14ac:dyDescent="0.25">
      <c r="A456" s="6" t="str">
        <f t="shared" si="13"/>
        <v>q107_3_europe</v>
      </c>
      <c r="B456" s="6" t="str">
        <f t="shared" si="12"/>
        <v>_europe</v>
      </c>
      <c r="C456" s="6" t="s">
        <v>328</v>
      </c>
      <c r="D456" s="15" t="s">
        <v>1905</v>
      </c>
      <c r="E456" s="6" t="s">
        <v>2008</v>
      </c>
      <c r="F456" s="17" t="s">
        <v>2990</v>
      </c>
    </row>
    <row r="457" spans="1:6" x14ac:dyDescent="0.25">
      <c r="A457" s="6" t="str">
        <f t="shared" si="13"/>
        <v>q107_4_europe</v>
      </c>
      <c r="B457" s="6" t="str">
        <f t="shared" si="12"/>
        <v>_europe</v>
      </c>
      <c r="C457" s="6" t="s">
        <v>329</v>
      </c>
      <c r="D457" s="15" t="s">
        <v>1905</v>
      </c>
      <c r="E457" s="6" t="s">
        <v>2009</v>
      </c>
      <c r="F457" s="17" t="s">
        <v>2991</v>
      </c>
    </row>
    <row r="458" spans="1:6" x14ac:dyDescent="0.25">
      <c r="A458" s="6" t="str">
        <f t="shared" si="13"/>
        <v>q107_5_europe</v>
      </c>
      <c r="B458" s="6" t="str">
        <f t="shared" si="12"/>
        <v>_europe</v>
      </c>
      <c r="C458" s="6" t="s">
        <v>330</v>
      </c>
      <c r="D458" s="15" t="s">
        <v>1905</v>
      </c>
      <c r="E458" s="6" t="s">
        <v>2010</v>
      </c>
      <c r="F458" s="17" t="s">
        <v>2992</v>
      </c>
    </row>
    <row r="459" spans="1:6" x14ac:dyDescent="0.25">
      <c r="A459" s="6" t="str">
        <f t="shared" si="13"/>
        <v>q107_6_europe</v>
      </c>
      <c r="B459" s="6" t="str">
        <f t="shared" si="12"/>
        <v>_europe</v>
      </c>
      <c r="C459" s="6" t="s">
        <v>331</v>
      </c>
      <c r="D459" s="15" t="s">
        <v>1905</v>
      </c>
      <c r="E459" s="6" t="s">
        <v>2011</v>
      </c>
      <c r="F459" s="17" t="s">
        <v>2993</v>
      </c>
    </row>
    <row r="460" spans="1:6" x14ac:dyDescent="0.25">
      <c r="A460" s="6" t="str">
        <f t="shared" si="13"/>
        <v>q10ROW7_hidden_europe</v>
      </c>
      <c r="B460" s="6" t="str">
        <f t="shared" si="12"/>
        <v>_europe</v>
      </c>
      <c r="C460" s="6" t="s">
        <v>332</v>
      </c>
      <c r="D460" s="15" t="s">
        <v>1905</v>
      </c>
      <c r="E460" s="11" t="s">
        <v>2012</v>
      </c>
      <c r="F460" s="17" t="s">
        <v>2994</v>
      </c>
    </row>
    <row r="461" spans="1:6" x14ac:dyDescent="0.25">
      <c r="A461" s="6" t="str">
        <f t="shared" si="13"/>
        <v>q10other_europe</v>
      </c>
      <c r="B461" s="6" t="str">
        <f t="shared" si="12"/>
        <v>_europe</v>
      </c>
      <c r="C461" s="6" t="s">
        <v>333</v>
      </c>
      <c r="D461" s="15" t="s">
        <v>1905</v>
      </c>
      <c r="E461" s="6" t="s">
        <v>2013</v>
      </c>
      <c r="F461" s="17" t="s">
        <v>2995</v>
      </c>
    </row>
    <row r="462" spans="1:6" x14ac:dyDescent="0.25">
      <c r="A462" s="6" t="str">
        <f t="shared" si="13"/>
        <v>q108_1_europe</v>
      </c>
      <c r="B462" s="6" t="str">
        <f t="shared" si="12"/>
        <v>_europe</v>
      </c>
      <c r="C462" s="6" t="s">
        <v>334</v>
      </c>
      <c r="D462" s="15" t="s">
        <v>1905</v>
      </c>
      <c r="E462" s="6" t="s">
        <v>2014</v>
      </c>
      <c r="F462" s="17" t="s">
        <v>2996</v>
      </c>
    </row>
    <row r="463" spans="1:6" x14ac:dyDescent="0.25">
      <c r="A463" s="6" t="str">
        <f t="shared" si="13"/>
        <v>q108_2_europe</v>
      </c>
      <c r="B463" s="6" t="str">
        <f t="shared" si="12"/>
        <v>_europe</v>
      </c>
      <c r="C463" s="6" t="s">
        <v>335</v>
      </c>
      <c r="D463" s="15" t="s">
        <v>1905</v>
      </c>
      <c r="E463" s="6" t="s">
        <v>2015</v>
      </c>
      <c r="F463" s="17" t="s">
        <v>2997</v>
      </c>
    </row>
    <row r="464" spans="1:6" x14ac:dyDescent="0.25">
      <c r="A464" s="6" t="str">
        <f t="shared" si="13"/>
        <v>q108_3_europe</v>
      </c>
      <c r="B464" s="6" t="str">
        <f t="shared" si="12"/>
        <v>_europe</v>
      </c>
      <c r="C464" s="6" t="s">
        <v>336</v>
      </c>
      <c r="D464" s="15" t="s">
        <v>1905</v>
      </c>
      <c r="E464" s="6" t="s">
        <v>2016</v>
      </c>
      <c r="F464" s="17" t="s">
        <v>2998</v>
      </c>
    </row>
    <row r="465" spans="1:6" x14ac:dyDescent="0.25">
      <c r="A465" s="6" t="str">
        <f t="shared" si="13"/>
        <v>q108_4_europe</v>
      </c>
      <c r="B465" s="6" t="str">
        <f t="shared" si="12"/>
        <v>_europe</v>
      </c>
      <c r="C465" s="6" t="s">
        <v>337</v>
      </c>
      <c r="D465" s="15" t="s">
        <v>1905</v>
      </c>
      <c r="E465" s="6" t="s">
        <v>2017</v>
      </c>
      <c r="F465" s="17" t="s">
        <v>2999</v>
      </c>
    </row>
    <row r="466" spans="1:6" x14ac:dyDescent="0.25">
      <c r="A466" s="6" t="str">
        <f t="shared" si="13"/>
        <v>q108_5_europe</v>
      </c>
      <c r="B466" s="6" t="str">
        <f t="shared" si="12"/>
        <v>_europe</v>
      </c>
      <c r="C466" s="6" t="s">
        <v>338</v>
      </c>
      <c r="D466" s="15" t="s">
        <v>1905</v>
      </c>
      <c r="E466" s="6" t="s">
        <v>2018</v>
      </c>
      <c r="F466" s="17" t="s">
        <v>3000</v>
      </c>
    </row>
    <row r="467" spans="1:6" x14ac:dyDescent="0.25">
      <c r="A467" s="6" t="str">
        <f t="shared" si="13"/>
        <v>q108_6_europe</v>
      </c>
      <c r="B467" s="6" t="str">
        <f t="shared" si="12"/>
        <v>_europe</v>
      </c>
      <c r="C467" s="6" t="s">
        <v>339</v>
      </c>
      <c r="D467" s="15" t="s">
        <v>1905</v>
      </c>
      <c r="E467" s="6" t="s">
        <v>2019</v>
      </c>
      <c r="F467" s="17" t="s">
        <v>3001</v>
      </c>
    </row>
    <row r="468" spans="1:6" x14ac:dyDescent="0.25">
      <c r="A468" s="6" t="str">
        <f t="shared" si="13"/>
        <v>q10ROW8_hidden_europe</v>
      </c>
      <c r="B468" s="6" t="str">
        <f t="shared" si="12"/>
        <v>_europe</v>
      </c>
      <c r="C468" s="6" t="s">
        <v>340</v>
      </c>
      <c r="D468" s="15" t="s">
        <v>1905</v>
      </c>
      <c r="E468" s="11" t="s">
        <v>2020</v>
      </c>
      <c r="F468" s="17" t="s">
        <v>3002</v>
      </c>
    </row>
    <row r="469" spans="1:6" x14ac:dyDescent="0.25">
      <c r="A469" s="6" t="str">
        <f t="shared" si="13"/>
        <v>q10COL1_hidden_europe</v>
      </c>
      <c r="B469" s="6" t="str">
        <f t="shared" si="12"/>
        <v>_europe</v>
      </c>
      <c r="C469" s="6" t="s">
        <v>341</v>
      </c>
      <c r="D469" s="15" t="s">
        <v>1905</v>
      </c>
      <c r="E469" s="11" t="s">
        <v>1953</v>
      </c>
      <c r="F469" s="17" t="s">
        <v>3003</v>
      </c>
    </row>
    <row r="470" spans="1:6" x14ac:dyDescent="0.25">
      <c r="A470" s="6" t="str">
        <f t="shared" si="13"/>
        <v>q10COL2_hidden_europe</v>
      </c>
      <c r="B470" s="6" t="str">
        <f t="shared" si="12"/>
        <v>_europe</v>
      </c>
      <c r="C470" s="6" t="s">
        <v>342</v>
      </c>
      <c r="D470" s="15" t="s">
        <v>1905</v>
      </c>
      <c r="E470" s="11" t="s">
        <v>1954</v>
      </c>
      <c r="F470" s="17" t="s">
        <v>3004</v>
      </c>
    </row>
    <row r="471" spans="1:6" x14ac:dyDescent="0.25">
      <c r="A471" s="6" t="str">
        <f t="shared" si="13"/>
        <v>q10COL3_hidden_europe</v>
      </c>
      <c r="B471" s="6" t="str">
        <f t="shared" si="12"/>
        <v>_europe</v>
      </c>
      <c r="C471" s="6" t="s">
        <v>343</v>
      </c>
      <c r="D471" s="15" t="s">
        <v>1905</v>
      </c>
      <c r="E471" s="11" t="s">
        <v>1955</v>
      </c>
      <c r="F471" s="17" t="s">
        <v>3005</v>
      </c>
    </row>
    <row r="472" spans="1:6" x14ac:dyDescent="0.25">
      <c r="A472" s="6" t="str">
        <f t="shared" si="13"/>
        <v>q10COL4_hidden_europe</v>
      </c>
      <c r="B472" s="6" t="str">
        <f t="shared" si="12"/>
        <v>_europe</v>
      </c>
      <c r="C472" s="6" t="s">
        <v>344</v>
      </c>
      <c r="D472" s="15" t="s">
        <v>1905</v>
      </c>
      <c r="E472" s="11" t="s">
        <v>1956</v>
      </c>
      <c r="F472" s="17" t="s">
        <v>3006</v>
      </c>
    </row>
    <row r="473" spans="1:6" x14ac:dyDescent="0.25">
      <c r="A473" s="6" t="str">
        <f t="shared" si="13"/>
        <v>q10COL5_hidden_europe</v>
      </c>
      <c r="B473" s="6" t="str">
        <f t="shared" si="12"/>
        <v>_europe</v>
      </c>
      <c r="C473" s="6" t="s">
        <v>345</v>
      </c>
      <c r="D473" s="15" t="s">
        <v>1905</v>
      </c>
      <c r="E473" s="11" t="s">
        <v>1957</v>
      </c>
      <c r="F473" s="17" t="s">
        <v>3007</v>
      </c>
    </row>
    <row r="474" spans="1:6" x14ac:dyDescent="0.25">
      <c r="A474" s="6" t="str">
        <f t="shared" si="13"/>
        <v>q10COL6_hidden_europe</v>
      </c>
      <c r="B474" s="6" t="str">
        <f t="shared" si="12"/>
        <v>_europe</v>
      </c>
      <c r="C474" s="6" t="s">
        <v>346</v>
      </c>
      <c r="D474" s="15" t="s">
        <v>1905</v>
      </c>
      <c r="E474" s="11" t="s">
        <v>1958</v>
      </c>
      <c r="F474" s="17" t="s">
        <v>3008</v>
      </c>
    </row>
    <row r="475" spans="1:6" x14ac:dyDescent="0.25">
      <c r="A475" s="6" t="str">
        <f t="shared" si="13"/>
        <v>q10GRANDTotal_hidden_europe</v>
      </c>
      <c r="B475" s="6" t="str">
        <f t="shared" si="12"/>
        <v>_europe</v>
      </c>
      <c r="C475" s="6" t="s">
        <v>347</v>
      </c>
      <c r="D475" s="15" t="s">
        <v>1905</v>
      </c>
      <c r="E475" s="11" t="s">
        <v>2069</v>
      </c>
      <c r="F475" s="17" t="s">
        <v>3009</v>
      </c>
    </row>
    <row r="476" spans="1:6" x14ac:dyDescent="0.25">
      <c r="A476" s="6" t="str">
        <f t="shared" si="13"/>
        <v>_europe</v>
      </c>
      <c r="B476" s="6" t="str">
        <f t="shared" ref="B476:B507" si="14">B475</f>
        <v>_europe</v>
      </c>
      <c r="C476" s="9"/>
      <c r="D476" s="9"/>
      <c r="E476" s="12" t="s">
        <v>2077</v>
      </c>
      <c r="F476" s="6">
        <f>VLOOKUP(E476,'[3]Full Data-Map'!$C:$D,2,FALSE)</f>
        <v>17</v>
      </c>
    </row>
    <row r="477" spans="1:6" x14ac:dyDescent="0.25">
      <c r="A477" s="6" t="str">
        <f t="shared" si="13"/>
        <v>q111_1_europe</v>
      </c>
      <c r="B477" s="6" t="str">
        <f t="shared" si="14"/>
        <v>_europe</v>
      </c>
      <c r="C477" s="6" t="s">
        <v>348</v>
      </c>
      <c r="D477" s="15" t="s">
        <v>1905</v>
      </c>
      <c r="E477" s="6" t="s">
        <v>2030</v>
      </c>
      <c r="F477" s="17" t="s">
        <v>3010</v>
      </c>
    </row>
    <row r="478" spans="1:6" x14ac:dyDescent="0.25">
      <c r="A478" s="6" t="str">
        <f t="shared" si="13"/>
        <v>q111_2_europe</v>
      </c>
      <c r="B478" s="6" t="str">
        <f t="shared" si="14"/>
        <v>_europe</v>
      </c>
      <c r="C478" s="6" t="s">
        <v>349</v>
      </c>
      <c r="D478" s="15" t="s">
        <v>1905</v>
      </c>
      <c r="E478" s="6" t="s">
        <v>2031</v>
      </c>
      <c r="F478" s="17" t="s">
        <v>3011</v>
      </c>
    </row>
    <row r="479" spans="1:6" x14ac:dyDescent="0.25">
      <c r="A479" s="6" t="str">
        <f t="shared" si="13"/>
        <v>q111_3_europe</v>
      </c>
      <c r="B479" s="6" t="str">
        <f t="shared" si="14"/>
        <v>_europe</v>
      </c>
      <c r="C479" s="6" t="s">
        <v>350</v>
      </c>
      <c r="D479" s="15" t="s">
        <v>1905</v>
      </c>
      <c r="E479" s="6" t="s">
        <v>2032</v>
      </c>
      <c r="F479" s="17" t="s">
        <v>3012</v>
      </c>
    </row>
    <row r="480" spans="1:6" x14ac:dyDescent="0.25">
      <c r="A480" s="6" t="str">
        <f t="shared" si="13"/>
        <v>q111_4_europe</v>
      </c>
      <c r="B480" s="6" t="str">
        <f t="shared" si="14"/>
        <v>_europe</v>
      </c>
      <c r="C480" s="6" t="s">
        <v>351</v>
      </c>
      <c r="D480" s="15" t="s">
        <v>1905</v>
      </c>
      <c r="E480" s="6" t="s">
        <v>2033</v>
      </c>
      <c r="F480" s="17" t="s">
        <v>3013</v>
      </c>
    </row>
    <row r="481" spans="1:6" x14ac:dyDescent="0.25">
      <c r="A481" s="6" t="str">
        <f t="shared" si="13"/>
        <v>q111_5_europe</v>
      </c>
      <c r="B481" s="6" t="str">
        <f t="shared" si="14"/>
        <v>_europe</v>
      </c>
      <c r="C481" s="6" t="s">
        <v>352</v>
      </c>
      <c r="D481" s="15" t="s">
        <v>1905</v>
      </c>
      <c r="E481" s="6" t="s">
        <v>2034</v>
      </c>
      <c r="F481" s="17" t="s">
        <v>3014</v>
      </c>
    </row>
    <row r="482" spans="1:6" x14ac:dyDescent="0.25">
      <c r="A482" s="6" t="str">
        <f t="shared" si="13"/>
        <v>q111_6_europe</v>
      </c>
      <c r="B482" s="6" t="str">
        <f t="shared" si="14"/>
        <v>_europe</v>
      </c>
      <c r="C482" s="6" t="s">
        <v>353</v>
      </c>
      <c r="D482" s="15" t="s">
        <v>1905</v>
      </c>
      <c r="E482" s="6" t="s">
        <v>2035</v>
      </c>
      <c r="F482" s="17" t="s">
        <v>3015</v>
      </c>
    </row>
    <row r="483" spans="1:6" x14ac:dyDescent="0.25">
      <c r="A483" s="6" t="str">
        <f t="shared" si="13"/>
        <v>q11ROW1_hidden_europe</v>
      </c>
      <c r="B483" s="6" t="str">
        <f t="shared" si="14"/>
        <v>_europe</v>
      </c>
      <c r="C483" s="6" t="s">
        <v>354</v>
      </c>
      <c r="D483" s="15" t="s">
        <v>1905</v>
      </c>
      <c r="E483" s="11" t="s">
        <v>2071</v>
      </c>
      <c r="F483" s="17" t="s">
        <v>3016</v>
      </c>
    </row>
    <row r="484" spans="1:6" x14ac:dyDescent="0.25">
      <c r="A484" s="6" t="str">
        <f t="shared" si="13"/>
        <v>q112_1_europe</v>
      </c>
      <c r="B484" s="6" t="str">
        <f t="shared" si="14"/>
        <v>_europe</v>
      </c>
      <c r="C484" s="6" t="s">
        <v>355</v>
      </c>
      <c r="D484" s="15" t="s">
        <v>1905</v>
      </c>
      <c r="E484" s="6" t="s">
        <v>2023</v>
      </c>
      <c r="F484" s="17" t="s">
        <v>3017</v>
      </c>
    </row>
    <row r="485" spans="1:6" x14ac:dyDescent="0.25">
      <c r="A485" s="6" t="str">
        <f t="shared" si="13"/>
        <v>q112_2_europe</v>
      </c>
      <c r="B485" s="6" t="str">
        <f t="shared" si="14"/>
        <v>_europe</v>
      </c>
      <c r="C485" s="6" t="s">
        <v>356</v>
      </c>
      <c r="D485" s="15" t="s">
        <v>1905</v>
      </c>
      <c r="E485" s="6" t="s">
        <v>2024</v>
      </c>
      <c r="F485" s="17" t="s">
        <v>3018</v>
      </c>
    </row>
    <row r="486" spans="1:6" x14ac:dyDescent="0.25">
      <c r="A486" s="6" t="str">
        <f t="shared" si="13"/>
        <v>q112_3_europe</v>
      </c>
      <c r="B486" s="6" t="str">
        <f t="shared" si="14"/>
        <v>_europe</v>
      </c>
      <c r="C486" s="6" t="s">
        <v>357</v>
      </c>
      <c r="D486" s="15" t="s">
        <v>1905</v>
      </c>
      <c r="E486" s="6" t="s">
        <v>2025</v>
      </c>
      <c r="F486" s="17" t="s">
        <v>3019</v>
      </c>
    </row>
    <row r="487" spans="1:6" x14ac:dyDescent="0.25">
      <c r="A487" s="6" t="str">
        <f t="shared" si="13"/>
        <v>q112_4_europe</v>
      </c>
      <c r="B487" s="6" t="str">
        <f t="shared" si="14"/>
        <v>_europe</v>
      </c>
      <c r="C487" s="6" t="s">
        <v>358</v>
      </c>
      <c r="D487" s="15" t="s">
        <v>1905</v>
      </c>
      <c r="E487" s="6" t="s">
        <v>2026</v>
      </c>
      <c r="F487" s="17" t="s">
        <v>3020</v>
      </c>
    </row>
    <row r="488" spans="1:6" x14ac:dyDescent="0.25">
      <c r="A488" s="6" t="str">
        <f t="shared" si="13"/>
        <v>q112_5_europe</v>
      </c>
      <c r="B488" s="6" t="str">
        <f t="shared" si="14"/>
        <v>_europe</v>
      </c>
      <c r="C488" s="6" t="s">
        <v>359</v>
      </c>
      <c r="D488" s="15" t="s">
        <v>1905</v>
      </c>
      <c r="E488" s="6" t="s">
        <v>2027</v>
      </c>
      <c r="F488" s="17" t="s">
        <v>3021</v>
      </c>
    </row>
    <row r="489" spans="1:6" x14ac:dyDescent="0.25">
      <c r="A489" s="6" t="str">
        <f t="shared" si="13"/>
        <v>q112_6_europe</v>
      </c>
      <c r="B489" s="6" t="str">
        <f t="shared" si="14"/>
        <v>_europe</v>
      </c>
      <c r="C489" s="6" t="s">
        <v>360</v>
      </c>
      <c r="D489" s="15" t="s">
        <v>1905</v>
      </c>
      <c r="E489" s="6" t="s">
        <v>2028</v>
      </c>
      <c r="F489" s="17" t="s">
        <v>3022</v>
      </c>
    </row>
    <row r="490" spans="1:6" x14ac:dyDescent="0.25">
      <c r="A490" s="6" t="str">
        <f t="shared" si="13"/>
        <v>q11ROW2_hidden_europe</v>
      </c>
      <c r="B490" s="6" t="str">
        <f t="shared" si="14"/>
        <v>_europe</v>
      </c>
      <c r="C490" s="6" t="s">
        <v>361</v>
      </c>
      <c r="D490" s="15" t="s">
        <v>1905</v>
      </c>
      <c r="E490" s="11" t="s">
        <v>2072</v>
      </c>
      <c r="F490" s="17" t="s">
        <v>3023</v>
      </c>
    </row>
    <row r="491" spans="1:6" x14ac:dyDescent="0.25">
      <c r="A491" s="6" t="str">
        <f t="shared" si="13"/>
        <v>q113_1_europe</v>
      </c>
      <c r="B491" s="6" t="str">
        <f t="shared" si="14"/>
        <v>_europe</v>
      </c>
      <c r="C491" s="6" t="s">
        <v>362</v>
      </c>
      <c r="D491" s="15" t="s">
        <v>1905</v>
      </c>
      <c r="E491" s="6" t="s">
        <v>2037</v>
      </c>
      <c r="F491" s="17" t="s">
        <v>3024</v>
      </c>
    </row>
    <row r="492" spans="1:6" x14ac:dyDescent="0.25">
      <c r="A492" s="6" t="str">
        <f t="shared" si="13"/>
        <v>q113_2_europe</v>
      </c>
      <c r="B492" s="6" t="str">
        <f t="shared" si="14"/>
        <v>_europe</v>
      </c>
      <c r="C492" s="6" t="s">
        <v>363</v>
      </c>
      <c r="D492" s="15" t="s">
        <v>1905</v>
      </c>
      <c r="E492" s="6" t="s">
        <v>2038</v>
      </c>
      <c r="F492" s="17" t="s">
        <v>3025</v>
      </c>
    </row>
    <row r="493" spans="1:6" x14ac:dyDescent="0.25">
      <c r="A493" s="6" t="str">
        <f t="shared" si="13"/>
        <v>q113_3_europe</v>
      </c>
      <c r="B493" s="6" t="str">
        <f t="shared" si="14"/>
        <v>_europe</v>
      </c>
      <c r="C493" s="6" t="s">
        <v>364</v>
      </c>
      <c r="D493" s="15" t="s">
        <v>1905</v>
      </c>
      <c r="E493" s="6" t="s">
        <v>2039</v>
      </c>
      <c r="F493" s="17" t="s">
        <v>3026</v>
      </c>
    </row>
    <row r="494" spans="1:6" x14ac:dyDescent="0.25">
      <c r="A494" s="6" t="str">
        <f t="shared" si="13"/>
        <v>q113_4_europe</v>
      </c>
      <c r="B494" s="6" t="str">
        <f t="shared" si="14"/>
        <v>_europe</v>
      </c>
      <c r="C494" s="6" t="s">
        <v>365</v>
      </c>
      <c r="D494" s="15" t="s">
        <v>1905</v>
      </c>
      <c r="E494" s="6" t="s">
        <v>2040</v>
      </c>
      <c r="F494" s="17" t="s">
        <v>3027</v>
      </c>
    </row>
    <row r="495" spans="1:6" x14ac:dyDescent="0.25">
      <c r="A495" s="6" t="str">
        <f t="shared" si="13"/>
        <v>q113_5_europe</v>
      </c>
      <c r="B495" s="6" t="str">
        <f t="shared" si="14"/>
        <v>_europe</v>
      </c>
      <c r="C495" s="6" t="s">
        <v>366</v>
      </c>
      <c r="D495" s="15" t="s">
        <v>1905</v>
      </c>
      <c r="E495" s="6" t="s">
        <v>2041</v>
      </c>
      <c r="F495" s="17" t="s">
        <v>3028</v>
      </c>
    </row>
    <row r="496" spans="1:6" x14ac:dyDescent="0.25">
      <c r="A496" s="6" t="str">
        <f t="shared" si="13"/>
        <v>q113_6_europe</v>
      </c>
      <c r="B496" s="6" t="str">
        <f t="shared" si="14"/>
        <v>_europe</v>
      </c>
      <c r="C496" s="6" t="s">
        <v>367</v>
      </c>
      <c r="D496" s="15" t="s">
        <v>1905</v>
      </c>
      <c r="E496" s="6" t="s">
        <v>2042</v>
      </c>
      <c r="F496" s="17" t="s">
        <v>3029</v>
      </c>
    </row>
    <row r="497" spans="1:6" x14ac:dyDescent="0.25">
      <c r="A497" s="6" t="str">
        <f t="shared" si="13"/>
        <v>q11ROW3_hidden_europe</v>
      </c>
      <c r="B497" s="6" t="str">
        <f t="shared" si="14"/>
        <v>_europe</v>
      </c>
      <c r="C497" s="6" t="s">
        <v>368</v>
      </c>
      <c r="D497" s="15" t="s">
        <v>1905</v>
      </c>
      <c r="E497" s="11" t="s">
        <v>2073</v>
      </c>
      <c r="F497" s="17" t="s">
        <v>3030</v>
      </c>
    </row>
    <row r="498" spans="1:6" x14ac:dyDescent="0.25">
      <c r="A498" s="6" t="str">
        <f t="shared" si="13"/>
        <v>q114_1_europe</v>
      </c>
      <c r="B498" s="6" t="str">
        <f t="shared" si="14"/>
        <v>_europe</v>
      </c>
      <c r="C498" s="6" t="s">
        <v>369</v>
      </c>
      <c r="D498" s="15" t="s">
        <v>1905</v>
      </c>
      <c r="E498" s="6" t="s">
        <v>2044</v>
      </c>
      <c r="F498" s="17" t="s">
        <v>3031</v>
      </c>
    </row>
    <row r="499" spans="1:6" x14ac:dyDescent="0.25">
      <c r="A499" s="6" t="str">
        <f t="shared" si="13"/>
        <v>q114_2_europe</v>
      </c>
      <c r="B499" s="6" t="str">
        <f t="shared" si="14"/>
        <v>_europe</v>
      </c>
      <c r="C499" s="6" t="s">
        <v>370</v>
      </c>
      <c r="D499" s="15" t="s">
        <v>1905</v>
      </c>
      <c r="E499" s="6" t="s">
        <v>2045</v>
      </c>
      <c r="F499" s="17" t="s">
        <v>3032</v>
      </c>
    </row>
    <row r="500" spans="1:6" x14ac:dyDescent="0.25">
      <c r="A500" s="6" t="str">
        <f t="shared" si="13"/>
        <v>q114_3_europe</v>
      </c>
      <c r="B500" s="6" t="str">
        <f t="shared" si="14"/>
        <v>_europe</v>
      </c>
      <c r="C500" s="6" t="s">
        <v>371</v>
      </c>
      <c r="D500" s="15" t="s">
        <v>1905</v>
      </c>
      <c r="E500" s="6" t="s">
        <v>2046</v>
      </c>
      <c r="F500" s="17" t="s">
        <v>3033</v>
      </c>
    </row>
    <row r="501" spans="1:6" x14ac:dyDescent="0.25">
      <c r="A501" s="6" t="str">
        <f t="shared" si="13"/>
        <v>q114_4_europe</v>
      </c>
      <c r="B501" s="6" t="str">
        <f t="shared" si="14"/>
        <v>_europe</v>
      </c>
      <c r="C501" s="6" t="s">
        <v>372</v>
      </c>
      <c r="D501" s="15" t="s">
        <v>1905</v>
      </c>
      <c r="E501" s="6" t="s">
        <v>2047</v>
      </c>
      <c r="F501" s="17" t="s">
        <v>3034</v>
      </c>
    </row>
    <row r="502" spans="1:6" x14ac:dyDescent="0.25">
      <c r="A502" s="6" t="str">
        <f t="shared" si="13"/>
        <v>q114_5_europe</v>
      </c>
      <c r="B502" s="6" t="str">
        <f t="shared" si="14"/>
        <v>_europe</v>
      </c>
      <c r="C502" s="6" t="s">
        <v>373</v>
      </c>
      <c r="D502" s="15" t="s">
        <v>1905</v>
      </c>
      <c r="E502" s="6" t="s">
        <v>2048</v>
      </c>
      <c r="F502" s="17" t="s">
        <v>3035</v>
      </c>
    </row>
    <row r="503" spans="1:6" x14ac:dyDescent="0.25">
      <c r="A503" s="6" t="str">
        <f t="shared" si="13"/>
        <v>q114_6_europe</v>
      </c>
      <c r="B503" s="6" t="str">
        <f t="shared" si="14"/>
        <v>_europe</v>
      </c>
      <c r="C503" s="6" t="s">
        <v>374</v>
      </c>
      <c r="D503" s="15" t="s">
        <v>1905</v>
      </c>
      <c r="E503" s="6" t="s">
        <v>2049</v>
      </c>
      <c r="F503" s="17" t="s">
        <v>3036</v>
      </c>
    </row>
    <row r="504" spans="1:6" x14ac:dyDescent="0.25">
      <c r="A504" s="6" t="str">
        <f t="shared" si="13"/>
        <v>q11ROW4_hidden_europe</v>
      </c>
      <c r="B504" s="6" t="str">
        <f t="shared" si="14"/>
        <v>_europe</v>
      </c>
      <c r="C504" s="6" t="s">
        <v>375</v>
      </c>
      <c r="D504" s="15" t="s">
        <v>1905</v>
      </c>
      <c r="E504" s="11" t="s">
        <v>2074</v>
      </c>
      <c r="F504" s="17" t="s">
        <v>3037</v>
      </c>
    </row>
    <row r="505" spans="1:6" x14ac:dyDescent="0.25">
      <c r="A505" s="6" t="str">
        <f t="shared" si="13"/>
        <v>q115_1_europe</v>
      </c>
      <c r="B505" s="6" t="str">
        <f t="shared" si="14"/>
        <v>_europe</v>
      </c>
      <c r="C505" s="6" t="s">
        <v>376</v>
      </c>
      <c r="D505" s="15" t="s">
        <v>1905</v>
      </c>
      <c r="E505" s="6" t="s">
        <v>2051</v>
      </c>
      <c r="F505" s="17" t="s">
        <v>3038</v>
      </c>
    </row>
    <row r="506" spans="1:6" x14ac:dyDescent="0.25">
      <c r="A506" s="6" t="str">
        <f t="shared" si="13"/>
        <v>q115_2_europe</v>
      </c>
      <c r="B506" s="6" t="str">
        <f t="shared" si="14"/>
        <v>_europe</v>
      </c>
      <c r="C506" s="6" t="s">
        <v>377</v>
      </c>
      <c r="D506" s="15" t="s">
        <v>1905</v>
      </c>
      <c r="E506" s="6" t="s">
        <v>2052</v>
      </c>
      <c r="F506" s="17" t="s">
        <v>3039</v>
      </c>
    </row>
    <row r="507" spans="1:6" x14ac:dyDescent="0.25">
      <c r="A507" s="6" t="str">
        <f t="shared" si="13"/>
        <v>q115_3_europe</v>
      </c>
      <c r="B507" s="6" t="str">
        <f t="shared" si="14"/>
        <v>_europe</v>
      </c>
      <c r="C507" s="6" t="s">
        <v>378</v>
      </c>
      <c r="D507" s="15" t="s">
        <v>1905</v>
      </c>
      <c r="E507" s="6" t="s">
        <v>2053</v>
      </c>
      <c r="F507" s="17" t="s">
        <v>3040</v>
      </c>
    </row>
    <row r="508" spans="1:6" x14ac:dyDescent="0.25">
      <c r="A508" s="6" t="str">
        <f t="shared" si="13"/>
        <v>q115_4_europe</v>
      </c>
      <c r="B508" s="6" t="str">
        <f t="shared" ref="B508:B518" si="15">B507</f>
        <v>_europe</v>
      </c>
      <c r="C508" s="6" t="s">
        <v>379</v>
      </c>
      <c r="D508" s="15" t="s">
        <v>1905</v>
      </c>
      <c r="E508" s="6" t="s">
        <v>2054</v>
      </c>
      <c r="F508" s="17" t="s">
        <v>3041</v>
      </c>
    </row>
    <row r="509" spans="1:6" x14ac:dyDescent="0.25">
      <c r="A509" s="6" t="str">
        <f t="shared" si="13"/>
        <v>q115_5_europe</v>
      </c>
      <c r="B509" s="6" t="str">
        <f t="shared" si="15"/>
        <v>_europe</v>
      </c>
      <c r="C509" s="6" t="s">
        <v>380</v>
      </c>
      <c r="D509" s="15" t="s">
        <v>1905</v>
      </c>
      <c r="E509" s="6" t="s">
        <v>2055</v>
      </c>
      <c r="F509" s="17" t="s">
        <v>3042</v>
      </c>
    </row>
    <row r="510" spans="1:6" x14ac:dyDescent="0.25">
      <c r="A510" s="6" t="str">
        <f t="shared" si="13"/>
        <v>q115_6_europe</v>
      </c>
      <c r="B510" s="6" t="str">
        <f t="shared" si="15"/>
        <v>_europe</v>
      </c>
      <c r="C510" s="6" t="s">
        <v>381</v>
      </c>
      <c r="D510" s="15" t="s">
        <v>1905</v>
      </c>
      <c r="E510" s="6" t="s">
        <v>2056</v>
      </c>
      <c r="F510" s="17" t="s">
        <v>3043</v>
      </c>
    </row>
    <row r="511" spans="1:6" x14ac:dyDescent="0.25">
      <c r="A511" s="6" t="str">
        <f t="shared" si="13"/>
        <v>q11ROW5_hidden_europe</v>
      </c>
      <c r="B511" s="6" t="str">
        <f t="shared" si="15"/>
        <v>_europe</v>
      </c>
      <c r="C511" s="6" t="s">
        <v>382</v>
      </c>
      <c r="D511" s="15" t="s">
        <v>1905</v>
      </c>
      <c r="E511" s="11" t="s">
        <v>2057</v>
      </c>
      <c r="F511" s="17" t="s">
        <v>3044</v>
      </c>
    </row>
    <row r="512" spans="1:6" x14ac:dyDescent="0.25">
      <c r="A512" s="6" t="str">
        <f t="shared" si="13"/>
        <v>q11COL1_hidden_europe</v>
      </c>
      <c r="B512" s="6" t="str">
        <f t="shared" si="15"/>
        <v>_europe</v>
      </c>
      <c r="C512" s="6" t="s">
        <v>383</v>
      </c>
      <c r="D512" s="15" t="s">
        <v>1905</v>
      </c>
      <c r="E512" s="11" t="s">
        <v>1953</v>
      </c>
      <c r="F512" s="17" t="s">
        <v>3045</v>
      </c>
    </row>
    <row r="513" spans="1:6" x14ac:dyDescent="0.25">
      <c r="A513" s="6" t="str">
        <f t="shared" si="13"/>
        <v>q11COL2_hidden_europe</v>
      </c>
      <c r="B513" s="6" t="str">
        <f t="shared" si="15"/>
        <v>_europe</v>
      </c>
      <c r="C513" s="6" t="s">
        <v>384</v>
      </c>
      <c r="D513" s="15" t="s">
        <v>1905</v>
      </c>
      <c r="E513" s="11" t="s">
        <v>1954</v>
      </c>
      <c r="F513" s="17" t="s">
        <v>3046</v>
      </c>
    </row>
    <row r="514" spans="1:6" x14ac:dyDescent="0.25">
      <c r="A514" s="6" t="str">
        <f t="shared" si="13"/>
        <v>q11COL3_hidden_europe</v>
      </c>
      <c r="B514" s="6" t="str">
        <f t="shared" si="15"/>
        <v>_europe</v>
      </c>
      <c r="C514" s="6" t="s">
        <v>385</v>
      </c>
      <c r="D514" s="15" t="s">
        <v>1905</v>
      </c>
      <c r="E514" s="11" t="s">
        <v>1955</v>
      </c>
      <c r="F514" s="17" t="s">
        <v>3047</v>
      </c>
    </row>
    <row r="515" spans="1:6" x14ac:dyDescent="0.25">
      <c r="A515" s="6" t="str">
        <f t="shared" ref="A515:A578" si="16">_xlfn.CONCAT(C515,B515)</f>
        <v>q11COL4_hidden_europe</v>
      </c>
      <c r="B515" s="6" t="str">
        <f t="shared" si="15"/>
        <v>_europe</v>
      </c>
      <c r="C515" s="6" t="s">
        <v>386</v>
      </c>
      <c r="D515" s="15" t="s">
        <v>1905</v>
      </c>
      <c r="E515" s="11" t="s">
        <v>1956</v>
      </c>
      <c r="F515" s="17" t="s">
        <v>3048</v>
      </c>
    </row>
    <row r="516" spans="1:6" x14ac:dyDescent="0.25">
      <c r="A516" s="6" t="str">
        <f t="shared" si="16"/>
        <v>q11COL5_hidden_europe</v>
      </c>
      <c r="B516" s="6" t="str">
        <f t="shared" si="15"/>
        <v>_europe</v>
      </c>
      <c r="C516" s="6" t="s">
        <v>387</v>
      </c>
      <c r="D516" s="15" t="s">
        <v>1905</v>
      </c>
      <c r="E516" s="11" t="s">
        <v>1957</v>
      </c>
      <c r="F516" s="17" t="s">
        <v>3049</v>
      </c>
    </row>
    <row r="517" spans="1:6" x14ac:dyDescent="0.25">
      <c r="A517" s="6" t="str">
        <f t="shared" si="16"/>
        <v>q11COL6_hidden_europe</v>
      </c>
      <c r="B517" s="6" t="str">
        <f t="shared" si="15"/>
        <v>_europe</v>
      </c>
      <c r="C517" s="6" t="s">
        <v>388</v>
      </c>
      <c r="D517" s="15" t="s">
        <v>1905</v>
      </c>
      <c r="E517" s="11" t="s">
        <v>1958</v>
      </c>
      <c r="F517" s="17" t="s">
        <v>3050</v>
      </c>
    </row>
    <row r="518" spans="1:6" x14ac:dyDescent="0.25">
      <c r="A518" s="6" t="str">
        <f t="shared" si="16"/>
        <v>q11GRANDTotal_hidden_europe</v>
      </c>
      <c r="B518" s="6" t="str">
        <f t="shared" si="15"/>
        <v>_europe</v>
      </c>
      <c r="C518" s="6" t="s">
        <v>389</v>
      </c>
      <c r="D518" s="15" t="s">
        <v>1905</v>
      </c>
      <c r="E518" s="11" t="s">
        <v>2075</v>
      </c>
      <c r="F518" s="17" t="s">
        <v>3051</v>
      </c>
    </row>
    <row r="519" spans="1:6" x14ac:dyDescent="0.25">
      <c r="A519" s="6" t="str">
        <f t="shared" si="16"/>
        <v>NORTH AMERICA_northafrica</v>
      </c>
      <c r="B519" s="6" t="s">
        <v>2737</v>
      </c>
      <c r="C519" s="13" t="s">
        <v>391</v>
      </c>
      <c r="D519" s="14"/>
      <c r="E519" s="12" t="s">
        <v>2078</v>
      </c>
      <c r="F519" s="6">
        <f>VLOOKUP(E519,'[3]Full Data-Map'!$C:$D,2,FALSE)</f>
        <v>18</v>
      </c>
    </row>
    <row r="520" spans="1:6" x14ac:dyDescent="0.25">
      <c r="A520" s="6" t="str">
        <f t="shared" si="16"/>
        <v>q101_1_northafrica</v>
      </c>
      <c r="B520" s="6" t="str">
        <f t="shared" ref="B520:B551" si="17">B519</f>
        <v>_northafrica</v>
      </c>
      <c r="C520" s="6" t="s">
        <v>284</v>
      </c>
      <c r="D520" s="15" t="s">
        <v>1905</v>
      </c>
      <c r="E520" s="6" t="s">
        <v>1965</v>
      </c>
      <c r="F520" s="17" t="s">
        <v>3052</v>
      </c>
    </row>
    <row r="521" spans="1:6" x14ac:dyDescent="0.25">
      <c r="A521" s="6" t="str">
        <f t="shared" si="16"/>
        <v>q101_2_northafrica</v>
      </c>
      <c r="B521" s="6" t="str">
        <f t="shared" si="17"/>
        <v>_northafrica</v>
      </c>
      <c r="C521" s="6" t="s">
        <v>285</v>
      </c>
      <c r="D521" s="15" t="s">
        <v>1905</v>
      </c>
      <c r="E521" s="6" t="s">
        <v>1966</v>
      </c>
      <c r="F521" s="17" t="s">
        <v>3053</v>
      </c>
    </row>
    <row r="522" spans="1:6" x14ac:dyDescent="0.25">
      <c r="A522" s="6" t="str">
        <f t="shared" si="16"/>
        <v>q101_3_northafrica</v>
      </c>
      <c r="B522" s="6" t="str">
        <f t="shared" si="17"/>
        <v>_northafrica</v>
      </c>
      <c r="C522" s="6" t="s">
        <v>286</v>
      </c>
      <c r="D522" s="15" t="s">
        <v>1905</v>
      </c>
      <c r="E522" s="6" t="s">
        <v>1967</v>
      </c>
      <c r="F522" s="17" t="s">
        <v>3054</v>
      </c>
    </row>
    <row r="523" spans="1:6" x14ac:dyDescent="0.25">
      <c r="A523" s="6" t="str">
        <f t="shared" si="16"/>
        <v>q101_4_northafrica</v>
      </c>
      <c r="B523" s="6" t="str">
        <f t="shared" si="17"/>
        <v>_northafrica</v>
      </c>
      <c r="C523" s="6" t="s">
        <v>287</v>
      </c>
      <c r="D523" s="15" t="s">
        <v>1905</v>
      </c>
      <c r="E523" s="6" t="s">
        <v>1968</v>
      </c>
      <c r="F523" s="17" t="s">
        <v>3055</v>
      </c>
    </row>
    <row r="524" spans="1:6" x14ac:dyDescent="0.25">
      <c r="A524" s="6" t="str">
        <f t="shared" si="16"/>
        <v>q101_5_northafrica</v>
      </c>
      <c r="B524" s="6" t="str">
        <f t="shared" si="17"/>
        <v>_northafrica</v>
      </c>
      <c r="C524" s="6" t="s">
        <v>288</v>
      </c>
      <c r="D524" s="15" t="s">
        <v>1905</v>
      </c>
      <c r="E524" s="6" t="s">
        <v>1969</v>
      </c>
      <c r="F524" s="17" t="s">
        <v>3056</v>
      </c>
    </row>
    <row r="525" spans="1:6" x14ac:dyDescent="0.25">
      <c r="A525" s="6" t="str">
        <f t="shared" si="16"/>
        <v>q101_6_northafrica</v>
      </c>
      <c r="B525" s="6" t="str">
        <f t="shared" si="17"/>
        <v>_northafrica</v>
      </c>
      <c r="C525" s="6" t="s">
        <v>289</v>
      </c>
      <c r="D525" s="15" t="s">
        <v>1905</v>
      </c>
      <c r="E525" s="6" t="s">
        <v>1970</v>
      </c>
      <c r="F525" s="17" t="s">
        <v>3057</v>
      </c>
    </row>
    <row r="526" spans="1:6" x14ac:dyDescent="0.25">
      <c r="A526" s="6" t="str">
        <f t="shared" si="16"/>
        <v>q10ROW1_hidden_northafrica</v>
      </c>
      <c r="B526" s="6" t="str">
        <f t="shared" si="17"/>
        <v>_northafrica</v>
      </c>
      <c r="C526" s="6" t="s">
        <v>290</v>
      </c>
      <c r="D526" s="15" t="s">
        <v>1905</v>
      </c>
      <c r="E526" s="11" t="s">
        <v>1971</v>
      </c>
      <c r="F526" s="17" t="s">
        <v>3058</v>
      </c>
    </row>
    <row r="527" spans="1:6" x14ac:dyDescent="0.25">
      <c r="A527" s="6" t="str">
        <f t="shared" si="16"/>
        <v>q102_1_northafrica</v>
      </c>
      <c r="B527" s="6" t="str">
        <f t="shared" si="17"/>
        <v>_northafrica</v>
      </c>
      <c r="C527" s="6" t="s">
        <v>291</v>
      </c>
      <c r="D527" s="15" t="s">
        <v>1905</v>
      </c>
      <c r="E527" s="6" t="s">
        <v>1972</v>
      </c>
      <c r="F527" s="17" t="s">
        <v>3059</v>
      </c>
    </row>
    <row r="528" spans="1:6" x14ac:dyDescent="0.25">
      <c r="A528" s="6" t="str">
        <f t="shared" si="16"/>
        <v>q102_2_northafrica</v>
      </c>
      <c r="B528" s="6" t="str">
        <f t="shared" si="17"/>
        <v>_northafrica</v>
      </c>
      <c r="C528" s="6" t="s">
        <v>292</v>
      </c>
      <c r="D528" s="15" t="s">
        <v>1905</v>
      </c>
      <c r="E528" s="6" t="s">
        <v>1973</v>
      </c>
      <c r="F528" s="17" t="s">
        <v>3060</v>
      </c>
    </row>
    <row r="529" spans="1:6" x14ac:dyDescent="0.25">
      <c r="A529" s="6" t="str">
        <f t="shared" si="16"/>
        <v>q102_3_northafrica</v>
      </c>
      <c r="B529" s="6" t="str">
        <f t="shared" si="17"/>
        <v>_northafrica</v>
      </c>
      <c r="C529" s="6" t="s">
        <v>293</v>
      </c>
      <c r="D529" s="15" t="s">
        <v>1905</v>
      </c>
      <c r="E529" s="6" t="s">
        <v>1974</v>
      </c>
      <c r="F529" s="17" t="s">
        <v>3061</v>
      </c>
    </row>
    <row r="530" spans="1:6" x14ac:dyDescent="0.25">
      <c r="A530" s="6" t="str">
        <f t="shared" si="16"/>
        <v>q102_4_northafrica</v>
      </c>
      <c r="B530" s="6" t="str">
        <f t="shared" si="17"/>
        <v>_northafrica</v>
      </c>
      <c r="C530" s="6" t="s">
        <v>294</v>
      </c>
      <c r="D530" s="15" t="s">
        <v>1905</v>
      </c>
      <c r="E530" s="6" t="s">
        <v>1975</v>
      </c>
      <c r="F530" s="17" t="s">
        <v>3062</v>
      </c>
    </row>
    <row r="531" spans="1:6" x14ac:dyDescent="0.25">
      <c r="A531" s="6" t="str">
        <f t="shared" si="16"/>
        <v>q102_5_northafrica</v>
      </c>
      <c r="B531" s="6" t="str">
        <f t="shared" si="17"/>
        <v>_northafrica</v>
      </c>
      <c r="C531" s="6" t="s">
        <v>295</v>
      </c>
      <c r="D531" s="15" t="s">
        <v>1905</v>
      </c>
      <c r="E531" s="6" t="s">
        <v>1976</v>
      </c>
      <c r="F531" s="17" t="s">
        <v>3063</v>
      </c>
    </row>
    <row r="532" spans="1:6" x14ac:dyDescent="0.25">
      <c r="A532" s="6" t="str">
        <f t="shared" si="16"/>
        <v>q102_6_northafrica</v>
      </c>
      <c r="B532" s="6" t="str">
        <f t="shared" si="17"/>
        <v>_northafrica</v>
      </c>
      <c r="C532" s="6" t="s">
        <v>296</v>
      </c>
      <c r="D532" s="15" t="s">
        <v>1905</v>
      </c>
      <c r="E532" s="6" t="s">
        <v>1977</v>
      </c>
      <c r="F532" s="17" t="s">
        <v>3064</v>
      </c>
    </row>
    <row r="533" spans="1:6" x14ac:dyDescent="0.25">
      <c r="A533" s="6" t="str">
        <f t="shared" si="16"/>
        <v>q10ROW2_hidden_northafrica</v>
      </c>
      <c r="B533" s="6" t="str">
        <f t="shared" si="17"/>
        <v>_northafrica</v>
      </c>
      <c r="C533" s="6" t="s">
        <v>297</v>
      </c>
      <c r="D533" s="15" t="s">
        <v>1905</v>
      </c>
      <c r="E533" s="11" t="s">
        <v>1978</v>
      </c>
      <c r="F533" s="17" t="s">
        <v>3065</v>
      </c>
    </row>
    <row r="534" spans="1:6" x14ac:dyDescent="0.25">
      <c r="A534" s="6" t="str">
        <f t="shared" si="16"/>
        <v>q103_1_northafrica</v>
      </c>
      <c r="B534" s="6" t="str">
        <f t="shared" si="17"/>
        <v>_northafrica</v>
      </c>
      <c r="C534" s="6" t="s">
        <v>298</v>
      </c>
      <c r="D534" s="15" t="s">
        <v>1905</v>
      </c>
      <c r="E534" s="6" t="s">
        <v>1979</v>
      </c>
      <c r="F534" s="17" t="s">
        <v>3066</v>
      </c>
    </row>
    <row r="535" spans="1:6" x14ac:dyDescent="0.25">
      <c r="A535" s="6" t="str">
        <f t="shared" si="16"/>
        <v>q103_2_northafrica</v>
      </c>
      <c r="B535" s="6" t="str">
        <f t="shared" si="17"/>
        <v>_northafrica</v>
      </c>
      <c r="C535" s="6" t="s">
        <v>299</v>
      </c>
      <c r="D535" s="15" t="s">
        <v>1905</v>
      </c>
      <c r="E535" s="6" t="s">
        <v>1980</v>
      </c>
      <c r="F535" s="17" t="s">
        <v>3067</v>
      </c>
    </row>
    <row r="536" spans="1:6" x14ac:dyDescent="0.25">
      <c r="A536" s="6" t="str">
        <f t="shared" si="16"/>
        <v>q103_3_northafrica</v>
      </c>
      <c r="B536" s="6" t="str">
        <f t="shared" si="17"/>
        <v>_northafrica</v>
      </c>
      <c r="C536" s="6" t="s">
        <v>300</v>
      </c>
      <c r="D536" s="15" t="s">
        <v>1905</v>
      </c>
      <c r="E536" s="6" t="s">
        <v>1981</v>
      </c>
      <c r="F536" s="17" t="s">
        <v>3068</v>
      </c>
    </row>
    <row r="537" spans="1:6" x14ac:dyDescent="0.25">
      <c r="A537" s="6" t="str">
        <f t="shared" si="16"/>
        <v>q103_4_northafrica</v>
      </c>
      <c r="B537" s="6" t="str">
        <f t="shared" si="17"/>
        <v>_northafrica</v>
      </c>
      <c r="C537" s="6" t="s">
        <v>301</v>
      </c>
      <c r="D537" s="15" t="s">
        <v>1905</v>
      </c>
      <c r="E537" s="6" t="s">
        <v>1982</v>
      </c>
      <c r="F537" s="17" t="s">
        <v>3069</v>
      </c>
    </row>
    <row r="538" spans="1:6" x14ac:dyDescent="0.25">
      <c r="A538" s="6" t="str">
        <f t="shared" si="16"/>
        <v>q103_5_northafrica</v>
      </c>
      <c r="B538" s="6" t="str">
        <f t="shared" si="17"/>
        <v>_northafrica</v>
      </c>
      <c r="C538" s="6" t="s">
        <v>302</v>
      </c>
      <c r="D538" s="15" t="s">
        <v>1905</v>
      </c>
      <c r="E538" s="6" t="s">
        <v>1983</v>
      </c>
      <c r="F538" s="17" t="s">
        <v>3070</v>
      </c>
    </row>
    <row r="539" spans="1:6" x14ac:dyDescent="0.25">
      <c r="A539" s="6" t="str">
        <f t="shared" si="16"/>
        <v>q103_6_northafrica</v>
      </c>
      <c r="B539" s="6" t="str">
        <f t="shared" si="17"/>
        <v>_northafrica</v>
      </c>
      <c r="C539" s="6" t="s">
        <v>303</v>
      </c>
      <c r="D539" s="15" t="s">
        <v>1905</v>
      </c>
      <c r="E539" s="6" t="s">
        <v>1984</v>
      </c>
      <c r="F539" s="17" t="s">
        <v>3071</v>
      </c>
    </row>
    <row r="540" spans="1:6" x14ac:dyDescent="0.25">
      <c r="A540" s="6" t="str">
        <f t="shared" si="16"/>
        <v>q10ROW3_hidden_northafrica</v>
      </c>
      <c r="B540" s="6" t="str">
        <f t="shared" si="17"/>
        <v>_northafrica</v>
      </c>
      <c r="C540" s="6" t="s">
        <v>304</v>
      </c>
      <c r="D540" s="15" t="s">
        <v>1905</v>
      </c>
      <c r="E540" s="11" t="s">
        <v>1985</v>
      </c>
      <c r="F540" s="17" t="s">
        <v>3072</v>
      </c>
    </row>
    <row r="541" spans="1:6" x14ac:dyDescent="0.25">
      <c r="A541" s="6" t="str">
        <f t="shared" si="16"/>
        <v>q104_1_northafrica</v>
      </c>
      <c r="B541" s="6" t="str">
        <f t="shared" si="17"/>
        <v>_northafrica</v>
      </c>
      <c r="C541" s="6" t="s">
        <v>305</v>
      </c>
      <c r="D541" s="15" t="s">
        <v>1905</v>
      </c>
      <c r="E541" s="6" t="s">
        <v>1986</v>
      </c>
      <c r="F541" s="17" t="s">
        <v>3073</v>
      </c>
    </row>
    <row r="542" spans="1:6" x14ac:dyDescent="0.25">
      <c r="A542" s="6" t="str">
        <f t="shared" si="16"/>
        <v>q104_2_northafrica</v>
      </c>
      <c r="B542" s="6" t="str">
        <f t="shared" si="17"/>
        <v>_northafrica</v>
      </c>
      <c r="C542" s="6" t="s">
        <v>306</v>
      </c>
      <c r="D542" s="15" t="s">
        <v>1905</v>
      </c>
      <c r="E542" s="6" t="s">
        <v>1987</v>
      </c>
      <c r="F542" s="17" t="s">
        <v>3074</v>
      </c>
    </row>
    <row r="543" spans="1:6" x14ac:dyDescent="0.25">
      <c r="A543" s="6" t="str">
        <f t="shared" si="16"/>
        <v>q104_3_northafrica</v>
      </c>
      <c r="B543" s="6" t="str">
        <f t="shared" si="17"/>
        <v>_northafrica</v>
      </c>
      <c r="C543" s="6" t="s">
        <v>307</v>
      </c>
      <c r="D543" s="15" t="s">
        <v>1905</v>
      </c>
      <c r="E543" s="6" t="s">
        <v>1988</v>
      </c>
      <c r="F543" s="17" t="s">
        <v>3075</v>
      </c>
    </row>
    <row r="544" spans="1:6" x14ac:dyDescent="0.25">
      <c r="A544" s="6" t="str">
        <f t="shared" si="16"/>
        <v>q104_4_northafrica</v>
      </c>
      <c r="B544" s="6" t="str">
        <f t="shared" si="17"/>
        <v>_northafrica</v>
      </c>
      <c r="C544" s="6" t="s">
        <v>308</v>
      </c>
      <c r="D544" s="15" t="s">
        <v>1905</v>
      </c>
      <c r="E544" s="6" t="s">
        <v>1989</v>
      </c>
      <c r="F544" s="17" t="s">
        <v>3076</v>
      </c>
    </row>
    <row r="545" spans="1:6" x14ac:dyDescent="0.25">
      <c r="A545" s="6" t="str">
        <f t="shared" si="16"/>
        <v>q104_5_northafrica</v>
      </c>
      <c r="B545" s="6" t="str">
        <f t="shared" si="17"/>
        <v>_northafrica</v>
      </c>
      <c r="C545" s="6" t="s">
        <v>309</v>
      </c>
      <c r="D545" s="15" t="s">
        <v>1905</v>
      </c>
      <c r="E545" s="6" t="s">
        <v>1990</v>
      </c>
      <c r="F545" s="17" t="s">
        <v>3077</v>
      </c>
    </row>
    <row r="546" spans="1:6" x14ac:dyDescent="0.25">
      <c r="A546" s="6" t="str">
        <f t="shared" si="16"/>
        <v>q104_6_northafrica</v>
      </c>
      <c r="B546" s="6" t="str">
        <f t="shared" si="17"/>
        <v>_northafrica</v>
      </c>
      <c r="C546" s="6" t="s">
        <v>310</v>
      </c>
      <c r="D546" s="15" t="s">
        <v>1905</v>
      </c>
      <c r="E546" s="6" t="s">
        <v>1991</v>
      </c>
      <c r="F546" s="17" t="s">
        <v>3078</v>
      </c>
    </row>
    <row r="547" spans="1:6" x14ac:dyDescent="0.25">
      <c r="A547" s="6" t="str">
        <f t="shared" si="16"/>
        <v>q10ROW4_hidden_northafrica</v>
      </c>
      <c r="B547" s="6" t="str">
        <f t="shared" si="17"/>
        <v>_northafrica</v>
      </c>
      <c r="C547" s="6" t="s">
        <v>311</v>
      </c>
      <c r="D547" s="15" t="s">
        <v>1905</v>
      </c>
      <c r="E547" s="11" t="s">
        <v>1992</v>
      </c>
      <c r="F547" s="17" t="s">
        <v>3079</v>
      </c>
    </row>
    <row r="548" spans="1:6" x14ac:dyDescent="0.25">
      <c r="A548" s="6" t="str">
        <f t="shared" si="16"/>
        <v>q105_1_northafrica</v>
      </c>
      <c r="B548" s="6" t="str">
        <f t="shared" si="17"/>
        <v>_northafrica</v>
      </c>
      <c r="C548" s="6" t="s">
        <v>312</v>
      </c>
      <c r="D548" s="15" t="s">
        <v>1905</v>
      </c>
      <c r="E548" s="6" t="s">
        <v>1993</v>
      </c>
      <c r="F548" s="17" t="s">
        <v>3080</v>
      </c>
    </row>
    <row r="549" spans="1:6" x14ac:dyDescent="0.25">
      <c r="A549" s="6" t="str">
        <f t="shared" si="16"/>
        <v>q105_2_northafrica</v>
      </c>
      <c r="B549" s="6" t="str">
        <f t="shared" si="17"/>
        <v>_northafrica</v>
      </c>
      <c r="C549" s="6" t="s">
        <v>313</v>
      </c>
      <c r="D549" s="15" t="s">
        <v>1905</v>
      </c>
      <c r="E549" s="6" t="s">
        <v>1994</v>
      </c>
      <c r="F549" s="17" t="s">
        <v>3081</v>
      </c>
    </row>
    <row r="550" spans="1:6" x14ac:dyDescent="0.25">
      <c r="A550" s="6" t="str">
        <f t="shared" si="16"/>
        <v>q105_3_northafrica</v>
      </c>
      <c r="B550" s="6" t="str">
        <f t="shared" si="17"/>
        <v>_northafrica</v>
      </c>
      <c r="C550" s="6" t="s">
        <v>314</v>
      </c>
      <c r="D550" s="15" t="s">
        <v>1905</v>
      </c>
      <c r="E550" s="6" t="s">
        <v>1995</v>
      </c>
      <c r="F550" s="17" t="s">
        <v>3082</v>
      </c>
    </row>
    <row r="551" spans="1:6" x14ac:dyDescent="0.25">
      <c r="A551" s="6" t="str">
        <f t="shared" si="16"/>
        <v>q105_4_northafrica</v>
      </c>
      <c r="B551" s="6" t="str">
        <f t="shared" si="17"/>
        <v>_northafrica</v>
      </c>
      <c r="C551" s="6" t="s">
        <v>315</v>
      </c>
      <c r="D551" s="15" t="s">
        <v>1905</v>
      </c>
      <c r="E551" s="6" t="s">
        <v>1996</v>
      </c>
      <c r="F551" s="17" t="s">
        <v>3083</v>
      </c>
    </row>
    <row r="552" spans="1:6" x14ac:dyDescent="0.25">
      <c r="A552" s="6" t="str">
        <f t="shared" si="16"/>
        <v>q105_5_northafrica</v>
      </c>
      <c r="B552" s="6" t="str">
        <f t="shared" ref="B552:B583" si="18">B551</f>
        <v>_northafrica</v>
      </c>
      <c r="C552" s="6" t="s">
        <v>316</v>
      </c>
      <c r="D552" s="15" t="s">
        <v>1905</v>
      </c>
      <c r="E552" s="6" t="s">
        <v>1997</v>
      </c>
      <c r="F552" s="17" t="s">
        <v>3084</v>
      </c>
    </row>
    <row r="553" spans="1:6" x14ac:dyDescent="0.25">
      <c r="A553" s="6" t="str">
        <f t="shared" si="16"/>
        <v>q105_6_northafrica</v>
      </c>
      <c r="B553" s="6" t="str">
        <f t="shared" si="18"/>
        <v>_northafrica</v>
      </c>
      <c r="C553" s="6" t="s">
        <v>317</v>
      </c>
      <c r="D553" s="15" t="s">
        <v>1905</v>
      </c>
      <c r="E553" s="6" t="s">
        <v>1998</v>
      </c>
      <c r="F553" s="17" t="s">
        <v>3085</v>
      </c>
    </row>
    <row r="554" spans="1:6" x14ac:dyDescent="0.25">
      <c r="A554" s="6" t="str">
        <f t="shared" si="16"/>
        <v>q10ROW5_hidden_northafrica</v>
      </c>
      <c r="B554" s="6" t="str">
        <f t="shared" si="18"/>
        <v>_northafrica</v>
      </c>
      <c r="C554" s="6" t="s">
        <v>318</v>
      </c>
      <c r="D554" s="15" t="s">
        <v>1905</v>
      </c>
      <c r="E554" s="11" t="s">
        <v>1999</v>
      </c>
      <c r="F554" s="17" t="s">
        <v>3086</v>
      </c>
    </row>
    <row r="555" spans="1:6" x14ac:dyDescent="0.25">
      <c r="A555" s="6" t="str">
        <f t="shared" si="16"/>
        <v>q106_1_northafrica</v>
      </c>
      <c r="B555" s="6" t="str">
        <f t="shared" si="18"/>
        <v>_northafrica</v>
      </c>
      <c r="C555" s="6" t="s">
        <v>319</v>
      </c>
      <c r="D555" s="15" t="s">
        <v>1905</v>
      </c>
      <c r="E555" s="6" t="s">
        <v>2000</v>
      </c>
      <c r="F555" s="17" t="s">
        <v>3087</v>
      </c>
    </row>
    <row r="556" spans="1:6" x14ac:dyDescent="0.25">
      <c r="A556" s="6" t="str">
        <f t="shared" si="16"/>
        <v>q106_2_northafrica</v>
      </c>
      <c r="B556" s="6" t="str">
        <f t="shared" si="18"/>
        <v>_northafrica</v>
      </c>
      <c r="C556" s="6" t="s">
        <v>320</v>
      </c>
      <c r="D556" s="15" t="s">
        <v>1905</v>
      </c>
      <c r="E556" s="6" t="s">
        <v>2001</v>
      </c>
      <c r="F556" s="17" t="s">
        <v>3088</v>
      </c>
    </row>
    <row r="557" spans="1:6" x14ac:dyDescent="0.25">
      <c r="A557" s="6" t="str">
        <f t="shared" si="16"/>
        <v>q106_3_northafrica</v>
      </c>
      <c r="B557" s="6" t="str">
        <f t="shared" si="18"/>
        <v>_northafrica</v>
      </c>
      <c r="C557" s="6" t="s">
        <v>321</v>
      </c>
      <c r="D557" s="15" t="s">
        <v>1905</v>
      </c>
      <c r="E557" s="6" t="s">
        <v>2002</v>
      </c>
      <c r="F557" s="17" t="s">
        <v>3089</v>
      </c>
    </row>
    <row r="558" spans="1:6" x14ac:dyDescent="0.25">
      <c r="A558" s="6" t="str">
        <f t="shared" si="16"/>
        <v>q106_4_northafrica</v>
      </c>
      <c r="B558" s="6" t="str">
        <f t="shared" si="18"/>
        <v>_northafrica</v>
      </c>
      <c r="C558" s="6" t="s">
        <v>322</v>
      </c>
      <c r="D558" s="15" t="s">
        <v>1905</v>
      </c>
      <c r="E558" s="6" t="s">
        <v>2003</v>
      </c>
      <c r="F558" s="17" t="s">
        <v>3090</v>
      </c>
    </row>
    <row r="559" spans="1:6" x14ac:dyDescent="0.25">
      <c r="A559" s="6" t="str">
        <f t="shared" si="16"/>
        <v>q106_5_northafrica</v>
      </c>
      <c r="B559" s="6" t="str">
        <f t="shared" si="18"/>
        <v>_northafrica</v>
      </c>
      <c r="C559" s="6" t="s">
        <v>323</v>
      </c>
      <c r="D559" s="15" t="s">
        <v>1905</v>
      </c>
      <c r="E559" s="6" t="s">
        <v>2004</v>
      </c>
      <c r="F559" s="17" t="s">
        <v>3091</v>
      </c>
    </row>
    <row r="560" spans="1:6" x14ac:dyDescent="0.25">
      <c r="A560" s="6" t="str">
        <f t="shared" si="16"/>
        <v>q106_6_northafrica</v>
      </c>
      <c r="B560" s="6" t="str">
        <f t="shared" si="18"/>
        <v>_northafrica</v>
      </c>
      <c r="C560" s="6" t="s">
        <v>324</v>
      </c>
      <c r="D560" s="15" t="s">
        <v>1905</v>
      </c>
      <c r="E560" s="6" t="s">
        <v>2005</v>
      </c>
      <c r="F560" s="17" t="s">
        <v>3092</v>
      </c>
    </row>
    <row r="561" spans="1:6" x14ac:dyDescent="0.25">
      <c r="A561" s="6" t="str">
        <f t="shared" si="16"/>
        <v>q10ROW6_hidden_northafrica</v>
      </c>
      <c r="B561" s="6" t="str">
        <f t="shared" si="18"/>
        <v>_northafrica</v>
      </c>
      <c r="C561" s="6" t="s">
        <v>325</v>
      </c>
      <c r="D561" s="15" t="s">
        <v>1905</v>
      </c>
      <c r="E561" s="11" t="s">
        <v>1957</v>
      </c>
      <c r="F561" s="17" t="s">
        <v>3093</v>
      </c>
    </row>
    <row r="562" spans="1:6" x14ac:dyDescent="0.25">
      <c r="A562" s="6" t="str">
        <f t="shared" si="16"/>
        <v>q107_1_northafrica</v>
      </c>
      <c r="B562" s="6" t="str">
        <f t="shared" si="18"/>
        <v>_northafrica</v>
      </c>
      <c r="C562" s="6" t="s">
        <v>326</v>
      </c>
      <c r="D562" s="15" t="s">
        <v>1905</v>
      </c>
      <c r="E562" s="6" t="s">
        <v>2006</v>
      </c>
      <c r="F562" s="17" t="s">
        <v>3094</v>
      </c>
    </row>
    <row r="563" spans="1:6" x14ac:dyDescent="0.25">
      <c r="A563" s="6" t="str">
        <f t="shared" si="16"/>
        <v>q107_2_northafrica</v>
      </c>
      <c r="B563" s="6" t="str">
        <f t="shared" si="18"/>
        <v>_northafrica</v>
      </c>
      <c r="C563" s="6" t="s">
        <v>327</v>
      </c>
      <c r="D563" s="15" t="s">
        <v>1905</v>
      </c>
      <c r="E563" s="6" t="s">
        <v>2007</v>
      </c>
      <c r="F563" s="17" t="s">
        <v>3095</v>
      </c>
    </row>
    <row r="564" spans="1:6" x14ac:dyDescent="0.25">
      <c r="A564" s="6" t="str">
        <f t="shared" si="16"/>
        <v>q107_3_northafrica</v>
      </c>
      <c r="B564" s="6" t="str">
        <f t="shared" si="18"/>
        <v>_northafrica</v>
      </c>
      <c r="C564" s="6" t="s">
        <v>328</v>
      </c>
      <c r="D564" s="15" t="s">
        <v>1905</v>
      </c>
      <c r="E564" s="6" t="s">
        <v>2008</v>
      </c>
      <c r="F564" s="17" t="s">
        <v>3096</v>
      </c>
    </row>
    <row r="565" spans="1:6" x14ac:dyDescent="0.25">
      <c r="A565" s="6" t="str">
        <f t="shared" si="16"/>
        <v>q107_4_northafrica</v>
      </c>
      <c r="B565" s="6" t="str">
        <f t="shared" si="18"/>
        <v>_northafrica</v>
      </c>
      <c r="C565" s="6" t="s">
        <v>329</v>
      </c>
      <c r="D565" s="15" t="s">
        <v>1905</v>
      </c>
      <c r="E565" s="6" t="s">
        <v>2009</v>
      </c>
      <c r="F565" s="17" t="s">
        <v>3097</v>
      </c>
    </row>
    <row r="566" spans="1:6" x14ac:dyDescent="0.25">
      <c r="A566" s="6" t="str">
        <f t="shared" si="16"/>
        <v>q107_5_northafrica</v>
      </c>
      <c r="B566" s="6" t="str">
        <f t="shared" si="18"/>
        <v>_northafrica</v>
      </c>
      <c r="C566" s="6" t="s">
        <v>330</v>
      </c>
      <c r="D566" s="15" t="s">
        <v>1905</v>
      </c>
      <c r="E566" s="6" t="s">
        <v>2010</v>
      </c>
      <c r="F566" s="17" t="s">
        <v>3098</v>
      </c>
    </row>
    <row r="567" spans="1:6" x14ac:dyDescent="0.25">
      <c r="A567" s="6" t="str">
        <f t="shared" si="16"/>
        <v>q107_6_northafrica</v>
      </c>
      <c r="B567" s="6" t="str">
        <f t="shared" si="18"/>
        <v>_northafrica</v>
      </c>
      <c r="C567" s="6" t="s">
        <v>331</v>
      </c>
      <c r="D567" s="15" t="s">
        <v>1905</v>
      </c>
      <c r="E567" s="6" t="s">
        <v>2011</v>
      </c>
      <c r="F567" s="17" t="s">
        <v>3099</v>
      </c>
    </row>
    <row r="568" spans="1:6" x14ac:dyDescent="0.25">
      <c r="A568" s="6" t="str">
        <f t="shared" si="16"/>
        <v>q10ROW7_hidden_northafrica</v>
      </c>
      <c r="B568" s="6" t="str">
        <f t="shared" si="18"/>
        <v>_northafrica</v>
      </c>
      <c r="C568" s="6" t="s">
        <v>332</v>
      </c>
      <c r="D568" s="15" t="s">
        <v>1905</v>
      </c>
      <c r="E568" s="11" t="s">
        <v>2012</v>
      </c>
      <c r="F568" s="17" t="s">
        <v>3100</v>
      </c>
    </row>
    <row r="569" spans="1:6" x14ac:dyDescent="0.25">
      <c r="A569" s="6" t="str">
        <f t="shared" si="16"/>
        <v>q10other_northafrica</v>
      </c>
      <c r="B569" s="6" t="str">
        <f t="shared" si="18"/>
        <v>_northafrica</v>
      </c>
      <c r="C569" s="6" t="s">
        <v>333</v>
      </c>
      <c r="D569" s="15" t="s">
        <v>1905</v>
      </c>
      <c r="E569" s="6" t="s">
        <v>2013</v>
      </c>
      <c r="F569" s="17" t="s">
        <v>3101</v>
      </c>
    </row>
    <row r="570" spans="1:6" x14ac:dyDescent="0.25">
      <c r="A570" s="6" t="str">
        <f t="shared" si="16"/>
        <v>q108_1_northafrica</v>
      </c>
      <c r="B570" s="6" t="str">
        <f t="shared" si="18"/>
        <v>_northafrica</v>
      </c>
      <c r="C570" s="6" t="s">
        <v>334</v>
      </c>
      <c r="D570" s="15" t="s">
        <v>1905</v>
      </c>
      <c r="E570" s="6" t="s">
        <v>2014</v>
      </c>
      <c r="F570" s="17" t="s">
        <v>3102</v>
      </c>
    </row>
    <row r="571" spans="1:6" x14ac:dyDescent="0.25">
      <c r="A571" s="6" t="str">
        <f t="shared" si="16"/>
        <v>q108_2_northafrica</v>
      </c>
      <c r="B571" s="6" t="str">
        <f t="shared" si="18"/>
        <v>_northafrica</v>
      </c>
      <c r="C571" s="6" t="s">
        <v>335</v>
      </c>
      <c r="D571" s="15" t="s">
        <v>1905</v>
      </c>
      <c r="E571" s="6" t="s">
        <v>2015</v>
      </c>
      <c r="F571" s="17" t="s">
        <v>3103</v>
      </c>
    </row>
    <row r="572" spans="1:6" x14ac:dyDescent="0.25">
      <c r="A572" s="6" t="str">
        <f t="shared" si="16"/>
        <v>q108_3_northafrica</v>
      </c>
      <c r="B572" s="6" t="str">
        <f t="shared" si="18"/>
        <v>_northafrica</v>
      </c>
      <c r="C572" s="6" t="s">
        <v>336</v>
      </c>
      <c r="D572" s="15" t="s">
        <v>1905</v>
      </c>
      <c r="E572" s="6" t="s">
        <v>2016</v>
      </c>
      <c r="F572" s="17" t="s">
        <v>3104</v>
      </c>
    </row>
    <row r="573" spans="1:6" x14ac:dyDescent="0.25">
      <c r="A573" s="6" t="str">
        <f t="shared" si="16"/>
        <v>q108_4_northafrica</v>
      </c>
      <c r="B573" s="6" t="str">
        <f t="shared" si="18"/>
        <v>_northafrica</v>
      </c>
      <c r="C573" s="6" t="s">
        <v>337</v>
      </c>
      <c r="D573" s="15" t="s">
        <v>1905</v>
      </c>
      <c r="E573" s="6" t="s">
        <v>2017</v>
      </c>
      <c r="F573" s="17" t="s">
        <v>3105</v>
      </c>
    </row>
    <row r="574" spans="1:6" x14ac:dyDescent="0.25">
      <c r="A574" s="6" t="str">
        <f t="shared" si="16"/>
        <v>q108_5_northafrica</v>
      </c>
      <c r="B574" s="6" t="str">
        <f t="shared" si="18"/>
        <v>_northafrica</v>
      </c>
      <c r="C574" s="6" t="s">
        <v>338</v>
      </c>
      <c r="D574" s="15" t="s">
        <v>1905</v>
      </c>
      <c r="E574" s="6" t="s">
        <v>2018</v>
      </c>
      <c r="F574" s="17" t="s">
        <v>3106</v>
      </c>
    </row>
    <row r="575" spans="1:6" x14ac:dyDescent="0.25">
      <c r="A575" s="6" t="str">
        <f t="shared" si="16"/>
        <v>q108_6_northafrica</v>
      </c>
      <c r="B575" s="6" t="str">
        <f t="shared" si="18"/>
        <v>_northafrica</v>
      </c>
      <c r="C575" s="6" t="s">
        <v>339</v>
      </c>
      <c r="D575" s="15" t="s">
        <v>1905</v>
      </c>
      <c r="E575" s="6" t="s">
        <v>2019</v>
      </c>
      <c r="F575" s="17" t="s">
        <v>3107</v>
      </c>
    </row>
    <row r="576" spans="1:6" x14ac:dyDescent="0.25">
      <c r="A576" s="6" t="str">
        <f t="shared" si="16"/>
        <v>q10ROW8_hidden_northafrica</v>
      </c>
      <c r="B576" s="6" t="str">
        <f t="shared" si="18"/>
        <v>_northafrica</v>
      </c>
      <c r="C576" s="6" t="s">
        <v>340</v>
      </c>
      <c r="D576" s="15" t="s">
        <v>1905</v>
      </c>
      <c r="E576" s="11" t="s">
        <v>2020</v>
      </c>
      <c r="F576" s="17" t="s">
        <v>3108</v>
      </c>
    </row>
    <row r="577" spans="1:6" x14ac:dyDescent="0.25">
      <c r="A577" s="6" t="str">
        <f t="shared" si="16"/>
        <v>q10COL1_hidden_northafrica</v>
      </c>
      <c r="B577" s="6" t="str">
        <f t="shared" si="18"/>
        <v>_northafrica</v>
      </c>
      <c r="C577" s="6" t="s">
        <v>341</v>
      </c>
      <c r="D577" s="15" t="s">
        <v>1905</v>
      </c>
      <c r="E577" s="11" t="s">
        <v>1953</v>
      </c>
      <c r="F577" s="17" t="s">
        <v>3109</v>
      </c>
    </row>
    <row r="578" spans="1:6" x14ac:dyDescent="0.25">
      <c r="A578" s="6" t="str">
        <f t="shared" si="16"/>
        <v>q10COL2_hidden_northafrica</v>
      </c>
      <c r="B578" s="6" t="str">
        <f t="shared" si="18"/>
        <v>_northafrica</v>
      </c>
      <c r="C578" s="6" t="s">
        <v>342</v>
      </c>
      <c r="D578" s="15" t="s">
        <v>1905</v>
      </c>
      <c r="E578" s="11" t="s">
        <v>1954</v>
      </c>
      <c r="F578" s="17" t="s">
        <v>3110</v>
      </c>
    </row>
    <row r="579" spans="1:6" x14ac:dyDescent="0.25">
      <c r="A579" s="6" t="str">
        <f t="shared" ref="A579:A642" si="19">_xlfn.CONCAT(C579,B579)</f>
        <v>q10COL3_hidden_northafrica</v>
      </c>
      <c r="B579" s="6" t="str">
        <f t="shared" si="18"/>
        <v>_northafrica</v>
      </c>
      <c r="C579" s="6" t="s">
        <v>343</v>
      </c>
      <c r="D579" s="15" t="s">
        <v>1905</v>
      </c>
      <c r="E579" s="11" t="s">
        <v>1955</v>
      </c>
      <c r="F579" s="17" t="s">
        <v>3111</v>
      </c>
    </row>
    <row r="580" spans="1:6" x14ac:dyDescent="0.25">
      <c r="A580" s="6" t="str">
        <f t="shared" si="19"/>
        <v>q10COL4_hidden_northafrica</v>
      </c>
      <c r="B580" s="6" t="str">
        <f t="shared" si="18"/>
        <v>_northafrica</v>
      </c>
      <c r="C580" s="6" t="s">
        <v>344</v>
      </c>
      <c r="D580" s="15" t="s">
        <v>1905</v>
      </c>
      <c r="E580" s="11" t="s">
        <v>1956</v>
      </c>
      <c r="F580" s="17" t="s">
        <v>3112</v>
      </c>
    </row>
    <row r="581" spans="1:6" x14ac:dyDescent="0.25">
      <c r="A581" s="6" t="str">
        <f t="shared" si="19"/>
        <v>q10COL5_hidden_northafrica</v>
      </c>
      <c r="B581" s="6" t="str">
        <f t="shared" si="18"/>
        <v>_northafrica</v>
      </c>
      <c r="C581" s="6" t="s">
        <v>345</v>
      </c>
      <c r="D581" s="15" t="s">
        <v>1905</v>
      </c>
      <c r="E581" s="11" t="s">
        <v>1957</v>
      </c>
      <c r="F581" s="17" t="s">
        <v>3113</v>
      </c>
    </row>
    <row r="582" spans="1:6" x14ac:dyDescent="0.25">
      <c r="A582" s="6" t="str">
        <f t="shared" si="19"/>
        <v>q10COL6_hidden_northafrica</v>
      </c>
      <c r="B582" s="6" t="str">
        <f t="shared" si="18"/>
        <v>_northafrica</v>
      </c>
      <c r="C582" s="6" t="s">
        <v>346</v>
      </c>
      <c r="D582" s="15" t="s">
        <v>1905</v>
      </c>
      <c r="E582" s="11" t="s">
        <v>1958</v>
      </c>
      <c r="F582" s="17" t="s">
        <v>3114</v>
      </c>
    </row>
    <row r="583" spans="1:6" x14ac:dyDescent="0.25">
      <c r="A583" s="6" t="str">
        <f t="shared" si="19"/>
        <v>q10GRANDTotal_hidden_northafrica</v>
      </c>
      <c r="B583" s="6" t="str">
        <f t="shared" si="18"/>
        <v>_northafrica</v>
      </c>
      <c r="C583" s="6" t="s">
        <v>347</v>
      </c>
      <c r="D583" s="15" t="s">
        <v>1905</v>
      </c>
      <c r="E583" s="11" t="s">
        <v>2069</v>
      </c>
      <c r="F583" s="17" t="s">
        <v>3115</v>
      </c>
    </row>
    <row r="584" spans="1:6" x14ac:dyDescent="0.25">
      <c r="A584" s="6" t="str">
        <f t="shared" si="19"/>
        <v>_northafrica</v>
      </c>
      <c r="B584" s="6" t="str">
        <f t="shared" ref="B584:B615" si="20">B583</f>
        <v>_northafrica</v>
      </c>
      <c r="C584" s="9"/>
      <c r="D584" s="9"/>
      <c r="E584" s="12" t="s">
        <v>2079</v>
      </c>
      <c r="F584" s="6">
        <f>VLOOKUP(E584,'[3]Full Data-Map'!$C:$D,2,FALSE)</f>
        <v>19</v>
      </c>
    </row>
    <row r="585" spans="1:6" x14ac:dyDescent="0.25">
      <c r="A585" s="6" t="str">
        <f t="shared" si="19"/>
        <v>q111_1_northafrica</v>
      </c>
      <c r="B585" s="6" t="str">
        <f t="shared" si="20"/>
        <v>_northafrica</v>
      </c>
      <c r="C585" s="6" t="s">
        <v>348</v>
      </c>
      <c r="D585" s="15" t="s">
        <v>1905</v>
      </c>
      <c r="E585" s="6" t="s">
        <v>2030</v>
      </c>
      <c r="F585" s="17" t="s">
        <v>3116</v>
      </c>
    </row>
    <row r="586" spans="1:6" x14ac:dyDescent="0.25">
      <c r="A586" s="6" t="str">
        <f t="shared" si="19"/>
        <v>q111_2_northafrica</v>
      </c>
      <c r="B586" s="6" t="str">
        <f t="shared" si="20"/>
        <v>_northafrica</v>
      </c>
      <c r="C586" s="6" t="s">
        <v>349</v>
      </c>
      <c r="D586" s="15" t="s">
        <v>1905</v>
      </c>
      <c r="E586" s="6" t="s">
        <v>2031</v>
      </c>
      <c r="F586" s="17" t="s">
        <v>3117</v>
      </c>
    </row>
    <row r="587" spans="1:6" x14ac:dyDescent="0.25">
      <c r="A587" s="6" t="str">
        <f t="shared" si="19"/>
        <v>q111_3_northafrica</v>
      </c>
      <c r="B587" s="6" t="str">
        <f t="shared" si="20"/>
        <v>_northafrica</v>
      </c>
      <c r="C587" s="6" t="s">
        <v>350</v>
      </c>
      <c r="D587" s="15" t="s">
        <v>1905</v>
      </c>
      <c r="E587" s="6" t="s">
        <v>2032</v>
      </c>
      <c r="F587" s="17" t="s">
        <v>3118</v>
      </c>
    </row>
    <row r="588" spans="1:6" x14ac:dyDescent="0.25">
      <c r="A588" s="6" t="str">
        <f t="shared" si="19"/>
        <v>q111_4_northafrica</v>
      </c>
      <c r="B588" s="6" t="str">
        <f t="shared" si="20"/>
        <v>_northafrica</v>
      </c>
      <c r="C588" s="6" t="s">
        <v>351</v>
      </c>
      <c r="D588" s="15" t="s">
        <v>1905</v>
      </c>
      <c r="E588" s="6" t="s">
        <v>2033</v>
      </c>
      <c r="F588" s="17" t="s">
        <v>3119</v>
      </c>
    </row>
    <row r="589" spans="1:6" x14ac:dyDescent="0.25">
      <c r="A589" s="6" t="str">
        <f t="shared" si="19"/>
        <v>q111_5_northafrica</v>
      </c>
      <c r="B589" s="6" t="str">
        <f t="shared" si="20"/>
        <v>_northafrica</v>
      </c>
      <c r="C589" s="6" t="s">
        <v>352</v>
      </c>
      <c r="D589" s="15" t="s">
        <v>1905</v>
      </c>
      <c r="E589" s="6" t="s">
        <v>2034</v>
      </c>
      <c r="F589" s="17" t="s">
        <v>3120</v>
      </c>
    </row>
    <row r="590" spans="1:6" x14ac:dyDescent="0.25">
      <c r="A590" s="6" t="str">
        <f t="shared" si="19"/>
        <v>q111_6_northafrica</v>
      </c>
      <c r="B590" s="6" t="str">
        <f t="shared" si="20"/>
        <v>_northafrica</v>
      </c>
      <c r="C590" s="6" t="s">
        <v>353</v>
      </c>
      <c r="D590" s="15" t="s">
        <v>1905</v>
      </c>
      <c r="E590" s="6" t="s">
        <v>2035</v>
      </c>
      <c r="F590" s="17" t="s">
        <v>3121</v>
      </c>
    </row>
    <row r="591" spans="1:6" x14ac:dyDescent="0.25">
      <c r="A591" s="6" t="str">
        <f t="shared" si="19"/>
        <v>q11ROW1_hidden_northafrica</v>
      </c>
      <c r="B591" s="6" t="str">
        <f t="shared" si="20"/>
        <v>_northafrica</v>
      </c>
      <c r="C591" s="6" t="s">
        <v>354</v>
      </c>
      <c r="D591" s="15" t="s">
        <v>1905</v>
      </c>
      <c r="E591" s="11" t="s">
        <v>2071</v>
      </c>
      <c r="F591" s="17" t="s">
        <v>3122</v>
      </c>
    </row>
    <row r="592" spans="1:6" x14ac:dyDescent="0.25">
      <c r="A592" s="6" t="str">
        <f t="shared" si="19"/>
        <v>q112_1_northafrica</v>
      </c>
      <c r="B592" s="6" t="str">
        <f t="shared" si="20"/>
        <v>_northafrica</v>
      </c>
      <c r="C592" s="6" t="s">
        <v>355</v>
      </c>
      <c r="D592" s="15" t="s">
        <v>1905</v>
      </c>
      <c r="E592" s="6" t="s">
        <v>2023</v>
      </c>
      <c r="F592" s="17" t="s">
        <v>3123</v>
      </c>
    </row>
    <row r="593" spans="1:6" x14ac:dyDescent="0.25">
      <c r="A593" s="6" t="str">
        <f t="shared" si="19"/>
        <v>q112_2_northafrica</v>
      </c>
      <c r="B593" s="6" t="str">
        <f t="shared" si="20"/>
        <v>_northafrica</v>
      </c>
      <c r="C593" s="6" t="s">
        <v>356</v>
      </c>
      <c r="D593" s="15" t="s">
        <v>1905</v>
      </c>
      <c r="E593" s="6" t="s">
        <v>2024</v>
      </c>
      <c r="F593" s="17" t="s">
        <v>3124</v>
      </c>
    </row>
    <row r="594" spans="1:6" x14ac:dyDescent="0.25">
      <c r="A594" s="6" t="str">
        <f t="shared" si="19"/>
        <v>q112_3_northafrica</v>
      </c>
      <c r="B594" s="6" t="str">
        <f t="shared" si="20"/>
        <v>_northafrica</v>
      </c>
      <c r="C594" s="6" t="s">
        <v>357</v>
      </c>
      <c r="D594" s="15" t="s">
        <v>1905</v>
      </c>
      <c r="E594" s="6" t="s">
        <v>2025</v>
      </c>
      <c r="F594" s="17" t="s">
        <v>3125</v>
      </c>
    </row>
    <row r="595" spans="1:6" x14ac:dyDescent="0.25">
      <c r="A595" s="6" t="str">
        <f t="shared" si="19"/>
        <v>q112_4_northafrica</v>
      </c>
      <c r="B595" s="6" t="str">
        <f t="shared" si="20"/>
        <v>_northafrica</v>
      </c>
      <c r="C595" s="6" t="s">
        <v>358</v>
      </c>
      <c r="D595" s="15" t="s">
        <v>1905</v>
      </c>
      <c r="E595" s="6" t="s">
        <v>2026</v>
      </c>
      <c r="F595" s="17" t="s">
        <v>3126</v>
      </c>
    </row>
    <row r="596" spans="1:6" x14ac:dyDescent="0.25">
      <c r="A596" s="6" t="str">
        <f t="shared" si="19"/>
        <v>q112_5_northafrica</v>
      </c>
      <c r="B596" s="6" t="str">
        <f t="shared" si="20"/>
        <v>_northafrica</v>
      </c>
      <c r="C596" s="6" t="s">
        <v>359</v>
      </c>
      <c r="D596" s="15" t="s">
        <v>1905</v>
      </c>
      <c r="E596" s="6" t="s">
        <v>2027</v>
      </c>
      <c r="F596" s="17" t="s">
        <v>3127</v>
      </c>
    </row>
    <row r="597" spans="1:6" x14ac:dyDescent="0.25">
      <c r="A597" s="6" t="str">
        <f t="shared" si="19"/>
        <v>q112_6_northafrica</v>
      </c>
      <c r="B597" s="6" t="str">
        <f t="shared" si="20"/>
        <v>_northafrica</v>
      </c>
      <c r="C597" s="6" t="s">
        <v>360</v>
      </c>
      <c r="D597" s="15" t="s">
        <v>1905</v>
      </c>
      <c r="E597" s="6" t="s">
        <v>2028</v>
      </c>
      <c r="F597" s="17" t="s">
        <v>3128</v>
      </c>
    </row>
    <row r="598" spans="1:6" x14ac:dyDescent="0.25">
      <c r="A598" s="6" t="str">
        <f t="shared" si="19"/>
        <v>q11ROW2_hidden_northafrica</v>
      </c>
      <c r="B598" s="6" t="str">
        <f t="shared" si="20"/>
        <v>_northafrica</v>
      </c>
      <c r="C598" s="6" t="s">
        <v>361</v>
      </c>
      <c r="D598" s="15" t="s">
        <v>1905</v>
      </c>
      <c r="E598" s="11" t="s">
        <v>2072</v>
      </c>
      <c r="F598" s="17" t="s">
        <v>3129</v>
      </c>
    </row>
    <row r="599" spans="1:6" x14ac:dyDescent="0.25">
      <c r="A599" s="6" t="str">
        <f t="shared" si="19"/>
        <v>q113_1_northafrica</v>
      </c>
      <c r="B599" s="6" t="str">
        <f t="shared" si="20"/>
        <v>_northafrica</v>
      </c>
      <c r="C599" s="6" t="s">
        <v>362</v>
      </c>
      <c r="D599" s="15" t="s">
        <v>1905</v>
      </c>
      <c r="E599" s="6" t="s">
        <v>2037</v>
      </c>
      <c r="F599" s="17" t="s">
        <v>3130</v>
      </c>
    </row>
    <row r="600" spans="1:6" x14ac:dyDescent="0.25">
      <c r="A600" s="6" t="str">
        <f t="shared" si="19"/>
        <v>q113_2_northafrica</v>
      </c>
      <c r="B600" s="6" t="str">
        <f t="shared" si="20"/>
        <v>_northafrica</v>
      </c>
      <c r="C600" s="6" t="s">
        <v>363</v>
      </c>
      <c r="D600" s="15" t="s">
        <v>1905</v>
      </c>
      <c r="E600" s="6" t="s">
        <v>2038</v>
      </c>
      <c r="F600" s="17" t="s">
        <v>3131</v>
      </c>
    </row>
    <row r="601" spans="1:6" x14ac:dyDescent="0.25">
      <c r="A601" s="6" t="str">
        <f t="shared" si="19"/>
        <v>q113_3_northafrica</v>
      </c>
      <c r="B601" s="6" t="str">
        <f t="shared" si="20"/>
        <v>_northafrica</v>
      </c>
      <c r="C601" s="6" t="s">
        <v>364</v>
      </c>
      <c r="D601" s="15" t="s">
        <v>1905</v>
      </c>
      <c r="E601" s="6" t="s">
        <v>2039</v>
      </c>
      <c r="F601" s="17" t="s">
        <v>3132</v>
      </c>
    </row>
    <row r="602" spans="1:6" x14ac:dyDescent="0.25">
      <c r="A602" s="6" t="str">
        <f t="shared" si="19"/>
        <v>q113_4_northafrica</v>
      </c>
      <c r="B602" s="6" t="str">
        <f t="shared" si="20"/>
        <v>_northafrica</v>
      </c>
      <c r="C602" s="6" t="s">
        <v>365</v>
      </c>
      <c r="D602" s="15" t="s">
        <v>1905</v>
      </c>
      <c r="E602" s="6" t="s">
        <v>2040</v>
      </c>
      <c r="F602" s="17" t="s">
        <v>3133</v>
      </c>
    </row>
    <row r="603" spans="1:6" x14ac:dyDescent="0.25">
      <c r="A603" s="6" t="str">
        <f t="shared" si="19"/>
        <v>q113_5_northafrica</v>
      </c>
      <c r="B603" s="6" t="str">
        <f t="shared" si="20"/>
        <v>_northafrica</v>
      </c>
      <c r="C603" s="6" t="s">
        <v>366</v>
      </c>
      <c r="D603" s="15" t="s">
        <v>1905</v>
      </c>
      <c r="E603" s="6" t="s">
        <v>2041</v>
      </c>
      <c r="F603" s="17" t="s">
        <v>3134</v>
      </c>
    </row>
    <row r="604" spans="1:6" x14ac:dyDescent="0.25">
      <c r="A604" s="6" t="str">
        <f t="shared" si="19"/>
        <v>q113_6_northafrica</v>
      </c>
      <c r="B604" s="6" t="str">
        <f t="shared" si="20"/>
        <v>_northafrica</v>
      </c>
      <c r="C604" s="6" t="s">
        <v>367</v>
      </c>
      <c r="D604" s="15" t="s">
        <v>1905</v>
      </c>
      <c r="E604" s="6" t="s">
        <v>2042</v>
      </c>
      <c r="F604" s="17" t="s">
        <v>3135</v>
      </c>
    </row>
    <row r="605" spans="1:6" x14ac:dyDescent="0.25">
      <c r="A605" s="6" t="str">
        <f t="shared" si="19"/>
        <v>q11ROW3_hidden_northafrica</v>
      </c>
      <c r="B605" s="6" t="str">
        <f t="shared" si="20"/>
        <v>_northafrica</v>
      </c>
      <c r="C605" s="6" t="s">
        <v>368</v>
      </c>
      <c r="D605" s="15" t="s">
        <v>1905</v>
      </c>
      <c r="E605" s="11" t="s">
        <v>2073</v>
      </c>
      <c r="F605" s="17" t="s">
        <v>3136</v>
      </c>
    </row>
    <row r="606" spans="1:6" x14ac:dyDescent="0.25">
      <c r="A606" s="6" t="str">
        <f t="shared" si="19"/>
        <v>q114_1_northafrica</v>
      </c>
      <c r="B606" s="6" t="str">
        <f t="shared" si="20"/>
        <v>_northafrica</v>
      </c>
      <c r="C606" s="6" t="s">
        <v>369</v>
      </c>
      <c r="D606" s="15" t="s">
        <v>1905</v>
      </c>
      <c r="E606" s="6" t="s">
        <v>2044</v>
      </c>
      <c r="F606" s="17" t="s">
        <v>3137</v>
      </c>
    </row>
    <row r="607" spans="1:6" x14ac:dyDescent="0.25">
      <c r="A607" s="6" t="str">
        <f t="shared" si="19"/>
        <v>q114_2_northafrica</v>
      </c>
      <c r="B607" s="6" t="str">
        <f t="shared" si="20"/>
        <v>_northafrica</v>
      </c>
      <c r="C607" s="6" t="s">
        <v>370</v>
      </c>
      <c r="D607" s="15" t="s">
        <v>1905</v>
      </c>
      <c r="E607" s="6" t="s">
        <v>2045</v>
      </c>
      <c r="F607" s="17" t="s">
        <v>3138</v>
      </c>
    </row>
    <row r="608" spans="1:6" x14ac:dyDescent="0.25">
      <c r="A608" s="6" t="str">
        <f t="shared" si="19"/>
        <v>q114_3_northafrica</v>
      </c>
      <c r="B608" s="6" t="str">
        <f t="shared" si="20"/>
        <v>_northafrica</v>
      </c>
      <c r="C608" s="6" t="s">
        <v>371</v>
      </c>
      <c r="D608" s="15" t="s">
        <v>1905</v>
      </c>
      <c r="E608" s="6" t="s">
        <v>2046</v>
      </c>
      <c r="F608" s="17" t="s">
        <v>3139</v>
      </c>
    </row>
    <row r="609" spans="1:6" x14ac:dyDescent="0.25">
      <c r="A609" s="6" t="str">
        <f t="shared" si="19"/>
        <v>q114_4_northafrica</v>
      </c>
      <c r="B609" s="6" t="str">
        <f t="shared" si="20"/>
        <v>_northafrica</v>
      </c>
      <c r="C609" s="6" t="s">
        <v>372</v>
      </c>
      <c r="D609" s="15" t="s">
        <v>1905</v>
      </c>
      <c r="E609" s="6" t="s">
        <v>2047</v>
      </c>
      <c r="F609" s="17" t="s">
        <v>3140</v>
      </c>
    </row>
    <row r="610" spans="1:6" x14ac:dyDescent="0.25">
      <c r="A610" s="6" t="str">
        <f t="shared" si="19"/>
        <v>q114_5_northafrica</v>
      </c>
      <c r="B610" s="6" t="str">
        <f t="shared" si="20"/>
        <v>_northafrica</v>
      </c>
      <c r="C610" s="6" t="s">
        <v>373</v>
      </c>
      <c r="D610" s="15" t="s">
        <v>1905</v>
      </c>
      <c r="E610" s="6" t="s">
        <v>2048</v>
      </c>
      <c r="F610" s="17" t="s">
        <v>3141</v>
      </c>
    </row>
    <row r="611" spans="1:6" x14ac:dyDescent="0.25">
      <c r="A611" s="6" t="str">
        <f t="shared" si="19"/>
        <v>q114_6_northafrica</v>
      </c>
      <c r="B611" s="6" t="str">
        <f t="shared" si="20"/>
        <v>_northafrica</v>
      </c>
      <c r="C611" s="6" t="s">
        <v>374</v>
      </c>
      <c r="D611" s="15" t="s">
        <v>1905</v>
      </c>
      <c r="E611" s="6" t="s">
        <v>2049</v>
      </c>
      <c r="F611" s="17" t="s">
        <v>3142</v>
      </c>
    </row>
    <row r="612" spans="1:6" x14ac:dyDescent="0.25">
      <c r="A612" s="6" t="str">
        <f t="shared" si="19"/>
        <v>q11ROW4_hidden_northafrica</v>
      </c>
      <c r="B612" s="6" t="str">
        <f t="shared" si="20"/>
        <v>_northafrica</v>
      </c>
      <c r="C612" s="6" t="s">
        <v>375</v>
      </c>
      <c r="D612" s="15" t="s">
        <v>1905</v>
      </c>
      <c r="E612" s="11" t="s">
        <v>2074</v>
      </c>
      <c r="F612" s="17" t="s">
        <v>3143</v>
      </c>
    </row>
    <row r="613" spans="1:6" x14ac:dyDescent="0.25">
      <c r="A613" s="6" t="str">
        <f t="shared" si="19"/>
        <v>q115_1_northafrica</v>
      </c>
      <c r="B613" s="6" t="str">
        <f t="shared" si="20"/>
        <v>_northafrica</v>
      </c>
      <c r="C613" s="6" t="s">
        <v>376</v>
      </c>
      <c r="D613" s="15" t="s">
        <v>1905</v>
      </c>
      <c r="E613" s="6" t="s">
        <v>2051</v>
      </c>
      <c r="F613" s="17" t="s">
        <v>3144</v>
      </c>
    </row>
    <row r="614" spans="1:6" x14ac:dyDescent="0.25">
      <c r="A614" s="6" t="str">
        <f t="shared" si="19"/>
        <v>q115_2_northafrica</v>
      </c>
      <c r="B614" s="6" t="str">
        <f t="shared" si="20"/>
        <v>_northafrica</v>
      </c>
      <c r="C614" s="6" t="s">
        <v>377</v>
      </c>
      <c r="D614" s="15" t="s">
        <v>1905</v>
      </c>
      <c r="E614" s="6" t="s">
        <v>2052</v>
      </c>
      <c r="F614" s="17" t="s">
        <v>3145</v>
      </c>
    </row>
    <row r="615" spans="1:6" x14ac:dyDescent="0.25">
      <c r="A615" s="6" t="str">
        <f t="shared" si="19"/>
        <v>q115_3_northafrica</v>
      </c>
      <c r="B615" s="6" t="str">
        <f t="shared" si="20"/>
        <v>_northafrica</v>
      </c>
      <c r="C615" s="6" t="s">
        <v>378</v>
      </c>
      <c r="D615" s="15" t="s">
        <v>1905</v>
      </c>
      <c r="E615" s="6" t="s">
        <v>2053</v>
      </c>
      <c r="F615" s="17" t="s">
        <v>3146</v>
      </c>
    </row>
    <row r="616" spans="1:6" x14ac:dyDescent="0.25">
      <c r="A616" s="6" t="str">
        <f t="shared" si="19"/>
        <v>q115_4_northafrica</v>
      </c>
      <c r="B616" s="6" t="str">
        <f t="shared" ref="B616:B626" si="21">B615</f>
        <v>_northafrica</v>
      </c>
      <c r="C616" s="6" t="s">
        <v>379</v>
      </c>
      <c r="D616" s="15" t="s">
        <v>1905</v>
      </c>
      <c r="E616" s="6" t="s">
        <v>2054</v>
      </c>
      <c r="F616" s="17" t="s">
        <v>3147</v>
      </c>
    </row>
    <row r="617" spans="1:6" x14ac:dyDescent="0.25">
      <c r="A617" s="6" t="str">
        <f t="shared" si="19"/>
        <v>q115_5_northafrica</v>
      </c>
      <c r="B617" s="6" t="str">
        <f t="shared" si="21"/>
        <v>_northafrica</v>
      </c>
      <c r="C617" s="6" t="s">
        <v>380</v>
      </c>
      <c r="D617" s="15" t="s">
        <v>1905</v>
      </c>
      <c r="E617" s="6" t="s">
        <v>2055</v>
      </c>
      <c r="F617" s="17" t="s">
        <v>3148</v>
      </c>
    </row>
    <row r="618" spans="1:6" x14ac:dyDescent="0.25">
      <c r="A618" s="6" t="str">
        <f t="shared" si="19"/>
        <v>q115_6_northafrica</v>
      </c>
      <c r="B618" s="6" t="str">
        <f t="shared" si="21"/>
        <v>_northafrica</v>
      </c>
      <c r="C618" s="6" t="s">
        <v>381</v>
      </c>
      <c r="D618" s="15" t="s">
        <v>1905</v>
      </c>
      <c r="E618" s="6" t="s">
        <v>2056</v>
      </c>
      <c r="F618" s="17" t="s">
        <v>3149</v>
      </c>
    </row>
    <row r="619" spans="1:6" x14ac:dyDescent="0.25">
      <c r="A619" s="6" t="str">
        <f t="shared" si="19"/>
        <v>q11ROW5_hidden_northafrica</v>
      </c>
      <c r="B619" s="6" t="str">
        <f t="shared" si="21"/>
        <v>_northafrica</v>
      </c>
      <c r="C619" s="6" t="s">
        <v>382</v>
      </c>
      <c r="D619" s="15" t="s">
        <v>1905</v>
      </c>
      <c r="E619" s="11" t="s">
        <v>2057</v>
      </c>
      <c r="F619" s="17" t="s">
        <v>3150</v>
      </c>
    </row>
    <row r="620" spans="1:6" x14ac:dyDescent="0.25">
      <c r="A620" s="6" t="str">
        <f t="shared" si="19"/>
        <v>q11COL1_hidden_northafrica</v>
      </c>
      <c r="B620" s="6" t="str">
        <f t="shared" si="21"/>
        <v>_northafrica</v>
      </c>
      <c r="C620" s="6" t="s">
        <v>383</v>
      </c>
      <c r="D620" s="15" t="s">
        <v>1905</v>
      </c>
      <c r="E620" s="11" t="s">
        <v>1953</v>
      </c>
      <c r="F620" s="17" t="s">
        <v>3151</v>
      </c>
    </row>
    <row r="621" spans="1:6" x14ac:dyDescent="0.25">
      <c r="A621" s="6" t="str">
        <f t="shared" si="19"/>
        <v>q11COL2_hidden_northafrica</v>
      </c>
      <c r="B621" s="6" t="str">
        <f t="shared" si="21"/>
        <v>_northafrica</v>
      </c>
      <c r="C621" s="6" t="s">
        <v>384</v>
      </c>
      <c r="D621" s="15" t="s">
        <v>1905</v>
      </c>
      <c r="E621" s="11" t="s">
        <v>1954</v>
      </c>
      <c r="F621" s="17" t="s">
        <v>3152</v>
      </c>
    </row>
    <row r="622" spans="1:6" x14ac:dyDescent="0.25">
      <c r="A622" s="6" t="str">
        <f t="shared" si="19"/>
        <v>q11COL3_hidden_northafrica</v>
      </c>
      <c r="B622" s="6" t="str">
        <f t="shared" si="21"/>
        <v>_northafrica</v>
      </c>
      <c r="C622" s="6" t="s">
        <v>385</v>
      </c>
      <c r="D622" s="15" t="s">
        <v>1905</v>
      </c>
      <c r="E622" s="11" t="s">
        <v>1955</v>
      </c>
      <c r="F622" s="17" t="s">
        <v>3153</v>
      </c>
    </row>
    <row r="623" spans="1:6" x14ac:dyDescent="0.25">
      <c r="A623" s="6" t="str">
        <f t="shared" si="19"/>
        <v>q11COL4_hidden_northafrica</v>
      </c>
      <c r="B623" s="6" t="str">
        <f t="shared" si="21"/>
        <v>_northafrica</v>
      </c>
      <c r="C623" s="6" t="s">
        <v>386</v>
      </c>
      <c r="D623" s="15" t="s">
        <v>1905</v>
      </c>
      <c r="E623" s="11" t="s">
        <v>1956</v>
      </c>
      <c r="F623" s="17" t="s">
        <v>3154</v>
      </c>
    </row>
    <row r="624" spans="1:6" x14ac:dyDescent="0.25">
      <c r="A624" s="6" t="str">
        <f t="shared" si="19"/>
        <v>q11COL5_hidden_northafrica</v>
      </c>
      <c r="B624" s="6" t="str">
        <f t="shared" si="21"/>
        <v>_northafrica</v>
      </c>
      <c r="C624" s="6" t="s">
        <v>387</v>
      </c>
      <c r="D624" s="15" t="s">
        <v>1905</v>
      </c>
      <c r="E624" s="11" t="s">
        <v>1957</v>
      </c>
      <c r="F624" s="17" t="s">
        <v>3155</v>
      </c>
    </row>
    <row r="625" spans="1:6" x14ac:dyDescent="0.25">
      <c r="A625" s="6" t="str">
        <f t="shared" si="19"/>
        <v>q11COL6_hidden_northafrica</v>
      </c>
      <c r="B625" s="6" t="str">
        <f t="shared" si="21"/>
        <v>_northafrica</v>
      </c>
      <c r="C625" s="6" t="s">
        <v>388</v>
      </c>
      <c r="D625" s="15" t="s">
        <v>1905</v>
      </c>
      <c r="E625" s="11" t="s">
        <v>1958</v>
      </c>
      <c r="F625" s="17" t="s">
        <v>3156</v>
      </c>
    </row>
    <row r="626" spans="1:6" x14ac:dyDescent="0.25">
      <c r="A626" s="6" t="str">
        <f t="shared" si="19"/>
        <v>q11GRANDTotal_hidden_northafrica</v>
      </c>
      <c r="B626" s="6" t="str">
        <f t="shared" si="21"/>
        <v>_northafrica</v>
      </c>
      <c r="C626" s="6" t="s">
        <v>389</v>
      </c>
      <c r="D626" s="15" t="s">
        <v>1905</v>
      </c>
      <c r="E626" s="11" t="s">
        <v>2075</v>
      </c>
      <c r="F626" s="17" t="s">
        <v>3157</v>
      </c>
    </row>
    <row r="627" spans="1:6" x14ac:dyDescent="0.25">
      <c r="A627" s="6" t="str">
        <f t="shared" si="19"/>
        <v>Global_global</v>
      </c>
      <c r="B627" s="6" t="s">
        <v>2090</v>
      </c>
      <c r="C627" s="13" t="s">
        <v>392</v>
      </c>
      <c r="D627" s="14"/>
      <c r="E627" s="12" t="s">
        <v>2080</v>
      </c>
      <c r="F627" s="6">
        <f>VLOOKUP(E627,'[3]Full Data-Map'!$C:$D,2,FALSE)</f>
        <v>20</v>
      </c>
    </row>
    <row r="628" spans="1:6" x14ac:dyDescent="0.25">
      <c r="A628" s="6" t="str">
        <f t="shared" si="19"/>
        <v>q101_1_global</v>
      </c>
      <c r="B628" s="6" t="str">
        <f t="shared" ref="B628:B659" si="22">B627</f>
        <v>_global</v>
      </c>
      <c r="C628" s="6" t="s">
        <v>284</v>
      </c>
      <c r="D628" s="15" t="s">
        <v>1905</v>
      </c>
      <c r="E628" s="6" t="s">
        <v>1965</v>
      </c>
      <c r="F628" s="17" t="s">
        <v>3158</v>
      </c>
    </row>
    <row r="629" spans="1:6" x14ac:dyDescent="0.25">
      <c r="A629" s="6" t="str">
        <f t="shared" si="19"/>
        <v>q101_2_global</v>
      </c>
      <c r="B629" s="6" t="str">
        <f t="shared" si="22"/>
        <v>_global</v>
      </c>
      <c r="C629" s="6" t="s">
        <v>285</v>
      </c>
      <c r="D629" s="15" t="s">
        <v>1905</v>
      </c>
      <c r="E629" s="6" t="s">
        <v>1966</v>
      </c>
      <c r="F629" s="17" t="s">
        <v>3159</v>
      </c>
    </row>
    <row r="630" spans="1:6" x14ac:dyDescent="0.25">
      <c r="A630" s="6" t="str">
        <f t="shared" si="19"/>
        <v>q101_3_global</v>
      </c>
      <c r="B630" s="6" t="str">
        <f t="shared" si="22"/>
        <v>_global</v>
      </c>
      <c r="C630" s="6" t="s">
        <v>286</v>
      </c>
      <c r="D630" s="15" t="s">
        <v>1905</v>
      </c>
      <c r="E630" s="6" t="s">
        <v>1967</v>
      </c>
      <c r="F630" s="17" t="s">
        <v>3160</v>
      </c>
    </row>
    <row r="631" spans="1:6" x14ac:dyDescent="0.25">
      <c r="A631" s="6" t="str">
        <f t="shared" si="19"/>
        <v>q101_4_global</v>
      </c>
      <c r="B631" s="6" t="str">
        <f t="shared" si="22"/>
        <v>_global</v>
      </c>
      <c r="C631" s="6" t="s">
        <v>287</v>
      </c>
      <c r="D631" s="15" t="s">
        <v>1905</v>
      </c>
      <c r="E631" s="6" t="s">
        <v>1968</v>
      </c>
      <c r="F631" s="17" t="s">
        <v>3161</v>
      </c>
    </row>
    <row r="632" spans="1:6" x14ac:dyDescent="0.25">
      <c r="A632" s="6" t="str">
        <f t="shared" si="19"/>
        <v>q101_5_global</v>
      </c>
      <c r="B632" s="6" t="str">
        <f t="shared" si="22"/>
        <v>_global</v>
      </c>
      <c r="C632" s="6" t="s">
        <v>288</v>
      </c>
      <c r="D632" s="15" t="s">
        <v>1905</v>
      </c>
      <c r="E632" s="6" t="s">
        <v>1969</v>
      </c>
      <c r="F632" s="17" t="s">
        <v>3162</v>
      </c>
    </row>
    <row r="633" spans="1:6" x14ac:dyDescent="0.25">
      <c r="A633" s="6" t="str">
        <f t="shared" si="19"/>
        <v>q101_6_global</v>
      </c>
      <c r="B633" s="6" t="str">
        <f t="shared" si="22"/>
        <v>_global</v>
      </c>
      <c r="C633" s="6" t="s">
        <v>289</v>
      </c>
      <c r="D633" s="15" t="s">
        <v>1905</v>
      </c>
      <c r="E633" s="6" t="s">
        <v>1970</v>
      </c>
      <c r="F633" s="17" t="s">
        <v>3163</v>
      </c>
    </row>
    <row r="634" spans="1:6" x14ac:dyDescent="0.25">
      <c r="A634" s="6" t="str">
        <f t="shared" si="19"/>
        <v>q10ROW1_hidden_global</v>
      </c>
      <c r="B634" s="6" t="str">
        <f t="shared" si="22"/>
        <v>_global</v>
      </c>
      <c r="C634" s="6" t="s">
        <v>290</v>
      </c>
      <c r="D634" s="15" t="s">
        <v>1905</v>
      </c>
      <c r="E634" s="11" t="s">
        <v>1971</v>
      </c>
      <c r="F634" s="17" t="s">
        <v>3164</v>
      </c>
    </row>
    <row r="635" spans="1:6" x14ac:dyDescent="0.25">
      <c r="A635" s="6" t="str">
        <f t="shared" si="19"/>
        <v>q102_1_global</v>
      </c>
      <c r="B635" s="6" t="str">
        <f t="shared" si="22"/>
        <v>_global</v>
      </c>
      <c r="C635" s="6" t="s">
        <v>291</v>
      </c>
      <c r="D635" s="15" t="s">
        <v>1905</v>
      </c>
      <c r="E635" s="6" t="s">
        <v>1972</v>
      </c>
      <c r="F635" s="17" t="s">
        <v>3165</v>
      </c>
    </row>
    <row r="636" spans="1:6" x14ac:dyDescent="0.25">
      <c r="A636" s="6" t="str">
        <f t="shared" si="19"/>
        <v>q102_2_global</v>
      </c>
      <c r="B636" s="6" t="str">
        <f t="shared" si="22"/>
        <v>_global</v>
      </c>
      <c r="C636" s="6" t="s">
        <v>292</v>
      </c>
      <c r="D636" s="15" t="s">
        <v>1905</v>
      </c>
      <c r="E636" s="6" t="s">
        <v>1973</v>
      </c>
      <c r="F636" s="17" t="s">
        <v>3166</v>
      </c>
    </row>
    <row r="637" spans="1:6" x14ac:dyDescent="0.25">
      <c r="A637" s="6" t="str">
        <f t="shared" si="19"/>
        <v>q102_3_global</v>
      </c>
      <c r="B637" s="6" t="str">
        <f t="shared" si="22"/>
        <v>_global</v>
      </c>
      <c r="C637" s="6" t="s">
        <v>293</v>
      </c>
      <c r="D637" s="15" t="s">
        <v>1905</v>
      </c>
      <c r="E637" s="6" t="s">
        <v>1974</v>
      </c>
      <c r="F637" s="17" t="s">
        <v>3167</v>
      </c>
    </row>
    <row r="638" spans="1:6" x14ac:dyDescent="0.25">
      <c r="A638" s="6" t="str">
        <f t="shared" si="19"/>
        <v>q102_4_global</v>
      </c>
      <c r="B638" s="6" t="str">
        <f t="shared" si="22"/>
        <v>_global</v>
      </c>
      <c r="C638" s="6" t="s">
        <v>294</v>
      </c>
      <c r="D638" s="15" t="s">
        <v>1905</v>
      </c>
      <c r="E638" s="6" t="s">
        <v>1975</v>
      </c>
      <c r="F638" s="17" t="s">
        <v>3168</v>
      </c>
    </row>
    <row r="639" spans="1:6" x14ac:dyDescent="0.25">
      <c r="A639" s="6" t="str">
        <f t="shared" si="19"/>
        <v>q102_5_global</v>
      </c>
      <c r="B639" s="6" t="str">
        <f t="shared" si="22"/>
        <v>_global</v>
      </c>
      <c r="C639" s="6" t="s">
        <v>295</v>
      </c>
      <c r="D639" s="15" t="s">
        <v>1905</v>
      </c>
      <c r="E639" s="6" t="s">
        <v>1976</v>
      </c>
      <c r="F639" s="17" t="s">
        <v>3169</v>
      </c>
    </row>
    <row r="640" spans="1:6" x14ac:dyDescent="0.25">
      <c r="A640" s="6" t="str">
        <f t="shared" si="19"/>
        <v>q102_6_global</v>
      </c>
      <c r="B640" s="6" t="str">
        <f t="shared" si="22"/>
        <v>_global</v>
      </c>
      <c r="C640" s="6" t="s">
        <v>296</v>
      </c>
      <c r="D640" s="15" t="s">
        <v>1905</v>
      </c>
      <c r="E640" s="6" t="s">
        <v>1977</v>
      </c>
      <c r="F640" s="17" t="s">
        <v>3170</v>
      </c>
    </row>
    <row r="641" spans="1:6" x14ac:dyDescent="0.25">
      <c r="A641" s="6" t="str">
        <f t="shared" si="19"/>
        <v>q10ROW2_hidden_global</v>
      </c>
      <c r="B641" s="6" t="str">
        <f t="shared" si="22"/>
        <v>_global</v>
      </c>
      <c r="C641" s="6" t="s">
        <v>297</v>
      </c>
      <c r="D641" s="15" t="s">
        <v>1905</v>
      </c>
      <c r="E641" s="11" t="s">
        <v>1978</v>
      </c>
      <c r="F641" s="17" t="s">
        <v>3171</v>
      </c>
    </row>
    <row r="642" spans="1:6" x14ac:dyDescent="0.25">
      <c r="A642" s="6" t="str">
        <f t="shared" si="19"/>
        <v>q103_1_global</v>
      </c>
      <c r="B642" s="6" t="str">
        <f t="shared" si="22"/>
        <v>_global</v>
      </c>
      <c r="C642" s="6" t="s">
        <v>298</v>
      </c>
      <c r="D642" s="15" t="s">
        <v>1905</v>
      </c>
      <c r="E642" s="6" t="s">
        <v>1979</v>
      </c>
      <c r="F642" s="17" t="s">
        <v>3172</v>
      </c>
    </row>
    <row r="643" spans="1:6" x14ac:dyDescent="0.25">
      <c r="A643" s="6" t="str">
        <f t="shared" ref="A643:A706" si="23">_xlfn.CONCAT(C643,B643)</f>
        <v>q103_2_global</v>
      </c>
      <c r="B643" s="6" t="str">
        <f t="shared" si="22"/>
        <v>_global</v>
      </c>
      <c r="C643" s="6" t="s">
        <v>299</v>
      </c>
      <c r="D643" s="15" t="s">
        <v>1905</v>
      </c>
      <c r="E643" s="6" t="s">
        <v>1980</v>
      </c>
      <c r="F643" s="17" t="s">
        <v>3173</v>
      </c>
    </row>
    <row r="644" spans="1:6" x14ac:dyDescent="0.25">
      <c r="A644" s="6" t="str">
        <f t="shared" si="23"/>
        <v>q103_3_global</v>
      </c>
      <c r="B644" s="6" t="str">
        <f t="shared" si="22"/>
        <v>_global</v>
      </c>
      <c r="C644" s="6" t="s">
        <v>300</v>
      </c>
      <c r="D644" s="15" t="s">
        <v>1905</v>
      </c>
      <c r="E644" s="6" t="s">
        <v>1981</v>
      </c>
      <c r="F644" s="17" t="s">
        <v>3174</v>
      </c>
    </row>
    <row r="645" spans="1:6" x14ac:dyDescent="0.25">
      <c r="A645" s="6" t="str">
        <f t="shared" si="23"/>
        <v>q103_4_global</v>
      </c>
      <c r="B645" s="6" t="str">
        <f t="shared" si="22"/>
        <v>_global</v>
      </c>
      <c r="C645" s="6" t="s">
        <v>301</v>
      </c>
      <c r="D645" s="15" t="s">
        <v>1905</v>
      </c>
      <c r="E645" s="6" t="s">
        <v>1982</v>
      </c>
      <c r="F645" s="17" t="s">
        <v>3175</v>
      </c>
    </row>
    <row r="646" spans="1:6" x14ac:dyDescent="0.25">
      <c r="A646" s="6" t="str">
        <f t="shared" si="23"/>
        <v>q103_5_global</v>
      </c>
      <c r="B646" s="6" t="str">
        <f t="shared" si="22"/>
        <v>_global</v>
      </c>
      <c r="C646" s="6" t="s">
        <v>302</v>
      </c>
      <c r="D646" s="15" t="s">
        <v>1905</v>
      </c>
      <c r="E646" s="6" t="s">
        <v>1983</v>
      </c>
      <c r="F646" s="17" t="s">
        <v>3176</v>
      </c>
    </row>
    <row r="647" spans="1:6" x14ac:dyDescent="0.25">
      <c r="A647" s="6" t="str">
        <f t="shared" si="23"/>
        <v>q103_6_global</v>
      </c>
      <c r="B647" s="6" t="str">
        <f t="shared" si="22"/>
        <v>_global</v>
      </c>
      <c r="C647" s="6" t="s">
        <v>303</v>
      </c>
      <c r="D647" s="15" t="s">
        <v>1905</v>
      </c>
      <c r="E647" s="6" t="s">
        <v>1984</v>
      </c>
      <c r="F647" s="17" t="s">
        <v>3177</v>
      </c>
    </row>
    <row r="648" spans="1:6" x14ac:dyDescent="0.25">
      <c r="A648" s="6" t="str">
        <f t="shared" si="23"/>
        <v>q10ROW3_hidden_global</v>
      </c>
      <c r="B648" s="6" t="str">
        <f t="shared" si="22"/>
        <v>_global</v>
      </c>
      <c r="C648" s="6" t="s">
        <v>304</v>
      </c>
      <c r="D648" s="15" t="s">
        <v>1905</v>
      </c>
      <c r="E648" s="11" t="s">
        <v>1985</v>
      </c>
      <c r="F648" s="17" t="s">
        <v>3178</v>
      </c>
    </row>
    <row r="649" spans="1:6" x14ac:dyDescent="0.25">
      <c r="A649" s="6" t="str">
        <f t="shared" si="23"/>
        <v>q104_1_global</v>
      </c>
      <c r="B649" s="6" t="str">
        <f t="shared" si="22"/>
        <v>_global</v>
      </c>
      <c r="C649" s="6" t="s">
        <v>305</v>
      </c>
      <c r="D649" s="15" t="s">
        <v>1905</v>
      </c>
      <c r="E649" s="6" t="s">
        <v>1986</v>
      </c>
      <c r="F649" s="17" t="s">
        <v>3179</v>
      </c>
    </row>
    <row r="650" spans="1:6" x14ac:dyDescent="0.25">
      <c r="A650" s="6" t="str">
        <f t="shared" si="23"/>
        <v>q104_2_global</v>
      </c>
      <c r="B650" s="6" t="str">
        <f t="shared" si="22"/>
        <v>_global</v>
      </c>
      <c r="C650" s="6" t="s">
        <v>306</v>
      </c>
      <c r="D650" s="15" t="s">
        <v>1905</v>
      </c>
      <c r="E650" s="6" t="s">
        <v>1987</v>
      </c>
      <c r="F650" s="17" t="s">
        <v>3180</v>
      </c>
    </row>
    <row r="651" spans="1:6" x14ac:dyDescent="0.25">
      <c r="A651" s="6" t="str">
        <f t="shared" si="23"/>
        <v>q104_3_global</v>
      </c>
      <c r="B651" s="6" t="str">
        <f t="shared" si="22"/>
        <v>_global</v>
      </c>
      <c r="C651" s="6" t="s">
        <v>307</v>
      </c>
      <c r="D651" s="15" t="s">
        <v>1905</v>
      </c>
      <c r="E651" s="6" t="s">
        <v>1988</v>
      </c>
      <c r="F651" s="17" t="s">
        <v>3181</v>
      </c>
    </row>
    <row r="652" spans="1:6" x14ac:dyDescent="0.25">
      <c r="A652" s="6" t="str">
        <f t="shared" si="23"/>
        <v>q104_4_global</v>
      </c>
      <c r="B652" s="6" t="str">
        <f t="shared" si="22"/>
        <v>_global</v>
      </c>
      <c r="C652" s="6" t="s">
        <v>308</v>
      </c>
      <c r="D652" s="15" t="s">
        <v>1905</v>
      </c>
      <c r="E652" s="6" t="s">
        <v>1989</v>
      </c>
      <c r="F652" s="17" t="s">
        <v>3182</v>
      </c>
    </row>
    <row r="653" spans="1:6" x14ac:dyDescent="0.25">
      <c r="A653" s="6" t="str">
        <f t="shared" si="23"/>
        <v>q104_5_global</v>
      </c>
      <c r="B653" s="6" t="str">
        <f t="shared" si="22"/>
        <v>_global</v>
      </c>
      <c r="C653" s="6" t="s">
        <v>309</v>
      </c>
      <c r="D653" s="15" t="s">
        <v>1905</v>
      </c>
      <c r="E653" s="6" t="s">
        <v>1990</v>
      </c>
      <c r="F653" s="17" t="s">
        <v>3183</v>
      </c>
    </row>
    <row r="654" spans="1:6" x14ac:dyDescent="0.25">
      <c r="A654" s="6" t="str">
        <f t="shared" si="23"/>
        <v>q104_6_global</v>
      </c>
      <c r="B654" s="6" t="str">
        <f t="shared" si="22"/>
        <v>_global</v>
      </c>
      <c r="C654" s="6" t="s">
        <v>310</v>
      </c>
      <c r="D654" s="15" t="s">
        <v>1905</v>
      </c>
      <c r="E654" s="6" t="s">
        <v>1991</v>
      </c>
      <c r="F654" s="17" t="s">
        <v>3184</v>
      </c>
    </row>
    <row r="655" spans="1:6" x14ac:dyDescent="0.25">
      <c r="A655" s="6" t="str">
        <f t="shared" si="23"/>
        <v>q10ROW4_hidden_global</v>
      </c>
      <c r="B655" s="6" t="str">
        <f t="shared" si="22"/>
        <v>_global</v>
      </c>
      <c r="C655" s="6" t="s">
        <v>311</v>
      </c>
      <c r="D655" s="15" t="s">
        <v>1905</v>
      </c>
      <c r="E655" s="11" t="s">
        <v>1992</v>
      </c>
      <c r="F655" s="17" t="s">
        <v>3185</v>
      </c>
    </row>
    <row r="656" spans="1:6" x14ac:dyDescent="0.25">
      <c r="A656" s="6" t="str">
        <f t="shared" si="23"/>
        <v>q105_1_global</v>
      </c>
      <c r="B656" s="6" t="str">
        <f t="shared" si="22"/>
        <v>_global</v>
      </c>
      <c r="C656" s="6" t="s">
        <v>312</v>
      </c>
      <c r="D656" s="15" t="s">
        <v>1905</v>
      </c>
      <c r="E656" s="6" t="s">
        <v>1993</v>
      </c>
      <c r="F656" s="17" t="s">
        <v>3186</v>
      </c>
    </row>
    <row r="657" spans="1:6" x14ac:dyDescent="0.25">
      <c r="A657" s="6" t="str">
        <f t="shared" si="23"/>
        <v>q105_2_global</v>
      </c>
      <c r="B657" s="6" t="str">
        <f t="shared" si="22"/>
        <v>_global</v>
      </c>
      <c r="C657" s="6" t="s">
        <v>313</v>
      </c>
      <c r="D657" s="15" t="s">
        <v>1905</v>
      </c>
      <c r="E657" s="6" t="s">
        <v>1994</v>
      </c>
      <c r="F657" s="17" t="s">
        <v>3187</v>
      </c>
    </row>
    <row r="658" spans="1:6" x14ac:dyDescent="0.25">
      <c r="A658" s="6" t="str">
        <f t="shared" si="23"/>
        <v>q105_3_global</v>
      </c>
      <c r="B658" s="6" t="str">
        <f t="shared" si="22"/>
        <v>_global</v>
      </c>
      <c r="C658" s="6" t="s">
        <v>314</v>
      </c>
      <c r="D658" s="15" t="s">
        <v>1905</v>
      </c>
      <c r="E658" s="6" t="s">
        <v>1995</v>
      </c>
      <c r="F658" s="17" t="s">
        <v>3188</v>
      </c>
    </row>
    <row r="659" spans="1:6" x14ac:dyDescent="0.25">
      <c r="A659" s="6" t="str">
        <f t="shared" si="23"/>
        <v>q105_4_global</v>
      </c>
      <c r="B659" s="6" t="str">
        <f t="shared" si="22"/>
        <v>_global</v>
      </c>
      <c r="C659" s="6" t="s">
        <v>315</v>
      </c>
      <c r="D659" s="15" t="s">
        <v>1905</v>
      </c>
      <c r="E659" s="6" t="s">
        <v>1996</v>
      </c>
      <c r="F659" s="17" t="s">
        <v>3189</v>
      </c>
    </row>
    <row r="660" spans="1:6" x14ac:dyDescent="0.25">
      <c r="A660" s="6" t="str">
        <f t="shared" si="23"/>
        <v>q105_5_global</v>
      </c>
      <c r="B660" s="6" t="str">
        <f t="shared" ref="B660:B691" si="24">B659</f>
        <v>_global</v>
      </c>
      <c r="C660" s="6" t="s">
        <v>316</v>
      </c>
      <c r="D660" s="15" t="s">
        <v>1905</v>
      </c>
      <c r="E660" s="6" t="s">
        <v>1997</v>
      </c>
      <c r="F660" s="17" t="s">
        <v>3190</v>
      </c>
    </row>
    <row r="661" spans="1:6" x14ac:dyDescent="0.25">
      <c r="A661" s="6" t="str">
        <f t="shared" si="23"/>
        <v>q105_6_global</v>
      </c>
      <c r="B661" s="6" t="str">
        <f t="shared" si="24"/>
        <v>_global</v>
      </c>
      <c r="C661" s="6" t="s">
        <v>317</v>
      </c>
      <c r="D661" s="15" t="s">
        <v>1905</v>
      </c>
      <c r="E661" s="6" t="s">
        <v>1998</v>
      </c>
      <c r="F661" s="17" t="s">
        <v>3191</v>
      </c>
    </row>
    <row r="662" spans="1:6" x14ac:dyDescent="0.25">
      <c r="A662" s="6" t="str">
        <f t="shared" si="23"/>
        <v>q10ROW5_hidden_global</v>
      </c>
      <c r="B662" s="6" t="str">
        <f t="shared" si="24"/>
        <v>_global</v>
      </c>
      <c r="C662" s="6" t="s">
        <v>318</v>
      </c>
      <c r="D662" s="15" t="s">
        <v>1905</v>
      </c>
      <c r="E662" s="11" t="s">
        <v>1999</v>
      </c>
      <c r="F662" s="17" t="s">
        <v>3192</v>
      </c>
    </row>
    <row r="663" spans="1:6" x14ac:dyDescent="0.25">
      <c r="A663" s="6" t="str">
        <f t="shared" si="23"/>
        <v>q106_1_global</v>
      </c>
      <c r="B663" s="6" t="str">
        <f t="shared" si="24"/>
        <v>_global</v>
      </c>
      <c r="C663" s="6" t="s">
        <v>319</v>
      </c>
      <c r="D663" s="15" t="s">
        <v>1905</v>
      </c>
      <c r="E663" s="6" t="s">
        <v>2000</v>
      </c>
      <c r="F663" s="17" t="s">
        <v>3193</v>
      </c>
    </row>
    <row r="664" spans="1:6" x14ac:dyDescent="0.25">
      <c r="A664" s="6" t="str">
        <f t="shared" si="23"/>
        <v>q106_2_global</v>
      </c>
      <c r="B664" s="6" t="str">
        <f t="shared" si="24"/>
        <v>_global</v>
      </c>
      <c r="C664" s="6" t="s">
        <v>320</v>
      </c>
      <c r="D664" s="15" t="s">
        <v>1905</v>
      </c>
      <c r="E664" s="6" t="s">
        <v>2001</v>
      </c>
      <c r="F664" s="17" t="s">
        <v>3194</v>
      </c>
    </row>
    <row r="665" spans="1:6" x14ac:dyDescent="0.25">
      <c r="A665" s="6" t="str">
        <f t="shared" si="23"/>
        <v>q106_3_global</v>
      </c>
      <c r="B665" s="6" t="str">
        <f t="shared" si="24"/>
        <v>_global</v>
      </c>
      <c r="C665" s="6" t="s">
        <v>321</v>
      </c>
      <c r="D665" s="15" t="s">
        <v>1905</v>
      </c>
      <c r="E665" s="6" t="s">
        <v>2002</v>
      </c>
      <c r="F665" s="17" t="s">
        <v>3195</v>
      </c>
    </row>
    <row r="666" spans="1:6" x14ac:dyDescent="0.25">
      <c r="A666" s="6" t="str">
        <f t="shared" si="23"/>
        <v>q106_4_global</v>
      </c>
      <c r="B666" s="6" t="str">
        <f t="shared" si="24"/>
        <v>_global</v>
      </c>
      <c r="C666" s="6" t="s">
        <v>322</v>
      </c>
      <c r="D666" s="15" t="s">
        <v>1905</v>
      </c>
      <c r="E666" s="6" t="s">
        <v>2003</v>
      </c>
      <c r="F666" s="17" t="s">
        <v>3196</v>
      </c>
    </row>
    <row r="667" spans="1:6" x14ac:dyDescent="0.25">
      <c r="A667" s="6" t="str">
        <f t="shared" si="23"/>
        <v>q106_5_global</v>
      </c>
      <c r="B667" s="6" t="str">
        <f t="shared" si="24"/>
        <v>_global</v>
      </c>
      <c r="C667" s="6" t="s">
        <v>323</v>
      </c>
      <c r="D667" s="15" t="s">
        <v>1905</v>
      </c>
      <c r="E667" s="6" t="s">
        <v>2004</v>
      </c>
      <c r="F667" s="17" t="s">
        <v>3197</v>
      </c>
    </row>
    <row r="668" spans="1:6" x14ac:dyDescent="0.25">
      <c r="A668" s="6" t="str">
        <f t="shared" si="23"/>
        <v>q106_6_global</v>
      </c>
      <c r="B668" s="6" t="str">
        <f t="shared" si="24"/>
        <v>_global</v>
      </c>
      <c r="C668" s="6" t="s">
        <v>324</v>
      </c>
      <c r="D668" s="15" t="s">
        <v>1905</v>
      </c>
      <c r="E668" s="6" t="s">
        <v>2005</v>
      </c>
      <c r="F668" s="17" t="s">
        <v>3198</v>
      </c>
    </row>
    <row r="669" spans="1:6" x14ac:dyDescent="0.25">
      <c r="A669" s="6" t="str">
        <f t="shared" si="23"/>
        <v>q10ROW6_hidden_global</v>
      </c>
      <c r="B669" s="6" t="str">
        <f t="shared" si="24"/>
        <v>_global</v>
      </c>
      <c r="C669" s="6" t="s">
        <v>325</v>
      </c>
      <c r="D669" s="15" t="s">
        <v>1905</v>
      </c>
      <c r="E669" s="11" t="s">
        <v>1957</v>
      </c>
      <c r="F669" s="17" t="s">
        <v>3199</v>
      </c>
    </row>
    <row r="670" spans="1:6" x14ac:dyDescent="0.25">
      <c r="A670" s="6" t="str">
        <f t="shared" si="23"/>
        <v>q107_1_global</v>
      </c>
      <c r="B670" s="6" t="str">
        <f t="shared" si="24"/>
        <v>_global</v>
      </c>
      <c r="C670" s="6" t="s">
        <v>326</v>
      </c>
      <c r="D670" s="15" t="s">
        <v>1905</v>
      </c>
      <c r="E670" s="6" t="s">
        <v>2006</v>
      </c>
      <c r="F670" s="17" t="s">
        <v>3200</v>
      </c>
    </row>
    <row r="671" spans="1:6" x14ac:dyDescent="0.25">
      <c r="A671" s="6" t="str">
        <f t="shared" si="23"/>
        <v>q107_2_global</v>
      </c>
      <c r="B671" s="6" t="str">
        <f t="shared" si="24"/>
        <v>_global</v>
      </c>
      <c r="C671" s="6" t="s">
        <v>327</v>
      </c>
      <c r="D671" s="15" t="s">
        <v>1905</v>
      </c>
      <c r="E671" s="6" t="s">
        <v>2007</v>
      </c>
      <c r="F671" s="17" t="s">
        <v>3201</v>
      </c>
    </row>
    <row r="672" spans="1:6" x14ac:dyDescent="0.25">
      <c r="A672" s="6" t="str">
        <f t="shared" si="23"/>
        <v>q107_3_global</v>
      </c>
      <c r="B672" s="6" t="str">
        <f t="shared" si="24"/>
        <v>_global</v>
      </c>
      <c r="C672" s="6" t="s">
        <v>328</v>
      </c>
      <c r="D672" s="15" t="s">
        <v>1905</v>
      </c>
      <c r="E672" s="6" t="s">
        <v>2008</v>
      </c>
      <c r="F672" s="17" t="s">
        <v>3202</v>
      </c>
    </row>
    <row r="673" spans="1:6" x14ac:dyDescent="0.25">
      <c r="A673" s="6" t="str">
        <f t="shared" si="23"/>
        <v>q107_4_global</v>
      </c>
      <c r="B673" s="6" t="str">
        <f t="shared" si="24"/>
        <v>_global</v>
      </c>
      <c r="C673" s="6" t="s">
        <v>329</v>
      </c>
      <c r="D673" s="15" t="s">
        <v>1905</v>
      </c>
      <c r="E673" s="6" t="s">
        <v>2009</v>
      </c>
      <c r="F673" s="17" t="s">
        <v>3203</v>
      </c>
    </row>
    <row r="674" spans="1:6" x14ac:dyDescent="0.25">
      <c r="A674" s="6" t="str">
        <f t="shared" si="23"/>
        <v>q107_5_global</v>
      </c>
      <c r="B674" s="6" t="str">
        <f t="shared" si="24"/>
        <v>_global</v>
      </c>
      <c r="C674" s="6" t="s">
        <v>330</v>
      </c>
      <c r="D674" s="15" t="s">
        <v>1905</v>
      </c>
      <c r="E674" s="6" t="s">
        <v>2010</v>
      </c>
      <c r="F674" s="17" t="s">
        <v>3204</v>
      </c>
    </row>
    <row r="675" spans="1:6" x14ac:dyDescent="0.25">
      <c r="A675" s="6" t="str">
        <f t="shared" si="23"/>
        <v>q107_6_global</v>
      </c>
      <c r="B675" s="6" t="str">
        <f t="shared" si="24"/>
        <v>_global</v>
      </c>
      <c r="C675" s="6" t="s">
        <v>331</v>
      </c>
      <c r="D675" s="15" t="s">
        <v>1905</v>
      </c>
      <c r="E675" s="6" t="s">
        <v>2011</v>
      </c>
      <c r="F675" s="17" t="s">
        <v>3205</v>
      </c>
    </row>
    <row r="676" spans="1:6" x14ac:dyDescent="0.25">
      <c r="A676" s="6" t="str">
        <f t="shared" si="23"/>
        <v>q10ROW7_hidden_global</v>
      </c>
      <c r="B676" s="6" t="str">
        <f t="shared" si="24"/>
        <v>_global</v>
      </c>
      <c r="C676" s="6" t="s">
        <v>332</v>
      </c>
      <c r="D676" s="15" t="s">
        <v>1905</v>
      </c>
      <c r="E676" s="11" t="s">
        <v>2012</v>
      </c>
      <c r="F676" s="17" t="s">
        <v>3206</v>
      </c>
    </row>
    <row r="677" spans="1:6" x14ac:dyDescent="0.25">
      <c r="A677" s="6" t="str">
        <f t="shared" si="23"/>
        <v>q10other_global</v>
      </c>
      <c r="B677" s="6" t="str">
        <f t="shared" si="24"/>
        <v>_global</v>
      </c>
      <c r="C677" s="6" t="s">
        <v>333</v>
      </c>
      <c r="D677" s="15" t="s">
        <v>1905</v>
      </c>
      <c r="E677" s="6" t="s">
        <v>2013</v>
      </c>
      <c r="F677" s="17" t="s">
        <v>3207</v>
      </c>
    </row>
    <row r="678" spans="1:6" x14ac:dyDescent="0.25">
      <c r="A678" s="6" t="str">
        <f t="shared" si="23"/>
        <v>q108_1_global</v>
      </c>
      <c r="B678" s="6" t="str">
        <f t="shared" si="24"/>
        <v>_global</v>
      </c>
      <c r="C678" s="6" t="s">
        <v>334</v>
      </c>
      <c r="D678" s="15" t="s">
        <v>1905</v>
      </c>
      <c r="E678" s="6" t="s">
        <v>2014</v>
      </c>
      <c r="F678" s="17" t="s">
        <v>3208</v>
      </c>
    </row>
    <row r="679" spans="1:6" x14ac:dyDescent="0.25">
      <c r="A679" s="6" t="str">
        <f t="shared" si="23"/>
        <v>q108_2_global</v>
      </c>
      <c r="B679" s="6" t="str">
        <f t="shared" si="24"/>
        <v>_global</v>
      </c>
      <c r="C679" s="6" t="s">
        <v>335</v>
      </c>
      <c r="D679" s="15" t="s">
        <v>1905</v>
      </c>
      <c r="E679" s="6" t="s">
        <v>2015</v>
      </c>
      <c r="F679" s="17" t="s">
        <v>3209</v>
      </c>
    </row>
    <row r="680" spans="1:6" x14ac:dyDescent="0.25">
      <c r="A680" s="6" t="str">
        <f t="shared" si="23"/>
        <v>q108_3_global</v>
      </c>
      <c r="B680" s="6" t="str">
        <f t="shared" si="24"/>
        <v>_global</v>
      </c>
      <c r="C680" s="6" t="s">
        <v>336</v>
      </c>
      <c r="D680" s="15" t="s">
        <v>1905</v>
      </c>
      <c r="E680" s="6" t="s">
        <v>2016</v>
      </c>
      <c r="F680" s="17" t="s">
        <v>3210</v>
      </c>
    </row>
    <row r="681" spans="1:6" x14ac:dyDescent="0.25">
      <c r="A681" s="6" t="str">
        <f t="shared" si="23"/>
        <v>q108_4_global</v>
      </c>
      <c r="B681" s="6" t="str">
        <f t="shared" si="24"/>
        <v>_global</v>
      </c>
      <c r="C681" s="6" t="s">
        <v>337</v>
      </c>
      <c r="D681" s="15" t="s">
        <v>1905</v>
      </c>
      <c r="E681" s="6" t="s">
        <v>2017</v>
      </c>
      <c r="F681" s="17" t="s">
        <v>3211</v>
      </c>
    </row>
    <row r="682" spans="1:6" x14ac:dyDescent="0.25">
      <c r="A682" s="6" t="str">
        <f t="shared" si="23"/>
        <v>q108_5_global</v>
      </c>
      <c r="B682" s="6" t="str">
        <f t="shared" si="24"/>
        <v>_global</v>
      </c>
      <c r="C682" s="6" t="s">
        <v>338</v>
      </c>
      <c r="D682" s="15" t="s">
        <v>1905</v>
      </c>
      <c r="E682" s="6" t="s">
        <v>2018</v>
      </c>
      <c r="F682" s="17" t="s">
        <v>3212</v>
      </c>
    </row>
    <row r="683" spans="1:6" x14ac:dyDescent="0.25">
      <c r="A683" s="6" t="str">
        <f t="shared" si="23"/>
        <v>q108_6_global</v>
      </c>
      <c r="B683" s="6" t="str">
        <f t="shared" si="24"/>
        <v>_global</v>
      </c>
      <c r="C683" s="6" t="s">
        <v>339</v>
      </c>
      <c r="D683" s="15" t="s">
        <v>1905</v>
      </c>
      <c r="E683" s="6" t="s">
        <v>2019</v>
      </c>
      <c r="F683" s="17" t="s">
        <v>3213</v>
      </c>
    </row>
    <row r="684" spans="1:6" x14ac:dyDescent="0.25">
      <c r="A684" s="6" t="str">
        <f t="shared" si="23"/>
        <v>q10ROW8_hidden_global</v>
      </c>
      <c r="B684" s="6" t="str">
        <f t="shared" si="24"/>
        <v>_global</v>
      </c>
      <c r="C684" s="6" t="s">
        <v>340</v>
      </c>
      <c r="D684" s="15" t="s">
        <v>1905</v>
      </c>
      <c r="E684" s="11" t="s">
        <v>2020</v>
      </c>
      <c r="F684" s="17" t="s">
        <v>3214</v>
      </c>
    </row>
    <row r="685" spans="1:6" x14ac:dyDescent="0.25">
      <c r="A685" s="6" t="str">
        <f t="shared" si="23"/>
        <v>q10COL1_hidden_global</v>
      </c>
      <c r="B685" s="6" t="str">
        <f t="shared" si="24"/>
        <v>_global</v>
      </c>
      <c r="C685" s="6" t="s">
        <v>341</v>
      </c>
      <c r="D685" s="15" t="s">
        <v>1905</v>
      </c>
      <c r="E685" s="11" t="s">
        <v>1953</v>
      </c>
      <c r="F685" s="17" t="s">
        <v>3215</v>
      </c>
    </row>
    <row r="686" spans="1:6" x14ac:dyDescent="0.25">
      <c r="A686" s="6" t="str">
        <f t="shared" si="23"/>
        <v>q10COL2_hidden_global</v>
      </c>
      <c r="B686" s="6" t="str">
        <f t="shared" si="24"/>
        <v>_global</v>
      </c>
      <c r="C686" s="6" t="s">
        <v>342</v>
      </c>
      <c r="D686" s="15" t="s">
        <v>1905</v>
      </c>
      <c r="E686" s="11" t="s">
        <v>1954</v>
      </c>
      <c r="F686" s="17" t="s">
        <v>3216</v>
      </c>
    </row>
    <row r="687" spans="1:6" x14ac:dyDescent="0.25">
      <c r="A687" s="6" t="str">
        <f t="shared" si="23"/>
        <v>q10COL3_hidden_global</v>
      </c>
      <c r="B687" s="6" t="str">
        <f t="shared" si="24"/>
        <v>_global</v>
      </c>
      <c r="C687" s="6" t="s">
        <v>343</v>
      </c>
      <c r="D687" s="15" t="s">
        <v>1905</v>
      </c>
      <c r="E687" s="11" t="s">
        <v>1955</v>
      </c>
      <c r="F687" s="17" t="s">
        <v>3217</v>
      </c>
    </row>
    <row r="688" spans="1:6" x14ac:dyDescent="0.25">
      <c r="A688" s="6" t="str">
        <f t="shared" si="23"/>
        <v>q10COL4_hidden_global</v>
      </c>
      <c r="B688" s="6" t="str">
        <f t="shared" si="24"/>
        <v>_global</v>
      </c>
      <c r="C688" s="6" t="s">
        <v>344</v>
      </c>
      <c r="D688" s="15" t="s">
        <v>1905</v>
      </c>
      <c r="E688" s="11" t="s">
        <v>1956</v>
      </c>
      <c r="F688" s="17" t="s">
        <v>3218</v>
      </c>
    </row>
    <row r="689" spans="1:6" x14ac:dyDescent="0.25">
      <c r="A689" s="6" t="str">
        <f t="shared" si="23"/>
        <v>q10COL5_hidden_global</v>
      </c>
      <c r="B689" s="6" t="str">
        <f t="shared" si="24"/>
        <v>_global</v>
      </c>
      <c r="C689" s="6" t="s">
        <v>345</v>
      </c>
      <c r="D689" s="15" t="s">
        <v>1905</v>
      </c>
      <c r="E689" s="11" t="s">
        <v>1957</v>
      </c>
      <c r="F689" s="17" t="s">
        <v>3219</v>
      </c>
    </row>
    <row r="690" spans="1:6" x14ac:dyDescent="0.25">
      <c r="A690" s="6" t="str">
        <f t="shared" si="23"/>
        <v>q10COL6_hidden_global</v>
      </c>
      <c r="B690" s="6" t="str">
        <f t="shared" si="24"/>
        <v>_global</v>
      </c>
      <c r="C690" s="6" t="s">
        <v>346</v>
      </c>
      <c r="D690" s="15" t="s">
        <v>1905</v>
      </c>
      <c r="E690" s="11" t="s">
        <v>1958</v>
      </c>
      <c r="F690" s="17" t="s">
        <v>3220</v>
      </c>
    </row>
    <row r="691" spans="1:6" x14ac:dyDescent="0.25">
      <c r="A691" s="6" t="str">
        <f t="shared" si="23"/>
        <v>q10GRANDTotal_hidden_global</v>
      </c>
      <c r="B691" s="6" t="str">
        <f t="shared" si="24"/>
        <v>_global</v>
      </c>
      <c r="C691" s="6" t="s">
        <v>347</v>
      </c>
      <c r="D691" s="15" t="s">
        <v>1905</v>
      </c>
      <c r="E691" s="11" t="s">
        <v>2069</v>
      </c>
      <c r="F691" s="17" t="s">
        <v>3221</v>
      </c>
    </row>
    <row r="692" spans="1:6" x14ac:dyDescent="0.25">
      <c r="A692" s="6" t="str">
        <f t="shared" si="23"/>
        <v>_global</v>
      </c>
      <c r="B692" s="6" t="str">
        <f t="shared" ref="B692:B723" si="25">B691</f>
        <v>_global</v>
      </c>
      <c r="C692" s="9"/>
      <c r="D692" s="9"/>
      <c r="E692" s="12" t="s">
        <v>2081</v>
      </c>
      <c r="F692" s="6">
        <f>VLOOKUP(E692,'[3]Full Data-Map'!$C:$D,2,FALSE)</f>
        <v>21</v>
      </c>
    </row>
    <row r="693" spans="1:6" x14ac:dyDescent="0.25">
      <c r="A693" s="6" t="str">
        <f t="shared" si="23"/>
        <v>q111_1_global</v>
      </c>
      <c r="B693" s="6" t="str">
        <f t="shared" si="25"/>
        <v>_global</v>
      </c>
      <c r="C693" s="6" t="s">
        <v>348</v>
      </c>
      <c r="D693" s="15" t="s">
        <v>1905</v>
      </c>
      <c r="E693" s="6" t="s">
        <v>2030</v>
      </c>
      <c r="F693" s="17" t="s">
        <v>3222</v>
      </c>
    </row>
    <row r="694" spans="1:6" x14ac:dyDescent="0.25">
      <c r="A694" s="6" t="str">
        <f t="shared" si="23"/>
        <v>q111_2_global</v>
      </c>
      <c r="B694" s="6" t="str">
        <f t="shared" si="25"/>
        <v>_global</v>
      </c>
      <c r="C694" s="6" t="s">
        <v>349</v>
      </c>
      <c r="D694" s="15" t="s">
        <v>1905</v>
      </c>
      <c r="E694" s="6" t="s">
        <v>2031</v>
      </c>
      <c r="F694" s="17" t="s">
        <v>3223</v>
      </c>
    </row>
    <row r="695" spans="1:6" x14ac:dyDescent="0.25">
      <c r="A695" s="6" t="str">
        <f t="shared" si="23"/>
        <v>q111_3_global</v>
      </c>
      <c r="B695" s="6" t="str">
        <f t="shared" si="25"/>
        <v>_global</v>
      </c>
      <c r="C695" s="6" t="s">
        <v>350</v>
      </c>
      <c r="D695" s="15" t="s">
        <v>1905</v>
      </c>
      <c r="E695" s="6" t="s">
        <v>2032</v>
      </c>
      <c r="F695" s="17" t="s">
        <v>3224</v>
      </c>
    </row>
    <row r="696" spans="1:6" x14ac:dyDescent="0.25">
      <c r="A696" s="6" t="str">
        <f t="shared" si="23"/>
        <v>q111_4_global</v>
      </c>
      <c r="B696" s="6" t="str">
        <f t="shared" si="25"/>
        <v>_global</v>
      </c>
      <c r="C696" s="6" t="s">
        <v>351</v>
      </c>
      <c r="D696" s="15" t="s">
        <v>1905</v>
      </c>
      <c r="E696" s="6" t="s">
        <v>2033</v>
      </c>
      <c r="F696" s="17" t="s">
        <v>3225</v>
      </c>
    </row>
    <row r="697" spans="1:6" x14ac:dyDescent="0.25">
      <c r="A697" s="6" t="str">
        <f t="shared" si="23"/>
        <v>q111_5_global</v>
      </c>
      <c r="B697" s="6" t="str">
        <f t="shared" si="25"/>
        <v>_global</v>
      </c>
      <c r="C697" s="6" t="s">
        <v>352</v>
      </c>
      <c r="D697" s="15" t="s">
        <v>1905</v>
      </c>
      <c r="E697" s="6" t="s">
        <v>2034</v>
      </c>
      <c r="F697" s="17" t="s">
        <v>3226</v>
      </c>
    </row>
    <row r="698" spans="1:6" x14ac:dyDescent="0.25">
      <c r="A698" s="6" t="str">
        <f t="shared" si="23"/>
        <v>q111_6_global</v>
      </c>
      <c r="B698" s="6" t="str">
        <f t="shared" si="25"/>
        <v>_global</v>
      </c>
      <c r="C698" s="6" t="s">
        <v>353</v>
      </c>
      <c r="D698" s="15" t="s">
        <v>1905</v>
      </c>
      <c r="E698" s="6" t="s">
        <v>2035</v>
      </c>
      <c r="F698" s="17" t="s">
        <v>3227</v>
      </c>
    </row>
    <row r="699" spans="1:6" x14ac:dyDescent="0.25">
      <c r="A699" s="6" t="str">
        <f t="shared" si="23"/>
        <v>q11ROW1_hidden_global</v>
      </c>
      <c r="B699" s="6" t="str">
        <f t="shared" si="25"/>
        <v>_global</v>
      </c>
      <c r="C699" s="6" t="s">
        <v>354</v>
      </c>
      <c r="D699" s="15" t="s">
        <v>1905</v>
      </c>
      <c r="E699" s="11" t="s">
        <v>2071</v>
      </c>
      <c r="F699" s="17" t="s">
        <v>3228</v>
      </c>
    </row>
    <row r="700" spans="1:6" x14ac:dyDescent="0.25">
      <c r="A700" s="6" t="str">
        <f t="shared" si="23"/>
        <v>q112_1_global</v>
      </c>
      <c r="B700" s="6" t="str">
        <f t="shared" si="25"/>
        <v>_global</v>
      </c>
      <c r="C700" s="6" t="s">
        <v>355</v>
      </c>
      <c r="D700" s="15" t="s">
        <v>1905</v>
      </c>
      <c r="E700" s="6" t="s">
        <v>2023</v>
      </c>
      <c r="F700" s="17" t="s">
        <v>3229</v>
      </c>
    </row>
    <row r="701" spans="1:6" x14ac:dyDescent="0.25">
      <c r="A701" s="6" t="str">
        <f t="shared" si="23"/>
        <v>q112_2_global</v>
      </c>
      <c r="B701" s="6" t="str">
        <f t="shared" si="25"/>
        <v>_global</v>
      </c>
      <c r="C701" s="6" t="s">
        <v>356</v>
      </c>
      <c r="D701" s="15" t="s">
        <v>1905</v>
      </c>
      <c r="E701" s="6" t="s">
        <v>2024</v>
      </c>
      <c r="F701" s="17" t="s">
        <v>3230</v>
      </c>
    </row>
    <row r="702" spans="1:6" x14ac:dyDescent="0.25">
      <c r="A702" s="6" t="str">
        <f t="shared" si="23"/>
        <v>q112_3_global</v>
      </c>
      <c r="B702" s="6" t="str">
        <f t="shared" si="25"/>
        <v>_global</v>
      </c>
      <c r="C702" s="6" t="s">
        <v>357</v>
      </c>
      <c r="D702" s="15" t="s">
        <v>1905</v>
      </c>
      <c r="E702" s="6" t="s">
        <v>2025</v>
      </c>
      <c r="F702" s="17" t="s">
        <v>3231</v>
      </c>
    </row>
    <row r="703" spans="1:6" x14ac:dyDescent="0.25">
      <c r="A703" s="6" t="str">
        <f t="shared" si="23"/>
        <v>q112_4_global</v>
      </c>
      <c r="B703" s="6" t="str">
        <f t="shared" si="25"/>
        <v>_global</v>
      </c>
      <c r="C703" s="6" t="s">
        <v>358</v>
      </c>
      <c r="D703" s="15" t="s">
        <v>1905</v>
      </c>
      <c r="E703" s="6" t="s">
        <v>2026</v>
      </c>
      <c r="F703" s="17" t="s">
        <v>3232</v>
      </c>
    </row>
    <row r="704" spans="1:6" x14ac:dyDescent="0.25">
      <c r="A704" s="6" t="str">
        <f t="shared" si="23"/>
        <v>q112_5_global</v>
      </c>
      <c r="B704" s="6" t="str">
        <f t="shared" si="25"/>
        <v>_global</v>
      </c>
      <c r="C704" s="6" t="s">
        <v>359</v>
      </c>
      <c r="D704" s="15" t="s">
        <v>1905</v>
      </c>
      <c r="E704" s="6" t="s">
        <v>2027</v>
      </c>
      <c r="F704" s="17" t="s">
        <v>3233</v>
      </c>
    </row>
    <row r="705" spans="1:6" x14ac:dyDescent="0.25">
      <c r="A705" s="6" t="str">
        <f t="shared" si="23"/>
        <v>q112_6_global</v>
      </c>
      <c r="B705" s="6" t="str">
        <f t="shared" si="25"/>
        <v>_global</v>
      </c>
      <c r="C705" s="6" t="s">
        <v>360</v>
      </c>
      <c r="D705" s="15" t="s">
        <v>1905</v>
      </c>
      <c r="E705" s="6" t="s">
        <v>2028</v>
      </c>
      <c r="F705" s="17" t="s">
        <v>3234</v>
      </c>
    </row>
    <row r="706" spans="1:6" x14ac:dyDescent="0.25">
      <c r="A706" s="6" t="str">
        <f t="shared" si="23"/>
        <v>q11ROW2_hidden_global</v>
      </c>
      <c r="B706" s="6" t="str">
        <f t="shared" si="25"/>
        <v>_global</v>
      </c>
      <c r="C706" s="6" t="s">
        <v>361</v>
      </c>
      <c r="D706" s="15" t="s">
        <v>1905</v>
      </c>
      <c r="E706" s="11" t="s">
        <v>2072</v>
      </c>
      <c r="F706" s="17" t="s">
        <v>3235</v>
      </c>
    </row>
    <row r="707" spans="1:6" x14ac:dyDescent="0.25">
      <c r="A707" s="6" t="str">
        <f t="shared" ref="A707:A770" si="26">_xlfn.CONCAT(C707,B707)</f>
        <v>q113_1_global</v>
      </c>
      <c r="B707" s="6" t="str">
        <f t="shared" si="25"/>
        <v>_global</v>
      </c>
      <c r="C707" s="6" t="s">
        <v>362</v>
      </c>
      <c r="D707" s="15" t="s">
        <v>1905</v>
      </c>
      <c r="E707" s="6" t="s">
        <v>2037</v>
      </c>
      <c r="F707" s="17" t="s">
        <v>3236</v>
      </c>
    </row>
    <row r="708" spans="1:6" x14ac:dyDescent="0.25">
      <c r="A708" s="6" t="str">
        <f t="shared" si="26"/>
        <v>q113_2_global</v>
      </c>
      <c r="B708" s="6" t="str">
        <f t="shared" si="25"/>
        <v>_global</v>
      </c>
      <c r="C708" s="6" t="s">
        <v>363</v>
      </c>
      <c r="D708" s="15" t="s">
        <v>1905</v>
      </c>
      <c r="E708" s="6" t="s">
        <v>2038</v>
      </c>
      <c r="F708" s="17" t="s">
        <v>3237</v>
      </c>
    </row>
    <row r="709" spans="1:6" x14ac:dyDescent="0.25">
      <c r="A709" s="6" t="str">
        <f t="shared" si="26"/>
        <v>q113_3_global</v>
      </c>
      <c r="B709" s="6" t="str">
        <f t="shared" si="25"/>
        <v>_global</v>
      </c>
      <c r="C709" s="6" t="s">
        <v>364</v>
      </c>
      <c r="D709" s="15" t="s">
        <v>1905</v>
      </c>
      <c r="E709" s="6" t="s">
        <v>2039</v>
      </c>
      <c r="F709" s="17" t="s">
        <v>3238</v>
      </c>
    </row>
    <row r="710" spans="1:6" x14ac:dyDescent="0.25">
      <c r="A710" s="6" t="str">
        <f t="shared" si="26"/>
        <v>q113_4_global</v>
      </c>
      <c r="B710" s="6" t="str">
        <f t="shared" si="25"/>
        <v>_global</v>
      </c>
      <c r="C710" s="6" t="s">
        <v>365</v>
      </c>
      <c r="D710" s="15" t="s">
        <v>1905</v>
      </c>
      <c r="E710" s="6" t="s">
        <v>2040</v>
      </c>
      <c r="F710" s="17" t="s">
        <v>3239</v>
      </c>
    </row>
    <row r="711" spans="1:6" x14ac:dyDescent="0.25">
      <c r="A711" s="6" t="str">
        <f t="shared" si="26"/>
        <v>q113_5_global</v>
      </c>
      <c r="B711" s="6" t="str">
        <f t="shared" si="25"/>
        <v>_global</v>
      </c>
      <c r="C711" s="6" t="s">
        <v>366</v>
      </c>
      <c r="D711" s="15" t="s">
        <v>1905</v>
      </c>
      <c r="E711" s="6" t="s">
        <v>2041</v>
      </c>
      <c r="F711" s="17" t="s">
        <v>3240</v>
      </c>
    </row>
    <row r="712" spans="1:6" x14ac:dyDescent="0.25">
      <c r="A712" s="6" t="str">
        <f t="shared" si="26"/>
        <v>q113_6_global</v>
      </c>
      <c r="B712" s="6" t="str">
        <f t="shared" si="25"/>
        <v>_global</v>
      </c>
      <c r="C712" s="6" t="s">
        <v>367</v>
      </c>
      <c r="D712" s="15" t="s">
        <v>1905</v>
      </c>
      <c r="E712" s="6" t="s">
        <v>2042</v>
      </c>
      <c r="F712" s="17" t="s">
        <v>3241</v>
      </c>
    </row>
    <row r="713" spans="1:6" x14ac:dyDescent="0.25">
      <c r="A713" s="6" t="str">
        <f t="shared" si="26"/>
        <v>q11ROW3_hidden_global</v>
      </c>
      <c r="B713" s="6" t="str">
        <f t="shared" si="25"/>
        <v>_global</v>
      </c>
      <c r="C713" s="6" t="s">
        <v>368</v>
      </c>
      <c r="D713" s="15" t="s">
        <v>1905</v>
      </c>
      <c r="E713" s="11" t="s">
        <v>2073</v>
      </c>
      <c r="F713" s="17" t="s">
        <v>3242</v>
      </c>
    </row>
    <row r="714" spans="1:6" x14ac:dyDescent="0.25">
      <c r="A714" s="6" t="str">
        <f t="shared" si="26"/>
        <v>q114_1_global</v>
      </c>
      <c r="B714" s="6" t="str">
        <f t="shared" si="25"/>
        <v>_global</v>
      </c>
      <c r="C714" s="6" t="s">
        <v>369</v>
      </c>
      <c r="D714" s="15" t="s">
        <v>1905</v>
      </c>
      <c r="E714" s="6" t="s">
        <v>2044</v>
      </c>
      <c r="F714" s="17" t="s">
        <v>3243</v>
      </c>
    </row>
    <row r="715" spans="1:6" x14ac:dyDescent="0.25">
      <c r="A715" s="6" t="str">
        <f t="shared" si="26"/>
        <v>q114_2_global</v>
      </c>
      <c r="B715" s="6" t="str">
        <f t="shared" si="25"/>
        <v>_global</v>
      </c>
      <c r="C715" s="6" t="s">
        <v>370</v>
      </c>
      <c r="D715" s="15" t="s">
        <v>1905</v>
      </c>
      <c r="E715" s="6" t="s">
        <v>2045</v>
      </c>
      <c r="F715" s="17" t="s">
        <v>3244</v>
      </c>
    </row>
    <row r="716" spans="1:6" x14ac:dyDescent="0.25">
      <c r="A716" s="6" t="str">
        <f t="shared" si="26"/>
        <v>q114_3_global</v>
      </c>
      <c r="B716" s="6" t="str">
        <f t="shared" si="25"/>
        <v>_global</v>
      </c>
      <c r="C716" s="6" t="s">
        <v>371</v>
      </c>
      <c r="D716" s="15" t="s">
        <v>1905</v>
      </c>
      <c r="E716" s="6" t="s">
        <v>2046</v>
      </c>
      <c r="F716" s="17" t="s">
        <v>3245</v>
      </c>
    </row>
    <row r="717" spans="1:6" x14ac:dyDescent="0.25">
      <c r="A717" s="6" t="str">
        <f t="shared" si="26"/>
        <v>q114_4_global</v>
      </c>
      <c r="B717" s="6" t="str">
        <f t="shared" si="25"/>
        <v>_global</v>
      </c>
      <c r="C717" s="6" t="s">
        <v>372</v>
      </c>
      <c r="D717" s="15" t="s">
        <v>1905</v>
      </c>
      <c r="E717" s="6" t="s">
        <v>2047</v>
      </c>
      <c r="F717" s="17" t="s">
        <v>3246</v>
      </c>
    </row>
    <row r="718" spans="1:6" x14ac:dyDescent="0.25">
      <c r="A718" s="6" t="str">
        <f t="shared" si="26"/>
        <v>q114_5_global</v>
      </c>
      <c r="B718" s="6" t="str">
        <f t="shared" si="25"/>
        <v>_global</v>
      </c>
      <c r="C718" s="6" t="s">
        <v>373</v>
      </c>
      <c r="D718" s="15" t="s">
        <v>1905</v>
      </c>
      <c r="E718" s="6" t="s">
        <v>2048</v>
      </c>
      <c r="F718" s="17" t="s">
        <v>3247</v>
      </c>
    </row>
    <row r="719" spans="1:6" x14ac:dyDescent="0.25">
      <c r="A719" s="6" t="str">
        <f t="shared" si="26"/>
        <v>q114_6_global</v>
      </c>
      <c r="B719" s="6" t="str">
        <f t="shared" si="25"/>
        <v>_global</v>
      </c>
      <c r="C719" s="6" t="s">
        <v>374</v>
      </c>
      <c r="D719" s="15" t="s">
        <v>1905</v>
      </c>
      <c r="E719" s="6" t="s">
        <v>2049</v>
      </c>
      <c r="F719" s="17" t="s">
        <v>3248</v>
      </c>
    </row>
    <row r="720" spans="1:6" x14ac:dyDescent="0.25">
      <c r="A720" s="6" t="str">
        <f t="shared" si="26"/>
        <v>q11ROW4_hidden_global</v>
      </c>
      <c r="B720" s="6" t="str">
        <f t="shared" si="25"/>
        <v>_global</v>
      </c>
      <c r="C720" s="6" t="s">
        <v>375</v>
      </c>
      <c r="D720" s="15" t="s">
        <v>1905</v>
      </c>
      <c r="E720" s="11" t="s">
        <v>2074</v>
      </c>
      <c r="F720" s="17" t="s">
        <v>3249</v>
      </c>
    </row>
    <row r="721" spans="1:6" x14ac:dyDescent="0.25">
      <c r="A721" s="6" t="str">
        <f t="shared" si="26"/>
        <v>q115_1_global</v>
      </c>
      <c r="B721" s="6" t="str">
        <f t="shared" si="25"/>
        <v>_global</v>
      </c>
      <c r="C721" s="6" t="s">
        <v>376</v>
      </c>
      <c r="D721" s="15" t="s">
        <v>1905</v>
      </c>
      <c r="E721" s="6" t="s">
        <v>2051</v>
      </c>
      <c r="F721" s="17" t="s">
        <v>3250</v>
      </c>
    </row>
    <row r="722" spans="1:6" x14ac:dyDescent="0.25">
      <c r="A722" s="6" t="str">
        <f t="shared" si="26"/>
        <v>q115_2_global</v>
      </c>
      <c r="B722" s="6" t="str">
        <f t="shared" si="25"/>
        <v>_global</v>
      </c>
      <c r="C722" s="6" t="s">
        <v>377</v>
      </c>
      <c r="D722" s="15" t="s">
        <v>1905</v>
      </c>
      <c r="E722" s="6" t="s">
        <v>2052</v>
      </c>
      <c r="F722" s="17" t="s">
        <v>3251</v>
      </c>
    </row>
    <row r="723" spans="1:6" x14ac:dyDescent="0.25">
      <c r="A723" s="6" t="str">
        <f t="shared" si="26"/>
        <v>q115_3_global</v>
      </c>
      <c r="B723" s="6" t="str">
        <f t="shared" si="25"/>
        <v>_global</v>
      </c>
      <c r="C723" s="6" t="s">
        <v>378</v>
      </c>
      <c r="D723" s="15" t="s">
        <v>1905</v>
      </c>
      <c r="E723" s="6" t="s">
        <v>2053</v>
      </c>
      <c r="F723" s="17" t="s">
        <v>3252</v>
      </c>
    </row>
    <row r="724" spans="1:6" x14ac:dyDescent="0.25">
      <c r="A724" s="6" t="str">
        <f t="shared" si="26"/>
        <v>q115_4_global</v>
      </c>
      <c r="B724" s="6" t="str">
        <f t="shared" ref="B724:B734" si="27">B723</f>
        <v>_global</v>
      </c>
      <c r="C724" s="6" t="s">
        <v>379</v>
      </c>
      <c r="D724" s="15" t="s">
        <v>1905</v>
      </c>
      <c r="E724" s="6" t="s">
        <v>2054</v>
      </c>
      <c r="F724" s="17" t="s">
        <v>3253</v>
      </c>
    </row>
    <row r="725" spans="1:6" x14ac:dyDescent="0.25">
      <c r="A725" s="6" t="str">
        <f t="shared" si="26"/>
        <v>q115_5_global</v>
      </c>
      <c r="B725" s="6" t="str">
        <f t="shared" si="27"/>
        <v>_global</v>
      </c>
      <c r="C725" s="6" t="s">
        <v>380</v>
      </c>
      <c r="D725" s="15" t="s">
        <v>1905</v>
      </c>
      <c r="E725" s="6" t="s">
        <v>2055</v>
      </c>
      <c r="F725" s="17" t="s">
        <v>3254</v>
      </c>
    </row>
    <row r="726" spans="1:6" x14ac:dyDescent="0.25">
      <c r="A726" s="6" t="str">
        <f t="shared" si="26"/>
        <v>q115_6_global</v>
      </c>
      <c r="B726" s="6" t="str">
        <f t="shared" si="27"/>
        <v>_global</v>
      </c>
      <c r="C726" s="6" t="s">
        <v>381</v>
      </c>
      <c r="D726" s="15" t="s">
        <v>1905</v>
      </c>
      <c r="E726" s="6" t="s">
        <v>2056</v>
      </c>
      <c r="F726" s="17" t="s">
        <v>3255</v>
      </c>
    </row>
    <row r="727" spans="1:6" x14ac:dyDescent="0.25">
      <c r="A727" s="6" t="str">
        <f t="shared" si="26"/>
        <v>q11ROW5_hidden_global</v>
      </c>
      <c r="B727" s="6" t="str">
        <f t="shared" si="27"/>
        <v>_global</v>
      </c>
      <c r="C727" s="6" t="s">
        <v>382</v>
      </c>
      <c r="D727" s="15" t="s">
        <v>1905</v>
      </c>
      <c r="E727" s="11" t="s">
        <v>2057</v>
      </c>
      <c r="F727" s="17" t="s">
        <v>3256</v>
      </c>
    </row>
    <row r="728" spans="1:6" x14ac:dyDescent="0.25">
      <c r="A728" s="6" t="str">
        <f t="shared" si="26"/>
        <v>q11COL1_hidden_global</v>
      </c>
      <c r="B728" s="6" t="str">
        <f t="shared" si="27"/>
        <v>_global</v>
      </c>
      <c r="C728" s="6" t="s">
        <v>383</v>
      </c>
      <c r="D728" s="15" t="s">
        <v>1905</v>
      </c>
      <c r="E728" s="11" t="s">
        <v>1953</v>
      </c>
      <c r="F728" s="17" t="s">
        <v>3257</v>
      </c>
    </row>
    <row r="729" spans="1:6" x14ac:dyDescent="0.25">
      <c r="A729" s="6" t="str">
        <f t="shared" si="26"/>
        <v>q11COL2_hidden_global</v>
      </c>
      <c r="B729" s="6" t="str">
        <f t="shared" si="27"/>
        <v>_global</v>
      </c>
      <c r="C729" s="6" t="s">
        <v>384</v>
      </c>
      <c r="D729" s="15" t="s">
        <v>1905</v>
      </c>
      <c r="E729" s="11" t="s">
        <v>1954</v>
      </c>
      <c r="F729" s="17" t="s">
        <v>3258</v>
      </c>
    </row>
    <row r="730" spans="1:6" x14ac:dyDescent="0.25">
      <c r="A730" s="6" t="str">
        <f t="shared" si="26"/>
        <v>q11COL3_hidden_global</v>
      </c>
      <c r="B730" s="6" t="str">
        <f t="shared" si="27"/>
        <v>_global</v>
      </c>
      <c r="C730" s="6" t="s">
        <v>385</v>
      </c>
      <c r="D730" s="15" t="s">
        <v>1905</v>
      </c>
      <c r="E730" s="11" t="s">
        <v>1955</v>
      </c>
      <c r="F730" s="17" t="s">
        <v>3259</v>
      </c>
    </row>
    <row r="731" spans="1:6" x14ac:dyDescent="0.25">
      <c r="A731" s="6" t="str">
        <f t="shared" si="26"/>
        <v>q11COL4_hidden_global</v>
      </c>
      <c r="B731" s="6" t="str">
        <f t="shared" si="27"/>
        <v>_global</v>
      </c>
      <c r="C731" s="6" t="s">
        <v>386</v>
      </c>
      <c r="D731" s="15" t="s">
        <v>1905</v>
      </c>
      <c r="E731" s="11" t="s">
        <v>1956</v>
      </c>
      <c r="F731" s="17" t="s">
        <v>3260</v>
      </c>
    </row>
    <row r="732" spans="1:6" x14ac:dyDescent="0.25">
      <c r="A732" s="6" t="str">
        <f t="shared" si="26"/>
        <v>q11COL5_hidden_global</v>
      </c>
      <c r="B732" s="6" t="str">
        <f t="shared" si="27"/>
        <v>_global</v>
      </c>
      <c r="C732" s="6" t="s">
        <v>387</v>
      </c>
      <c r="D732" s="15" t="s">
        <v>1905</v>
      </c>
      <c r="E732" s="11" t="s">
        <v>1957</v>
      </c>
      <c r="F732" s="17" t="s">
        <v>3261</v>
      </c>
    </row>
    <row r="733" spans="1:6" x14ac:dyDescent="0.25">
      <c r="A733" s="6" t="str">
        <f t="shared" si="26"/>
        <v>q11COL6_hidden_global</v>
      </c>
      <c r="B733" s="6" t="str">
        <f t="shared" si="27"/>
        <v>_global</v>
      </c>
      <c r="C733" s="6" t="s">
        <v>388</v>
      </c>
      <c r="D733" s="15" t="s">
        <v>1905</v>
      </c>
      <c r="E733" s="11" t="s">
        <v>1958</v>
      </c>
      <c r="F733" s="17" t="s">
        <v>3262</v>
      </c>
    </row>
    <row r="734" spans="1:6" x14ac:dyDescent="0.25">
      <c r="A734" s="6" t="str">
        <f t="shared" si="26"/>
        <v>q11GRANDTotal_hidden_global</v>
      </c>
      <c r="B734" s="6" t="str">
        <f t="shared" si="27"/>
        <v>_global</v>
      </c>
      <c r="C734" s="6" t="s">
        <v>389</v>
      </c>
      <c r="D734" s="15" t="s">
        <v>1905</v>
      </c>
      <c r="E734" s="11" t="s">
        <v>2075</v>
      </c>
      <c r="F734" s="17" t="s">
        <v>3263</v>
      </c>
    </row>
    <row r="735" spans="1:6" x14ac:dyDescent="0.25">
      <c r="A735" s="6" t="str">
        <f t="shared" si="26"/>
        <v>SOUTH AMERICA_southamerica</v>
      </c>
      <c r="B735" s="6" t="s">
        <v>2091</v>
      </c>
      <c r="C735" s="13" t="s">
        <v>393</v>
      </c>
      <c r="D735" s="14"/>
      <c r="E735" s="12" t="s">
        <v>2082</v>
      </c>
      <c r="F735" s="6">
        <f>VLOOKUP(E735,'[3]Full Data-Map'!$C:$D,2,FALSE)</f>
        <v>22</v>
      </c>
    </row>
    <row r="736" spans="1:6" x14ac:dyDescent="0.25">
      <c r="A736" s="6" t="str">
        <f t="shared" si="26"/>
        <v>q101_1_southamerica</v>
      </c>
      <c r="B736" s="6" t="str">
        <f t="shared" ref="B736:B767" si="28">B735</f>
        <v>_southamerica</v>
      </c>
      <c r="C736" s="6" t="s">
        <v>284</v>
      </c>
      <c r="D736" s="15" t="s">
        <v>1905</v>
      </c>
      <c r="E736" s="6" t="s">
        <v>1965</v>
      </c>
      <c r="F736" s="17" t="s">
        <v>3264</v>
      </c>
    </row>
    <row r="737" spans="1:6" x14ac:dyDescent="0.25">
      <c r="A737" s="6" t="str">
        <f t="shared" si="26"/>
        <v>q101_2_southamerica</v>
      </c>
      <c r="B737" s="6" t="str">
        <f t="shared" si="28"/>
        <v>_southamerica</v>
      </c>
      <c r="C737" s="6" t="s">
        <v>285</v>
      </c>
      <c r="D737" s="15" t="s">
        <v>1905</v>
      </c>
      <c r="E737" s="6" t="s">
        <v>1966</v>
      </c>
      <c r="F737" s="17" t="s">
        <v>3265</v>
      </c>
    </row>
    <row r="738" spans="1:6" x14ac:dyDescent="0.25">
      <c r="A738" s="6" t="str">
        <f t="shared" si="26"/>
        <v>q101_3_southamerica</v>
      </c>
      <c r="B738" s="6" t="str">
        <f t="shared" si="28"/>
        <v>_southamerica</v>
      </c>
      <c r="C738" s="6" t="s">
        <v>286</v>
      </c>
      <c r="D738" s="15" t="s">
        <v>1905</v>
      </c>
      <c r="E738" s="6" t="s">
        <v>1967</v>
      </c>
      <c r="F738" s="17" t="s">
        <v>3266</v>
      </c>
    </row>
    <row r="739" spans="1:6" x14ac:dyDescent="0.25">
      <c r="A739" s="6" t="str">
        <f t="shared" si="26"/>
        <v>q101_4_southamerica</v>
      </c>
      <c r="B739" s="6" t="str">
        <f t="shared" si="28"/>
        <v>_southamerica</v>
      </c>
      <c r="C739" s="6" t="s">
        <v>287</v>
      </c>
      <c r="D739" s="15" t="s">
        <v>1905</v>
      </c>
      <c r="E739" s="6" t="s">
        <v>1968</v>
      </c>
      <c r="F739" s="17" t="s">
        <v>3267</v>
      </c>
    </row>
    <row r="740" spans="1:6" x14ac:dyDescent="0.25">
      <c r="A740" s="6" t="str">
        <f t="shared" si="26"/>
        <v>q101_5_southamerica</v>
      </c>
      <c r="B740" s="6" t="str">
        <f t="shared" si="28"/>
        <v>_southamerica</v>
      </c>
      <c r="C740" s="6" t="s">
        <v>288</v>
      </c>
      <c r="D740" s="15" t="s">
        <v>1905</v>
      </c>
      <c r="E740" s="6" t="s">
        <v>1969</v>
      </c>
      <c r="F740" s="17" t="s">
        <v>3268</v>
      </c>
    </row>
    <row r="741" spans="1:6" x14ac:dyDescent="0.25">
      <c r="A741" s="6" t="str">
        <f t="shared" si="26"/>
        <v>q101_6_southamerica</v>
      </c>
      <c r="B741" s="6" t="str">
        <f t="shared" si="28"/>
        <v>_southamerica</v>
      </c>
      <c r="C741" s="6" t="s">
        <v>289</v>
      </c>
      <c r="D741" s="15" t="s">
        <v>1905</v>
      </c>
      <c r="E741" s="6" t="s">
        <v>1970</v>
      </c>
      <c r="F741" s="17" t="s">
        <v>3269</v>
      </c>
    </row>
    <row r="742" spans="1:6" x14ac:dyDescent="0.25">
      <c r="A742" s="6" t="str">
        <f t="shared" si="26"/>
        <v>q10ROW1_hidden_southamerica</v>
      </c>
      <c r="B742" s="6" t="str">
        <f t="shared" si="28"/>
        <v>_southamerica</v>
      </c>
      <c r="C742" s="6" t="s">
        <v>290</v>
      </c>
      <c r="D742" s="15" t="s">
        <v>1905</v>
      </c>
      <c r="E742" s="11" t="s">
        <v>1971</v>
      </c>
      <c r="F742" s="17" t="s">
        <v>3270</v>
      </c>
    </row>
    <row r="743" spans="1:6" x14ac:dyDescent="0.25">
      <c r="A743" s="6" t="str">
        <f t="shared" si="26"/>
        <v>q102_1_southamerica</v>
      </c>
      <c r="B743" s="6" t="str">
        <f t="shared" si="28"/>
        <v>_southamerica</v>
      </c>
      <c r="C743" s="6" t="s">
        <v>291</v>
      </c>
      <c r="D743" s="15" t="s">
        <v>1905</v>
      </c>
      <c r="E743" s="6" t="s">
        <v>1972</v>
      </c>
      <c r="F743" s="17" t="s">
        <v>3271</v>
      </c>
    </row>
    <row r="744" spans="1:6" x14ac:dyDescent="0.25">
      <c r="A744" s="6" t="str">
        <f t="shared" si="26"/>
        <v>q102_2_southamerica</v>
      </c>
      <c r="B744" s="6" t="str">
        <f t="shared" si="28"/>
        <v>_southamerica</v>
      </c>
      <c r="C744" s="6" t="s">
        <v>292</v>
      </c>
      <c r="D744" s="15" t="s">
        <v>1905</v>
      </c>
      <c r="E744" s="6" t="s">
        <v>1973</v>
      </c>
      <c r="F744" s="17" t="s">
        <v>3272</v>
      </c>
    </row>
    <row r="745" spans="1:6" x14ac:dyDescent="0.25">
      <c r="A745" s="6" t="str">
        <f t="shared" si="26"/>
        <v>q102_3_southamerica</v>
      </c>
      <c r="B745" s="6" t="str">
        <f t="shared" si="28"/>
        <v>_southamerica</v>
      </c>
      <c r="C745" s="6" t="s">
        <v>293</v>
      </c>
      <c r="D745" s="15" t="s">
        <v>1905</v>
      </c>
      <c r="E745" s="6" t="s">
        <v>1974</v>
      </c>
      <c r="F745" s="17" t="s">
        <v>3273</v>
      </c>
    </row>
    <row r="746" spans="1:6" x14ac:dyDescent="0.25">
      <c r="A746" s="6" t="str">
        <f t="shared" si="26"/>
        <v>q102_4_southamerica</v>
      </c>
      <c r="B746" s="6" t="str">
        <f t="shared" si="28"/>
        <v>_southamerica</v>
      </c>
      <c r="C746" s="6" t="s">
        <v>294</v>
      </c>
      <c r="D746" s="15" t="s">
        <v>1905</v>
      </c>
      <c r="E746" s="6" t="s">
        <v>1975</v>
      </c>
      <c r="F746" s="17" t="s">
        <v>3274</v>
      </c>
    </row>
    <row r="747" spans="1:6" x14ac:dyDescent="0.25">
      <c r="A747" s="6" t="str">
        <f t="shared" si="26"/>
        <v>q102_5_southamerica</v>
      </c>
      <c r="B747" s="6" t="str">
        <f t="shared" si="28"/>
        <v>_southamerica</v>
      </c>
      <c r="C747" s="6" t="s">
        <v>295</v>
      </c>
      <c r="D747" s="15" t="s">
        <v>1905</v>
      </c>
      <c r="E747" s="6" t="s">
        <v>1976</v>
      </c>
      <c r="F747" s="17" t="s">
        <v>3275</v>
      </c>
    </row>
    <row r="748" spans="1:6" x14ac:dyDescent="0.25">
      <c r="A748" s="6" t="str">
        <f t="shared" si="26"/>
        <v>q102_6_southamerica</v>
      </c>
      <c r="B748" s="6" t="str">
        <f t="shared" si="28"/>
        <v>_southamerica</v>
      </c>
      <c r="C748" s="6" t="s">
        <v>296</v>
      </c>
      <c r="D748" s="15" t="s">
        <v>1905</v>
      </c>
      <c r="E748" s="6" t="s">
        <v>1977</v>
      </c>
      <c r="F748" s="17" t="s">
        <v>3276</v>
      </c>
    </row>
    <row r="749" spans="1:6" x14ac:dyDescent="0.25">
      <c r="A749" s="6" t="str">
        <f t="shared" si="26"/>
        <v>q10ROW2_hidden_southamerica</v>
      </c>
      <c r="B749" s="6" t="str">
        <f t="shared" si="28"/>
        <v>_southamerica</v>
      </c>
      <c r="C749" s="6" t="s">
        <v>297</v>
      </c>
      <c r="D749" s="15" t="s">
        <v>1905</v>
      </c>
      <c r="E749" s="11" t="s">
        <v>1978</v>
      </c>
      <c r="F749" s="17" t="s">
        <v>3277</v>
      </c>
    </row>
    <row r="750" spans="1:6" x14ac:dyDescent="0.25">
      <c r="A750" s="6" t="str">
        <f t="shared" si="26"/>
        <v>q103_1_southamerica</v>
      </c>
      <c r="B750" s="6" t="str">
        <f t="shared" si="28"/>
        <v>_southamerica</v>
      </c>
      <c r="C750" s="6" t="s">
        <v>298</v>
      </c>
      <c r="D750" s="15" t="s">
        <v>1905</v>
      </c>
      <c r="E750" s="6" t="s">
        <v>1979</v>
      </c>
      <c r="F750" s="17" t="s">
        <v>3278</v>
      </c>
    </row>
    <row r="751" spans="1:6" x14ac:dyDescent="0.25">
      <c r="A751" s="6" t="str">
        <f t="shared" si="26"/>
        <v>q103_2_southamerica</v>
      </c>
      <c r="B751" s="6" t="str">
        <f t="shared" si="28"/>
        <v>_southamerica</v>
      </c>
      <c r="C751" s="6" t="s">
        <v>299</v>
      </c>
      <c r="D751" s="15" t="s">
        <v>1905</v>
      </c>
      <c r="E751" s="6" t="s">
        <v>1980</v>
      </c>
      <c r="F751" s="17" t="s">
        <v>3279</v>
      </c>
    </row>
    <row r="752" spans="1:6" x14ac:dyDescent="0.25">
      <c r="A752" s="6" t="str">
        <f t="shared" si="26"/>
        <v>q103_3_southamerica</v>
      </c>
      <c r="B752" s="6" t="str">
        <f t="shared" si="28"/>
        <v>_southamerica</v>
      </c>
      <c r="C752" s="6" t="s">
        <v>300</v>
      </c>
      <c r="D752" s="15" t="s">
        <v>1905</v>
      </c>
      <c r="E752" s="6" t="s">
        <v>1981</v>
      </c>
      <c r="F752" s="17" t="s">
        <v>3280</v>
      </c>
    </row>
    <row r="753" spans="1:6" x14ac:dyDescent="0.25">
      <c r="A753" s="6" t="str">
        <f t="shared" si="26"/>
        <v>q103_4_southamerica</v>
      </c>
      <c r="B753" s="6" t="str">
        <f t="shared" si="28"/>
        <v>_southamerica</v>
      </c>
      <c r="C753" s="6" t="s">
        <v>301</v>
      </c>
      <c r="D753" s="15" t="s">
        <v>1905</v>
      </c>
      <c r="E753" s="6" t="s">
        <v>1982</v>
      </c>
      <c r="F753" s="17" t="s">
        <v>3281</v>
      </c>
    </row>
    <row r="754" spans="1:6" x14ac:dyDescent="0.25">
      <c r="A754" s="6" t="str">
        <f t="shared" si="26"/>
        <v>q103_5_southamerica</v>
      </c>
      <c r="B754" s="6" t="str">
        <f t="shared" si="28"/>
        <v>_southamerica</v>
      </c>
      <c r="C754" s="6" t="s">
        <v>302</v>
      </c>
      <c r="D754" s="15" t="s">
        <v>1905</v>
      </c>
      <c r="E754" s="6" t="s">
        <v>1983</v>
      </c>
      <c r="F754" s="17" t="s">
        <v>3282</v>
      </c>
    </row>
    <row r="755" spans="1:6" x14ac:dyDescent="0.25">
      <c r="A755" s="6" t="str">
        <f t="shared" si="26"/>
        <v>q103_6_southamerica</v>
      </c>
      <c r="B755" s="6" t="str">
        <f t="shared" si="28"/>
        <v>_southamerica</v>
      </c>
      <c r="C755" s="6" t="s">
        <v>303</v>
      </c>
      <c r="D755" s="15" t="s">
        <v>1905</v>
      </c>
      <c r="E755" s="6" t="s">
        <v>1984</v>
      </c>
      <c r="F755" s="17" t="s">
        <v>3283</v>
      </c>
    </row>
    <row r="756" spans="1:6" x14ac:dyDescent="0.25">
      <c r="A756" s="6" t="str">
        <f t="shared" si="26"/>
        <v>q10ROW3_hidden_southamerica</v>
      </c>
      <c r="B756" s="6" t="str">
        <f t="shared" si="28"/>
        <v>_southamerica</v>
      </c>
      <c r="C756" s="6" t="s">
        <v>304</v>
      </c>
      <c r="D756" s="15" t="s">
        <v>1905</v>
      </c>
      <c r="E756" s="11" t="s">
        <v>1985</v>
      </c>
      <c r="F756" s="17" t="s">
        <v>3284</v>
      </c>
    </row>
    <row r="757" spans="1:6" x14ac:dyDescent="0.25">
      <c r="A757" s="6" t="str">
        <f t="shared" si="26"/>
        <v>q104_1_southamerica</v>
      </c>
      <c r="B757" s="6" t="str">
        <f t="shared" si="28"/>
        <v>_southamerica</v>
      </c>
      <c r="C757" s="6" t="s">
        <v>305</v>
      </c>
      <c r="D757" s="15" t="s">
        <v>1905</v>
      </c>
      <c r="E757" s="6" t="s">
        <v>1986</v>
      </c>
      <c r="F757" s="17" t="s">
        <v>3285</v>
      </c>
    </row>
    <row r="758" spans="1:6" x14ac:dyDescent="0.25">
      <c r="A758" s="6" t="str">
        <f t="shared" si="26"/>
        <v>q104_2_southamerica</v>
      </c>
      <c r="B758" s="6" t="str">
        <f t="shared" si="28"/>
        <v>_southamerica</v>
      </c>
      <c r="C758" s="6" t="s">
        <v>306</v>
      </c>
      <c r="D758" s="15" t="s">
        <v>1905</v>
      </c>
      <c r="E758" s="6" t="s">
        <v>1987</v>
      </c>
      <c r="F758" s="17" t="s">
        <v>3286</v>
      </c>
    </row>
    <row r="759" spans="1:6" x14ac:dyDescent="0.25">
      <c r="A759" s="6" t="str">
        <f t="shared" si="26"/>
        <v>q104_3_southamerica</v>
      </c>
      <c r="B759" s="6" t="str">
        <f t="shared" si="28"/>
        <v>_southamerica</v>
      </c>
      <c r="C759" s="6" t="s">
        <v>307</v>
      </c>
      <c r="D759" s="15" t="s">
        <v>1905</v>
      </c>
      <c r="E759" s="6" t="s">
        <v>1988</v>
      </c>
      <c r="F759" s="17" t="s">
        <v>3287</v>
      </c>
    </row>
    <row r="760" spans="1:6" x14ac:dyDescent="0.25">
      <c r="A760" s="6" t="str">
        <f t="shared" si="26"/>
        <v>q104_4_southamerica</v>
      </c>
      <c r="B760" s="6" t="str">
        <f t="shared" si="28"/>
        <v>_southamerica</v>
      </c>
      <c r="C760" s="6" t="s">
        <v>308</v>
      </c>
      <c r="D760" s="15" t="s">
        <v>1905</v>
      </c>
      <c r="E760" s="6" t="s">
        <v>1989</v>
      </c>
      <c r="F760" s="17" t="s">
        <v>3288</v>
      </c>
    </row>
    <row r="761" spans="1:6" x14ac:dyDescent="0.25">
      <c r="A761" s="6" t="str">
        <f t="shared" si="26"/>
        <v>q104_5_southamerica</v>
      </c>
      <c r="B761" s="6" t="str">
        <f t="shared" si="28"/>
        <v>_southamerica</v>
      </c>
      <c r="C761" s="6" t="s">
        <v>309</v>
      </c>
      <c r="D761" s="15" t="s">
        <v>1905</v>
      </c>
      <c r="E761" s="6" t="s">
        <v>1990</v>
      </c>
      <c r="F761" s="17" t="s">
        <v>3289</v>
      </c>
    </row>
    <row r="762" spans="1:6" x14ac:dyDescent="0.25">
      <c r="A762" s="6" t="str">
        <f t="shared" si="26"/>
        <v>q104_6_southamerica</v>
      </c>
      <c r="B762" s="6" t="str">
        <f t="shared" si="28"/>
        <v>_southamerica</v>
      </c>
      <c r="C762" s="6" t="s">
        <v>310</v>
      </c>
      <c r="D762" s="15" t="s">
        <v>1905</v>
      </c>
      <c r="E762" s="6" t="s">
        <v>1991</v>
      </c>
      <c r="F762" s="17" t="s">
        <v>3290</v>
      </c>
    </row>
    <row r="763" spans="1:6" x14ac:dyDescent="0.25">
      <c r="A763" s="6" t="str">
        <f t="shared" si="26"/>
        <v>q10ROW4_hidden_southamerica</v>
      </c>
      <c r="B763" s="6" t="str">
        <f t="shared" si="28"/>
        <v>_southamerica</v>
      </c>
      <c r="C763" s="6" t="s">
        <v>311</v>
      </c>
      <c r="D763" s="15" t="s">
        <v>1905</v>
      </c>
      <c r="E763" s="11" t="s">
        <v>1992</v>
      </c>
      <c r="F763" s="17" t="s">
        <v>3291</v>
      </c>
    </row>
    <row r="764" spans="1:6" x14ac:dyDescent="0.25">
      <c r="A764" s="6" t="str">
        <f t="shared" si="26"/>
        <v>q105_1_southamerica</v>
      </c>
      <c r="B764" s="6" t="str">
        <f t="shared" si="28"/>
        <v>_southamerica</v>
      </c>
      <c r="C764" s="6" t="s">
        <v>312</v>
      </c>
      <c r="D764" s="15" t="s">
        <v>1905</v>
      </c>
      <c r="E764" s="6" t="s">
        <v>1993</v>
      </c>
      <c r="F764" s="17" t="s">
        <v>3292</v>
      </c>
    </row>
    <row r="765" spans="1:6" x14ac:dyDescent="0.25">
      <c r="A765" s="6" t="str">
        <f t="shared" si="26"/>
        <v>q105_2_southamerica</v>
      </c>
      <c r="B765" s="6" t="str">
        <f t="shared" si="28"/>
        <v>_southamerica</v>
      </c>
      <c r="C765" s="6" t="s">
        <v>313</v>
      </c>
      <c r="D765" s="15" t="s">
        <v>1905</v>
      </c>
      <c r="E765" s="6" t="s">
        <v>1994</v>
      </c>
      <c r="F765" s="17" t="s">
        <v>3293</v>
      </c>
    </row>
    <row r="766" spans="1:6" x14ac:dyDescent="0.25">
      <c r="A766" s="6" t="str">
        <f t="shared" si="26"/>
        <v>q105_3_southamerica</v>
      </c>
      <c r="B766" s="6" t="str">
        <f t="shared" si="28"/>
        <v>_southamerica</v>
      </c>
      <c r="C766" s="6" t="s">
        <v>314</v>
      </c>
      <c r="D766" s="15" t="s">
        <v>1905</v>
      </c>
      <c r="E766" s="6" t="s">
        <v>1995</v>
      </c>
      <c r="F766" s="17" t="s">
        <v>3294</v>
      </c>
    </row>
    <row r="767" spans="1:6" x14ac:dyDescent="0.25">
      <c r="A767" s="6" t="str">
        <f t="shared" si="26"/>
        <v>q105_4_southamerica</v>
      </c>
      <c r="B767" s="6" t="str">
        <f t="shared" si="28"/>
        <v>_southamerica</v>
      </c>
      <c r="C767" s="6" t="s">
        <v>315</v>
      </c>
      <c r="D767" s="15" t="s">
        <v>1905</v>
      </c>
      <c r="E767" s="6" t="s">
        <v>1996</v>
      </c>
      <c r="F767" s="17" t="s">
        <v>3295</v>
      </c>
    </row>
    <row r="768" spans="1:6" x14ac:dyDescent="0.25">
      <c r="A768" s="6" t="str">
        <f t="shared" si="26"/>
        <v>q105_5_southamerica</v>
      </c>
      <c r="B768" s="6" t="str">
        <f t="shared" ref="B768:B799" si="29">B767</f>
        <v>_southamerica</v>
      </c>
      <c r="C768" s="6" t="s">
        <v>316</v>
      </c>
      <c r="D768" s="15" t="s">
        <v>1905</v>
      </c>
      <c r="E768" s="6" t="s">
        <v>1997</v>
      </c>
      <c r="F768" s="17" t="s">
        <v>3296</v>
      </c>
    </row>
    <row r="769" spans="1:6" x14ac:dyDescent="0.25">
      <c r="A769" s="6" t="str">
        <f t="shared" si="26"/>
        <v>q105_6_southamerica</v>
      </c>
      <c r="B769" s="6" t="str">
        <f t="shared" si="29"/>
        <v>_southamerica</v>
      </c>
      <c r="C769" s="6" t="s">
        <v>317</v>
      </c>
      <c r="D769" s="15" t="s">
        <v>1905</v>
      </c>
      <c r="E769" s="6" t="s">
        <v>1998</v>
      </c>
      <c r="F769" s="17" t="s">
        <v>3297</v>
      </c>
    </row>
    <row r="770" spans="1:6" x14ac:dyDescent="0.25">
      <c r="A770" s="6" t="str">
        <f t="shared" si="26"/>
        <v>q10ROW5_hidden_southamerica</v>
      </c>
      <c r="B770" s="6" t="str">
        <f t="shared" si="29"/>
        <v>_southamerica</v>
      </c>
      <c r="C770" s="6" t="s">
        <v>318</v>
      </c>
      <c r="D770" s="15" t="s">
        <v>1905</v>
      </c>
      <c r="E770" s="11" t="s">
        <v>1999</v>
      </c>
      <c r="F770" s="17" t="s">
        <v>3298</v>
      </c>
    </row>
    <row r="771" spans="1:6" x14ac:dyDescent="0.25">
      <c r="A771" s="6" t="str">
        <f t="shared" ref="A771:A834" si="30">_xlfn.CONCAT(C771,B771)</f>
        <v>q106_1_southamerica</v>
      </c>
      <c r="B771" s="6" t="str">
        <f t="shared" si="29"/>
        <v>_southamerica</v>
      </c>
      <c r="C771" s="6" t="s">
        <v>319</v>
      </c>
      <c r="D771" s="15" t="s">
        <v>1905</v>
      </c>
      <c r="E771" s="6" t="s">
        <v>2000</v>
      </c>
      <c r="F771" s="17" t="s">
        <v>3299</v>
      </c>
    </row>
    <row r="772" spans="1:6" x14ac:dyDescent="0.25">
      <c r="A772" s="6" t="str">
        <f t="shared" si="30"/>
        <v>q106_2_southamerica</v>
      </c>
      <c r="B772" s="6" t="str">
        <f t="shared" si="29"/>
        <v>_southamerica</v>
      </c>
      <c r="C772" s="6" t="s">
        <v>320</v>
      </c>
      <c r="D772" s="15" t="s">
        <v>1905</v>
      </c>
      <c r="E772" s="6" t="s">
        <v>2001</v>
      </c>
      <c r="F772" s="17" t="s">
        <v>3300</v>
      </c>
    </row>
    <row r="773" spans="1:6" x14ac:dyDescent="0.25">
      <c r="A773" s="6" t="str">
        <f t="shared" si="30"/>
        <v>q106_3_southamerica</v>
      </c>
      <c r="B773" s="6" t="str">
        <f t="shared" si="29"/>
        <v>_southamerica</v>
      </c>
      <c r="C773" s="6" t="s">
        <v>321</v>
      </c>
      <c r="D773" s="15" t="s">
        <v>1905</v>
      </c>
      <c r="E773" s="6" t="s">
        <v>2002</v>
      </c>
      <c r="F773" s="17" t="s">
        <v>3301</v>
      </c>
    </row>
    <row r="774" spans="1:6" x14ac:dyDescent="0.25">
      <c r="A774" s="6" t="str">
        <f t="shared" si="30"/>
        <v>q106_4_southamerica</v>
      </c>
      <c r="B774" s="6" t="str">
        <f t="shared" si="29"/>
        <v>_southamerica</v>
      </c>
      <c r="C774" s="6" t="s">
        <v>322</v>
      </c>
      <c r="D774" s="15" t="s">
        <v>1905</v>
      </c>
      <c r="E774" s="6" t="s">
        <v>2003</v>
      </c>
      <c r="F774" s="17" t="s">
        <v>3302</v>
      </c>
    </row>
    <row r="775" spans="1:6" x14ac:dyDescent="0.25">
      <c r="A775" s="6" t="str">
        <f t="shared" si="30"/>
        <v>q106_5_southamerica</v>
      </c>
      <c r="B775" s="6" t="str">
        <f t="shared" si="29"/>
        <v>_southamerica</v>
      </c>
      <c r="C775" s="6" t="s">
        <v>323</v>
      </c>
      <c r="D775" s="15" t="s">
        <v>1905</v>
      </c>
      <c r="E775" s="6" t="s">
        <v>2004</v>
      </c>
      <c r="F775" s="17" t="s">
        <v>3303</v>
      </c>
    </row>
    <row r="776" spans="1:6" x14ac:dyDescent="0.25">
      <c r="A776" s="6" t="str">
        <f t="shared" si="30"/>
        <v>q106_6_southamerica</v>
      </c>
      <c r="B776" s="6" t="str">
        <f t="shared" si="29"/>
        <v>_southamerica</v>
      </c>
      <c r="C776" s="6" t="s">
        <v>324</v>
      </c>
      <c r="D776" s="15" t="s">
        <v>1905</v>
      </c>
      <c r="E776" s="6" t="s">
        <v>2005</v>
      </c>
      <c r="F776" s="17" t="s">
        <v>3304</v>
      </c>
    </row>
    <row r="777" spans="1:6" x14ac:dyDescent="0.25">
      <c r="A777" s="6" t="str">
        <f t="shared" si="30"/>
        <v>q10ROW6_hidden_southamerica</v>
      </c>
      <c r="B777" s="6" t="str">
        <f t="shared" si="29"/>
        <v>_southamerica</v>
      </c>
      <c r="C777" s="6" t="s">
        <v>325</v>
      </c>
      <c r="D777" s="15" t="s">
        <v>1905</v>
      </c>
      <c r="E777" s="11" t="s">
        <v>1957</v>
      </c>
      <c r="F777" s="17" t="s">
        <v>3305</v>
      </c>
    </row>
    <row r="778" spans="1:6" x14ac:dyDescent="0.25">
      <c r="A778" s="6" t="str">
        <f t="shared" si="30"/>
        <v>q107_1_southamerica</v>
      </c>
      <c r="B778" s="6" t="str">
        <f t="shared" si="29"/>
        <v>_southamerica</v>
      </c>
      <c r="C778" s="6" t="s">
        <v>326</v>
      </c>
      <c r="D778" s="15" t="s">
        <v>1905</v>
      </c>
      <c r="E778" s="6" t="s">
        <v>2006</v>
      </c>
      <c r="F778" s="17" t="s">
        <v>3306</v>
      </c>
    </row>
    <row r="779" spans="1:6" x14ac:dyDescent="0.25">
      <c r="A779" s="6" t="str">
        <f t="shared" si="30"/>
        <v>q107_2_southamerica</v>
      </c>
      <c r="B779" s="6" t="str">
        <f t="shared" si="29"/>
        <v>_southamerica</v>
      </c>
      <c r="C779" s="6" t="s">
        <v>327</v>
      </c>
      <c r="D779" s="15" t="s">
        <v>1905</v>
      </c>
      <c r="E779" s="6" t="s">
        <v>2007</v>
      </c>
      <c r="F779" s="17" t="s">
        <v>3307</v>
      </c>
    </row>
    <row r="780" spans="1:6" x14ac:dyDescent="0.25">
      <c r="A780" s="6" t="str">
        <f t="shared" si="30"/>
        <v>q107_3_southamerica</v>
      </c>
      <c r="B780" s="6" t="str">
        <f t="shared" si="29"/>
        <v>_southamerica</v>
      </c>
      <c r="C780" s="6" t="s">
        <v>328</v>
      </c>
      <c r="D780" s="15" t="s">
        <v>1905</v>
      </c>
      <c r="E780" s="6" t="s">
        <v>2008</v>
      </c>
      <c r="F780" s="17" t="s">
        <v>3308</v>
      </c>
    </row>
    <row r="781" spans="1:6" x14ac:dyDescent="0.25">
      <c r="A781" s="6" t="str">
        <f t="shared" si="30"/>
        <v>q107_4_southamerica</v>
      </c>
      <c r="B781" s="6" t="str">
        <f t="shared" si="29"/>
        <v>_southamerica</v>
      </c>
      <c r="C781" s="6" t="s">
        <v>329</v>
      </c>
      <c r="D781" s="15" t="s">
        <v>1905</v>
      </c>
      <c r="E781" s="6" t="s">
        <v>2009</v>
      </c>
      <c r="F781" s="17" t="s">
        <v>3309</v>
      </c>
    </row>
    <row r="782" spans="1:6" x14ac:dyDescent="0.25">
      <c r="A782" s="6" t="str">
        <f t="shared" si="30"/>
        <v>q107_5_southamerica</v>
      </c>
      <c r="B782" s="6" t="str">
        <f t="shared" si="29"/>
        <v>_southamerica</v>
      </c>
      <c r="C782" s="6" t="s">
        <v>330</v>
      </c>
      <c r="D782" s="15" t="s">
        <v>1905</v>
      </c>
      <c r="E782" s="6" t="s">
        <v>2010</v>
      </c>
      <c r="F782" s="17" t="s">
        <v>3310</v>
      </c>
    </row>
    <row r="783" spans="1:6" x14ac:dyDescent="0.25">
      <c r="A783" s="6" t="str">
        <f t="shared" si="30"/>
        <v>q107_6_southamerica</v>
      </c>
      <c r="B783" s="6" t="str">
        <f t="shared" si="29"/>
        <v>_southamerica</v>
      </c>
      <c r="C783" s="6" t="s">
        <v>331</v>
      </c>
      <c r="D783" s="15" t="s">
        <v>1905</v>
      </c>
      <c r="E783" s="6" t="s">
        <v>2011</v>
      </c>
      <c r="F783" s="17" t="s">
        <v>3311</v>
      </c>
    </row>
    <row r="784" spans="1:6" x14ac:dyDescent="0.25">
      <c r="A784" s="6" t="str">
        <f t="shared" si="30"/>
        <v>q10ROW7_hidden_southamerica</v>
      </c>
      <c r="B784" s="6" t="str">
        <f t="shared" si="29"/>
        <v>_southamerica</v>
      </c>
      <c r="C784" s="6" t="s">
        <v>332</v>
      </c>
      <c r="D784" s="15" t="s">
        <v>1905</v>
      </c>
      <c r="E784" s="11" t="s">
        <v>2012</v>
      </c>
      <c r="F784" s="17" t="s">
        <v>3312</v>
      </c>
    </row>
    <row r="785" spans="1:6" x14ac:dyDescent="0.25">
      <c r="A785" s="6" t="str">
        <f t="shared" si="30"/>
        <v>q10other_southamerica</v>
      </c>
      <c r="B785" s="6" t="str">
        <f t="shared" si="29"/>
        <v>_southamerica</v>
      </c>
      <c r="C785" s="6" t="s">
        <v>333</v>
      </c>
      <c r="D785" s="15" t="s">
        <v>1905</v>
      </c>
      <c r="E785" s="6" t="s">
        <v>2013</v>
      </c>
      <c r="F785" s="17" t="s">
        <v>3313</v>
      </c>
    </row>
    <row r="786" spans="1:6" x14ac:dyDescent="0.25">
      <c r="A786" s="6" t="str">
        <f t="shared" si="30"/>
        <v>q108_1_southamerica</v>
      </c>
      <c r="B786" s="6" t="str">
        <f t="shared" si="29"/>
        <v>_southamerica</v>
      </c>
      <c r="C786" s="6" t="s">
        <v>334</v>
      </c>
      <c r="D786" s="15" t="s">
        <v>1905</v>
      </c>
      <c r="E786" s="6" t="s">
        <v>2014</v>
      </c>
      <c r="F786" s="17" t="s">
        <v>3314</v>
      </c>
    </row>
    <row r="787" spans="1:6" x14ac:dyDescent="0.25">
      <c r="A787" s="6" t="str">
        <f t="shared" si="30"/>
        <v>q108_2_southamerica</v>
      </c>
      <c r="B787" s="6" t="str">
        <f t="shared" si="29"/>
        <v>_southamerica</v>
      </c>
      <c r="C787" s="6" t="s">
        <v>335</v>
      </c>
      <c r="D787" s="15" t="s">
        <v>1905</v>
      </c>
      <c r="E787" s="6" t="s">
        <v>2015</v>
      </c>
      <c r="F787" s="17" t="s">
        <v>3315</v>
      </c>
    </row>
    <row r="788" spans="1:6" x14ac:dyDescent="0.25">
      <c r="A788" s="6" t="str">
        <f t="shared" si="30"/>
        <v>q108_3_southamerica</v>
      </c>
      <c r="B788" s="6" t="str">
        <f t="shared" si="29"/>
        <v>_southamerica</v>
      </c>
      <c r="C788" s="6" t="s">
        <v>336</v>
      </c>
      <c r="D788" s="15" t="s">
        <v>1905</v>
      </c>
      <c r="E788" s="6" t="s">
        <v>2016</v>
      </c>
      <c r="F788" s="17" t="s">
        <v>3316</v>
      </c>
    </row>
    <row r="789" spans="1:6" x14ac:dyDescent="0.25">
      <c r="A789" s="6" t="str">
        <f t="shared" si="30"/>
        <v>q108_4_southamerica</v>
      </c>
      <c r="B789" s="6" t="str">
        <f t="shared" si="29"/>
        <v>_southamerica</v>
      </c>
      <c r="C789" s="6" t="s">
        <v>337</v>
      </c>
      <c r="D789" s="15" t="s">
        <v>1905</v>
      </c>
      <c r="E789" s="6" t="s">
        <v>2017</v>
      </c>
      <c r="F789" s="17" t="s">
        <v>3317</v>
      </c>
    </row>
    <row r="790" spans="1:6" x14ac:dyDescent="0.25">
      <c r="A790" s="6" t="str">
        <f t="shared" si="30"/>
        <v>q108_5_southamerica</v>
      </c>
      <c r="B790" s="6" t="str">
        <f t="shared" si="29"/>
        <v>_southamerica</v>
      </c>
      <c r="C790" s="6" t="s">
        <v>338</v>
      </c>
      <c r="D790" s="15" t="s">
        <v>1905</v>
      </c>
      <c r="E790" s="6" t="s">
        <v>2018</v>
      </c>
      <c r="F790" s="17" t="s">
        <v>3318</v>
      </c>
    </row>
    <row r="791" spans="1:6" x14ac:dyDescent="0.25">
      <c r="A791" s="6" t="str">
        <f t="shared" si="30"/>
        <v>q108_6_southamerica</v>
      </c>
      <c r="B791" s="6" t="str">
        <f t="shared" si="29"/>
        <v>_southamerica</v>
      </c>
      <c r="C791" s="6" t="s">
        <v>339</v>
      </c>
      <c r="D791" s="15" t="s">
        <v>1905</v>
      </c>
      <c r="E791" s="6" t="s">
        <v>2019</v>
      </c>
      <c r="F791" s="17" t="s">
        <v>3319</v>
      </c>
    </row>
    <row r="792" spans="1:6" x14ac:dyDescent="0.25">
      <c r="A792" s="6" t="str">
        <f t="shared" si="30"/>
        <v>q10ROW8_hidden_southamerica</v>
      </c>
      <c r="B792" s="6" t="str">
        <f t="shared" si="29"/>
        <v>_southamerica</v>
      </c>
      <c r="C792" s="6" t="s">
        <v>340</v>
      </c>
      <c r="D792" s="15" t="s">
        <v>1905</v>
      </c>
      <c r="E792" s="11" t="s">
        <v>2020</v>
      </c>
      <c r="F792" s="17" t="s">
        <v>3320</v>
      </c>
    </row>
    <row r="793" spans="1:6" x14ac:dyDescent="0.25">
      <c r="A793" s="6" t="str">
        <f t="shared" si="30"/>
        <v>q10COL1_hidden_southamerica</v>
      </c>
      <c r="B793" s="6" t="str">
        <f t="shared" si="29"/>
        <v>_southamerica</v>
      </c>
      <c r="C793" s="6" t="s">
        <v>341</v>
      </c>
      <c r="D793" s="15" t="s">
        <v>1905</v>
      </c>
      <c r="E793" s="11" t="s">
        <v>1953</v>
      </c>
      <c r="F793" s="17" t="s">
        <v>3321</v>
      </c>
    </row>
    <row r="794" spans="1:6" x14ac:dyDescent="0.25">
      <c r="A794" s="6" t="str">
        <f t="shared" si="30"/>
        <v>q10COL2_hidden_southamerica</v>
      </c>
      <c r="B794" s="6" t="str">
        <f t="shared" si="29"/>
        <v>_southamerica</v>
      </c>
      <c r="C794" s="6" t="s">
        <v>342</v>
      </c>
      <c r="D794" s="15" t="s">
        <v>1905</v>
      </c>
      <c r="E794" s="11" t="s">
        <v>1954</v>
      </c>
      <c r="F794" s="17" t="s">
        <v>3322</v>
      </c>
    </row>
    <row r="795" spans="1:6" x14ac:dyDescent="0.25">
      <c r="A795" s="6" t="str">
        <f t="shared" si="30"/>
        <v>q10COL3_hidden_southamerica</v>
      </c>
      <c r="B795" s="6" t="str">
        <f t="shared" si="29"/>
        <v>_southamerica</v>
      </c>
      <c r="C795" s="6" t="s">
        <v>343</v>
      </c>
      <c r="D795" s="15" t="s">
        <v>1905</v>
      </c>
      <c r="E795" s="11" t="s">
        <v>1955</v>
      </c>
      <c r="F795" s="17" t="s">
        <v>3323</v>
      </c>
    </row>
    <row r="796" spans="1:6" x14ac:dyDescent="0.25">
      <c r="A796" s="6" t="str">
        <f t="shared" si="30"/>
        <v>q10COL4_hidden_southamerica</v>
      </c>
      <c r="B796" s="6" t="str">
        <f t="shared" si="29"/>
        <v>_southamerica</v>
      </c>
      <c r="C796" s="6" t="s">
        <v>344</v>
      </c>
      <c r="D796" s="15" t="s">
        <v>1905</v>
      </c>
      <c r="E796" s="11" t="s">
        <v>1956</v>
      </c>
      <c r="F796" s="17" t="s">
        <v>3324</v>
      </c>
    </row>
    <row r="797" spans="1:6" x14ac:dyDescent="0.25">
      <c r="A797" s="6" t="str">
        <f t="shared" si="30"/>
        <v>q10COL5_hidden_southamerica</v>
      </c>
      <c r="B797" s="6" t="str">
        <f t="shared" si="29"/>
        <v>_southamerica</v>
      </c>
      <c r="C797" s="6" t="s">
        <v>345</v>
      </c>
      <c r="D797" s="15" t="s">
        <v>1905</v>
      </c>
      <c r="E797" s="11" t="s">
        <v>1957</v>
      </c>
      <c r="F797" s="17" t="s">
        <v>3325</v>
      </c>
    </row>
    <row r="798" spans="1:6" x14ac:dyDescent="0.25">
      <c r="A798" s="6" t="str">
        <f t="shared" si="30"/>
        <v>q10COL6_hidden_southamerica</v>
      </c>
      <c r="B798" s="6" t="str">
        <f t="shared" si="29"/>
        <v>_southamerica</v>
      </c>
      <c r="C798" s="6" t="s">
        <v>346</v>
      </c>
      <c r="D798" s="15" t="s">
        <v>1905</v>
      </c>
      <c r="E798" s="11" t="s">
        <v>1958</v>
      </c>
      <c r="F798" s="17" t="s">
        <v>3326</v>
      </c>
    </row>
    <row r="799" spans="1:6" x14ac:dyDescent="0.25">
      <c r="A799" s="6" t="str">
        <f t="shared" si="30"/>
        <v>q10GRANDTotal_hidden_southamerica</v>
      </c>
      <c r="B799" s="6" t="str">
        <f t="shared" si="29"/>
        <v>_southamerica</v>
      </c>
      <c r="C799" s="6" t="s">
        <v>347</v>
      </c>
      <c r="D799" s="15" t="s">
        <v>1905</v>
      </c>
      <c r="E799" s="11" t="s">
        <v>2069</v>
      </c>
      <c r="F799" s="17" t="s">
        <v>3327</v>
      </c>
    </row>
    <row r="800" spans="1:6" x14ac:dyDescent="0.25">
      <c r="A800" s="6" t="str">
        <f t="shared" si="30"/>
        <v>_southamerica</v>
      </c>
      <c r="B800" s="6" t="str">
        <f t="shared" ref="B800:B831" si="31">B799</f>
        <v>_southamerica</v>
      </c>
      <c r="C800" s="9"/>
      <c r="D800" s="9"/>
      <c r="E800" s="12" t="s">
        <v>2083</v>
      </c>
      <c r="F800" s="6">
        <f>VLOOKUP(E800,'[3]Full Data-Map'!$C:$D,2,FALSE)</f>
        <v>23</v>
      </c>
    </row>
    <row r="801" spans="1:6" x14ac:dyDescent="0.25">
      <c r="A801" s="6" t="str">
        <f t="shared" si="30"/>
        <v>q111_1_southamerica</v>
      </c>
      <c r="B801" s="6" t="str">
        <f t="shared" si="31"/>
        <v>_southamerica</v>
      </c>
      <c r="C801" s="6" t="s">
        <v>348</v>
      </c>
      <c r="D801" s="15" t="s">
        <v>1905</v>
      </c>
      <c r="E801" s="6" t="s">
        <v>2030</v>
      </c>
      <c r="F801" s="17" t="s">
        <v>3328</v>
      </c>
    </row>
    <row r="802" spans="1:6" x14ac:dyDescent="0.25">
      <c r="A802" s="6" t="str">
        <f t="shared" si="30"/>
        <v>q111_2_southamerica</v>
      </c>
      <c r="B802" s="6" t="str">
        <f t="shared" si="31"/>
        <v>_southamerica</v>
      </c>
      <c r="C802" s="6" t="s">
        <v>349</v>
      </c>
      <c r="D802" s="15" t="s">
        <v>1905</v>
      </c>
      <c r="E802" s="6" t="s">
        <v>2031</v>
      </c>
      <c r="F802" s="17" t="s">
        <v>3329</v>
      </c>
    </row>
    <row r="803" spans="1:6" x14ac:dyDescent="0.25">
      <c r="A803" s="6" t="str">
        <f t="shared" si="30"/>
        <v>q111_3_southamerica</v>
      </c>
      <c r="B803" s="6" t="str">
        <f t="shared" si="31"/>
        <v>_southamerica</v>
      </c>
      <c r="C803" s="6" t="s">
        <v>350</v>
      </c>
      <c r="D803" s="15" t="s">
        <v>1905</v>
      </c>
      <c r="E803" s="6" t="s">
        <v>2032</v>
      </c>
      <c r="F803" s="17" t="s">
        <v>3330</v>
      </c>
    </row>
    <row r="804" spans="1:6" x14ac:dyDescent="0.25">
      <c r="A804" s="6" t="str">
        <f t="shared" si="30"/>
        <v>q111_4_southamerica</v>
      </c>
      <c r="B804" s="6" t="str">
        <f t="shared" si="31"/>
        <v>_southamerica</v>
      </c>
      <c r="C804" s="6" t="s">
        <v>351</v>
      </c>
      <c r="D804" s="15" t="s">
        <v>1905</v>
      </c>
      <c r="E804" s="6" t="s">
        <v>2033</v>
      </c>
      <c r="F804" s="17" t="s">
        <v>3331</v>
      </c>
    </row>
    <row r="805" spans="1:6" x14ac:dyDescent="0.25">
      <c r="A805" s="6" t="str">
        <f t="shared" si="30"/>
        <v>q111_5_southamerica</v>
      </c>
      <c r="B805" s="6" t="str">
        <f t="shared" si="31"/>
        <v>_southamerica</v>
      </c>
      <c r="C805" s="6" t="s">
        <v>352</v>
      </c>
      <c r="D805" s="15" t="s">
        <v>1905</v>
      </c>
      <c r="E805" s="6" t="s">
        <v>2034</v>
      </c>
      <c r="F805" s="17" t="s">
        <v>3332</v>
      </c>
    </row>
    <row r="806" spans="1:6" x14ac:dyDescent="0.25">
      <c r="A806" s="6" t="str">
        <f t="shared" si="30"/>
        <v>q111_6_southamerica</v>
      </c>
      <c r="B806" s="6" t="str">
        <f t="shared" si="31"/>
        <v>_southamerica</v>
      </c>
      <c r="C806" s="6" t="s">
        <v>353</v>
      </c>
      <c r="D806" s="15" t="s">
        <v>1905</v>
      </c>
      <c r="E806" s="6" t="s">
        <v>2035</v>
      </c>
      <c r="F806" s="17" t="s">
        <v>3333</v>
      </c>
    </row>
    <row r="807" spans="1:6" x14ac:dyDescent="0.25">
      <c r="A807" s="6" t="str">
        <f t="shared" si="30"/>
        <v>q11ROW1_hidden_southamerica</v>
      </c>
      <c r="B807" s="6" t="str">
        <f t="shared" si="31"/>
        <v>_southamerica</v>
      </c>
      <c r="C807" s="6" t="s">
        <v>354</v>
      </c>
      <c r="D807" s="15" t="s">
        <v>1905</v>
      </c>
      <c r="E807" s="11" t="s">
        <v>2071</v>
      </c>
      <c r="F807" s="17" t="s">
        <v>3334</v>
      </c>
    </row>
    <row r="808" spans="1:6" x14ac:dyDescent="0.25">
      <c r="A808" s="6" t="str">
        <f t="shared" si="30"/>
        <v>q112_1_southamerica</v>
      </c>
      <c r="B808" s="6" t="str">
        <f t="shared" si="31"/>
        <v>_southamerica</v>
      </c>
      <c r="C808" s="6" t="s">
        <v>355</v>
      </c>
      <c r="D808" s="15" t="s">
        <v>1905</v>
      </c>
      <c r="E808" s="6" t="s">
        <v>2023</v>
      </c>
      <c r="F808" s="17" t="s">
        <v>3335</v>
      </c>
    </row>
    <row r="809" spans="1:6" x14ac:dyDescent="0.25">
      <c r="A809" s="6" t="str">
        <f t="shared" si="30"/>
        <v>q112_2_southamerica</v>
      </c>
      <c r="B809" s="6" t="str">
        <f t="shared" si="31"/>
        <v>_southamerica</v>
      </c>
      <c r="C809" s="6" t="s">
        <v>356</v>
      </c>
      <c r="D809" s="15" t="s">
        <v>1905</v>
      </c>
      <c r="E809" s="6" t="s">
        <v>2024</v>
      </c>
      <c r="F809" s="17" t="s">
        <v>3336</v>
      </c>
    </row>
    <row r="810" spans="1:6" x14ac:dyDescent="0.25">
      <c r="A810" s="6" t="str">
        <f t="shared" si="30"/>
        <v>q112_3_southamerica</v>
      </c>
      <c r="B810" s="6" t="str">
        <f t="shared" si="31"/>
        <v>_southamerica</v>
      </c>
      <c r="C810" s="6" t="s">
        <v>357</v>
      </c>
      <c r="D810" s="15" t="s">
        <v>1905</v>
      </c>
      <c r="E810" s="6" t="s">
        <v>2025</v>
      </c>
      <c r="F810" s="17" t="s">
        <v>3337</v>
      </c>
    </row>
    <row r="811" spans="1:6" x14ac:dyDescent="0.25">
      <c r="A811" s="6" t="str">
        <f t="shared" si="30"/>
        <v>q112_4_southamerica</v>
      </c>
      <c r="B811" s="6" t="str">
        <f t="shared" si="31"/>
        <v>_southamerica</v>
      </c>
      <c r="C811" s="6" t="s">
        <v>358</v>
      </c>
      <c r="D811" s="15" t="s">
        <v>1905</v>
      </c>
      <c r="E811" s="6" t="s">
        <v>2026</v>
      </c>
      <c r="F811" s="17" t="s">
        <v>3338</v>
      </c>
    </row>
    <row r="812" spans="1:6" x14ac:dyDescent="0.25">
      <c r="A812" s="6" t="str">
        <f t="shared" si="30"/>
        <v>q112_5_southamerica</v>
      </c>
      <c r="B812" s="6" t="str">
        <f t="shared" si="31"/>
        <v>_southamerica</v>
      </c>
      <c r="C812" s="6" t="s">
        <v>359</v>
      </c>
      <c r="D812" s="15" t="s">
        <v>1905</v>
      </c>
      <c r="E812" s="6" t="s">
        <v>2027</v>
      </c>
      <c r="F812" s="17" t="s">
        <v>3339</v>
      </c>
    </row>
    <row r="813" spans="1:6" x14ac:dyDescent="0.25">
      <c r="A813" s="6" t="str">
        <f t="shared" si="30"/>
        <v>q112_6_southamerica</v>
      </c>
      <c r="B813" s="6" t="str">
        <f t="shared" si="31"/>
        <v>_southamerica</v>
      </c>
      <c r="C813" s="6" t="s">
        <v>360</v>
      </c>
      <c r="D813" s="15" t="s">
        <v>1905</v>
      </c>
      <c r="E813" s="6" t="s">
        <v>2028</v>
      </c>
      <c r="F813" s="17" t="s">
        <v>3340</v>
      </c>
    </row>
    <row r="814" spans="1:6" x14ac:dyDescent="0.25">
      <c r="A814" s="6" t="str">
        <f t="shared" si="30"/>
        <v>q11ROW2_hidden_southamerica</v>
      </c>
      <c r="B814" s="6" t="str">
        <f t="shared" si="31"/>
        <v>_southamerica</v>
      </c>
      <c r="C814" s="6" t="s">
        <v>361</v>
      </c>
      <c r="D814" s="15" t="s">
        <v>1905</v>
      </c>
      <c r="E814" s="11" t="s">
        <v>2072</v>
      </c>
      <c r="F814" s="17" t="s">
        <v>3341</v>
      </c>
    </row>
    <row r="815" spans="1:6" x14ac:dyDescent="0.25">
      <c r="A815" s="6" t="str">
        <f t="shared" si="30"/>
        <v>q113_1_southamerica</v>
      </c>
      <c r="B815" s="6" t="str">
        <f t="shared" si="31"/>
        <v>_southamerica</v>
      </c>
      <c r="C815" s="6" t="s">
        <v>362</v>
      </c>
      <c r="D815" s="15" t="s">
        <v>1905</v>
      </c>
      <c r="E815" s="6" t="s">
        <v>2037</v>
      </c>
      <c r="F815" s="17" t="s">
        <v>3342</v>
      </c>
    </row>
    <row r="816" spans="1:6" x14ac:dyDescent="0.25">
      <c r="A816" s="6" t="str">
        <f t="shared" si="30"/>
        <v>q113_2_southamerica</v>
      </c>
      <c r="B816" s="6" t="str">
        <f t="shared" si="31"/>
        <v>_southamerica</v>
      </c>
      <c r="C816" s="6" t="s">
        <v>363</v>
      </c>
      <c r="D816" s="15" t="s">
        <v>1905</v>
      </c>
      <c r="E816" s="6" t="s">
        <v>2038</v>
      </c>
      <c r="F816" s="17" t="s">
        <v>3343</v>
      </c>
    </row>
    <row r="817" spans="1:6" x14ac:dyDescent="0.25">
      <c r="A817" s="6" t="str">
        <f t="shared" si="30"/>
        <v>q113_3_southamerica</v>
      </c>
      <c r="B817" s="6" t="str">
        <f t="shared" si="31"/>
        <v>_southamerica</v>
      </c>
      <c r="C817" s="6" t="s">
        <v>364</v>
      </c>
      <c r="D817" s="15" t="s">
        <v>1905</v>
      </c>
      <c r="E817" s="6" t="s">
        <v>2039</v>
      </c>
      <c r="F817" s="17" t="s">
        <v>3344</v>
      </c>
    </row>
    <row r="818" spans="1:6" x14ac:dyDescent="0.25">
      <c r="A818" s="6" t="str">
        <f t="shared" si="30"/>
        <v>q113_4_southamerica</v>
      </c>
      <c r="B818" s="6" t="str">
        <f t="shared" si="31"/>
        <v>_southamerica</v>
      </c>
      <c r="C818" s="6" t="s">
        <v>365</v>
      </c>
      <c r="D818" s="15" t="s">
        <v>1905</v>
      </c>
      <c r="E818" s="6" t="s">
        <v>2040</v>
      </c>
      <c r="F818" s="17" t="s">
        <v>3345</v>
      </c>
    </row>
    <row r="819" spans="1:6" x14ac:dyDescent="0.25">
      <c r="A819" s="6" t="str">
        <f t="shared" si="30"/>
        <v>q113_5_southamerica</v>
      </c>
      <c r="B819" s="6" t="str">
        <f t="shared" si="31"/>
        <v>_southamerica</v>
      </c>
      <c r="C819" s="6" t="s">
        <v>366</v>
      </c>
      <c r="D819" s="15" t="s">
        <v>1905</v>
      </c>
      <c r="E819" s="6" t="s">
        <v>2041</v>
      </c>
      <c r="F819" s="17" t="s">
        <v>3346</v>
      </c>
    </row>
    <row r="820" spans="1:6" x14ac:dyDescent="0.25">
      <c r="A820" s="6" t="str">
        <f t="shared" si="30"/>
        <v>q113_6_southamerica</v>
      </c>
      <c r="B820" s="6" t="str">
        <f t="shared" si="31"/>
        <v>_southamerica</v>
      </c>
      <c r="C820" s="6" t="s">
        <v>367</v>
      </c>
      <c r="D820" s="15" t="s">
        <v>1905</v>
      </c>
      <c r="E820" s="6" t="s">
        <v>2042</v>
      </c>
      <c r="F820" s="17" t="s">
        <v>3347</v>
      </c>
    </row>
    <row r="821" spans="1:6" x14ac:dyDescent="0.25">
      <c r="A821" s="6" t="str">
        <f t="shared" si="30"/>
        <v>q11ROW3_hidden_southamerica</v>
      </c>
      <c r="B821" s="6" t="str">
        <f t="shared" si="31"/>
        <v>_southamerica</v>
      </c>
      <c r="C821" s="6" t="s">
        <v>368</v>
      </c>
      <c r="D821" s="15" t="s">
        <v>1905</v>
      </c>
      <c r="E821" s="11" t="s">
        <v>2073</v>
      </c>
      <c r="F821" s="17" t="s">
        <v>3348</v>
      </c>
    </row>
    <row r="822" spans="1:6" x14ac:dyDescent="0.25">
      <c r="A822" s="6" t="str">
        <f t="shared" si="30"/>
        <v>q114_1_southamerica</v>
      </c>
      <c r="B822" s="6" t="str">
        <f t="shared" si="31"/>
        <v>_southamerica</v>
      </c>
      <c r="C822" s="6" t="s">
        <v>369</v>
      </c>
      <c r="D822" s="15" t="s">
        <v>1905</v>
      </c>
      <c r="E822" s="6" t="s">
        <v>2044</v>
      </c>
      <c r="F822" s="17" t="s">
        <v>3349</v>
      </c>
    </row>
    <row r="823" spans="1:6" x14ac:dyDescent="0.25">
      <c r="A823" s="6" t="str">
        <f t="shared" si="30"/>
        <v>q114_2_southamerica</v>
      </c>
      <c r="B823" s="6" t="str">
        <f t="shared" si="31"/>
        <v>_southamerica</v>
      </c>
      <c r="C823" s="6" t="s">
        <v>370</v>
      </c>
      <c r="D823" s="15" t="s">
        <v>1905</v>
      </c>
      <c r="E823" s="6" t="s">
        <v>2045</v>
      </c>
      <c r="F823" s="17" t="s">
        <v>3350</v>
      </c>
    </row>
    <row r="824" spans="1:6" x14ac:dyDescent="0.25">
      <c r="A824" s="6" t="str">
        <f t="shared" si="30"/>
        <v>q114_3_southamerica</v>
      </c>
      <c r="B824" s="6" t="str">
        <f t="shared" si="31"/>
        <v>_southamerica</v>
      </c>
      <c r="C824" s="6" t="s">
        <v>371</v>
      </c>
      <c r="D824" s="15" t="s">
        <v>1905</v>
      </c>
      <c r="E824" s="6" t="s">
        <v>2046</v>
      </c>
      <c r="F824" s="17" t="s">
        <v>3351</v>
      </c>
    </row>
    <row r="825" spans="1:6" x14ac:dyDescent="0.25">
      <c r="A825" s="6" t="str">
        <f t="shared" si="30"/>
        <v>q114_4_southamerica</v>
      </c>
      <c r="B825" s="6" t="str">
        <f t="shared" si="31"/>
        <v>_southamerica</v>
      </c>
      <c r="C825" s="6" t="s">
        <v>372</v>
      </c>
      <c r="D825" s="15" t="s">
        <v>1905</v>
      </c>
      <c r="E825" s="6" t="s">
        <v>2047</v>
      </c>
      <c r="F825" s="17" t="s">
        <v>3352</v>
      </c>
    </row>
    <row r="826" spans="1:6" x14ac:dyDescent="0.25">
      <c r="A826" s="6" t="str">
        <f t="shared" si="30"/>
        <v>q114_5_southamerica</v>
      </c>
      <c r="B826" s="6" t="str">
        <f t="shared" si="31"/>
        <v>_southamerica</v>
      </c>
      <c r="C826" s="6" t="s">
        <v>373</v>
      </c>
      <c r="D826" s="15" t="s">
        <v>1905</v>
      </c>
      <c r="E826" s="6" t="s">
        <v>2048</v>
      </c>
      <c r="F826" s="17" t="s">
        <v>3353</v>
      </c>
    </row>
    <row r="827" spans="1:6" x14ac:dyDescent="0.25">
      <c r="A827" s="6" t="str">
        <f t="shared" si="30"/>
        <v>q114_6_southamerica</v>
      </c>
      <c r="B827" s="6" t="str">
        <f t="shared" si="31"/>
        <v>_southamerica</v>
      </c>
      <c r="C827" s="6" t="s">
        <v>374</v>
      </c>
      <c r="D827" s="15" t="s">
        <v>1905</v>
      </c>
      <c r="E827" s="6" t="s">
        <v>2049</v>
      </c>
      <c r="F827" s="17" t="s">
        <v>3354</v>
      </c>
    </row>
    <row r="828" spans="1:6" x14ac:dyDescent="0.25">
      <c r="A828" s="6" t="str">
        <f t="shared" si="30"/>
        <v>q11ROW4_hidden_southamerica</v>
      </c>
      <c r="B828" s="6" t="str">
        <f t="shared" si="31"/>
        <v>_southamerica</v>
      </c>
      <c r="C828" s="6" t="s">
        <v>375</v>
      </c>
      <c r="D828" s="15" t="s">
        <v>1905</v>
      </c>
      <c r="E828" s="11" t="s">
        <v>2074</v>
      </c>
      <c r="F828" s="17" t="s">
        <v>3355</v>
      </c>
    </row>
    <row r="829" spans="1:6" x14ac:dyDescent="0.25">
      <c r="A829" s="6" t="str">
        <f t="shared" si="30"/>
        <v>q115_1_southamerica</v>
      </c>
      <c r="B829" s="6" t="str">
        <f t="shared" si="31"/>
        <v>_southamerica</v>
      </c>
      <c r="C829" s="6" t="s">
        <v>376</v>
      </c>
      <c r="D829" s="15" t="s">
        <v>1905</v>
      </c>
      <c r="E829" s="6" t="s">
        <v>2051</v>
      </c>
      <c r="F829" s="17" t="s">
        <v>3356</v>
      </c>
    </row>
    <row r="830" spans="1:6" x14ac:dyDescent="0.25">
      <c r="A830" s="6" t="str">
        <f>_xlfn.CONCAT(C830,B830)</f>
        <v>q115_2_southamerica</v>
      </c>
      <c r="B830" s="6" t="str">
        <f t="shared" si="31"/>
        <v>_southamerica</v>
      </c>
      <c r="C830" s="6" t="s">
        <v>377</v>
      </c>
      <c r="D830" s="15" t="s">
        <v>1905</v>
      </c>
      <c r="E830" s="6" t="s">
        <v>2052</v>
      </c>
      <c r="F830" s="17" t="s">
        <v>3357</v>
      </c>
    </row>
    <row r="831" spans="1:6" x14ac:dyDescent="0.25">
      <c r="A831" s="6" t="str">
        <f t="shared" si="30"/>
        <v>q115_3_southamerica</v>
      </c>
      <c r="B831" s="6" t="str">
        <f t="shared" si="31"/>
        <v>_southamerica</v>
      </c>
      <c r="C831" s="6" t="s">
        <v>378</v>
      </c>
      <c r="D831" s="15" t="s">
        <v>1905</v>
      </c>
      <c r="E831" s="6" t="s">
        <v>2053</v>
      </c>
      <c r="F831" s="17" t="s">
        <v>3358</v>
      </c>
    </row>
    <row r="832" spans="1:6" x14ac:dyDescent="0.25">
      <c r="A832" s="6" t="str">
        <f t="shared" si="30"/>
        <v>q115_4_southamerica</v>
      </c>
      <c r="B832" s="6" t="str">
        <f t="shared" ref="B832:B842" si="32">B831</f>
        <v>_southamerica</v>
      </c>
      <c r="C832" s="6" t="s">
        <v>379</v>
      </c>
      <c r="D832" s="15" t="s">
        <v>1905</v>
      </c>
      <c r="E832" s="6" t="s">
        <v>2054</v>
      </c>
      <c r="F832" s="17" t="s">
        <v>3359</v>
      </c>
    </row>
    <row r="833" spans="1:6" x14ac:dyDescent="0.25">
      <c r="A833" s="6" t="str">
        <f t="shared" si="30"/>
        <v>q115_5_southamerica</v>
      </c>
      <c r="B833" s="6" t="str">
        <f t="shared" si="32"/>
        <v>_southamerica</v>
      </c>
      <c r="C833" s="6" t="s">
        <v>380</v>
      </c>
      <c r="D833" s="15" t="s">
        <v>1905</v>
      </c>
      <c r="E833" s="6" t="s">
        <v>2055</v>
      </c>
      <c r="F833" s="17" t="s">
        <v>3360</v>
      </c>
    </row>
    <row r="834" spans="1:6" x14ac:dyDescent="0.25">
      <c r="A834" s="6" t="str">
        <f t="shared" si="30"/>
        <v>q115_6_southamerica</v>
      </c>
      <c r="B834" s="6" t="str">
        <f t="shared" si="32"/>
        <v>_southamerica</v>
      </c>
      <c r="C834" s="6" t="s">
        <v>381</v>
      </c>
      <c r="D834" s="15" t="s">
        <v>1905</v>
      </c>
      <c r="E834" s="6" t="s">
        <v>2056</v>
      </c>
      <c r="F834" s="17" t="s">
        <v>3361</v>
      </c>
    </row>
    <row r="835" spans="1:6" x14ac:dyDescent="0.25">
      <c r="A835" s="6" t="str">
        <f t="shared" ref="A835:A898" si="33">_xlfn.CONCAT(C835,B835)</f>
        <v>q11ROW5_hidden_southamerica</v>
      </c>
      <c r="B835" s="6" t="str">
        <f t="shared" si="32"/>
        <v>_southamerica</v>
      </c>
      <c r="C835" s="6" t="s">
        <v>382</v>
      </c>
      <c r="D835" s="15" t="s">
        <v>1905</v>
      </c>
      <c r="E835" s="11" t="s">
        <v>2057</v>
      </c>
      <c r="F835" s="17" t="s">
        <v>3362</v>
      </c>
    </row>
    <row r="836" spans="1:6" x14ac:dyDescent="0.25">
      <c r="A836" s="6" t="str">
        <f t="shared" si="33"/>
        <v>q11COL1_hidden_southamerica</v>
      </c>
      <c r="B836" s="6" t="str">
        <f t="shared" si="32"/>
        <v>_southamerica</v>
      </c>
      <c r="C836" s="6" t="s">
        <v>383</v>
      </c>
      <c r="D836" s="15" t="s">
        <v>1905</v>
      </c>
      <c r="E836" s="11" t="s">
        <v>1953</v>
      </c>
      <c r="F836" s="17" t="s">
        <v>3363</v>
      </c>
    </row>
    <row r="837" spans="1:6" x14ac:dyDescent="0.25">
      <c r="A837" s="6" t="str">
        <f t="shared" si="33"/>
        <v>q11COL2_hidden_southamerica</v>
      </c>
      <c r="B837" s="6" t="str">
        <f t="shared" si="32"/>
        <v>_southamerica</v>
      </c>
      <c r="C837" s="6" t="s">
        <v>384</v>
      </c>
      <c r="D837" s="15" t="s">
        <v>1905</v>
      </c>
      <c r="E837" s="11" t="s">
        <v>1954</v>
      </c>
      <c r="F837" s="17" t="s">
        <v>3364</v>
      </c>
    </row>
    <row r="838" spans="1:6" x14ac:dyDescent="0.25">
      <c r="A838" s="6" t="str">
        <f t="shared" si="33"/>
        <v>q11COL3_hidden_southamerica</v>
      </c>
      <c r="B838" s="6" t="str">
        <f t="shared" si="32"/>
        <v>_southamerica</v>
      </c>
      <c r="C838" s="6" t="s">
        <v>385</v>
      </c>
      <c r="D838" s="15" t="s">
        <v>1905</v>
      </c>
      <c r="E838" s="11" t="s">
        <v>1955</v>
      </c>
      <c r="F838" s="17" t="s">
        <v>3365</v>
      </c>
    </row>
    <row r="839" spans="1:6" x14ac:dyDescent="0.25">
      <c r="A839" s="6" t="str">
        <f t="shared" si="33"/>
        <v>q11COL4_hidden_southamerica</v>
      </c>
      <c r="B839" s="6" t="str">
        <f t="shared" si="32"/>
        <v>_southamerica</v>
      </c>
      <c r="C839" s="6" t="s">
        <v>386</v>
      </c>
      <c r="D839" s="15" t="s">
        <v>1905</v>
      </c>
      <c r="E839" s="11" t="s">
        <v>1956</v>
      </c>
      <c r="F839" s="17" t="s">
        <v>3366</v>
      </c>
    </row>
    <row r="840" spans="1:6" x14ac:dyDescent="0.25">
      <c r="A840" s="6" t="str">
        <f t="shared" si="33"/>
        <v>q11COL5_hidden_southamerica</v>
      </c>
      <c r="B840" s="6" t="str">
        <f t="shared" si="32"/>
        <v>_southamerica</v>
      </c>
      <c r="C840" s="6" t="s">
        <v>387</v>
      </c>
      <c r="D840" s="15" t="s">
        <v>1905</v>
      </c>
      <c r="E840" s="11" t="s">
        <v>1957</v>
      </c>
      <c r="F840" s="17" t="s">
        <v>3367</v>
      </c>
    </row>
    <row r="841" spans="1:6" x14ac:dyDescent="0.25">
      <c r="A841" s="6" t="str">
        <f t="shared" si="33"/>
        <v>q11COL6_hidden_southamerica</v>
      </c>
      <c r="B841" s="6" t="str">
        <f t="shared" si="32"/>
        <v>_southamerica</v>
      </c>
      <c r="C841" s="6" t="s">
        <v>388</v>
      </c>
      <c r="D841" s="15" t="s">
        <v>1905</v>
      </c>
      <c r="E841" s="11" t="s">
        <v>1958</v>
      </c>
      <c r="F841" s="17" t="s">
        <v>3368</v>
      </c>
    </row>
    <row r="842" spans="1:6" x14ac:dyDescent="0.25">
      <c r="A842" s="6" t="str">
        <f t="shared" si="33"/>
        <v>q11GRANDTotal_hidden_southamerica</v>
      </c>
      <c r="B842" s="6" t="str">
        <f t="shared" si="32"/>
        <v>_southamerica</v>
      </c>
      <c r="C842" s="6" t="s">
        <v>389</v>
      </c>
      <c r="D842" s="15" t="s">
        <v>1905</v>
      </c>
      <c r="E842" s="11" t="s">
        <v>2075</v>
      </c>
      <c r="F842" s="17" t="s">
        <v>3369</v>
      </c>
    </row>
    <row r="843" spans="1:6" x14ac:dyDescent="0.25">
      <c r="A843" s="6" t="str">
        <f t="shared" si="33"/>
        <v>AFRICA_africa</v>
      </c>
      <c r="B843" s="6" t="s">
        <v>2092</v>
      </c>
      <c r="C843" s="13" t="s">
        <v>394</v>
      </c>
      <c r="D843" s="14"/>
      <c r="E843" s="12" t="s">
        <v>2084</v>
      </c>
      <c r="F843" s="6">
        <f>VLOOKUP(E843,'[3]Full Data-Map'!$C:$D,2,FALSE)</f>
        <v>24</v>
      </c>
    </row>
    <row r="844" spans="1:6" x14ac:dyDescent="0.25">
      <c r="A844" s="6" t="str">
        <f t="shared" si="33"/>
        <v>q101_1_africa</v>
      </c>
      <c r="B844" s="6" t="str">
        <f t="shared" ref="B844:B875" si="34">B843</f>
        <v>_africa</v>
      </c>
      <c r="C844" s="6" t="s">
        <v>284</v>
      </c>
      <c r="D844" s="15" t="s">
        <v>1905</v>
      </c>
      <c r="E844" s="6" t="s">
        <v>1965</v>
      </c>
      <c r="F844" s="17" t="s">
        <v>3370</v>
      </c>
    </row>
    <row r="845" spans="1:6" x14ac:dyDescent="0.25">
      <c r="A845" s="6" t="str">
        <f t="shared" si="33"/>
        <v>q101_2_africa</v>
      </c>
      <c r="B845" s="6" t="str">
        <f t="shared" si="34"/>
        <v>_africa</v>
      </c>
      <c r="C845" s="6" t="s">
        <v>285</v>
      </c>
      <c r="D845" s="15" t="s">
        <v>1905</v>
      </c>
      <c r="E845" s="6" t="s">
        <v>1966</v>
      </c>
      <c r="F845" s="17" t="s">
        <v>3371</v>
      </c>
    </row>
    <row r="846" spans="1:6" x14ac:dyDescent="0.25">
      <c r="A846" s="6" t="str">
        <f t="shared" si="33"/>
        <v>q101_3_africa</v>
      </c>
      <c r="B846" s="6" t="str">
        <f t="shared" si="34"/>
        <v>_africa</v>
      </c>
      <c r="C846" s="6" t="s">
        <v>286</v>
      </c>
      <c r="D846" s="15" t="s">
        <v>1905</v>
      </c>
      <c r="E846" s="6" t="s">
        <v>1967</v>
      </c>
      <c r="F846" s="17" t="s">
        <v>3372</v>
      </c>
    </row>
    <row r="847" spans="1:6" x14ac:dyDescent="0.25">
      <c r="A847" s="6" t="str">
        <f t="shared" si="33"/>
        <v>q101_4_africa</v>
      </c>
      <c r="B847" s="6" t="str">
        <f t="shared" si="34"/>
        <v>_africa</v>
      </c>
      <c r="C847" s="6" t="s">
        <v>287</v>
      </c>
      <c r="D847" s="15" t="s">
        <v>1905</v>
      </c>
      <c r="E847" s="6" t="s">
        <v>1968</v>
      </c>
      <c r="F847" s="17" t="s">
        <v>3373</v>
      </c>
    </row>
    <row r="848" spans="1:6" x14ac:dyDescent="0.25">
      <c r="A848" s="6" t="str">
        <f t="shared" si="33"/>
        <v>q101_5_africa</v>
      </c>
      <c r="B848" s="6" t="str">
        <f t="shared" si="34"/>
        <v>_africa</v>
      </c>
      <c r="C848" s="6" t="s">
        <v>288</v>
      </c>
      <c r="D848" s="15" t="s">
        <v>1905</v>
      </c>
      <c r="E848" s="6" t="s">
        <v>1969</v>
      </c>
      <c r="F848" s="17" t="s">
        <v>3374</v>
      </c>
    </row>
    <row r="849" spans="1:6" x14ac:dyDescent="0.25">
      <c r="A849" s="6" t="str">
        <f t="shared" si="33"/>
        <v>q101_6_africa</v>
      </c>
      <c r="B849" s="6" t="str">
        <f t="shared" si="34"/>
        <v>_africa</v>
      </c>
      <c r="C849" s="6" t="s">
        <v>289</v>
      </c>
      <c r="D849" s="15" t="s">
        <v>1905</v>
      </c>
      <c r="E849" s="6" t="s">
        <v>1970</v>
      </c>
      <c r="F849" s="17" t="s">
        <v>3375</v>
      </c>
    </row>
    <row r="850" spans="1:6" x14ac:dyDescent="0.25">
      <c r="A850" s="6" t="str">
        <f t="shared" si="33"/>
        <v>q10ROW1_hidden_africa</v>
      </c>
      <c r="B850" s="6" t="str">
        <f t="shared" si="34"/>
        <v>_africa</v>
      </c>
      <c r="C850" s="6" t="s">
        <v>290</v>
      </c>
      <c r="D850" s="15" t="s">
        <v>1905</v>
      </c>
      <c r="E850" s="11" t="s">
        <v>1971</v>
      </c>
      <c r="F850" s="17" t="s">
        <v>3376</v>
      </c>
    </row>
    <row r="851" spans="1:6" x14ac:dyDescent="0.25">
      <c r="A851" s="6" t="str">
        <f t="shared" si="33"/>
        <v>q102_1_africa</v>
      </c>
      <c r="B851" s="6" t="str">
        <f t="shared" si="34"/>
        <v>_africa</v>
      </c>
      <c r="C851" s="6" t="s">
        <v>291</v>
      </c>
      <c r="D851" s="15" t="s">
        <v>1905</v>
      </c>
      <c r="E851" s="6" t="s">
        <v>1972</v>
      </c>
      <c r="F851" s="17" t="s">
        <v>3377</v>
      </c>
    </row>
    <row r="852" spans="1:6" x14ac:dyDescent="0.25">
      <c r="A852" s="6" t="str">
        <f t="shared" si="33"/>
        <v>q102_2_africa</v>
      </c>
      <c r="B852" s="6" t="str">
        <f t="shared" si="34"/>
        <v>_africa</v>
      </c>
      <c r="C852" s="6" t="s">
        <v>292</v>
      </c>
      <c r="D852" s="15" t="s">
        <v>1905</v>
      </c>
      <c r="E852" s="6" t="s">
        <v>1973</v>
      </c>
      <c r="F852" s="17" t="s">
        <v>3378</v>
      </c>
    </row>
    <row r="853" spans="1:6" x14ac:dyDescent="0.25">
      <c r="A853" s="6" t="str">
        <f t="shared" si="33"/>
        <v>q102_3_africa</v>
      </c>
      <c r="B853" s="6" t="str">
        <f t="shared" si="34"/>
        <v>_africa</v>
      </c>
      <c r="C853" s="6" t="s">
        <v>293</v>
      </c>
      <c r="D853" s="15" t="s">
        <v>1905</v>
      </c>
      <c r="E853" s="6" t="s">
        <v>1974</v>
      </c>
      <c r="F853" s="17" t="s">
        <v>3379</v>
      </c>
    </row>
    <row r="854" spans="1:6" x14ac:dyDescent="0.25">
      <c r="A854" s="6" t="str">
        <f t="shared" si="33"/>
        <v>q102_4_africa</v>
      </c>
      <c r="B854" s="6" t="str">
        <f t="shared" si="34"/>
        <v>_africa</v>
      </c>
      <c r="C854" s="6" t="s">
        <v>294</v>
      </c>
      <c r="D854" s="15" t="s">
        <v>1905</v>
      </c>
      <c r="E854" s="6" t="s">
        <v>1975</v>
      </c>
      <c r="F854" s="17" t="s">
        <v>3380</v>
      </c>
    </row>
    <row r="855" spans="1:6" x14ac:dyDescent="0.25">
      <c r="A855" s="6" t="str">
        <f t="shared" si="33"/>
        <v>q102_5_africa</v>
      </c>
      <c r="B855" s="6" t="str">
        <f t="shared" si="34"/>
        <v>_africa</v>
      </c>
      <c r="C855" s="6" t="s">
        <v>295</v>
      </c>
      <c r="D855" s="15" t="s">
        <v>1905</v>
      </c>
      <c r="E855" s="6" t="s">
        <v>1976</v>
      </c>
      <c r="F855" s="17" t="s">
        <v>3381</v>
      </c>
    </row>
    <row r="856" spans="1:6" x14ac:dyDescent="0.25">
      <c r="A856" s="6" t="str">
        <f t="shared" si="33"/>
        <v>q102_6_africa</v>
      </c>
      <c r="B856" s="6" t="str">
        <f t="shared" si="34"/>
        <v>_africa</v>
      </c>
      <c r="C856" s="6" t="s">
        <v>296</v>
      </c>
      <c r="D856" s="15" t="s">
        <v>1905</v>
      </c>
      <c r="E856" s="6" t="s">
        <v>1977</v>
      </c>
      <c r="F856" s="17" t="s">
        <v>3382</v>
      </c>
    </row>
    <row r="857" spans="1:6" x14ac:dyDescent="0.25">
      <c r="A857" s="6" t="str">
        <f t="shared" si="33"/>
        <v>q10ROW2_hidden_africa</v>
      </c>
      <c r="B857" s="6" t="str">
        <f t="shared" si="34"/>
        <v>_africa</v>
      </c>
      <c r="C857" s="6" t="s">
        <v>297</v>
      </c>
      <c r="D857" s="15" t="s">
        <v>1905</v>
      </c>
      <c r="E857" s="11" t="s">
        <v>1978</v>
      </c>
      <c r="F857" s="17" t="s">
        <v>3383</v>
      </c>
    </row>
    <row r="858" spans="1:6" x14ac:dyDescent="0.25">
      <c r="A858" s="6" t="str">
        <f t="shared" si="33"/>
        <v>q103_1_africa</v>
      </c>
      <c r="B858" s="6" t="str">
        <f t="shared" si="34"/>
        <v>_africa</v>
      </c>
      <c r="C858" s="6" t="s">
        <v>298</v>
      </c>
      <c r="D858" s="15" t="s">
        <v>1905</v>
      </c>
      <c r="E858" s="6" t="s">
        <v>1979</v>
      </c>
      <c r="F858" s="17" t="s">
        <v>3384</v>
      </c>
    </row>
    <row r="859" spans="1:6" x14ac:dyDescent="0.25">
      <c r="A859" s="6" t="str">
        <f t="shared" si="33"/>
        <v>q103_2_africa</v>
      </c>
      <c r="B859" s="6" t="str">
        <f t="shared" si="34"/>
        <v>_africa</v>
      </c>
      <c r="C859" s="6" t="s">
        <v>299</v>
      </c>
      <c r="D859" s="15" t="s">
        <v>1905</v>
      </c>
      <c r="E859" s="6" t="s">
        <v>1980</v>
      </c>
      <c r="F859" s="17" t="s">
        <v>3385</v>
      </c>
    </row>
    <row r="860" spans="1:6" x14ac:dyDescent="0.25">
      <c r="A860" s="6" t="str">
        <f t="shared" si="33"/>
        <v>q103_3_africa</v>
      </c>
      <c r="B860" s="6" t="str">
        <f t="shared" si="34"/>
        <v>_africa</v>
      </c>
      <c r="C860" s="6" t="s">
        <v>300</v>
      </c>
      <c r="D860" s="15" t="s">
        <v>1905</v>
      </c>
      <c r="E860" s="6" t="s">
        <v>1981</v>
      </c>
      <c r="F860" s="17" t="s">
        <v>3386</v>
      </c>
    </row>
    <row r="861" spans="1:6" x14ac:dyDescent="0.25">
      <c r="A861" s="6" t="str">
        <f t="shared" si="33"/>
        <v>q103_4_africa</v>
      </c>
      <c r="B861" s="6" t="str">
        <f t="shared" si="34"/>
        <v>_africa</v>
      </c>
      <c r="C861" s="6" t="s">
        <v>301</v>
      </c>
      <c r="D861" s="15" t="s">
        <v>1905</v>
      </c>
      <c r="E861" s="6" t="s">
        <v>1982</v>
      </c>
      <c r="F861" s="17" t="s">
        <v>3387</v>
      </c>
    </row>
    <row r="862" spans="1:6" x14ac:dyDescent="0.25">
      <c r="A862" s="6" t="str">
        <f t="shared" si="33"/>
        <v>q103_5_africa</v>
      </c>
      <c r="B862" s="6" t="str">
        <f t="shared" si="34"/>
        <v>_africa</v>
      </c>
      <c r="C862" s="6" t="s">
        <v>302</v>
      </c>
      <c r="D862" s="15" t="s">
        <v>1905</v>
      </c>
      <c r="E862" s="6" t="s">
        <v>1983</v>
      </c>
      <c r="F862" s="17" t="s">
        <v>3388</v>
      </c>
    </row>
    <row r="863" spans="1:6" x14ac:dyDescent="0.25">
      <c r="A863" s="6" t="str">
        <f t="shared" si="33"/>
        <v>q103_6_africa</v>
      </c>
      <c r="B863" s="6" t="str">
        <f t="shared" si="34"/>
        <v>_africa</v>
      </c>
      <c r="C863" s="6" t="s">
        <v>303</v>
      </c>
      <c r="D863" s="15" t="s">
        <v>1905</v>
      </c>
      <c r="E863" s="6" t="s">
        <v>1984</v>
      </c>
      <c r="F863" s="17" t="s">
        <v>3389</v>
      </c>
    </row>
    <row r="864" spans="1:6" x14ac:dyDescent="0.25">
      <c r="A864" s="6" t="str">
        <f t="shared" si="33"/>
        <v>q10ROW3_hidden_africa</v>
      </c>
      <c r="B864" s="6" t="str">
        <f t="shared" si="34"/>
        <v>_africa</v>
      </c>
      <c r="C864" s="6" t="s">
        <v>304</v>
      </c>
      <c r="D864" s="15" t="s">
        <v>1905</v>
      </c>
      <c r="E864" s="11" t="s">
        <v>1985</v>
      </c>
      <c r="F864" s="17" t="s">
        <v>3390</v>
      </c>
    </row>
    <row r="865" spans="1:6" x14ac:dyDescent="0.25">
      <c r="A865" s="6" t="str">
        <f t="shared" si="33"/>
        <v>q104_1_africa</v>
      </c>
      <c r="B865" s="6" t="str">
        <f t="shared" si="34"/>
        <v>_africa</v>
      </c>
      <c r="C865" s="6" t="s">
        <v>305</v>
      </c>
      <c r="D865" s="15" t="s">
        <v>1905</v>
      </c>
      <c r="E865" s="6" t="s">
        <v>1986</v>
      </c>
      <c r="F865" s="17" t="s">
        <v>3391</v>
      </c>
    </row>
    <row r="866" spans="1:6" x14ac:dyDescent="0.25">
      <c r="A866" s="6" t="str">
        <f t="shared" si="33"/>
        <v>q104_2_africa</v>
      </c>
      <c r="B866" s="6" t="str">
        <f t="shared" si="34"/>
        <v>_africa</v>
      </c>
      <c r="C866" s="6" t="s">
        <v>306</v>
      </c>
      <c r="D866" s="15" t="s">
        <v>1905</v>
      </c>
      <c r="E866" s="6" t="s">
        <v>1987</v>
      </c>
      <c r="F866" s="17" t="s">
        <v>3392</v>
      </c>
    </row>
    <row r="867" spans="1:6" x14ac:dyDescent="0.25">
      <c r="A867" s="6" t="str">
        <f t="shared" si="33"/>
        <v>q104_3_africa</v>
      </c>
      <c r="B867" s="6" t="str">
        <f t="shared" si="34"/>
        <v>_africa</v>
      </c>
      <c r="C867" s="6" t="s">
        <v>307</v>
      </c>
      <c r="D867" s="15" t="s">
        <v>1905</v>
      </c>
      <c r="E867" s="6" t="s">
        <v>1988</v>
      </c>
      <c r="F867" s="17" t="s">
        <v>3393</v>
      </c>
    </row>
    <row r="868" spans="1:6" x14ac:dyDescent="0.25">
      <c r="A868" s="6" t="str">
        <f t="shared" si="33"/>
        <v>q104_4_africa</v>
      </c>
      <c r="B868" s="6" t="str">
        <f t="shared" si="34"/>
        <v>_africa</v>
      </c>
      <c r="C868" s="6" t="s">
        <v>308</v>
      </c>
      <c r="D868" s="15" t="s">
        <v>1905</v>
      </c>
      <c r="E868" s="6" t="s">
        <v>1989</v>
      </c>
      <c r="F868" s="17" t="s">
        <v>3394</v>
      </c>
    </row>
    <row r="869" spans="1:6" x14ac:dyDescent="0.25">
      <c r="A869" s="6" t="str">
        <f t="shared" si="33"/>
        <v>q104_5_africa</v>
      </c>
      <c r="B869" s="6" t="str">
        <f t="shared" si="34"/>
        <v>_africa</v>
      </c>
      <c r="C869" s="6" t="s">
        <v>309</v>
      </c>
      <c r="D869" s="15" t="s">
        <v>1905</v>
      </c>
      <c r="E869" s="6" t="s">
        <v>1990</v>
      </c>
      <c r="F869" s="17" t="s">
        <v>3395</v>
      </c>
    </row>
    <row r="870" spans="1:6" x14ac:dyDescent="0.25">
      <c r="A870" s="6" t="str">
        <f t="shared" si="33"/>
        <v>q104_6_africa</v>
      </c>
      <c r="B870" s="6" t="str">
        <f t="shared" si="34"/>
        <v>_africa</v>
      </c>
      <c r="C870" s="6" t="s">
        <v>310</v>
      </c>
      <c r="D870" s="15" t="s">
        <v>1905</v>
      </c>
      <c r="E870" s="6" t="s">
        <v>1991</v>
      </c>
      <c r="F870" s="17" t="s">
        <v>3396</v>
      </c>
    </row>
    <row r="871" spans="1:6" x14ac:dyDescent="0.25">
      <c r="A871" s="6" t="str">
        <f t="shared" si="33"/>
        <v>q10ROW4_hidden_africa</v>
      </c>
      <c r="B871" s="6" t="str">
        <f t="shared" si="34"/>
        <v>_africa</v>
      </c>
      <c r="C871" s="6" t="s">
        <v>311</v>
      </c>
      <c r="D871" s="15" t="s">
        <v>1905</v>
      </c>
      <c r="E871" s="11" t="s">
        <v>1992</v>
      </c>
      <c r="F871" s="17" t="s">
        <v>3397</v>
      </c>
    </row>
    <row r="872" spans="1:6" x14ac:dyDescent="0.25">
      <c r="A872" s="6" t="str">
        <f t="shared" si="33"/>
        <v>q105_1_africa</v>
      </c>
      <c r="B872" s="6" t="str">
        <f t="shared" si="34"/>
        <v>_africa</v>
      </c>
      <c r="C872" s="6" t="s">
        <v>312</v>
      </c>
      <c r="D872" s="15" t="s">
        <v>1905</v>
      </c>
      <c r="E872" s="6" t="s">
        <v>1993</v>
      </c>
      <c r="F872" s="17" t="s">
        <v>3398</v>
      </c>
    </row>
    <row r="873" spans="1:6" x14ac:dyDescent="0.25">
      <c r="A873" s="6" t="str">
        <f t="shared" si="33"/>
        <v>q105_2_africa</v>
      </c>
      <c r="B873" s="6" t="str">
        <f t="shared" si="34"/>
        <v>_africa</v>
      </c>
      <c r="C873" s="6" t="s">
        <v>313</v>
      </c>
      <c r="D873" s="15" t="s">
        <v>1905</v>
      </c>
      <c r="E873" s="6" t="s">
        <v>1994</v>
      </c>
      <c r="F873" s="17" t="s">
        <v>3399</v>
      </c>
    </row>
    <row r="874" spans="1:6" x14ac:dyDescent="0.25">
      <c r="A874" s="6" t="str">
        <f t="shared" si="33"/>
        <v>q105_3_africa</v>
      </c>
      <c r="B874" s="6" t="str">
        <f t="shared" si="34"/>
        <v>_africa</v>
      </c>
      <c r="C874" s="6" t="s">
        <v>314</v>
      </c>
      <c r="D874" s="15" t="s">
        <v>1905</v>
      </c>
      <c r="E874" s="6" t="s">
        <v>1995</v>
      </c>
      <c r="F874" s="17" t="s">
        <v>3400</v>
      </c>
    </row>
    <row r="875" spans="1:6" x14ac:dyDescent="0.25">
      <c r="A875" s="6" t="str">
        <f t="shared" si="33"/>
        <v>q105_4_africa</v>
      </c>
      <c r="B875" s="6" t="str">
        <f t="shared" si="34"/>
        <v>_africa</v>
      </c>
      <c r="C875" s="6" t="s">
        <v>315</v>
      </c>
      <c r="D875" s="15" t="s">
        <v>1905</v>
      </c>
      <c r="E875" s="6" t="s">
        <v>1996</v>
      </c>
      <c r="F875" s="17" t="s">
        <v>3401</v>
      </c>
    </row>
    <row r="876" spans="1:6" x14ac:dyDescent="0.25">
      <c r="A876" s="6" t="str">
        <f t="shared" si="33"/>
        <v>q105_5_africa</v>
      </c>
      <c r="B876" s="6" t="str">
        <f t="shared" ref="B876:B907" si="35">B875</f>
        <v>_africa</v>
      </c>
      <c r="C876" s="6" t="s">
        <v>316</v>
      </c>
      <c r="D876" s="15" t="s">
        <v>1905</v>
      </c>
      <c r="E876" s="6" t="s">
        <v>1997</v>
      </c>
      <c r="F876" s="17" t="s">
        <v>3402</v>
      </c>
    </row>
    <row r="877" spans="1:6" x14ac:dyDescent="0.25">
      <c r="A877" s="6" t="str">
        <f t="shared" si="33"/>
        <v>q105_6_africa</v>
      </c>
      <c r="B877" s="6" t="str">
        <f t="shared" si="35"/>
        <v>_africa</v>
      </c>
      <c r="C877" s="6" t="s">
        <v>317</v>
      </c>
      <c r="D877" s="15" t="s">
        <v>1905</v>
      </c>
      <c r="E877" s="6" t="s">
        <v>1998</v>
      </c>
      <c r="F877" s="17" t="s">
        <v>3403</v>
      </c>
    </row>
    <row r="878" spans="1:6" x14ac:dyDescent="0.25">
      <c r="A878" s="6" t="str">
        <f t="shared" si="33"/>
        <v>q10ROW5_hidden_africa</v>
      </c>
      <c r="B878" s="6" t="str">
        <f t="shared" si="35"/>
        <v>_africa</v>
      </c>
      <c r="C878" s="6" t="s">
        <v>318</v>
      </c>
      <c r="D878" s="15" t="s">
        <v>1905</v>
      </c>
      <c r="E878" s="11" t="s">
        <v>1999</v>
      </c>
      <c r="F878" s="17" t="s">
        <v>3404</v>
      </c>
    </row>
    <row r="879" spans="1:6" x14ac:dyDescent="0.25">
      <c r="A879" s="6" t="str">
        <f t="shared" si="33"/>
        <v>q106_1_africa</v>
      </c>
      <c r="B879" s="6" t="str">
        <f t="shared" si="35"/>
        <v>_africa</v>
      </c>
      <c r="C879" s="6" t="s">
        <v>319</v>
      </c>
      <c r="D879" s="15" t="s">
        <v>1905</v>
      </c>
      <c r="E879" s="6" t="s">
        <v>2000</v>
      </c>
      <c r="F879" s="17" t="s">
        <v>3405</v>
      </c>
    </row>
    <row r="880" spans="1:6" x14ac:dyDescent="0.25">
      <c r="A880" s="6" t="str">
        <f t="shared" si="33"/>
        <v>q106_2_africa</v>
      </c>
      <c r="B880" s="6" t="str">
        <f t="shared" si="35"/>
        <v>_africa</v>
      </c>
      <c r="C880" s="6" t="s">
        <v>320</v>
      </c>
      <c r="D880" s="15" t="s">
        <v>1905</v>
      </c>
      <c r="E880" s="6" t="s">
        <v>2001</v>
      </c>
      <c r="F880" s="17" t="s">
        <v>3406</v>
      </c>
    </row>
    <row r="881" spans="1:6" x14ac:dyDescent="0.25">
      <c r="A881" s="6" t="str">
        <f t="shared" si="33"/>
        <v>q106_3_africa</v>
      </c>
      <c r="B881" s="6" t="str">
        <f t="shared" si="35"/>
        <v>_africa</v>
      </c>
      <c r="C881" s="6" t="s">
        <v>321</v>
      </c>
      <c r="D881" s="15" t="s">
        <v>1905</v>
      </c>
      <c r="E881" s="6" t="s">
        <v>2002</v>
      </c>
      <c r="F881" s="17" t="s">
        <v>3407</v>
      </c>
    </row>
    <row r="882" spans="1:6" x14ac:dyDescent="0.25">
      <c r="A882" s="6" t="str">
        <f t="shared" si="33"/>
        <v>q106_4_africa</v>
      </c>
      <c r="B882" s="6" t="str">
        <f t="shared" si="35"/>
        <v>_africa</v>
      </c>
      <c r="C882" s="6" t="s">
        <v>322</v>
      </c>
      <c r="D882" s="15" t="s">
        <v>1905</v>
      </c>
      <c r="E882" s="6" t="s">
        <v>2003</v>
      </c>
      <c r="F882" s="17" t="s">
        <v>3408</v>
      </c>
    </row>
    <row r="883" spans="1:6" x14ac:dyDescent="0.25">
      <c r="A883" s="6" t="str">
        <f t="shared" si="33"/>
        <v>q106_5_africa</v>
      </c>
      <c r="B883" s="6" t="str">
        <f t="shared" si="35"/>
        <v>_africa</v>
      </c>
      <c r="C883" s="6" t="s">
        <v>323</v>
      </c>
      <c r="D883" s="15" t="s">
        <v>1905</v>
      </c>
      <c r="E883" s="6" t="s">
        <v>2004</v>
      </c>
      <c r="F883" s="17" t="s">
        <v>3409</v>
      </c>
    </row>
    <row r="884" spans="1:6" x14ac:dyDescent="0.25">
      <c r="A884" s="6" t="str">
        <f t="shared" si="33"/>
        <v>q106_6_africa</v>
      </c>
      <c r="B884" s="6" t="str">
        <f t="shared" si="35"/>
        <v>_africa</v>
      </c>
      <c r="C884" s="6" t="s">
        <v>324</v>
      </c>
      <c r="D884" s="15" t="s">
        <v>1905</v>
      </c>
      <c r="E884" s="6" t="s">
        <v>2005</v>
      </c>
      <c r="F884" s="17" t="s">
        <v>3410</v>
      </c>
    </row>
    <row r="885" spans="1:6" x14ac:dyDescent="0.25">
      <c r="A885" s="6" t="str">
        <f t="shared" si="33"/>
        <v>q10ROW6_hidden_africa</v>
      </c>
      <c r="B885" s="6" t="str">
        <f t="shared" si="35"/>
        <v>_africa</v>
      </c>
      <c r="C885" s="6" t="s">
        <v>325</v>
      </c>
      <c r="D885" s="15" t="s">
        <v>1905</v>
      </c>
      <c r="E885" s="11" t="s">
        <v>1957</v>
      </c>
      <c r="F885" s="17" t="s">
        <v>3411</v>
      </c>
    </row>
    <row r="886" spans="1:6" x14ac:dyDescent="0.25">
      <c r="A886" s="6" t="str">
        <f t="shared" si="33"/>
        <v>q107_1_africa</v>
      </c>
      <c r="B886" s="6" t="str">
        <f t="shared" si="35"/>
        <v>_africa</v>
      </c>
      <c r="C886" s="6" t="s">
        <v>326</v>
      </c>
      <c r="D886" s="15" t="s">
        <v>1905</v>
      </c>
      <c r="E886" s="6" t="s">
        <v>2006</v>
      </c>
      <c r="F886" s="17" t="s">
        <v>3412</v>
      </c>
    </row>
    <row r="887" spans="1:6" x14ac:dyDescent="0.25">
      <c r="A887" s="6" t="str">
        <f t="shared" si="33"/>
        <v>q107_2_africa</v>
      </c>
      <c r="B887" s="6" t="str">
        <f t="shared" si="35"/>
        <v>_africa</v>
      </c>
      <c r="C887" s="6" t="s">
        <v>327</v>
      </c>
      <c r="D887" s="15" t="s">
        <v>1905</v>
      </c>
      <c r="E887" s="6" t="s">
        <v>2007</v>
      </c>
      <c r="F887" s="17" t="s">
        <v>3413</v>
      </c>
    </row>
    <row r="888" spans="1:6" x14ac:dyDescent="0.25">
      <c r="A888" s="6" t="str">
        <f t="shared" si="33"/>
        <v>q107_3_africa</v>
      </c>
      <c r="B888" s="6" t="str">
        <f t="shared" si="35"/>
        <v>_africa</v>
      </c>
      <c r="C888" s="6" t="s">
        <v>328</v>
      </c>
      <c r="D888" s="15" t="s">
        <v>1905</v>
      </c>
      <c r="E888" s="6" t="s">
        <v>2008</v>
      </c>
      <c r="F888" s="17" t="s">
        <v>3414</v>
      </c>
    </row>
    <row r="889" spans="1:6" x14ac:dyDescent="0.25">
      <c r="A889" s="6" t="str">
        <f t="shared" si="33"/>
        <v>q107_4_africa</v>
      </c>
      <c r="B889" s="6" t="str">
        <f t="shared" si="35"/>
        <v>_africa</v>
      </c>
      <c r="C889" s="6" t="s">
        <v>329</v>
      </c>
      <c r="D889" s="15" t="s">
        <v>1905</v>
      </c>
      <c r="E889" s="6" t="s">
        <v>2009</v>
      </c>
      <c r="F889" s="17" t="s">
        <v>3415</v>
      </c>
    </row>
    <row r="890" spans="1:6" x14ac:dyDescent="0.25">
      <c r="A890" s="6" t="str">
        <f t="shared" si="33"/>
        <v>q107_5_africa</v>
      </c>
      <c r="B890" s="6" t="str">
        <f t="shared" si="35"/>
        <v>_africa</v>
      </c>
      <c r="C890" s="6" t="s">
        <v>330</v>
      </c>
      <c r="D890" s="15" t="s">
        <v>1905</v>
      </c>
      <c r="E890" s="6" t="s">
        <v>2010</v>
      </c>
      <c r="F890" s="17" t="s">
        <v>3416</v>
      </c>
    </row>
    <row r="891" spans="1:6" x14ac:dyDescent="0.25">
      <c r="A891" s="6" t="str">
        <f t="shared" si="33"/>
        <v>q107_6_africa</v>
      </c>
      <c r="B891" s="6" t="str">
        <f t="shared" si="35"/>
        <v>_africa</v>
      </c>
      <c r="C891" s="6" t="s">
        <v>331</v>
      </c>
      <c r="D891" s="15" t="s">
        <v>1905</v>
      </c>
      <c r="E891" s="6" t="s">
        <v>2011</v>
      </c>
      <c r="F891" s="17" t="s">
        <v>3417</v>
      </c>
    </row>
    <row r="892" spans="1:6" x14ac:dyDescent="0.25">
      <c r="A892" s="6" t="str">
        <f t="shared" si="33"/>
        <v>q10ROW7_hidden_africa</v>
      </c>
      <c r="B892" s="6" t="str">
        <f t="shared" si="35"/>
        <v>_africa</v>
      </c>
      <c r="C892" s="6" t="s">
        <v>332</v>
      </c>
      <c r="D892" s="15" t="s">
        <v>1905</v>
      </c>
      <c r="E892" s="11" t="s">
        <v>2012</v>
      </c>
      <c r="F892" s="17" t="s">
        <v>3418</v>
      </c>
    </row>
    <row r="893" spans="1:6" x14ac:dyDescent="0.25">
      <c r="A893" s="6" t="str">
        <f t="shared" si="33"/>
        <v>q10other_africa</v>
      </c>
      <c r="B893" s="6" t="str">
        <f t="shared" si="35"/>
        <v>_africa</v>
      </c>
      <c r="C893" s="6" t="s">
        <v>333</v>
      </c>
      <c r="D893" s="15" t="s">
        <v>1905</v>
      </c>
      <c r="E893" s="6" t="s">
        <v>2013</v>
      </c>
      <c r="F893" s="17" t="s">
        <v>3419</v>
      </c>
    </row>
    <row r="894" spans="1:6" x14ac:dyDescent="0.25">
      <c r="A894" s="6" t="str">
        <f t="shared" si="33"/>
        <v>q108_1_africa</v>
      </c>
      <c r="B894" s="6" t="str">
        <f t="shared" si="35"/>
        <v>_africa</v>
      </c>
      <c r="C894" s="6" t="s">
        <v>334</v>
      </c>
      <c r="D894" s="15" t="s">
        <v>1905</v>
      </c>
      <c r="E894" s="6" t="s">
        <v>2014</v>
      </c>
      <c r="F894" s="17" t="s">
        <v>3420</v>
      </c>
    </row>
    <row r="895" spans="1:6" x14ac:dyDescent="0.25">
      <c r="A895" s="6" t="str">
        <f t="shared" si="33"/>
        <v>q108_2_africa</v>
      </c>
      <c r="B895" s="6" t="str">
        <f t="shared" si="35"/>
        <v>_africa</v>
      </c>
      <c r="C895" s="6" t="s">
        <v>335</v>
      </c>
      <c r="D895" s="15" t="s">
        <v>1905</v>
      </c>
      <c r="E895" s="6" t="s">
        <v>2015</v>
      </c>
      <c r="F895" s="17" t="s">
        <v>3421</v>
      </c>
    </row>
    <row r="896" spans="1:6" x14ac:dyDescent="0.25">
      <c r="A896" s="6" t="str">
        <f t="shared" si="33"/>
        <v>q108_3_africa</v>
      </c>
      <c r="B896" s="6" t="str">
        <f t="shared" si="35"/>
        <v>_africa</v>
      </c>
      <c r="C896" s="6" t="s">
        <v>336</v>
      </c>
      <c r="D896" s="15" t="s">
        <v>1905</v>
      </c>
      <c r="E896" s="6" t="s">
        <v>2016</v>
      </c>
      <c r="F896" s="17" t="s">
        <v>3422</v>
      </c>
    </row>
    <row r="897" spans="1:6" x14ac:dyDescent="0.25">
      <c r="A897" s="6" t="str">
        <f t="shared" si="33"/>
        <v>q108_4_africa</v>
      </c>
      <c r="B897" s="6" t="str">
        <f t="shared" si="35"/>
        <v>_africa</v>
      </c>
      <c r="C897" s="6" t="s">
        <v>337</v>
      </c>
      <c r="D897" s="15" t="s">
        <v>1905</v>
      </c>
      <c r="E897" s="6" t="s">
        <v>2017</v>
      </c>
      <c r="F897" s="17" t="s">
        <v>3423</v>
      </c>
    </row>
    <row r="898" spans="1:6" x14ac:dyDescent="0.25">
      <c r="A898" s="6" t="str">
        <f t="shared" si="33"/>
        <v>q108_5_africa</v>
      </c>
      <c r="B898" s="6" t="str">
        <f t="shared" si="35"/>
        <v>_africa</v>
      </c>
      <c r="C898" s="6" t="s">
        <v>338</v>
      </c>
      <c r="D898" s="15" t="s">
        <v>1905</v>
      </c>
      <c r="E898" s="6" t="s">
        <v>2018</v>
      </c>
      <c r="F898" s="17" t="s">
        <v>3424</v>
      </c>
    </row>
    <row r="899" spans="1:6" x14ac:dyDescent="0.25">
      <c r="A899" s="6" t="str">
        <f t="shared" ref="A899:A950" si="36">_xlfn.CONCAT(C899,B899)</f>
        <v>q108_6_africa</v>
      </c>
      <c r="B899" s="6" t="str">
        <f t="shared" si="35"/>
        <v>_africa</v>
      </c>
      <c r="C899" s="6" t="s">
        <v>339</v>
      </c>
      <c r="D899" s="15" t="s">
        <v>1905</v>
      </c>
      <c r="E899" s="6" t="s">
        <v>2019</v>
      </c>
      <c r="F899" s="17" t="s">
        <v>3425</v>
      </c>
    </row>
    <row r="900" spans="1:6" x14ac:dyDescent="0.25">
      <c r="A900" s="6" t="str">
        <f t="shared" si="36"/>
        <v>q10ROW8_hidden_africa</v>
      </c>
      <c r="B900" s="6" t="str">
        <f t="shared" si="35"/>
        <v>_africa</v>
      </c>
      <c r="C900" s="6" t="s">
        <v>340</v>
      </c>
      <c r="D900" s="15" t="s">
        <v>1905</v>
      </c>
      <c r="E900" s="11" t="s">
        <v>2020</v>
      </c>
      <c r="F900" s="17" t="s">
        <v>3426</v>
      </c>
    </row>
    <row r="901" spans="1:6" x14ac:dyDescent="0.25">
      <c r="A901" s="6" t="str">
        <f t="shared" si="36"/>
        <v>q10COL1_hidden_africa</v>
      </c>
      <c r="B901" s="6" t="str">
        <f t="shared" si="35"/>
        <v>_africa</v>
      </c>
      <c r="C901" s="6" t="s">
        <v>341</v>
      </c>
      <c r="D901" s="15" t="s">
        <v>1905</v>
      </c>
      <c r="E901" s="11" t="s">
        <v>1953</v>
      </c>
      <c r="F901" s="17" t="s">
        <v>3427</v>
      </c>
    </row>
    <row r="902" spans="1:6" x14ac:dyDescent="0.25">
      <c r="A902" s="6" t="str">
        <f t="shared" si="36"/>
        <v>q10COL2_hidden_africa</v>
      </c>
      <c r="B902" s="6" t="str">
        <f t="shared" si="35"/>
        <v>_africa</v>
      </c>
      <c r="C902" s="6" t="s">
        <v>342</v>
      </c>
      <c r="D902" s="15" t="s">
        <v>1905</v>
      </c>
      <c r="E902" s="11" t="s">
        <v>1954</v>
      </c>
      <c r="F902" s="17" t="s">
        <v>3428</v>
      </c>
    </row>
    <row r="903" spans="1:6" x14ac:dyDescent="0.25">
      <c r="A903" s="6" t="str">
        <f t="shared" si="36"/>
        <v>q10COL3_hidden_africa</v>
      </c>
      <c r="B903" s="6" t="str">
        <f t="shared" si="35"/>
        <v>_africa</v>
      </c>
      <c r="C903" s="6" t="s">
        <v>343</v>
      </c>
      <c r="D903" s="15" t="s">
        <v>1905</v>
      </c>
      <c r="E903" s="11" t="s">
        <v>1955</v>
      </c>
      <c r="F903" s="17" t="s">
        <v>3429</v>
      </c>
    </row>
    <row r="904" spans="1:6" x14ac:dyDescent="0.25">
      <c r="A904" s="6" t="str">
        <f t="shared" si="36"/>
        <v>q10COL4_hidden_africa</v>
      </c>
      <c r="B904" s="6" t="str">
        <f t="shared" si="35"/>
        <v>_africa</v>
      </c>
      <c r="C904" s="6" t="s">
        <v>344</v>
      </c>
      <c r="D904" s="15" t="s">
        <v>1905</v>
      </c>
      <c r="E904" s="11" t="s">
        <v>1956</v>
      </c>
      <c r="F904" s="17" t="s">
        <v>3430</v>
      </c>
    </row>
    <row r="905" spans="1:6" x14ac:dyDescent="0.25">
      <c r="A905" s="6" t="str">
        <f t="shared" si="36"/>
        <v>q10COL5_hidden_africa</v>
      </c>
      <c r="B905" s="6" t="str">
        <f t="shared" si="35"/>
        <v>_africa</v>
      </c>
      <c r="C905" s="6" t="s">
        <v>345</v>
      </c>
      <c r="D905" s="15" t="s">
        <v>1905</v>
      </c>
      <c r="E905" s="11" t="s">
        <v>1957</v>
      </c>
      <c r="F905" s="17" t="s">
        <v>3431</v>
      </c>
    </row>
    <row r="906" spans="1:6" x14ac:dyDescent="0.25">
      <c r="A906" s="6" t="str">
        <f t="shared" si="36"/>
        <v>q10COL6_hidden_africa</v>
      </c>
      <c r="B906" s="6" t="str">
        <f t="shared" si="35"/>
        <v>_africa</v>
      </c>
      <c r="C906" s="6" t="s">
        <v>346</v>
      </c>
      <c r="D906" s="15" t="s">
        <v>1905</v>
      </c>
      <c r="E906" s="11" t="s">
        <v>1958</v>
      </c>
      <c r="F906" s="17" t="s">
        <v>3432</v>
      </c>
    </row>
    <row r="907" spans="1:6" x14ac:dyDescent="0.25">
      <c r="A907" s="6" t="str">
        <f t="shared" si="36"/>
        <v>q10GRANDTotal_hidden_africa</v>
      </c>
      <c r="B907" s="6" t="str">
        <f t="shared" si="35"/>
        <v>_africa</v>
      </c>
      <c r="C907" s="6" t="s">
        <v>347</v>
      </c>
      <c r="D907" s="15" t="s">
        <v>1905</v>
      </c>
      <c r="E907" s="11" t="s">
        <v>2069</v>
      </c>
      <c r="F907" s="17" t="s">
        <v>3433</v>
      </c>
    </row>
    <row r="908" spans="1:6" x14ac:dyDescent="0.25">
      <c r="A908" s="6" t="str">
        <f t="shared" si="36"/>
        <v>_africa</v>
      </c>
      <c r="B908" s="6" t="str">
        <f t="shared" ref="B908:B939" si="37">B907</f>
        <v>_africa</v>
      </c>
      <c r="C908" s="9"/>
      <c r="D908" s="9"/>
      <c r="E908" s="12" t="s">
        <v>2085</v>
      </c>
      <c r="F908" s="6">
        <f>VLOOKUP(E908,'[3]Full Data-Map'!$C:$D,2,FALSE)</f>
        <v>25</v>
      </c>
    </row>
    <row r="909" spans="1:6" x14ac:dyDescent="0.25">
      <c r="A909" s="6" t="str">
        <f t="shared" si="36"/>
        <v>q111_1_africa</v>
      </c>
      <c r="B909" s="6" t="str">
        <f t="shared" si="37"/>
        <v>_africa</v>
      </c>
      <c r="C909" s="6" t="s">
        <v>348</v>
      </c>
      <c r="D909" s="15" t="s">
        <v>1905</v>
      </c>
      <c r="E909" s="6" t="s">
        <v>2030</v>
      </c>
      <c r="F909" s="17" t="s">
        <v>3434</v>
      </c>
    </row>
    <row r="910" spans="1:6" x14ac:dyDescent="0.25">
      <c r="A910" s="6" t="str">
        <f t="shared" si="36"/>
        <v>q111_2_africa</v>
      </c>
      <c r="B910" s="6" t="str">
        <f t="shared" si="37"/>
        <v>_africa</v>
      </c>
      <c r="C910" s="6" t="s">
        <v>349</v>
      </c>
      <c r="D910" s="15" t="s">
        <v>1905</v>
      </c>
      <c r="E910" s="6" t="s">
        <v>2031</v>
      </c>
      <c r="F910" s="17" t="s">
        <v>3435</v>
      </c>
    </row>
    <row r="911" spans="1:6" x14ac:dyDescent="0.25">
      <c r="A911" s="6" t="str">
        <f t="shared" si="36"/>
        <v>q111_3_africa</v>
      </c>
      <c r="B911" s="6" t="str">
        <f t="shared" si="37"/>
        <v>_africa</v>
      </c>
      <c r="C911" s="6" t="s">
        <v>350</v>
      </c>
      <c r="D911" s="15" t="s">
        <v>1905</v>
      </c>
      <c r="E911" s="6" t="s">
        <v>2032</v>
      </c>
      <c r="F911" s="17" t="s">
        <v>3436</v>
      </c>
    </row>
    <row r="912" spans="1:6" x14ac:dyDescent="0.25">
      <c r="A912" s="6" t="str">
        <f t="shared" si="36"/>
        <v>q111_4_africa</v>
      </c>
      <c r="B912" s="6" t="str">
        <f t="shared" si="37"/>
        <v>_africa</v>
      </c>
      <c r="C912" s="6" t="s">
        <v>351</v>
      </c>
      <c r="D912" s="15" t="s">
        <v>1905</v>
      </c>
      <c r="E912" s="6" t="s">
        <v>2033</v>
      </c>
      <c r="F912" s="17" t="s">
        <v>3437</v>
      </c>
    </row>
    <row r="913" spans="1:6" x14ac:dyDescent="0.25">
      <c r="A913" s="6" t="str">
        <f t="shared" si="36"/>
        <v>q111_5_africa</v>
      </c>
      <c r="B913" s="6" t="str">
        <f t="shared" si="37"/>
        <v>_africa</v>
      </c>
      <c r="C913" s="6" t="s">
        <v>352</v>
      </c>
      <c r="D913" s="15" t="s">
        <v>1905</v>
      </c>
      <c r="E913" s="6" t="s">
        <v>2034</v>
      </c>
      <c r="F913" s="17" t="s">
        <v>3438</v>
      </c>
    </row>
    <row r="914" spans="1:6" x14ac:dyDescent="0.25">
      <c r="A914" s="6" t="str">
        <f t="shared" si="36"/>
        <v>q111_6_africa</v>
      </c>
      <c r="B914" s="6" t="str">
        <f t="shared" si="37"/>
        <v>_africa</v>
      </c>
      <c r="C914" s="6" t="s">
        <v>353</v>
      </c>
      <c r="D914" s="15" t="s">
        <v>1905</v>
      </c>
      <c r="E914" s="6" t="s">
        <v>2035</v>
      </c>
      <c r="F914" s="17" t="s">
        <v>3439</v>
      </c>
    </row>
    <row r="915" spans="1:6" x14ac:dyDescent="0.25">
      <c r="A915" s="6" t="str">
        <f t="shared" si="36"/>
        <v>q11ROW1_hidden_africa</v>
      </c>
      <c r="B915" s="6" t="str">
        <f t="shared" si="37"/>
        <v>_africa</v>
      </c>
      <c r="C915" s="6" t="s">
        <v>354</v>
      </c>
      <c r="D915" s="15" t="s">
        <v>1905</v>
      </c>
      <c r="E915" s="11" t="s">
        <v>2071</v>
      </c>
      <c r="F915" s="17" t="s">
        <v>3440</v>
      </c>
    </row>
    <row r="916" spans="1:6" x14ac:dyDescent="0.25">
      <c r="A916" s="6" t="str">
        <f t="shared" si="36"/>
        <v>q112_1_africa</v>
      </c>
      <c r="B916" s="6" t="str">
        <f t="shared" si="37"/>
        <v>_africa</v>
      </c>
      <c r="C916" s="6" t="s">
        <v>355</v>
      </c>
      <c r="D916" s="15" t="s">
        <v>1905</v>
      </c>
      <c r="E916" s="6" t="s">
        <v>2023</v>
      </c>
      <c r="F916" s="17" t="s">
        <v>3441</v>
      </c>
    </row>
    <row r="917" spans="1:6" x14ac:dyDescent="0.25">
      <c r="A917" s="6" t="str">
        <f t="shared" si="36"/>
        <v>q112_2_africa</v>
      </c>
      <c r="B917" s="6" t="str">
        <f t="shared" si="37"/>
        <v>_africa</v>
      </c>
      <c r="C917" s="6" t="s">
        <v>356</v>
      </c>
      <c r="D917" s="15" t="s">
        <v>1905</v>
      </c>
      <c r="E917" s="6" t="s">
        <v>2024</v>
      </c>
      <c r="F917" s="17" t="s">
        <v>3442</v>
      </c>
    </row>
    <row r="918" spans="1:6" x14ac:dyDescent="0.25">
      <c r="A918" s="6" t="str">
        <f t="shared" si="36"/>
        <v>q112_3_africa</v>
      </c>
      <c r="B918" s="6" t="str">
        <f t="shared" si="37"/>
        <v>_africa</v>
      </c>
      <c r="C918" s="6" t="s">
        <v>357</v>
      </c>
      <c r="D918" s="15" t="s">
        <v>1905</v>
      </c>
      <c r="E918" s="6" t="s">
        <v>2025</v>
      </c>
      <c r="F918" s="17" t="s">
        <v>3443</v>
      </c>
    </row>
    <row r="919" spans="1:6" x14ac:dyDescent="0.25">
      <c r="A919" s="6" t="str">
        <f t="shared" si="36"/>
        <v>q112_4_africa</v>
      </c>
      <c r="B919" s="6" t="str">
        <f t="shared" si="37"/>
        <v>_africa</v>
      </c>
      <c r="C919" s="6" t="s">
        <v>358</v>
      </c>
      <c r="D919" s="15" t="s">
        <v>1905</v>
      </c>
      <c r="E919" s="6" t="s">
        <v>2026</v>
      </c>
      <c r="F919" s="17" t="s">
        <v>3444</v>
      </c>
    </row>
    <row r="920" spans="1:6" x14ac:dyDescent="0.25">
      <c r="A920" s="6" t="str">
        <f t="shared" si="36"/>
        <v>q112_5_africa</v>
      </c>
      <c r="B920" s="6" t="str">
        <f t="shared" si="37"/>
        <v>_africa</v>
      </c>
      <c r="C920" s="6" t="s">
        <v>359</v>
      </c>
      <c r="D920" s="15" t="s">
        <v>1905</v>
      </c>
      <c r="E920" s="6" t="s">
        <v>2027</v>
      </c>
      <c r="F920" s="17" t="s">
        <v>3445</v>
      </c>
    </row>
    <row r="921" spans="1:6" x14ac:dyDescent="0.25">
      <c r="A921" s="6" t="str">
        <f t="shared" si="36"/>
        <v>q112_6_africa</v>
      </c>
      <c r="B921" s="6" t="str">
        <f t="shared" si="37"/>
        <v>_africa</v>
      </c>
      <c r="C921" s="6" t="s">
        <v>360</v>
      </c>
      <c r="D921" s="15" t="s">
        <v>1905</v>
      </c>
      <c r="E921" s="6" t="s">
        <v>2028</v>
      </c>
      <c r="F921" s="17" t="s">
        <v>3446</v>
      </c>
    </row>
    <row r="922" spans="1:6" x14ac:dyDescent="0.25">
      <c r="A922" s="6" t="str">
        <f t="shared" si="36"/>
        <v>q11ROW2_hidden_africa</v>
      </c>
      <c r="B922" s="6" t="str">
        <f t="shared" si="37"/>
        <v>_africa</v>
      </c>
      <c r="C922" s="6" t="s">
        <v>361</v>
      </c>
      <c r="D922" s="15" t="s">
        <v>1905</v>
      </c>
      <c r="E922" s="11" t="s">
        <v>2072</v>
      </c>
      <c r="F922" s="17" t="s">
        <v>3447</v>
      </c>
    </row>
    <row r="923" spans="1:6" x14ac:dyDescent="0.25">
      <c r="A923" s="6" t="str">
        <f t="shared" si="36"/>
        <v>q113_1_africa</v>
      </c>
      <c r="B923" s="6" t="str">
        <f t="shared" si="37"/>
        <v>_africa</v>
      </c>
      <c r="C923" s="6" t="s">
        <v>362</v>
      </c>
      <c r="D923" s="15" t="s">
        <v>1905</v>
      </c>
      <c r="E923" s="6" t="s">
        <v>2037</v>
      </c>
      <c r="F923" s="17" t="s">
        <v>3448</v>
      </c>
    </row>
    <row r="924" spans="1:6" x14ac:dyDescent="0.25">
      <c r="A924" s="6" t="str">
        <f t="shared" si="36"/>
        <v>q113_2_africa</v>
      </c>
      <c r="B924" s="6" t="str">
        <f t="shared" si="37"/>
        <v>_africa</v>
      </c>
      <c r="C924" s="6" t="s">
        <v>363</v>
      </c>
      <c r="D924" s="15" t="s">
        <v>1905</v>
      </c>
      <c r="E924" s="6" t="s">
        <v>2038</v>
      </c>
      <c r="F924" s="17" t="s">
        <v>3449</v>
      </c>
    </row>
    <row r="925" spans="1:6" x14ac:dyDescent="0.25">
      <c r="A925" s="6" t="str">
        <f t="shared" si="36"/>
        <v>q113_3_africa</v>
      </c>
      <c r="B925" s="6" t="str">
        <f t="shared" si="37"/>
        <v>_africa</v>
      </c>
      <c r="C925" s="6" t="s">
        <v>364</v>
      </c>
      <c r="D925" s="15" t="s">
        <v>1905</v>
      </c>
      <c r="E925" s="6" t="s">
        <v>2039</v>
      </c>
      <c r="F925" s="17" t="s">
        <v>3450</v>
      </c>
    </row>
    <row r="926" spans="1:6" x14ac:dyDescent="0.25">
      <c r="A926" s="6" t="str">
        <f t="shared" si="36"/>
        <v>q113_4_africa</v>
      </c>
      <c r="B926" s="6" t="str">
        <f t="shared" si="37"/>
        <v>_africa</v>
      </c>
      <c r="C926" s="6" t="s">
        <v>365</v>
      </c>
      <c r="D926" s="15" t="s">
        <v>1905</v>
      </c>
      <c r="E926" s="6" t="s">
        <v>2040</v>
      </c>
      <c r="F926" s="17" t="s">
        <v>3451</v>
      </c>
    </row>
    <row r="927" spans="1:6" x14ac:dyDescent="0.25">
      <c r="A927" s="6" t="str">
        <f t="shared" si="36"/>
        <v>q113_5_africa</v>
      </c>
      <c r="B927" s="6" t="str">
        <f t="shared" si="37"/>
        <v>_africa</v>
      </c>
      <c r="C927" s="6" t="s">
        <v>366</v>
      </c>
      <c r="D927" s="15" t="s">
        <v>1905</v>
      </c>
      <c r="E927" s="6" t="s">
        <v>2041</v>
      </c>
      <c r="F927" s="17" t="s">
        <v>3452</v>
      </c>
    </row>
    <row r="928" spans="1:6" x14ac:dyDescent="0.25">
      <c r="A928" s="6" t="str">
        <f t="shared" si="36"/>
        <v>q113_6_africa</v>
      </c>
      <c r="B928" s="6" t="str">
        <f t="shared" si="37"/>
        <v>_africa</v>
      </c>
      <c r="C928" s="6" t="s">
        <v>367</v>
      </c>
      <c r="D928" s="15" t="s">
        <v>1905</v>
      </c>
      <c r="E928" s="6" t="s">
        <v>2042</v>
      </c>
      <c r="F928" s="17" t="s">
        <v>3453</v>
      </c>
    </row>
    <row r="929" spans="1:6" x14ac:dyDescent="0.25">
      <c r="A929" s="6" t="str">
        <f t="shared" si="36"/>
        <v>q11ROW3_hidden_africa</v>
      </c>
      <c r="B929" s="6" t="str">
        <f t="shared" si="37"/>
        <v>_africa</v>
      </c>
      <c r="C929" s="6" t="s">
        <v>368</v>
      </c>
      <c r="D929" s="15" t="s">
        <v>1905</v>
      </c>
      <c r="E929" s="11" t="s">
        <v>2073</v>
      </c>
      <c r="F929" s="17" t="s">
        <v>3454</v>
      </c>
    </row>
    <row r="930" spans="1:6" x14ac:dyDescent="0.25">
      <c r="A930" s="6" t="str">
        <f t="shared" si="36"/>
        <v>q114_1_africa</v>
      </c>
      <c r="B930" s="6" t="str">
        <f t="shared" si="37"/>
        <v>_africa</v>
      </c>
      <c r="C930" s="6" t="s">
        <v>369</v>
      </c>
      <c r="D930" s="15" t="s">
        <v>1905</v>
      </c>
      <c r="E930" s="6" t="s">
        <v>2044</v>
      </c>
      <c r="F930" s="17" t="s">
        <v>3455</v>
      </c>
    </row>
    <row r="931" spans="1:6" x14ac:dyDescent="0.25">
      <c r="A931" s="6" t="str">
        <f t="shared" si="36"/>
        <v>q114_2_africa</v>
      </c>
      <c r="B931" s="6" t="str">
        <f t="shared" si="37"/>
        <v>_africa</v>
      </c>
      <c r="C931" s="6" t="s">
        <v>370</v>
      </c>
      <c r="D931" s="15" t="s">
        <v>1905</v>
      </c>
      <c r="E931" s="6" t="s">
        <v>2045</v>
      </c>
      <c r="F931" s="17" t="s">
        <v>3456</v>
      </c>
    </row>
    <row r="932" spans="1:6" x14ac:dyDescent="0.25">
      <c r="A932" s="6" t="str">
        <f t="shared" si="36"/>
        <v>q114_3_africa</v>
      </c>
      <c r="B932" s="6" t="str">
        <f t="shared" si="37"/>
        <v>_africa</v>
      </c>
      <c r="C932" s="6" t="s">
        <v>371</v>
      </c>
      <c r="D932" s="15" t="s">
        <v>1905</v>
      </c>
      <c r="E932" s="6" t="s">
        <v>2046</v>
      </c>
      <c r="F932" s="17" t="s">
        <v>3457</v>
      </c>
    </row>
    <row r="933" spans="1:6" x14ac:dyDescent="0.25">
      <c r="A933" s="6" t="str">
        <f t="shared" si="36"/>
        <v>q114_4_africa</v>
      </c>
      <c r="B933" s="6" t="str">
        <f t="shared" si="37"/>
        <v>_africa</v>
      </c>
      <c r="C933" s="6" t="s">
        <v>372</v>
      </c>
      <c r="D933" s="15" t="s">
        <v>1905</v>
      </c>
      <c r="E933" s="6" t="s">
        <v>2047</v>
      </c>
      <c r="F933" s="17" t="s">
        <v>3458</v>
      </c>
    </row>
    <row r="934" spans="1:6" x14ac:dyDescent="0.25">
      <c r="A934" s="6" t="str">
        <f t="shared" si="36"/>
        <v>q114_5_africa</v>
      </c>
      <c r="B934" s="6" t="str">
        <f t="shared" si="37"/>
        <v>_africa</v>
      </c>
      <c r="C934" s="6" t="s">
        <v>373</v>
      </c>
      <c r="D934" s="15" t="s">
        <v>1905</v>
      </c>
      <c r="E934" s="6" t="s">
        <v>2048</v>
      </c>
      <c r="F934" s="17" t="s">
        <v>3459</v>
      </c>
    </row>
    <row r="935" spans="1:6" x14ac:dyDescent="0.25">
      <c r="A935" s="6" t="str">
        <f t="shared" si="36"/>
        <v>q114_6_africa</v>
      </c>
      <c r="B935" s="6" t="str">
        <f t="shared" si="37"/>
        <v>_africa</v>
      </c>
      <c r="C935" s="6" t="s">
        <v>374</v>
      </c>
      <c r="D935" s="15" t="s">
        <v>1905</v>
      </c>
      <c r="E935" s="6" t="s">
        <v>2049</v>
      </c>
      <c r="F935" s="17" t="s">
        <v>3460</v>
      </c>
    </row>
    <row r="936" spans="1:6" x14ac:dyDescent="0.25">
      <c r="A936" s="6" t="str">
        <f t="shared" si="36"/>
        <v>q11ROW4_hidden_africa</v>
      </c>
      <c r="B936" s="6" t="str">
        <f t="shared" si="37"/>
        <v>_africa</v>
      </c>
      <c r="C936" s="6" t="s">
        <v>375</v>
      </c>
      <c r="D936" s="15" t="s">
        <v>1905</v>
      </c>
      <c r="E936" s="11" t="s">
        <v>2074</v>
      </c>
      <c r="F936" s="17" t="s">
        <v>3461</v>
      </c>
    </row>
    <row r="937" spans="1:6" x14ac:dyDescent="0.25">
      <c r="A937" s="6" t="str">
        <f t="shared" si="36"/>
        <v>q115_1_africa</v>
      </c>
      <c r="B937" s="6" t="str">
        <f t="shared" si="37"/>
        <v>_africa</v>
      </c>
      <c r="C937" s="6" t="s">
        <v>376</v>
      </c>
      <c r="D937" s="15" t="s">
        <v>1905</v>
      </c>
      <c r="E937" s="6" t="s">
        <v>2051</v>
      </c>
      <c r="F937" s="17" t="s">
        <v>3462</v>
      </c>
    </row>
    <row r="938" spans="1:6" x14ac:dyDescent="0.25">
      <c r="A938" s="6" t="str">
        <f t="shared" si="36"/>
        <v>q115_2_africa</v>
      </c>
      <c r="B938" s="6" t="str">
        <f t="shared" si="37"/>
        <v>_africa</v>
      </c>
      <c r="C938" s="6" t="s">
        <v>377</v>
      </c>
      <c r="D938" s="15" t="s">
        <v>1905</v>
      </c>
      <c r="E938" s="6" t="s">
        <v>2052</v>
      </c>
      <c r="F938" s="17" t="s">
        <v>3463</v>
      </c>
    </row>
    <row r="939" spans="1:6" x14ac:dyDescent="0.25">
      <c r="A939" s="6" t="str">
        <f t="shared" si="36"/>
        <v>q115_3_africa</v>
      </c>
      <c r="B939" s="6" t="str">
        <f t="shared" si="37"/>
        <v>_africa</v>
      </c>
      <c r="C939" s="6" t="s">
        <v>378</v>
      </c>
      <c r="D939" s="15" t="s">
        <v>1905</v>
      </c>
      <c r="E939" s="6" t="s">
        <v>2053</v>
      </c>
      <c r="F939" s="17" t="s">
        <v>3464</v>
      </c>
    </row>
    <row r="940" spans="1:6" x14ac:dyDescent="0.25">
      <c r="A940" s="6" t="str">
        <f t="shared" si="36"/>
        <v>q115_4_africa</v>
      </c>
      <c r="B940" s="6" t="str">
        <f t="shared" ref="B940:B950" si="38">B939</f>
        <v>_africa</v>
      </c>
      <c r="C940" s="6" t="s">
        <v>379</v>
      </c>
      <c r="D940" s="15" t="s">
        <v>1905</v>
      </c>
      <c r="E940" s="6" t="s">
        <v>2054</v>
      </c>
      <c r="F940" s="17" t="s">
        <v>3465</v>
      </c>
    </row>
    <row r="941" spans="1:6" x14ac:dyDescent="0.25">
      <c r="A941" s="6" t="str">
        <f t="shared" si="36"/>
        <v>q115_5_africa</v>
      </c>
      <c r="B941" s="6" t="str">
        <f t="shared" si="38"/>
        <v>_africa</v>
      </c>
      <c r="C941" s="6" t="s">
        <v>380</v>
      </c>
      <c r="D941" s="15" t="s">
        <v>1905</v>
      </c>
      <c r="E941" s="6" t="s">
        <v>2055</v>
      </c>
      <c r="F941" s="17" t="s">
        <v>3466</v>
      </c>
    </row>
    <row r="942" spans="1:6" x14ac:dyDescent="0.25">
      <c r="A942" s="6" t="str">
        <f t="shared" si="36"/>
        <v>q115_6_africa</v>
      </c>
      <c r="B942" s="6" t="str">
        <f t="shared" si="38"/>
        <v>_africa</v>
      </c>
      <c r="C942" s="6" t="s">
        <v>381</v>
      </c>
      <c r="D942" s="15" t="s">
        <v>1905</v>
      </c>
      <c r="E942" s="6" t="s">
        <v>2056</v>
      </c>
      <c r="F942" s="17" t="s">
        <v>3467</v>
      </c>
    </row>
    <row r="943" spans="1:6" x14ac:dyDescent="0.25">
      <c r="A943" s="6" t="str">
        <f t="shared" si="36"/>
        <v>q11ROW5_hidden_africa</v>
      </c>
      <c r="B943" s="6" t="str">
        <f t="shared" si="38"/>
        <v>_africa</v>
      </c>
      <c r="C943" s="6" t="s">
        <v>382</v>
      </c>
      <c r="D943" s="15" t="s">
        <v>1905</v>
      </c>
      <c r="E943" s="11" t="s">
        <v>2057</v>
      </c>
      <c r="F943" s="17" t="s">
        <v>3468</v>
      </c>
    </row>
    <row r="944" spans="1:6" x14ac:dyDescent="0.25">
      <c r="A944" s="6" t="str">
        <f t="shared" si="36"/>
        <v>q11COL1_hidden_africa</v>
      </c>
      <c r="B944" s="6" t="str">
        <f t="shared" si="38"/>
        <v>_africa</v>
      </c>
      <c r="C944" s="6" t="s">
        <v>383</v>
      </c>
      <c r="D944" s="15" t="s">
        <v>1905</v>
      </c>
      <c r="E944" s="11" t="s">
        <v>1953</v>
      </c>
      <c r="F944" s="17" t="s">
        <v>3469</v>
      </c>
    </row>
    <row r="945" spans="1:6" x14ac:dyDescent="0.25">
      <c r="A945" s="6" t="str">
        <f t="shared" si="36"/>
        <v>q11COL2_hidden_africa</v>
      </c>
      <c r="B945" s="6" t="str">
        <f t="shared" si="38"/>
        <v>_africa</v>
      </c>
      <c r="C945" s="6" t="s">
        <v>384</v>
      </c>
      <c r="D945" s="15" t="s">
        <v>1905</v>
      </c>
      <c r="E945" s="11" t="s">
        <v>1954</v>
      </c>
      <c r="F945" s="17" t="s">
        <v>3470</v>
      </c>
    </row>
    <row r="946" spans="1:6" x14ac:dyDescent="0.25">
      <c r="A946" s="6" t="str">
        <f t="shared" si="36"/>
        <v>q11COL3_hidden_africa</v>
      </c>
      <c r="B946" s="6" t="str">
        <f t="shared" si="38"/>
        <v>_africa</v>
      </c>
      <c r="C946" s="6" t="s">
        <v>385</v>
      </c>
      <c r="D946" s="15" t="s">
        <v>1905</v>
      </c>
      <c r="E946" s="11" t="s">
        <v>1955</v>
      </c>
      <c r="F946" s="17" t="s">
        <v>3471</v>
      </c>
    </row>
    <row r="947" spans="1:6" x14ac:dyDescent="0.25">
      <c r="A947" s="6" t="str">
        <f t="shared" si="36"/>
        <v>q11COL4_hidden_africa</v>
      </c>
      <c r="B947" s="6" t="str">
        <f t="shared" si="38"/>
        <v>_africa</v>
      </c>
      <c r="C947" s="6" t="s">
        <v>386</v>
      </c>
      <c r="D947" s="15" t="s">
        <v>1905</v>
      </c>
      <c r="E947" s="11" t="s">
        <v>1956</v>
      </c>
      <c r="F947" s="17" t="s">
        <v>3472</v>
      </c>
    </row>
    <row r="948" spans="1:6" x14ac:dyDescent="0.25">
      <c r="A948" s="6" t="str">
        <f t="shared" si="36"/>
        <v>q11COL5_hidden_africa</v>
      </c>
      <c r="B948" s="6" t="str">
        <f t="shared" si="38"/>
        <v>_africa</v>
      </c>
      <c r="C948" s="6" t="s">
        <v>387</v>
      </c>
      <c r="D948" s="15" t="s">
        <v>1905</v>
      </c>
      <c r="E948" s="11" t="s">
        <v>1957</v>
      </c>
      <c r="F948" s="17" t="s">
        <v>3473</v>
      </c>
    </row>
    <row r="949" spans="1:6" x14ac:dyDescent="0.25">
      <c r="A949" s="6" t="str">
        <f t="shared" si="36"/>
        <v>q11COL6_hidden_africa</v>
      </c>
      <c r="B949" s="6" t="str">
        <f t="shared" si="38"/>
        <v>_africa</v>
      </c>
      <c r="C949" s="6" t="s">
        <v>388</v>
      </c>
      <c r="D949" s="15" t="s">
        <v>1905</v>
      </c>
      <c r="E949" s="11" t="s">
        <v>1958</v>
      </c>
      <c r="F949" s="17" t="s">
        <v>3474</v>
      </c>
    </row>
    <row r="950" spans="1:6" x14ac:dyDescent="0.25">
      <c r="A950" s="6" t="str">
        <f t="shared" si="36"/>
        <v>q11GRANDTotal_hidden_africa</v>
      </c>
      <c r="B950" s="6" t="str">
        <f t="shared" si="38"/>
        <v>_africa</v>
      </c>
      <c r="C950" s="6" t="s">
        <v>389</v>
      </c>
      <c r="D950" s="15" t="s">
        <v>1905</v>
      </c>
      <c r="E950" s="11" t="s">
        <v>2075</v>
      </c>
      <c r="F950" s="17" t="s">
        <v>3475</v>
      </c>
    </row>
  </sheetData>
  <autoFilter ref="A1:E950" xr:uid="{6A6D8332-CF63-4DEB-9138-D65369954158}"/>
  <phoneticPr fontId="8" type="noConversion"/>
  <pageMargins left="0.7" right="0.7" top="0.75" bottom="0.75" header="0.3" footer="0.3"/>
  <pageSetup paperSize="9" orientation="portrait" r:id="rId1"/>
  <customProperties>
    <customPr name="layoutContexts" r:id="rId2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6AD85-437D-4678-9D9C-C6DBF96085FE}">
  <dimension ref="A1:A931"/>
  <sheetViews>
    <sheetView topLeftCell="A915" workbookViewId="0"/>
  </sheetViews>
  <sheetFormatPr defaultRowHeight="12.75" x14ac:dyDescent="0.2"/>
  <sheetData>
    <row r="1" spans="1:1" x14ac:dyDescent="0.2">
      <c r="A1" t="s">
        <v>3476</v>
      </c>
    </row>
    <row r="2" spans="1:1" x14ac:dyDescent="0.2">
      <c r="A2" t="s">
        <v>2629</v>
      </c>
    </row>
    <row r="3" spans="1:1" x14ac:dyDescent="0.2">
      <c r="A3" t="s">
        <v>133</v>
      </c>
    </row>
    <row r="4" spans="1:1" x14ac:dyDescent="0.2">
      <c r="A4" t="s">
        <v>134</v>
      </c>
    </row>
    <row r="5" spans="1:1" x14ac:dyDescent="0.2">
      <c r="A5" t="s">
        <v>135</v>
      </c>
    </row>
    <row r="6" spans="1:1" x14ac:dyDescent="0.2">
      <c r="A6" t="s">
        <v>136</v>
      </c>
    </row>
    <row r="7" spans="1:1" x14ac:dyDescent="0.2">
      <c r="A7" t="s">
        <v>137</v>
      </c>
    </row>
    <row r="8" spans="1:1" x14ac:dyDescent="0.2">
      <c r="A8" t="s">
        <v>138</v>
      </c>
    </row>
    <row r="9" spans="1:1" x14ac:dyDescent="0.2">
      <c r="A9" t="s">
        <v>139</v>
      </c>
    </row>
    <row r="10" spans="1:1" x14ac:dyDescent="0.2">
      <c r="A10" t="s">
        <v>140</v>
      </c>
    </row>
    <row r="11" spans="1:1" x14ac:dyDescent="0.2">
      <c r="A11" t="s">
        <v>141</v>
      </c>
    </row>
    <row r="12" spans="1:1" x14ac:dyDescent="0.2">
      <c r="A12" t="s">
        <v>142</v>
      </c>
    </row>
    <row r="13" spans="1:1" x14ac:dyDescent="0.2">
      <c r="A13" t="s">
        <v>143</v>
      </c>
    </row>
    <row r="14" spans="1:1" x14ac:dyDescent="0.2">
      <c r="A14" t="s">
        <v>144</v>
      </c>
    </row>
    <row r="15" spans="1:1" x14ac:dyDescent="0.2">
      <c r="A15" t="s">
        <v>145</v>
      </c>
    </row>
    <row r="16" spans="1:1" x14ac:dyDescent="0.2">
      <c r="A16" t="s">
        <v>146</v>
      </c>
    </row>
    <row r="17" spans="1:1" x14ac:dyDescent="0.2">
      <c r="A17" t="s">
        <v>147</v>
      </c>
    </row>
    <row r="18" spans="1:1" x14ac:dyDescent="0.2">
      <c r="A18" t="s">
        <v>148</v>
      </c>
    </row>
    <row r="19" spans="1:1" x14ac:dyDescent="0.2">
      <c r="A19" t="s">
        <v>149</v>
      </c>
    </row>
    <row r="20" spans="1:1" x14ac:dyDescent="0.2">
      <c r="A20" t="s">
        <v>150</v>
      </c>
    </row>
    <row r="21" spans="1:1" x14ac:dyDescent="0.2">
      <c r="A21" t="s">
        <v>151</v>
      </c>
    </row>
    <row r="22" spans="1:1" x14ac:dyDescent="0.2">
      <c r="A22" t="s">
        <v>152</v>
      </c>
    </row>
    <row r="23" spans="1:1" x14ac:dyDescent="0.2">
      <c r="A23" t="s">
        <v>153</v>
      </c>
    </row>
    <row r="24" spans="1:1" x14ac:dyDescent="0.2">
      <c r="A24" t="s">
        <v>154</v>
      </c>
    </row>
    <row r="25" spans="1:1" x14ac:dyDescent="0.2">
      <c r="A25" t="s">
        <v>155</v>
      </c>
    </row>
    <row r="26" spans="1:1" x14ac:dyDescent="0.2">
      <c r="A26" t="s">
        <v>156</v>
      </c>
    </row>
    <row r="27" spans="1:1" x14ac:dyDescent="0.2">
      <c r="A27" t="s">
        <v>157</v>
      </c>
    </row>
    <row r="28" spans="1:1" x14ac:dyDescent="0.2">
      <c r="A28" t="s">
        <v>158</v>
      </c>
    </row>
    <row r="29" spans="1:1" x14ac:dyDescent="0.2">
      <c r="A29" t="s">
        <v>159</v>
      </c>
    </row>
    <row r="30" spans="1:1" x14ac:dyDescent="0.2">
      <c r="A30" t="s">
        <v>160</v>
      </c>
    </row>
    <row r="31" spans="1:1" x14ac:dyDescent="0.2">
      <c r="A31" t="s">
        <v>161</v>
      </c>
    </row>
    <row r="32" spans="1:1" x14ac:dyDescent="0.2">
      <c r="A32" t="s">
        <v>162</v>
      </c>
    </row>
    <row r="33" spans="1:1" x14ac:dyDescent="0.2">
      <c r="A33" t="s">
        <v>163</v>
      </c>
    </row>
    <row r="34" spans="1:1" x14ac:dyDescent="0.2">
      <c r="A34" t="s">
        <v>164</v>
      </c>
    </row>
    <row r="35" spans="1:1" x14ac:dyDescent="0.2">
      <c r="A35" t="s">
        <v>165</v>
      </c>
    </row>
    <row r="36" spans="1:1" x14ac:dyDescent="0.2">
      <c r="A36" t="s">
        <v>166</v>
      </c>
    </row>
    <row r="37" spans="1:1" x14ac:dyDescent="0.2">
      <c r="A37" t="s">
        <v>167</v>
      </c>
    </row>
    <row r="38" spans="1:1" x14ac:dyDescent="0.2">
      <c r="A38" t="s">
        <v>168</v>
      </c>
    </row>
    <row r="39" spans="1:1" x14ac:dyDescent="0.2">
      <c r="A39" t="s">
        <v>2094</v>
      </c>
    </row>
    <row r="40" spans="1:1" x14ac:dyDescent="0.2">
      <c r="A40" t="s">
        <v>1</v>
      </c>
    </row>
    <row r="41" spans="1:1" x14ac:dyDescent="0.2">
      <c r="A41" t="s">
        <v>2</v>
      </c>
    </row>
    <row r="42" spans="1:1" x14ac:dyDescent="0.2">
      <c r="A42" t="s">
        <v>17</v>
      </c>
    </row>
    <row r="43" spans="1:1" x14ac:dyDescent="0.2">
      <c r="A43" t="s">
        <v>9</v>
      </c>
    </row>
    <row r="44" spans="1:1" x14ac:dyDescent="0.2">
      <c r="A44" t="s">
        <v>4</v>
      </c>
    </row>
    <row r="45" spans="1:1" x14ac:dyDescent="0.2">
      <c r="A45" t="s">
        <v>5</v>
      </c>
    </row>
    <row r="46" spans="1:1" x14ac:dyDescent="0.2">
      <c r="A46" t="s">
        <v>7</v>
      </c>
    </row>
    <row r="47" spans="1:1" x14ac:dyDescent="0.2">
      <c r="A47" t="s">
        <v>6</v>
      </c>
    </row>
    <row r="48" spans="1:1" x14ac:dyDescent="0.2">
      <c r="A48" t="s">
        <v>8</v>
      </c>
    </row>
    <row r="49" spans="1:1" x14ac:dyDescent="0.2">
      <c r="A49" t="s">
        <v>2201</v>
      </c>
    </row>
    <row r="50" spans="1:1" x14ac:dyDescent="0.2">
      <c r="A50" t="s">
        <v>2415</v>
      </c>
    </row>
    <row r="51" spans="1:1" x14ac:dyDescent="0.2">
      <c r="A51" t="s">
        <v>18</v>
      </c>
    </row>
    <row r="52" spans="1:1" x14ac:dyDescent="0.2">
      <c r="A52" t="s">
        <v>2308</v>
      </c>
    </row>
    <row r="53" spans="1:1" x14ac:dyDescent="0.2">
      <c r="A53" t="s">
        <v>28</v>
      </c>
    </row>
    <row r="54" spans="1:1" x14ac:dyDescent="0.2">
      <c r="A54" t="s">
        <v>2630</v>
      </c>
    </row>
    <row r="55" spans="1:1" x14ac:dyDescent="0.2">
      <c r="A55" t="s">
        <v>2095</v>
      </c>
    </row>
    <row r="56" spans="1:1" x14ac:dyDescent="0.2">
      <c r="A56" t="s">
        <v>2202</v>
      </c>
    </row>
    <row r="57" spans="1:1" x14ac:dyDescent="0.2">
      <c r="A57" t="s">
        <v>2416</v>
      </c>
    </row>
    <row r="58" spans="1:1" x14ac:dyDescent="0.2">
      <c r="A58" t="s">
        <v>2309</v>
      </c>
    </row>
    <row r="59" spans="1:1" x14ac:dyDescent="0.2">
      <c r="A59" t="s">
        <v>2523</v>
      </c>
    </row>
    <row r="60" spans="1:1" x14ac:dyDescent="0.2">
      <c r="A60" t="s">
        <v>2631</v>
      </c>
    </row>
    <row r="61" spans="1:1" x14ac:dyDescent="0.2">
      <c r="A61" t="s">
        <v>2096</v>
      </c>
    </row>
    <row r="62" spans="1:1" x14ac:dyDescent="0.2">
      <c r="A62" t="s">
        <v>2203</v>
      </c>
    </row>
    <row r="63" spans="1:1" x14ac:dyDescent="0.2">
      <c r="A63" t="s">
        <v>2417</v>
      </c>
    </row>
    <row r="64" spans="1:1" x14ac:dyDescent="0.2">
      <c r="A64" t="s">
        <v>2310</v>
      </c>
    </row>
    <row r="65" spans="1:1" x14ac:dyDescent="0.2">
      <c r="A65" t="s">
        <v>2524</v>
      </c>
    </row>
    <row r="66" spans="1:1" x14ac:dyDescent="0.2">
      <c r="A66" t="s">
        <v>2632</v>
      </c>
    </row>
    <row r="67" spans="1:1" x14ac:dyDescent="0.2">
      <c r="A67" t="s">
        <v>2097</v>
      </c>
    </row>
    <row r="68" spans="1:1" x14ac:dyDescent="0.2">
      <c r="A68" t="s">
        <v>2204</v>
      </c>
    </row>
    <row r="69" spans="1:1" x14ac:dyDescent="0.2">
      <c r="A69" t="s">
        <v>2418</v>
      </c>
    </row>
    <row r="70" spans="1:1" x14ac:dyDescent="0.2">
      <c r="A70" t="s">
        <v>2311</v>
      </c>
    </row>
    <row r="71" spans="1:1" x14ac:dyDescent="0.2">
      <c r="A71" t="s">
        <v>2525</v>
      </c>
    </row>
    <row r="72" spans="1:1" x14ac:dyDescent="0.2">
      <c r="A72" t="s">
        <v>2633</v>
      </c>
    </row>
    <row r="73" spans="1:1" x14ac:dyDescent="0.2">
      <c r="A73" t="s">
        <v>2098</v>
      </c>
    </row>
    <row r="74" spans="1:1" x14ac:dyDescent="0.2">
      <c r="A74" t="s">
        <v>2205</v>
      </c>
    </row>
    <row r="75" spans="1:1" x14ac:dyDescent="0.2">
      <c r="A75" t="s">
        <v>2419</v>
      </c>
    </row>
    <row r="76" spans="1:1" x14ac:dyDescent="0.2">
      <c r="A76" t="s">
        <v>2312</v>
      </c>
    </row>
    <row r="77" spans="1:1" x14ac:dyDescent="0.2">
      <c r="A77" t="s">
        <v>2526</v>
      </c>
    </row>
    <row r="78" spans="1:1" x14ac:dyDescent="0.2">
      <c r="A78" t="s">
        <v>2634</v>
      </c>
    </row>
    <row r="79" spans="1:1" x14ac:dyDescent="0.2">
      <c r="A79" t="s">
        <v>2099</v>
      </c>
    </row>
    <row r="80" spans="1:1" x14ac:dyDescent="0.2">
      <c r="A80" t="s">
        <v>2206</v>
      </c>
    </row>
    <row r="81" spans="1:1" x14ac:dyDescent="0.2">
      <c r="A81" t="s">
        <v>2420</v>
      </c>
    </row>
    <row r="82" spans="1:1" x14ac:dyDescent="0.2">
      <c r="A82" t="s">
        <v>2313</v>
      </c>
    </row>
    <row r="83" spans="1:1" x14ac:dyDescent="0.2">
      <c r="A83" t="s">
        <v>2527</v>
      </c>
    </row>
    <row r="84" spans="1:1" x14ac:dyDescent="0.2">
      <c r="A84" t="s">
        <v>2635</v>
      </c>
    </row>
    <row r="85" spans="1:1" x14ac:dyDescent="0.2">
      <c r="A85" t="s">
        <v>2100</v>
      </c>
    </row>
    <row r="86" spans="1:1" x14ac:dyDescent="0.2">
      <c r="A86" t="s">
        <v>2207</v>
      </c>
    </row>
    <row r="87" spans="1:1" x14ac:dyDescent="0.2">
      <c r="A87" t="s">
        <v>2421</v>
      </c>
    </row>
    <row r="88" spans="1:1" x14ac:dyDescent="0.2">
      <c r="A88" t="s">
        <v>2314</v>
      </c>
    </row>
    <row r="89" spans="1:1" x14ac:dyDescent="0.2">
      <c r="A89" t="s">
        <v>2528</v>
      </c>
    </row>
    <row r="90" spans="1:1" x14ac:dyDescent="0.2">
      <c r="A90" t="s">
        <v>2637</v>
      </c>
    </row>
    <row r="91" spans="1:1" x14ac:dyDescent="0.2">
      <c r="A91" t="s">
        <v>2102</v>
      </c>
    </row>
    <row r="92" spans="1:1" x14ac:dyDescent="0.2">
      <c r="A92" t="s">
        <v>2209</v>
      </c>
    </row>
    <row r="93" spans="1:1" x14ac:dyDescent="0.2">
      <c r="A93" t="s">
        <v>2423</v>
      </c>
    </row>
    <row r="94" spans="1:1" x14ac:dyDescent="0.2">
      <c r="A94" t="s">
        <v>2316</v>
      </c>
    </row>
    <row r="95" spans="1:1" x14ac:dyDescent="0.2">
      <c r="A95" t="s">
        <v>2530</v>
      </c>
    </row>
    <row r="96" spans="1:1" x14ac:dyDescent="0.2">
      <c r="A96" t="s">
        <v>2638</v>
      </c>
    </row>
    <row r="97" spans="1:1" x14ac:dyDescent="0.2">
      <c r="A97" t="s">
        <v>2103</v>
      </c>
    </row>
    <row r="98" spans="1:1" x14ac:dyDescent="0.2">
      <c r="A98" t="s">
        <v>2210</v>
      </c>
    </row>
    <row r="99" spans="1:1" x14ac:dyDescent="0.2">
      <c r="A99" t="s">
        <v>2424</v>
      </c>
    </row>
    <row r="100" spans="1:1" x14ac:dyDescent="0.2">
      <c r="A100" t="s">
        <v>2317</v>
      </c>
    </row>
    <row r="101" spans="1:1" x14ac:dyDescent="0.2">
      <c r="A101" t="s">
        <v>2531</v>
      </c>
    </row>
    <row r="102" spans="1:1" x14ac:dyDescent="0.2">
      <c r="A102" t="s">
        <v>2639</v>
      </c>
    </row>
    <row r="103" spans="1:1" x14ac:dyDescent="0.2">
      <c r="A103" t="s">
        <v>2104</v>
      </c>
    </row>
    <row r="104" spans="1:1" x14ac:dyDescent="0.2">
      <c r="A104" t="s">
        <v>2211</v>
      </c>
    </row>
    <row r="105" spans="1:1" x14ac:dyDescent="0.2">
      <c r="A105" t="s">
        <v>2425</v>
      </c>
    </row>
    <row r="106" spans="1:1" x14ac:dyDescent="0.2">
      <c r="A106" t="s">
        <v>2318</v>
      </c>
    </row>
    <row r="107" spans="1:1" x14ac:dyDescent="0.2">
      <c r="A107" t="s">
        <v>2532</v>
      </c>
    </row>
    <row r="108" spans="1:1" x14ac:dyDescent="0.2">
      <c r="A108" t="s">
        <v>2640</v>
      </c>
    </row>
    <row r="109" spans="1:1" x14ac:dyDescent="0.2">
      <c r="A109" t="s">
        <v>2105</v>
      </c>
    </row>
    <row r="110" spans="1:1" x14ac:dyDescent="0.2">
      <c r="A110" t="s">
        <v>2212</v>
      </c>
    </row>
    <row r="111" spans="1:1" x14ac:dyDescent="0.2">
      <c r="A111" t="s">
        <v>2426</v>
      </c>
    </row>
    <row r="112" spans="1:1" x14ac:dyDescent="0.2">
      <c r="A112" t="s">
        <v>2319</v>
      </c>
    </row>
    <row r="113" spans="1:1" x14ac:dyDescent="0.2">
      <c r="A113" t="s">
        <v>2533</v>
      </c>
    </row>
    <row r="114" spans="1:1" x14ac:dyDescent="0.2">
      <c r="A114" t="s">
        <v>2641</v>
      </c>
    </row>
    <row r="115" spans="1:1" x14ac:dyDescent="0.2">
      <c r="A115" t="s">
        <v>2106</v>
      </c>
    </row>
    <row r="116" spans="1:1" x14ac:dyDescent="0.2">
      <c r="A116" t="s">
        <v>2213</v>
      </c>
    </row>
    <row r="117" spans="1:1" x14ac:dyDescent="0.2">
      <c r="A117" t="s">
        <v>2427</v>
      </c>
    </row>
    <row r="118" spans="1:1" x14ac:dyDescent="0.2">
      <c r="A118" t="s">
        <v>2320</v>
      </c>
    </row>
    <row r="119" spans="1:1" x14ac:dyDescent="0.2">
      <c r="A119" t="s">
        <v>2534</v>
      </c>
    </row>
    <row r="120" spans="1:1" x14ac:dyDescent="0.2">
      <c r="A120" t="s">
        <v>2642</v>
      </c>
    </row>
    <row r="121" spans="1:1" x14ac:dyDescent="0.2">
      <c r="A121" t="s">
        <v>2107</v>
      </c>
    </row>
    <row r="122" spans="1:1" x14ac:dyDescent="0.2">
      <c r="A122" t="s">
        <v>2214</v>
      </c>
    </row>
    <row r="123" spans="1:1" x14ac:dyDescent="0.2">
      <c r="A123" t="s">
        <v>2428</v>
      </c>
    </row>
    <row r="124" spans="1:1" x14ac:dyDescent="0.2">
      <c r="A124" t="s">
        <v>2321</v>
      </c>
    </row>
    <row r="125" spans="1:1" x14ac:dyDescent="0.2">
      <c r="A125" t="s">
        <v>2535</v>
      </c>
    </row>
    <row r="126" spans="1:1" x14ac:dyDescent="0.2">
      <c r="A126" t="s">
        <v>2644</v>
      </c>
    </row>
    <row r="127" spans="1:1" x14ac:dyDescent="0.2">
      <c r="A127" t="s">
        <v>2109</v>
      </c>
    </row>
    <row r="128" spans="1:1" x14ac:dyDescent="0.2">
      <c r="A128" t="s">
        <v>2216</v>
      </c>
    </row>
    <row r="129" spans="1:1" x14ac:dyDescent="0.2">
      <c r="A129" t="s">
        <v>2430</v>
      </c>
    </row>
    <row r="130" spans="1:1" x14ac:dyDescent="0.2">
      <c r="A130" t="s">
        <v>2323</v>
      </c>
    </row>
    <row r="131" spans="1:1" x14ac:dyDescent="0.2">
      <c r="A131" t="s">
        <v>2537</v>
      </c>
    </row>
    <row r="132" spans="1:1" x14ac:dyDescent="0.2">
      <c r="A132" t="s">
        <v>2645</v>
      </c>
    </row>
    <row r="133" spans="1:1" x14ac:dyDescent="0.2">
      <c r="A133" t="s">
        <v>2110</v>
      </c>
    </row>
    <row r="134" spans="1:1" x14ac:dyDescent="0.2">
      <c r="A134" t="s">
        <v>2217</v>
      </c>
    </row>
    <row r="135" spans="1:1" x14ac:dyDescent="0.2">
      <c r="A135" t="s">
        <v>2431</v>
      </c>
    </row>
    <row r="136" spans="1:1" x14ac:dyDescent="0.2">
      <c r="A136" t="s">
        <v>2324</v>
      </c>
    </row>
    <row r="137" spans="1:1" x14ac:dyDescent="0.2">
      <c r="A137" t="s">
        <v>2538</v>
      </c>
    </row>
    <row r="138" spans="1:1" x14ac:dyDescent="0.2">
      <c r="A138" t="s">
        <v>2646</v>
      </c>
    </row>
    <row r="139" spans="1:1" x14ac:dyDescent="0.2">
      <c r="A139" t="s">
        <v>2111</v>
      </c>
    </row>
    <row r="140" spans="1:1" x14ac:dyDescent="0.2">
      <c r="A140" t="s">
        <v>2218</v>
      </c>
    </row>
    <row r="141" spans="1:1" x14ac:dyDescent="0.2">
      <c r="A141" t="s">
        <v>2432</v>
      </c>
    </row>
    <row r="142" spans="1:1" x14ac:dyDescent="0.2">
      <c r="A142" t="s">
        <v>2325</v>
      </c>
    </row>
    <row r="143" spans="1:1" x14ac:dyDescent="0.2">
      <c r="A143" t="s">
        <v>2539</v>
      </c>
    </row>
    <row r="144" spans="1:1" x14ac:dyDescent="0.2">
      <c r="A144" t="s">
        <v>2647</v>
      </c>
    </row>
    <row r="145" spans="1:1" x14ac:dyDescent="0.2">
      <c r="A145" t="s">
        <v>2112</v>
      </c>
    </row>
    <row r="146" spans="1:1" x14ac:dyDescent="0.2">
      <c r="A146" t="s">
        <v>2219</v>
      </c>
    </row>
    <row r="147" spans="1:1" x14ac:dyDescent="0.2">
      <c r="A147" t="s">
        <v>2433</v>
      </c>
    </row>
    <row r="148" spans="1:1" x14ac:dyDescent="0.2">
      <c r="A148" t="s">
        <v>2326</v>
      </c>
    </row>
    <row r="149" spans="1:1" x14ac:dyDescent="0.2">
      <c r="A149" t="s">
        <v>2540</v>
      </c>
    </row>
    <row r="150" spans="1:1" x14ac:dyDescent="0.2">
      <c r="A150" t="s">
        <v>2648</v>
      </c>
    </row>
    <row r="151" spans="1:1" x14ac:dyDescent="0.2">
      <c r="A151" t="s">
        <v>2113</v>
      </c>
    </row>
    <row r="152" spans="1:1" x14ac:dyDescent="0.2">
      <c r="A152" t="s">
        <v>2220</v>
      </c>
    </row>
    <row r="153" spans="1:1" x14ac:dyDescent="0.2">
      <c r="A153" t="s">
        <v>2434</v>
      </c>
    </row>
    <row r="154" spans="1:1" x14ac:dyDescent="0.2">
      <c r="A154" t="s">
        <v>2327</v>
      </c>
    </row>
    <row r="155" spans="1:1" x14ac:dyDescent="0.2">
      <c r="A155" t="s">
        <v>2541</v>
      </c>
    </row>
    <row r="156" spans="1:1" x14ac:dyDescent="0.2">
      <c r="A156" t="s">
        <v>2649</v>
      </c>
    </row>
    <row r="157" spans="1:1" x14ac:dyDescent="0.2">
      <c r="A157" t="s">
        <v>2114</v>
      </c>
    </row>
    <row r="158" spans="1:1" x14ac:dyDescent="0.2">
      <c r="A158" t="s">
        <v>2221</v>
      </c>
    </row>
    <row r="159" spans="1:1" x14ac:dyDescent="0.2">
      <c r="A159" t="s">
        <v>2435</v>
      </c>
    </row>
    <row r="160" spans="1:1" x14ac:dyDescent="0.2">
      <c r="A160" t="s">
        <v>2328</v>
      </c>
    </row>
    <row r="161" spans="1:1" x14ac:dyDescent="0.2">
      <c r="A161" t="s">
        <v>2542</v>
      </c>
    </row>
    <row r="162" spans="1:1" x14ac:dyDescent="0.2">
      <c r="A162" t="s">
        <v>2651</v>
      </c>
    </row>
    <row r="163" spans="1:1" x14ac:dyDescent="0.2">
      <c r="A163" t="s">
        <v>2116</v>
      </c>
    </row>
    <row r="164" spans="1:1" x14ac:dyDescent="0.2">
      <c r="A164" t="s">
        <v>2223</v>
      </c>
    </row>
    <row r="165" spans="1:1" x14ac:dyDescent="0.2">
      <c r="A165" t="s">
        <v>2437</v>
      </c>
    </row>
    <row r="166" spans="1:1" x14ac:dyDescent="0.2">
      <c r="A166" t="s">
        <v>2330</v>
      </c>
    </row>
    <row r="167" spans="1:1" x14ac:dyDescent="0.2">
      <c r="A167" t="s">
        <v>2544</v>
      </c>
    </row>
    <row r="168" spans="1:1" x14ac:dyDescent="0.2">
      <c r="A168" t="s">
        <v>2652</v>
      </c>
    </row>
    <row r="169" spans="1:1" x14ac:dyDescent="0.2">
      <c r="A169" t="s">
        <v>2117</v>
      </c>
    </row>
    <row r="170" spans="1:1" x14ac:dyDescent="0.2">
      <c r="A170" t="s">
        <v>2224</v>
      </c>
    </row>
    <row r="171" spans="1:1" x14ac:dyDescent="0.2">
      <c r="A171" t="s">
        <v>2438</v>
      </c>
    </row>
    <row r="172" spans="1:1" x14ac:dyDescent="0.2">
      <c r="A172" t="s">
        <v>2331</v>
      </c>
    </row>
    <row r="173" spans="1:1" x14ac:dyDescent="0.2">
      <c r="A173" t="s">
        <v>2545</v>
      </c>
    </row>
    <row r="174" spans="1:1" x14ac:dyDescent="0.2">
      <c r="A174" t="s">
        <v>2653</v>
      </c>
    </row>
    <row r="175" spans="1:1" x14ac:dyDescent="0.2">
      <c r="A175" t="s">
        <v>2118</v>
      </c>
    </row>
    <row r="176" spans="1:1" x14ac:dyDescent="0.2">
      <c r="A176" t="s">
        <v>2225</v>
      </c>
    </row>
    <row r="177" spans="1:1" x14ac:dyDescent="0.2">
      <c r="A177" t="s">
        <v>2439</v>
      </c>
    </row>
    <row r="178" spans="1:1" x14ac:dyDescent="0.2">
      <c r="A178" t="s">
        <v>2332</v>
      </c>
    </row>
    <row r="179" spans="1:1" x14ac:dyDescent="0.2">
      <c r="A179" t="s">
        <v>2546</v>
      </c>
    </row>
    <row r="180" spans="1:1" x14ac:dyDescent="0.2">
      <c r="A180" t="s">
        <v>2654</v>
      </c>
    </row>
    <row r="181" spans="1:1" x14ac:dyDescent="0.2">
      <c r="A181" t="s">
        <v>2119</v>
      </c>
    </row>
    <row r="182" spans="1:1" x14ac:dyDescent="0.2">
      <c r="A182" t="s">
        <v>2226</v>
      </c>
    </row>
    <row r="183" spans="1:1" x14ac:dyDescent="0.2">
      <c r="A183" t="s">
        <v>2440</v>
      </c>
    </row>
    <row r="184" spans="1:1" x14ac:dyDescent="0.2">
      <c r="A184" t="s">
        <v>2333</v>
      </c>
    </row>
    <row r="185" spans="1:1" x14ac:dyDescent="0.2">
      <c r="A185" t="s">
        <v>2547</v>
      </c>
    </row>
    <row r="186" spans="1:1" x14ac:dyDescent="0.2">
      <c r="A186" t="s">
        <v>2655</v>
      </c>
    </row>
    <row r="187" spans="1:1" x14ac:dyDescent="0.2">
      <c r="A187" t="s">
        <v>2120</v>
      </c>
    </row>
    <row r="188" spans="1:1" x14ac:dyDescent="0.2">
      <c r="A188" t="s">
        <v>2227</v>
      </c>
    </row>
    <row r="189" spans="1:1" x14ac:dyDescent="0.2">
      <c r="A189" t="s">
        <v>2441</v>
      </c>
    </row>
    <row r="190" spans="1:1" x14ac:dyDescent="0.2">
      <c r="A190" t="s">
        <v>2334</v>
      </c>
    </row>
    <row r="191" spans="1:1" x14ac:dyDescent="0.2">
      <c r="A191" t="s">
        <v>2548</v>
      </c>
    </row>
    <row r="192" spans="1:1" x14ac:dyDescent="0.2">
      <c r="A192" t="s">
        <v>2656</v>
      </c>
    </row>
    <row r="193" spans="1:1" x14ac:dyDescent="0.2">
      <c r="A193" t="s">
        <v>2121</v>
      </c>
    </row>
    <row r="194" spans="1:1" x14ac:dyDescent="0.2">
      <c r="A194" t="s">
        <v>2228</v>
      </c>
    </row>
    <row r="195" spans="1:1" x14ac:dyDescent="0.2">
      <c r="A195" t="s">
        <v>2442</v>
      </c>
    </row>
    <row r="196" spans="1:1" x14ac:dyDescent="0.2">
      <c r="A196" t="s">
        <v>2335</v>
      </c>
    </row>
    <row r="197" spans="1:1" x14ac:dyDescent="0.2">
      <c r="A197" t="s">
        <v>2549</v>
      </c>
    </row>
    <row r="198" spans="1:1" x14ac:dyDescent="0.2">
      <c r="A198" t="s">
        <v>2658</v>
      </c>
    </row>
    <row r="199" spans="1:1" x14ac:dyDescent="0.2">
      <c r="A199" t="s">
        <v>2123</v>
      </c>
    </row>
    <row r="200" spans="1:1" x14ac:dyDescent="0.2">
      <c r="A200" t="s">
        <v>2230</v>
      </c>
    </row>
    <row r="201" spans="1:1" x14ac:dyDescent="0.2">
      <c r="A201" t="s">
        <v>2444</v>
      </c>
    </row>
    <row r="202" spans="1:1" x14ac:dyDescent="0.2">
      <c r="A202" t="s">
        <v>2337</v>
      </c>
    </row>
    <row r="203" spans="1:1" x14ac:dyDescent="0.2">
      <c r="A203" t="s">
        <v>2551</v>
      </c>
    </row>
    <row r="204" spans="1:1" x14ac:dyDescent="0.2">
      <c r="A204" t="s">
        <v>2659</v>
      </c>
    </row>
    <row r="205" spans="1:1" x14ac:dyDescent="0.2">
      <c r="A205" t="s">
        <v>2124</v>
      </c>
    </row>
    <row r="206" spans="1:1" x14ac:dyDescent="0.2">
      <c r="A206" t="s">
        <v>2231</v>
      </c>
    </row>
    <row r="207" spans="1:1" x14ac:dyDescent="0.2">
      <c r="A207" t="s">
        <v>2445</v>
      </c>
    </row>
    <row r="208" spans="1:1" x14ac:dyDescent="0.2">
      <c r="A208" t="s">
        <v>2338</v>
      </c>
    </row>
    <row r="209" spans="1:1" x14ac:dyDescent="0.2">
      <c r="A209" t="s">
        <v>2552</v>
      </c>
    </row>
    <row r="210" spans="1:1" x14ac:dyDescent="0.2">
      <c r="A210" t="s">
        <v>2660</v>
      </c>
    </row>
    <row r="211" spans="1:1" x14ac:dyDescent="0.2">
      <c r="A211" t="s">
        <v>2125</v>
      </c>
    </row>
    <row r="212" spans="1:1" x14ac:dyDescent="0.2">
      <c r="A212" t="s">
        <v>2232</v>
      </c>
    </row>
    <row r="213" spans="1:1" x14ac:dyDescent="0.2">
      <c r="A213" t="s">
        <v>2446</v>
      </c>
    </row>
    <row r="214" spans="1:1" x14ac:dyDescent="0.2">
      <c r="A214" t="s">
        <v>2339</v>
      </c>
    </row>
    <row r="215" spans="1:1" x14ac:dyDescent="0.2">
      <c r="A215" t="s">
        <v>2553</v>
      </c>
    </row>
    <row r="216" spans="1:1" x14ac:dyDescent="0.2">
      <c r="A216" t="s">
        <v>2661</v>
      </c>
    </row>
    <row r="217" spans="1:1" x14ac:dyDescent="0.2">
      <c r="A217" t="s">
        <v>2126</v>
      </c>
    </row>
    <row r="218" spans="1:1" x14ac:dyDescent="0.2">
      <c r="A218" t="s">
        <v>2233</v>
      </c>
    </row>
    <row r="219" spans="1:1" x14ac:dyDescent="0.2">
      <c r="A219" t="s">
        <v>2447</v>
      </c>
    </row>
    <row r="220" spans="1:1" x14ac:dyDescent="0.2">
      <c r="A220" t="s">
        <v>2340</v>
      </c>
    </row>
    <row r="221" spans="1:1" x14ac:dyDescent="0.2">
      <c r="A221" t="s">
        <v>2554</v>
      </c>
    </row>
    <row r="222" spans="1:1" x14ac:dyDescent="0.2">
      <c r="A222" t="s">
        <v>2662</v>
      </c>
    </row>
    <row r="223" spans="1:1" x14ac:dyDescent="0.2">
      <c r="A223" t="s">
        <v>2127</v>
      </c>
    </row>
    <row r="224" spans="1:1" x14ac:dyDescent="0.2">
      <c r="A224" t="s">
        <v>2234</v>
      </c>
    </row>
    <row r="225" spans="1:1" x14ac:dyDescent="0.2">
      <c r="A225" t="s">
        <v>2448</v>
      </c>
    </row>
    <row r="226" spans="1:1" x14ac:dyDescent="0.2">
      <c r="A226" t="s">
        <v>2341</v>
      </c>
    </row>
    <row r="227" spans="1:1" x14ac:dyDescent="0.2">
      <c r="A227" t="s">
        <v>2555</v>
      </c>
    </row>
    <row r="228" spans="1:1" x14ac:dyDescent="0.2">
      <c r="A228" t="s">
        <v>2663</v>
      </c>
    </row>
    <row r="229" spans="1:1" x14ac:dyDescent="0.2">
      <c r="A229" t="s">
        <v>2128</v>
      </c>
    </row>
    <row r="230" spans="1:1" x14ac:dyDescent="0.2">
      <c r="A230" t="s">
        <v>2235</v>
      </c>
    </row>
    <row r="231" spans="1:1" x14ac:dyDescent="0.2">
      <c r="A231" t="s">
        <v>2449</v>
      </c>
    </row>
    <row r="232" spans="1:1" x14ac:dyDescent="0.2">
      <c r="A232" t="s">
        <v>2342</v>
      </c>
    </row>
    <row r="233" spans="1:1" x14ac:dyDescent="0.2">
      <c r="A233" t="s">
        <v>2556</v>
      </c>
    </row>
    <row r="234" spans="1:1" x14ac:dyDescent="0.2">
      <c r="A234" t="s">
        <v>2665</v>
      </c>
    </row>
    <row r="235" spans="1:1" x14ac:dyDescent="0.2">
      <c r="A235" t="s">
        <v>2130</v>
      </c>
    </row>
    <row r="236" spans="1:1" x14ac:dyDescent="0.2">
      <c r="A236" t="s">
        <v>2237</v>
      </c>
    </row>
    <row r="237" spans="1:1" x14ac:dyDescent="0.2">
      <c r="A237" t="s">
        <v>2451</v>
      </c>
    </row>
    <row r="238" spans="1:1" x14ac:dyDescent="0.2">
      <c r="A238" t="s">
        <v>2344</v>
      </c>
    </row>
    <row r="239" spans="1:1" x14ac:dyDescent="0.2">
      <c r="A239" t="s">
        <v>2558</v>
      </c>
    </row>
    <row r="240" spans="1:1" x14ac:dyDescent="0.2">
      <c r="A240" t="s">
        <v>2666</v>
      </c>
    </row>
    <row r="241" spans="1:1" x14ac:dyDescent="0.2">
      <c r="A241" t="s">
        <v>2131</v>
      </c>
    </row>
    <row r="242" spans="1:1" x14ac:dyDescent="0.2">
      <c r="A242" t="s">
        <v>2238</v>
      </c>
    </row>
    <row r="243" spans="1:1" x14ac:dyDescent="0.2">
      <c r="A243" t="s">
        <v>2452</v>
      </c>
    </row>
    <row r="244" spans="1:1" x14ac:dyDescent="0.2">
      <c r="A244" t="s">
        <v>2345</v>
      </c>
    </row>
    <row r="245" spans="1:1" x14ac:dyDescent="0.2">
      <c r="A245" t="s">
        <v>2559</v>
      </c>
    </row>
    <row r="246" spans="1:1" x14ac:dyDescent="0.2">
      <c r="A246" t="s">
        <v>2667</v>
      </c>
    </row>
    <row r="247" spans="1:1" x14ac:dyDescent="0.2">
      <c r="A247" t="s">
        <v>2132</v>
      </c>
    </row>
    <row r="248" spans="1:1" x14ac:dyDescent="0.2">
      <c r="A248" t="s">
        <v>2239</v>
      </c>
    </row>
    <row r="249" spans="1:1" x14ac:dyDescent="0.2">
      <c r="A249" t="s">
        <v>2453</v>
      </c>
    </row>
    <row r="250" spans="1:1" x14ac:dyDescent="0.2">
      <c r="A250" t="s">
        <v>2346</v>
      </c>
    </row>
    <row r="251" spans="1:1" x14ac:dyDescent="0.2">
      <c r="A251" t="s">
        <v>2560</v>
      </c>
    </row>
    <row r="252" spans="1:1" x14ac:dyDescent="0.2">
      <c r="A252" t="s">
        <v>2668</v>
      </c>
    </row>
    <row r="253" spans="1:1" x14ac:dyDescent="0.2">
      <c r="A253" t="s">
        <v>2133</v>
      </c>
    </row>
    <row r="254" spans="1:1" x14ac:dyDescent="0.2">
      <c r="A254" t="s">
        <v>2240</v>
      </c>
    </row>
    <row r="255" spans="1:1" x14ac:dyDescent="0.2">
      <c r="A255" t="s">
        <v>2454</v>
      </c>
    </row>
    <row r="256" spans="1:1" x14ac:dyDescent="0.2">
      <c r="A256" t="s">
        <v>2347</v>
      </c>
    </row>
    <row r="257" spans="1:1" x14ac:dyDescent="0.2">
      <c r="A257" t="s">
        <v>2561</v>
      </c>
    </row>
    <row r="258" spans="1:1" x14ac:dyDescent="0.2">
      <c r="A258" t="s">
        <v>2669</v>
      </c>
    </row>
    <row r="259" spans="1:1" x14ac:dyDescent="0.2">
      <c r="A259" t="s">
        <v>2134</v>
      </c>
    </row>
    <row r="260" spans="1:1" x14ac:dyDescent="0.2">
      <c r="A260" t="s">
        <v>2241</v>
      </c>
    </row>
    <row r="261" spans="1:1" x14ac:dyDescent="0.2">
      <c r="A261" t="s">
        <v>2455</v>
      </c>
    </row>
    <row r="262" spans="1:1" x14ac:dyDescent="0.2">
      <c r="A262" t="s">
        <v>2348</v>
      </c>
    </row>
    <row r="263" spans="1:1" x14ac:dyDescent="0.2">
      <c r="A263" t="s">
        <v>2562</v>
      </c>
    </row>
    <row r="264" spans="1:1" x14ac:dyDescent="0.2">
      <c r="A264" t="s">
        <v>2670</v>
      </c>
    </row>
    <row r="265" spans="1:1" x14ac:dyDescent="0.2">
      <c r="A265" t="s">
        <v>2135</v>
      </c>
    </row>
    <row r="266" spans="1:1" x14ac:dyDescent="0.2">
      <c r="A266" t="s">
        <v>2242</v>
      </c>
    </row>
    <row r="267" spans="1:1" x14ac:dyDescent="0.2">
      <c r="A267" t="s">
        <v>2456</v>
      </c>
    </row>
    <row r="268" spans="1:1" x14ac:dyDescent="0.2">
      <c r="A268" t="s">
        <v>2349</v>
      </c>
    </row>
    <row r="269" spans="1:1" x14ac:dyDescent="0.2">
      <c r="A269" t="s">
        <v>2563</v>
      </c>
    </row>
    <row r="270" spans="1:1" x14ac:dyDescent="0.2">
      <c r="A270" t="s">
        <v>2672</v>
      </c>
    </row>
    <row r="271" spans="1:1" x14ac:dyDescent="0.2">
      <c r="A271" t="s">
        <v>2137</v>
      </c>
    </row>
    <row r="272" spans="1:1" x14ac:dyDescent="0.2">
      <c r="A272" t="s">
        <v>2244</v>
      </c>
    </row>
    <row r="273" spans="1:1" x14ac:dyDescent="0.2">
      <c r="A273" t="s">
        <v>2458</v>
      </c>
    </row>
    <row r="274" spans="1:1" x14ac:dyDescent="0.2">
      <c r="A274" t="s">
        <v>2351</v>
      </c>
    </row>
    <row r="275" spans="1:1" x14ac:dyDescent="0.2">
      <c r="A275" t="s">
        <v>2565</v>
      </c>
    </row>
    <row r="276" spans="1:1" x14ac:dyDescent="0.2">
      <c r="A276" t="s">
        <v>2673</v>
      </c>
    </row>
    <row r="277" spans="1:1" x14ac:dyDescent="0.2">
      <c r="A277" t="s">
        <v>2138</v>
      </c>
    </row>
    <row r="278" spans="1:1" x14ac:dyDescent="0.2">
      <c r="A278" t="s">
        <v>2245</v>
      </c>
    </row>
    <row r="279" spans="1:1" x14ac:dyDescent="0.2">
      <c r="A279" t="s">
        <v>2459</v>
      </c>
    </row>
    <row r="280" spans="1:1" x14ac:dyDescent="0.2">
      <c r="A280" t="s">
        <v>2352</v>
      </c>
    </row>
    <row r="281" spans="1:1" x14ac:dyDescent="0.2">
      <c r="A281" t="s">
        <v>2566</v>
      </c>
    </row>
    <row r="282" spans="1:1" x14ac:dyDescent="0.2">
      <c r="A282" t="s">
        <v>2674</v>
      </c>
    </row>
    <row r="283" spans="1:1" x14ac:dyDescent="0.2">
      <c r="A283" t="s">
        <v>2139</v>
      </c>
    </row>
    <row r="284" spans="1:1" x14ac:dyDescent="0.2">
      <c r="A284" t="s">
        <v>2246</v>
      </c>
    </row>
    <row r="285" spans="1:1" x14ac:dyDescent="0.2">
      <c r="A285" t="s">
        <v>2460</v>
      </c>
    </row>
    <row r="286" spans="1:1" x14ac:dyDescent="0.2">
      <c r="A286" t="s">
        <v>2353</v>
      </c>
    </row>
    <row r="287" spans="1:1" x14ac:dyDescent="0.2">
      <c r="A287" t="s">
        <v>2567</v>
      </c>
    </row>
    <row r="288" spans="1:1" x14ac:dyDescent="0.2">
      <c r="A288" t="s">
        <v>2675</v>
      </c>
    </row>
    <row r="289" spans="1:1" x14ac:dyDescent="0.2">
      <c r="A289" t="s">
        <v>2140</v>
      </c>
    </row>
    <row r="290" spans="1:1" x14ac:dyDescent="0.2">
      <c r="A290" t="s">
        <v>2247</v>
      </c>
    </row>
    <row r="291" spans="1:1" x14ac:dyDescent="0.2">
      <c r="A291" t="s">
        <v>2461</v>
      </c>
    </row>
    <row r="292" spans="1:1" x14ac:dyDescent="0.2">
      <c r="A292" t="s">
        <v>2354</v>
      </c>
    </row>
    <row r="293" spans="1:1" x14ac:dyDescent="0.2">
      <c r="A293" t="s">
        <v>2568</v>
      </c>
    </row>
    <row r="294" spans="1:1" x14ac:dyDescent="0.2">
      <c r="A294" t="s">
        <v>2676</v>
      </c>
    </row>
    <row r="295" spans="1:1" x14ac:dyDescent="0.2">
      <c r="A295" t="s">
        <v>2141</v>
      </c>
    </row>
    <row r="296" spans="1:1" x14ac:dyDescent="0.2">
      <c r="A296" t="s">
        <v>2248</v>
      </c>
    </row>
    <row r="297" spans="1:1" x14ac:dyDescent="0.2">
      <c r="A297" t="s">
        <v>2462</v>
      </c>
    </row>
    <row r="298" spans="1:1" x14ac:dyDescent="0.2">
      <c r="A298" t="s">
        <v>2355</v>
      </c>
    </row>
    <row r="299" spans="1:1" x14ac:dyDescent="0.2">
      <c r="A299" t="s">
        <v>2569</v>
      </c>
    </row>
    <row r="300" spans="1:1" x14ac:dyDescent="0.2">
      <c r="A300" t="s">
        <v>2677</v>
      </c>
    </row>
    <row r="301" spans="1:1" x14ac:dyDescent="0.2">
      <c r="A301" t="s">
        <v>2142</v>
      </c>
    </row>
    <row r="302" spans="1:1" x14ac:dyDescent="0.2">
      <c r="A302" t="s">
        <v>2249</v>
      </c>
    </row>
    <row r="303" spans="1:1" x14ac:dyDescent="0.2">
      <c r="A303" t="s">
        <v>2463</v>
      </c>
    </row>
    <row r="304" spans="1:1" x14ac:dyDescent="0.2">
      <c r="A304" t="s">
        <v>2356</v>
      </c>
    </row>
    <row r="305" spans="1:1" x14ac:dyDescent="0.2">
      <c r="A305" t="s">
        <v>2570</v>
      </c>
    </row>
    <row r="306" spans="1:1" x14ac:dyDescent="0.2">
      <c r="A306" t="s">
        <v>2680</v>
      </c>
    </row>
    <row r="307" spans="1:1" x14ac:dyDescent="0.2">
      <c r="A307" t="s">
        <v>2145</v>
      </c>
    </row>
    <row r="308" spans="1:1" x14ac:dyDescent="0.2">
      <c r="A308" t="s">
        <v>2252</v>
      </c>
    </row>
    <row r="309" spans="1:1" x14ac:dyDescent="0.2">
      <c r="A309" t="s">
        <v>2466</v>
      </c>
    </row>
    <row r="310" spans="1:1" x14ac:dyDescent="0.2">
      <c r="A310" t="s">
        <v>2359</v>
      </c>
    </row>
    <row r="311" spans="1:1" x14ac:dyDescent="0.2">
      <c r="A311" t="s">
        <v>2573</v>
      </c>
    </row>
    <row r="312" spans="1:1" x14ac:dyDescent="0.2">
      <c r="A312" t="s">
        <v>2681</v>
      </c>
    </row>
    <row r="313" spans="1:1" x14ac:dyDescent="0.2">
      <c r="A313" t="s">
        <v>2146</v>
      </c>
    </row>
    <row r="314" spans="1:1" x14ac:dyDescent="0.2">
      <c r="A314" t="s">
        <v>2253</v>
      </c>
    </row>
    <row r="315" spans="1:1" x14ac:dyDescent="0.2">
      <c r="A315" t="s">
        <v>2467</v>
      </c>
    </row>
    <row r="316" spans="1:1" x14ac:dyDescent="0.2">
      <c r="A316" t="s">
        <v>2360</v>
      </c>
    </row>
    <row r="317" spans="1:1" x14ac:dyDescent="0.2">
      <c r="A317" t="s">
        <v>2574</v>
      </c>
    </row>
    <row r="318" spans="1:1" x14ac:dyDescent="0.2">
      <c r="A318" t="s">
        <v>2682</v>
      </c>
    </row>
    <row r="319" spans="1:1" x14ac:dyDescent="0.2">
      <c r="A319" t="s">
        <v>2147</v>
      </c>
    </row>
    <row r="320" spans="1:1" x14ac:dyDescent="0.2">
      <c r="A320" t="s">
        <v>2254</v>
      </c>
    </row>
    <row r="321" spans="1:1" x14ac:dyDescent="0.2">
      <c r="A321" t="s">
        <v>2468</v>
      </c>
    </row>
    <row r="322" spans="1:1" x14ac:dyDescent="0.2">
      <c r="A322" t="s">
        <v>2361</v>
      </c>
    </row>
    <row r="323" spans="1:1" x14ac:dyDescent="0.2">
      <c r="A323" t="s">
        <v>2575</v>
      </c>
    </row>
    <row r="324" spans="1:1" x14ac:dyDescent="0.2">
      <c r="A324" t="s">
        <v>2683</v>
      </c>
    </row>
    <row r="325" spans="1:1" x14ac:dyDescent="0.2">
      <c r="A325" t="s">
        <v>2148</v>
      </c>
    </row>
    <row r="326" spans="1:1" x14ac:dyDescent="0.2">
      <c r="A326" t="s">
        <v>2255</v>
      </c>
    </row>
    <row r="327" spans="1:1" x14ac:dyDescent="0.2">
      <c r="A327" t="s">
        <v>2469</v>
      </c>
    </row>
    <row r="328" spans="1:1" x14ac:dyDescent="0.2">
      <c r="A328" t="s">
        <v>2362</v>
      </c>
    </row>
    <row r="329" spans="1:1" x14ac:dyDescent="0.2">
      <c r="A329" t="s">
        <v>2576</v>
      </c>
    </row>
    <row r="330" spans="1:1" x14ac:dyDescent="0.2">
      <c r="A330" t="s">
        <v>2684</v>
      </c>
    </row>
    <row r="331" spans="1:1" x14ac:dyDescent="0.2">
      <c r="A331" t="s">
        <v>2149</v>
      </c>
    </row>
    <row r="332" spans="1:1" x14ac:dyDescent="0.2">
      <c r="A332" t="s">
        <v>2256</v>
      </c>
    </row>
    <row r="333" spans="1:1" x14ac:dyDescent="0.2">
      <c r="A333" t="s">
        <v>2470</v>
      </c>
    </row>
    <row r="334" spans="1:1" x14ac:dyDescent="0.2">
      <c r="A334" t="s">
        <v>2363</v>
      </c>
    </row>
    <row r="335" spans="1:1" x14ac:dyDescent="0.2">
      <c r="A335" t="s">
        <v>2577</v>
      </c>
    </row>
    <row r="336" spans="1:1" x14ac:dyDescent="0.2">
      <c r="A336" t="s">
        <v>2685</v>
      </c>
    </row>
    <row r="337" spans="1:1" x14ac:dyDescent="0.2">
      <c r="A337" t="s">
        <v>2150</v>
      </c>
    </row>
    <row r="338" spans="1:1" x14ac:dyDescent="0.2">
      <c r="A338" t="s">
        <v>2257</v>
      </c>
    </row>
    <row r="339" spans="1:1" x14ac:dyDescent="0.2">
      <c r="A339" t="s">
        <v>2471</v>
      </c>
    </row>
    <row r="340" spans="1:1" x14ac:dyDescent="0.2">
      <c r="A340" t="s">
        <v>2364</v>
      </c>
    </row>
    <row r="341" spans="1:1" x14ac:dyDescent="0.2">
      <c r="A341" t="s">
        <v>2578</v>
      </c>
    </row>
    <row r="342" spans="1:1" x14ac:dyDescent="0.2">
      <c r="A342" t="s">
        <v>2687</v>
      </c>
    </row>
    <row r="343" spans="1:1" x14ac:dyDescent="0.2">
      <c r="A343" t="s">
        <v>2152</v>
      </c>
    </row>
    <row r="344" spans="1:1" x14ac:dyDescent="0.2">
      <c r="A344" t="s">
        <v>2259</v>
      </c>
    </row>
    <row r="345" spans="1:1" x14ac:dyDescent="0.2">
      <c r="A345" t="s">
        <v>2473</v>
      </c>
    </row>
    <row r="346" spans="1:1" x14ac:dyDescent="0.2">
      <c r="A346" t="s">
        <v>2366</v>
      </c>
    </row>
    <row r="347" spans="1:1" x14ac:dyDescent="0.2">
      <c r="A347" t="s">
        <v>2580</v>
      </c>
    </row>
    <row r="348" spans="1:1" x14ac:dyDescent="0.2">
      <c r="A348" t="s">
        <v>2688</v>
      </c>
    </row>
    <row r="349" spans="1:1" x14ac:dyDescent="0.2">
      <c r="A349" t="s">
        <v>2153</v>
      </c>
    </row>
    <row r="350" spans="1:1" x14ac:dyDescent="0.2">
      <c r="A350" t="s">
        <v>2260</v>
      </c>
    </row>
    <row r="351" spans="1:1" x14ac:dyDescent="0.2">
      <c r="A351" t="s">
        <v>2474</v>
      </c>
    </row>
    <row r="352" spans="1:1" x14ac:dyDescent="0.2">
      <c r="A352" t="s">
        <v>2367</v>
      </c>
    </row>
    <row r="353" spans="1:1" x14ac:dyDescent="0.2">
      <c r="A353" t="s">
        <v>2581</v>
      </c>
    </row>
    <row r="354" spans="1:1" x14ac:dyDescent="0.2">
      <c r="A354" t="s">
        <v>2689</v>
      </c>
    </row>
    <row r="355" spans="1:1" x14ac:dyDescent="0.2">
      <c r="A355" t="s">
        <v>2154</v>
      </c>
    </row>
    <row r="356" spans="1:1" x14ac:dyDescent="0.2">
      <c r="A356" t="s">
        <v>2261</v>
      </c>
    </row>
    <row r="357" spans="1:1" x14ac:dyDescent="0.2">
      <c r="A357" t="s">
        <v>2475</v>
      </c>
    </row>
    <row r="358" spans="1:1" x14ac:dyDescent="0.2">
      <c r="A358" t="s">
        <v>2368</v>
      </c>
    </row>
    <row r="359" spans="1:1" x14ac:dyDescent="0.2">
      <c r="A359" t="s">
        <v>2582</v>
      </c>
    </row>
    <row r="360" spans="1:1" x14ac:dyDescent="0.2">
      <c r="A360" t="s">
        <v>2690</v>
      </c>
    </row>
    <row r="361" spans="1:1" x14ac:dyDescent="0.2">
      <c r="A361" t="s">
        <v>2155</v>
      </c>
    </row>
    <row r="362" spans="1:1" x14ac:dyDescent="0.2">
      <c r="A362" t="s">
        <v>2262</v>
      </c>
    </row>
    <row r="363" spans="1:1" x14ac:dyDescent="0.2">
      <c r="A363" t="s">
        <v>2476</v>
      </c>
    </row>
    <row r="364" spans="1:1" x14ac:dyDescent="0.2">
      <c r="A364" t="s">
        <v>2369</v>
      </c>
    </row>
    <row r="365" spans="1:1" x14ac:dyDescent="0.2">
      <c r="A365" t="s">
        <v>2583</v>
      </c>
    </row>
    <row r="366" spans="1:1" x14ac:dyDescent="0.2">
      <c r="A366" t="s">
        <v>2691</v>
      </c>
    </row>
    <row r="367" spans="1:1" x14ac:dyDescent="0.2">
      <c r="A367" t="s">
        <v>2156</v>
      </c>
    </row>
    <row r="368" spans="1:1" x14ac:dyDescent="0.2">
      <c r="A368" t="s">
        <v>2263</v>
      </c>
    </row>
    <row r="369" spans="1:1" x14ac:dyDescent="0.2">
      <c r="A369" t="s">
        <v>2477</v>
      </c>
    </row>
    <row r="370" spans="1:1" x14ac:dyDescent="0.2">
      <c r="A370" t="s">
        <v>2370</v>
      </c>
    </row>
    <row r="371" spans="1:1" x14ac:dyDescent="0.2">
      <c r="A371" t="s">
        <v>2584</v>
      </c>
    </row>
    <row r="372" spans="1:1" x14ac:dyDescent="0.2">
      <c r="A372" t="s">
        <v>2692</v>
      </c>
    </row>
    <row r="373" spans="1:1" x14ac:dyDescent="0.2">
      <c r="A373" t="s">
        <v>2157</v>
      </c>
    </row>
    <row r="374" spans="1:1" x14ac:dyDescent="0.2">
      <c r="A374" t="s">
        <v>2264</v>
      </c>
    </row>
    <row r="375" spans="1:1" x14ac:dyDescent="0.2">
      <c r="A375" t="s">
        <v>2478</v>
      </c>
    </row>
    <row r="376" spans="1:1" x14ac:dyDescent="0.2">
      <c r="A376" t="s">
        <v>2371</v>
      </c>
    </row>
    <row r="377" spans="1:1" x14ac:dyDescent="0.2">
      <c r="A377" t="s">
        <v>2585</v>
      </c>
    </row>
    <row r="378" spans="1:1" x14ac:dyDescent="0.2">
      <c r="A378" t="s">
        <v>2693</v>
      </c>
    </row>
    <row r="379" spans="1:1" x14ac:dyDescent="0.2">
      <c r="A379" t="s">
        <v>2158</v>
      </c>
    </row>
    <row r="380" spans="1:1" x14ac:dyDescent="0.2">
      <c r="A380" t="s">
        <v>2265</v>
      </c>
    </row>
    <row r="381" spans="1:1" x14ac:dyDescent="0.2">
      <c r="A381" t="s">
        <v>2479</v>
      </c>
    </row>
    <row r="382" spans="1:1" x14ac:dyDescent="0.2">
      <c r="A382" t="s">
        <v>2372</v>
      </c>
    </row>
    <row r="383" spans="1:1" x14ac:dyDescent="0.2">
      <c r="A383" t="s">
        <v>2586</v>
      </c>
    </row>
    <row r="384" spans="1:1" x14ac:dyDescent="0.2">
      <c r="A384" t="s">
        <v>2679</v>
      </c>
    </row>
    <row r="385" spans="1:1" x14ac:dyDescent="0.2">
      <c r="A385" t="s">
        <v>2144</v>
      </c>
    </row>
    <row r="386" spans="1:1" x14ac:dyDescent="0.2">
      <c r="A386" t="s">
        <v>2251</v>
      </c>
    </row>
    <row r="387" spans="1:1" x14ac:dyDescent="0.2">
      <c r="A387" t="s">
        <v>2465</v>
      </c>
    </row>
    <row r="388" spans="1:1" x14ac:dyDescent="0.2">
      <c r="A388" t="s">
        <v>2358</v>
      </c>
    </row>
    <row r="389" spans="1:1" x14ac:dyDescent="0.2">
      <c r="A389" t="s">
        <v>2572</v>
      </c>
    </row>
    <row r="390" spans="1:1" x14ac:dyDescent="0.2">
      <c r="A390" t="s">
        <v>2636</v>
      </c>
    </row>
    <row r="391" spans="1:1" x14ac:dyDescent="0.2">
      <c r="A391" t="s">
        <v>2101</v>
      </c>
    </row>
    <row r="392" spans="1:1" x14ac:dyDescent="0.2">
      <c r="A392" t="s">
        <v>2208</v>
      </c>
    </row>
    <row r="393" spans="1:1" x14ac:dyDescent="0.2">
      <c r="A393" t="s">
        <v>2422</v>
      </c>
    </row>
    <row r="394" spans="1:1" x14ac:dyDescent="0.2">
      <c r="A394" t="s">
        <v>2315</v>
      </c>
    </row>
    <row r="395" spans="1:1" x14ac:dyDescent="0.2">
      <c r="A395" t="s">
        <v>2529</v>
      </c>
    </row>
    <row r="396" spans="1:1" x14ac:dyDescent="0.2">
      <c r="A396" t="s">
        <v>2643</v>
      </c>
    </row>
    <row r="397" spans="1:1" x14ac:dyDescent="0.2">
      <c r="A397" t="s">
        <v>2108</v>
      </c>
    </row>
    <row r="398" spans="1:1" x14ac:dyDescent="0.2">
      <c r="A398" t="s">
        <v>2215</v>
      </c>
    </row>
    <row r="399" spans="1:1" x14ac:dyDescent="0.2">
      <c r="A399" t="s">
        <v>2429</v>
      </c>
    </row>
    <row r="400" spans="1:1" x14ac:dyDescent="0.2">
      <c r="A400" t="s">
        <v>2322</v>
      </c>
    </row>
    <row r="401" spans="1:1" x14ac:dyDescent="0.2">
      <c r="A401" t="s">
        <v>2536</v>
      </c>
    </row>
    <row r="402" spans="1:1" x14ac:dyDescent="0.2">
      <c r="A402" t="s">
        <v>2650</v>
      </c>
    </row>
    <row r="403" spans="1:1" x14ac:dyDescent="0.2">
      <c r="A403" t="s">
        <v>2115</v>
      </c>
    </row>
    <row r="404" spans="1:1" x14ac:dyDescent="0.2">
      <c r="A404" t="s">
        <v>2222</v>
      </c>
    </row>
    <row r="405" spans="1:1" x14ac:dyDescent="0.2">
      <c r="A405" t="s">
        <v>2436</v>
      </c>
    </row>
    <row r="406" spans="1:1" x14ac:dyDescent="0.2">
      <c r="A406" t="s">
        <v>2329</v>
      </c>
    </row>
    <row r="407" spans="1:1" x14ac:dyDescent="0.2">
      <c r="A407" t="s">
        <v>2543</v>
      </c>
    </row>
    <row r="408" spans="1:1" x14ac:dyDescent="0.2">
      <c r="A408" t="s">
        <v>2657</v>
      </c>
    </row>
    <row r="409" spans="1:1" x14ac:dyDescent="0.2">
      <c r="A409" t="s">
        <v>2122</v>
      </c>
    </row>
    <row r="410" spans="1:1" x14ac:dyDescent="0.2">
      <c r="A410" t="s">
        <v>2229</v>
      </c>
    </row>
    <row r="411" spans="1:1" x14ac:dyDescent="0.2">
      <c r="A411" t="s">
        <v>2443</v>
      </c>
    </row>
    <row r="412" spans="1:1" x14ac:dyDescent="0.2">
      <c r="A412" t="s">
        <v>2336</v>
      </c>
    </row>
    <row r="413" spans="1:1" x14ac:dyDescent="0.2">
      <c r="A413" t="s">
        <v>2550</v>
      </c>
    </row>
    <row r="414" spans="1:1" x14ac:dyDescent="0.2">
      <c r="A414" t="s">
        <v>2664</v>
      </c>
    </row>
    <row r="415" spans="1:1" x14ac:dyDescent="0.2">
      <c r="A415" t="s">
        <v>2129</v>
      </c>
    </row>
    <row r="416" spans="1:1" x14ac:dyDescent="0.2">
      <c r="A416" t="s">
        <v>2236</v>
      </c>
    </row>
    <row r="417" spans="1:1" x14ac:dyDescent="0.2">
      <c r="A417" t="s">
        <v>2450</v>
      </c>
    </row>
    <row r="418" spans="1:1" x14ac:dyDescent="0.2">
      <c r="A418" t="s">
        <v>2343</v>
      </c>
    </row>
    <row r="419" spans="1:1" x14ac:dyDescent="0.2">
      <c r="A419" t="s">
        <v>2557</v>
      </c>
    </row>
    <row r="420" spans="1:1" x14ac:dyDescent="0.2">
      <c r="A420" t="s">
        <v>2671</v>
      </c>
    </row>
    <row r="421" spans="1:1" x14ac:dyDescent="0.2">
      <c r="A421" t="s">
        <v>2136</v>
      </c>
    </row>
    <row r="422" spans="1:1" x14ac:dyDescent="0.2">
      <c r="A422" t="s">
        <v>2243</v>
      </c>
    </row>
    <row r="423" spans="1:1" x14ac:dyDescent="0.2">
      <c r="A423" t="s">
        <v>2457</v>
      </c>
    </row>
    <row r="424" spans="1:1" x14ac:dyDescent="0.2">
      <c r="A424" t="s">
        <v>2350</v>
      </c>
    </row>
    <row r="425" spans="1:1" x14ac:dyDescent="0.2">
      <c r="A425" t="s">
        <v>2564</v>
      </c>
    </row>
    <row r="426" spans="1:1" x14ac:dyDescent="0.2">
      <c r="A426" t="s">
        <v>2678</v>
      </c>
    </row>
    <row r="427" spans="1:1" x14ac:dyDescent="0.2">
      <c r="A427" t="s">
        <v>2143</v>
      </c>
    </row>
    <row r="428" spans="1:1" x14ac:dyDescent="0.2">
      <c r="A428" t="s">
        <v>2250</v>
      </c>
    </row>
    <row r="429" spans="1:1" x14ac:dyDescent="0.2">
      <c r="A429" t="s">
        <v>2464</v>
      </c>
    </row>
    <row r="430" spans="1:1" x14ac:dyDescent="0.2">
      <c r="A430" t="s">
        <v>2357</v>
      </c>
    </row>
    <row r="431" spans="1:1" x14ac:dyDescent="0.2">
      <c r="A431" t="s">
        <v>2571</v>
      </c>
    </row>
    <row r="432" spans="1:1" x14ac:dyDescent="0.2">
      <c r="A432" t="s">
        <v>2686</v>
      </c>
    </row>
    <row r="433" spans="1:1" x14ac:dyDescent="0.2">
      <c r="A433" t="s">
        <v>2151</v>
      </c>
    </row>
    <row r="434" spans="1:1" x14ac:dyDescent="0.2">
      <c r="A434" t="s">
        <v>2258</v>
      </c>
    </row>
    <row r="435" spans="1:1" x14ac:dyDescent="0.2">
      <c r="A435" t="s">
        <v>2472</v>
      </c>
    </row>
    <row r="436" spans="1:1" x14ac:dyDescent="0.2">
      <c r="A436" t="s">
        <v>2365</v>
      </c>
    </row>
    <row r="437" spans="1:1" x14ac:dyDescent="0.2">
      <c r="A437" t="s">
        <v>2579</v>
      </c>
    </row>
    <row r="438" spans="1:1" x14ac:dyDescent="0.2">
      <c r="A438" t="s">
        <v>2694</v>
      </c>
    </row>
    <row r="439" spans="1:1" x14ac:dyDescent="0.2">
      <c r="A439" t="s">
        <v>2159</v>
      </c>
    </row>
    <row r="440" spans="1:1" x14ac:dyDescent="0.2">
      <c r="A440" t="s">
        <v>2266</v>
      </c>
    </row>
    <row r="441" spans="1:1" x14ac:dyDescent="0.2">
      <c r="A441" t="s">
        <v>2480</v>
      </c>
    </row>
    <row r="442" spans="1:1" x14ac:dyDescent="0.2">
      <c r="A442" t="s">
        <v>2373</v>
      </c>
    </row>
    <row r="443" spans="1:1" x14ac:dyDescent="0.2">
      <c r="A443" t="s">
        <v>2587</v>
      </c>
    </row>
    <row r="444" spans="1:1" x14ac:dyDescent="0.2">
      <c r="A444" t="s">
        <v>2695</v>
      </c>
    </row>
    <row r="445" spans="1:1" x14ac:dyDescent="0.2">
      <c r="A445" t="s">
        <v>2160</v>
      </c>
    </row>
    <row r="446" spans="1:1" x14ac:dyDescent="0.2">
      <c r="A446" t="s">
        <v>2267</v>
      </c>
    </row>
    <row r="447" spans="1:1" x14ac:dyDescent="0.2">
      <c r="A447" t="s">
        <v>2481</v>
      </c>
    </row>
    <row r="448" spans="1:1" x14ac:dyDescent="0.2">
      <c r="A448" t="s">
        <v>2374</v>
      </c>
    </row>
    <row r="449" spans="1:1" x14ac:dyDescent="0.2">
      <c r="A449" t="s">
        <v>2588</v>
      </c>
    </row>
    <row r="450" spans="1:1" x14ac:dyDescent="0.2">
      <c r="A450" t="s">
        <v>2696</v>
      </c>
    </row>
    <row r="451" spans="1:1" x14ac:dyDescent="0.2">
      <c r="A451" t="s">
        <v>2161</v>
      </c>
    </row>
    <row r="452" spans="1:1" x14ac:dyDescent="0.2">
      <c r="A452" t="s">
        <v>2268</v>
      </c>
    </row>
    <row r="453" spans="1:1" x14ac:dyDescent="0.2">
      <c r="A453" t="s">
        <v>2482</v>
      </c>
    </row>
    <row r="454" spans="1:1" x14ac:dyDescent="0.2">
      <c r="A454" t="s">
        <v>2375</v>
      </c>
    </row>
    <row r="455" spans="1:1" x14ac:dyDescent="0.2">
      <c r="A455" t="s">
        <v>2589</v>
      </c>
    </row>
    <row r="456" spans="1:1" x14ac:dyDescent="0.2">
      <c r="A456" t="s">
        <v>2697</v>
      </c>
    </row>
    <row r="457" spans="1:1" x14ac:dyDescent="0.2">
      <c r="A457" t="s">
        <v>2162</v>
      </c>
    </row>
    <row r="458" spans="1:1" x14ac:dyDescent="0.2">
      <c r="A458" t="s">
        <v>2269</v>
      </c>
    </row>
    <row r="459" spans="1:1" x14ac:dyDescent="0.2">
      <c r="A459" t="s">
        <v>2483</v>
      </c>
    </row>
    <row r="460" spans="1:1" x14ac:dyDescent="0.2">
      <c r="A460" t="s">
        <v>2376</v>
      </c>
    </row>
    <row r="461" spans="1:1" x14ac:dyDescent="0.2">
      <c r="A461" t="s">
        <v>2590</v>
      </c>
    </row>
    <row r="462" spans="1:1" x14ac:dyDescent="0.2">
      <c r="A462" t="s">
        <v>2698</v>
      </c>
    </row>
    <row r="463" spans="1:1" x14ac:dyDescent="0.2">
      <c r="A463" t="s">
        <v>2163</v>
      </c>
    </row>
    <row r="464" spans="1:1" x14ac:dyDescent="0.2">
      <c r="A464" t="s">
        <v>2270</v>
      </c>
    </row>
    <row r="465" spans="1:1" x14ac:dyDescent="0.2">
      <c r="A465" t="s">
        <v>2484</v>
      </c>
    </row>
    <row r="466" spans="1:1" x14ac:dyDescent="0.2">
      <c r="A466" t="s">
        <v>2377</v>
      </c>
    </row>
    <row r="467" spans="1:1" x14ac:dyDescent="0.2">
      <c r="A467" t="s">
        <v>2591</v>
      </c>
    </row>
    <row r="468" spans="1:1" x14ac:dyDescent="0.2">
      <c r="A468" t="s">
        <v>2699</v>
      </c>
    </row>
    <row r="469" spans="1:1" x14ac:dyDescent="0.2">
      <c r="A469" t="s">
        <v>2164</v>
      </c>
    </row>
    <row r="470" spans="1:1" x14ac:dyDescent="0.2">
      <c r="A470" t="s">
        <v>2271</v>
      </c>
    </row>
    <row r="471" spans="1:1" x14ac:dyDescent="0.2">
      <c r="A471" t="s">
        <v>2485</v>
      </c>
    </row>
    <row r="472" spans="1:1" x14ac:dyDescent="0.2">
      <c r="A472" t="s">
        <v>2378</v>
      </c>
    </row>
    <row r="473" spans="1:1" x14ac:dyDescent="0.2">
      <c r="A473" t="s">
        <v>2592</v>
      </c>
    </row>
    <row r="474" spans="1:1" x14ac:dyDescent="0.2">
      <c r="A474" t="s">
        <v>2701</v>
      </c>
    </row>
    <row r="475" spans="1:1" x14ac:dyDescent="0.2">
      <c r="A475" t="s">
        <v>2166</v>
      </c>
    </row>
    <row r="476" spans="1:1" x14ac:dyDescent="0.2">
      <c r="A476" t="s">
        <v>2273</v>
      </c>
    </row>
    <row r="477" spans="1:1" x14ac:dyDescent="0.2">
      <c r="A477" t="s">
        <v>2487</v>
      </c>
    </row>
    <row r="478" spans="1:1" x14ac:dyDescent="0.2">
      <c r="A478" t="s">
        <v>2380</v>
      </c>
    </row>
    <row r="479" spans="1:1" x14ac:dyDescent="0.2">
      <c r="A479" t="s">
        <v>2594</v>
      </c>
    </row>
    <row r="480" spans="1:1" x14ac:dyDescent="0.2">
      <c r="A480" t="s">
        <v>2702</v>
      </c>
    </row>
    <row r="481" spans="1:1" x14ac:dyDescent="0.2">
      <c r="A481" t="s">
        <v>2167</v>
      </c>
    </row>
    <row r="482" spans="1:1" x14ac:dyDescent="0.2">
      <c r="A482" t="s">
        <v>2274</v>
      </c>
    </row>
    <row r="483" spans="1:1" x14ac:dyDescent="0.2">
      <c r="A483" t="s">
        <v>2488</v>
      </c>
    </row>
    <row r="484" spans="1:1" x14ac:dyDescent="0.2">
      <c r="A484" t="s">
        <v>2381</v>
      </c>
    </row>
    <row r="485" spans="1:1" x14ac:dyDescent="0.2">
      <c r="A485" t="s">
        <v>2595</v>
      </c>
    </row>
    <row r="486" spans="1:1" x14ac:dyDescent="0.2">
      <c r="A486" t="s">
        <v>2703</v>
      </c>
    </row>
    <row r="487" spans="1:1" x14ac:dyDescent="0.2">
      <c r="A487" t="s">
        <v>2168</v>
      </c>
    </row>
    <row r="488" spans="1:1" x14ac:dyDescent="0.2">
      <c r="A488" t="s">
        <v>2275</v>
      </c>
    </row>
    <row r="489" spans="1:1" x14ac:dyDescent="0.2">
      <c r="A489" t="s">
        <v>2489</v>
      </c>
    </row>
    <row r="490" spans="1:1" x14ac:dyDescent="0.2">
      <c r="A490" t="s">
        <v>2382</v>
      </c>
    </row>
    <row r="491" spans="1:1" x14ac:dyDescent="0.2">
      <c r="A491" t="s">
        <v>2596</v>
      </c>
    </row>
    <row r="492" spans="1:1" x14ac:dyDescent="0.2">
      <c r="A492" t="s">
        <v>2704</v>
      </c>
    </row>
    <row r="493" spans="1:1" x14ac:dyDescent="0.2">
      <c r="A493" t="s">
        <v>2169</v>
      </c>
    </row>
    <row r="494" spans="1:1" x14ac:dyDescent="0.2">
      <c r="A494" t="s">
        <v>2276</v>
      </c>
    </row>
    <row r="495" spans="1:1" x14ac:dyDescent="0.2">
      <c r="A495" t="s">
        <v>2490</v>
      </c>
    </row>
    <row r="496" spans="1:1" x14ac:dyDescent="0.2">
      <c r="A496" t="s">
        <v>2383</v>
      </c>
    </row>
    <row r="497" spans="1:1" x14ac:dyDescent="0.2">
      <c r="A497" t="s">
        <v>2597</v>
      </c>
    </row>
    <row r="498" spans="1:1" x14ac:dyDescent="0.2">
      <c r="A498" t="s">
        <v>2705</v>
      </c>
    </row>
    <row r="499" spans="1:1" x14ac:dyDescent="0.2">
      <c r="A499" t="s">
        <v>2170</v>
      </c>
    </row>
    <row r="500" spans="1:1" x14ac:dyDescent="0.2">
      <c r="A500" t="s">
        <v>2277</v>
      </c>
    </row>
    <row r="501" spans="1:1" x14ac:dyDescent="0.2">
      <c r="A501" t="s">
        <v>2491</v>
      </c>
    </row>
    <row r="502" spans="1:1" x14ac:dyDescent="0.2">
      <c r="A502" t="s">
        <v>2384</v>
      </c>
    </row>
    <row r="503" spans="1:1" x14ac:dyDescent="0.2">
      <c r="A503" t="s">
        <v>2598</v>
      </c>
    </row>
    <row r="504" spans="1:1" x14ac:dyDescent="0.2">
      <c r="A504" t="s">
        <v>2706</v>
      </c>
    </row>
    <row r="505" spans="1:1" x14ac:dyDescent="0.2">
      <c r="A505" t="s">
        <v>2171</v>
      </c>
    </row>
    <row r="506" spans="1:1" x14ac:dyDescent="0.2">
      <c r="A506" t="s">
        <v>2278</v>
      </c>
    </row>
    <row r="507" spans="1:1" x14ac:dyDescent="0.2">
      <c r="A507" t="s">
        <v>2492</v>
      </c>
    </row>
    <row r="508" spans="1:1" x14ac:dyDescent="0.2">
      <c r="A508" t="s">
        <v>2385</v>
      </c>
    </row>
    <row r="509" spans="1:1" x14ac:dyDescent="0.2">
      <c r="A509" t="s">
        <v>2599</v>
      </c>
    </row>
    <row r="510" spans="1:1" x14ac:dyDescent="0.2">
      <c r="A510" t="s">
        <v>2708</v>
      </c>
    </row>
    <row r="511" spans="1:1" x14ac:dyDescent="0.2">
      <c r="A511" t="s">
        <v>2173</v>
      </c>
    </row>
    <row r="512" spans="1:1" x14ac:dyDescent="0.2">
      <c r="A512" t="s">
        <v>2280</v>
      </c>
    </row>
    <row r="513" spans="1:1" x14ac:dyDescent="0.2">
      <c r="A513" t="s">
        <v>2494</v>
      </c>
    </row>
    <row r="514" spans="1:1" x14ac:dyDescent="0.2">
      <c r="A514" t="s">
        <v>2387</v>
      </c>
    </row>
    <row r="515" spans="1:1" x14ac:dyDescent="0.2">
      <c r="A515" t="s">
        <v>2601</v>
      </c>
    </row>
    <row r="516" spans="1:1" x14ac:dyDescent="0.2">
      <c r="A516" t="s">
        <v>2709</v>
      </c>
    </row>
    <row r="517" spans="1:1" x14ac:dyDescent="0.2">
      <c r="A517" t="s">
        <v>2174</v>
      </c>
    </row>
    <row r="518" spans="1:1" x14ac:dyDescent="0.2">
      <c r="A518" t="s">
        <v>2281</v>
      </c>
    </row>
    <row r="519" spans="1:1" x14ac:dyDescent="0.2">
      <c r="A519" t="s">
        <v>2495</v>
      </c>
    </row>
    <row r="520" spans="1:1" x14ac:dyDescent="0.2">
      <c r="A520" t="s">
        <v>2388</v>
      </c>
    </row>
    <row r="521" spans="1:1" x14ac:dyDescent="0.2">
      <c r="A521" t="s">
        <v>2602</v>
      </c>
    </row>
    <row r="522" spans="1:1" x14ac:dyDescent="0.2">
      <c r="A522" t="s">
        <v>2710</v>
      </c>
    </row>
    <row r="523" spans="1:1" x14ac:dyDescent="0.2">
      <c r="A523" t="s">
        <v>2175</v>
      </c>
    </row>
    <row r="524" spans="1:1" x14ac:dyDescent="0.2">
      <c r="A524" t="s">
        <v>2282</v>
      </c>
    </row>
    <row r="525" spans="1:1" x14ac:dyDescent="0.2">
      <c r="A525" t="s">
        <v>2496</v>
      </c>
    </row>
    <row r="526" spans="1:1" x14ac:dyDescent="0.2">
      <c r="A526" t="s">
        <v>2389</v>
      </c>
    </row>
    <row r="527" spans="1:1" x14ac:dyDescent="0.2">
      <c r="A527" t="s">
        <v>2603</v>
      </c>
    </row>
    <row r="528" spans="1:1" x14ac:dyDescent="0.2">
      <c r="A528" t="s">
        <v>2711</v>
      </c>
    </row>
    <row r="529" spans="1:1" x14ac:dyDescent="0.2">
      <c r="A529" t="s">
        <v>2176</v>
      </c>
    </row>
    <row r="530" spans="1:1" x14ac:dyDescent="0.2">
      <c r="A530" t="s">
        <v>2283</v>
      </c>
    </row>
    <row r="531" spans="1:1" x14ac:dyDescent="0.2">
      <c r="A531" t="s">
        <v>2497</v>
      </c>
    </row>
    <row r="532" spans="1:1" x14ac:dyDescent="0.2">
      <c r="A532" t="s">
        <v>2390</v>
      </c>
    </row>
    <row r="533" spans="1:1" x14ac:dyDescent="0.2">
      <c r="A533" t="s">
        <v>2604</v>
      </c>
    </row>
    <row r="534" spans="1:1" x14ac:dyDescent="0.2">
      <c r="A534" t="s">
        <v>2712</v>
      </c>
    </row>
    <row r="535" spans="1:1" x14ac:dyDescent="0.2">
      <c r="A535" t="s">
        <v>2177</v>
      </c>
    </row>
    <row r="536" spans="1:1" x14ac:dyDescent="0.2">
      <c r="A536" t="s">
        <v>2284</v>
      </c>
    </row>
    <row r="537" spans="1:1" x14ac:dyDescent="0.2">
      <c r="A537" t="s">
        <v>2498</v>
      </c>
    </row>
    <row r="538" spans="1:1" x14ac:dyDescent="0.2">
      <c r="A538" t="s">
        <v>2391</v>
      </c>
    </row>
    <row r="539" spans="1:1" x14ac:dyDescent="0.2">
      <c r="A539" t="s">
        <v>2605</v>
      </c>
    </row>
    <row r="540" spans="1:1" x14ac:dyDescent="0.2">
      <c r="A540" t="s">
        <v>2713</v>
      </c>
    </row>
    <row r="541" spans="1:1" x14ac:dyDescent="0.2">
      <c r="A541" t="s">
        <v>2178</v>
      </c>
    </row>
    <row r="542" spans="1:1" x14ac:dyDescent="0.2">
      <c r="A542" t="s">
        <v>2285</v>
      </c>
    </row>
    <row r="543" spans="1:1" x14ac:dyDescent="0.2">
      <c r="A543" t="s">
        <v>2499</v>
      </c>
    </row>
    <row r="544" spans="1:1" x14ac:dyDescent="0.2">
      <c r="A544" t="s">
        <v>2392</v>
      </c>
    </row>
    <row r="545" spans="1:1" x14ac:dyDescent="0.2">
      <c r="A545" t="s">
        <v>2606</v>
      </c>
    </row>
    <row r="546" spans="1:1" x14ac:dyDescent="0.2">
      <c r="A546" t="s">
        <v>2715</v>
      </c>
    </row>
    <row r="547" spans="1:1" x14ac:dyDescent="0.2">
      <c r="A547" t="s">
        <v>2180</v>
      </c>
    </row>
    <row r="548" spans="1:1" x14ac:dyDescent="0.2">
      <c r="A548" t="s">
        <v>2287</v>
      </c>
    </row>
    <row r="549" spans="1:1" x14ac:dyDescent="0.2">
      <c r="A549" t="s">
        <v>2501</v>
      </c>
    </row>
    <row r="550" spans="1:1" x14ac:dyDescent="0.2">
      <c r="A550" t="s">
        <v>2394</v>
      </c>
    </row>
    <row r="551" spans="1:1" x14ac:dyDescent="0.2">
      <c r="A551" t="s">
        <v>2608</v>
      </c>
    </row>
    <row r="552" spans="1:1" x14ac:dyDescent="0.2">
      <c r="A552" t="s">
        <v>2716</v>
      </c>
    </row>
    <row r="553" spans="1:1" x14ac:dyDescent="0.2">
      <c r="A553" t="s">
        <v>2181</v>
      </c>
    </row>
    <row r="554" spans="1:1" x14ac:dyDescent="0.2">
      <c r="A554" t="s">
        <v>2288</v>
      </c>
    </row>
    <row r="555" spans="1:1" x14ac:dyDescent="0.2">
      <c r="A555" t="s">
        <v>2502</v>
      </c>
    </row>
    <row r="556" spans="1:1" x14ac:dyDescent="0.2">
      <c r="A556" t="s">
        <v>2395</v>
      </c>
    </row>
    <row r="557" spans="1:1" x14ac:dyDescent="0.2">
      <c r="A557" t="s">
        <v>2609</v>
      </c>
    </row>
    <row r="558" spans="1:1" x14ac:dyDescent="0.2">
      <c r="A558" t="s">
        <v>2717</v>
      </c>
    </row>
    <row r="559" spans="1:1" x14ac:dyDescent="0.2">
      <c r="A559" t="s">
        <v>2182</v>
      </c>
    </row>
    <row r="560" spans="1:1" x14ac:dyDescent="0.2">
      <c r="A560" t="s">
        <v>2289</v>
      </c>
    </row>
    <row r="561" spans="1:1" x14ac:dyDescent="0.2">
      <c r="A561" t="s">
        <v>2503</v>
      </c>
    </row>
    <row r="562" spans="1:1" x14ac:dyDescent="0.2">
      <c r="A562" t="s">
        <v>2396</v>
      </c>
    </row>
    <row r="563" spans="1:1" x14ac:dyDescent="0.2">
      <c r="A563" t="s">
        <v>2610</v>
      </c>
    </row>
    <row r="564" spans="1:1" x14ac:dyDescent="0.2">
      <c r="A564" t="s">
        <v>2718</v>
      </c>
    </row>
    <row r="565" spans="1:1" x14ac:dyDescent="0.2">
      <c r="A565" t="s">
        <v>2183</v>
      </c>
    </row>
    <row r="566" spans="1:1" x14ac:dyDescent="0.2">
      <c r="A566" t="s">
        <v>2290</v>
      </c>
    </row>
    <row r="567" spans="1:1" x14ac:dyDescent="0.2">
      <c r="A567" t="s">
        <v>2504</v>
      </c>
    </row>
    <row r="568" spans="1:1" x14ac:dyDescent="0.2">
      <c r="A568" t="s">
        <v>2397</v>
      </c>
    </row>
    <row r="569" spans="1:1" x14ac:dyDescent="0.2">
      <c r="A569" t="s">
        <v>2611</v>
      </c>
    </row>
    <row r="570" spans="1:1" x14ac:dyDescent="0.2">
      <c r="A570" t="s">
        <v>2719</v>
      </c>
    </row>
    <row r="571" spans="1:1" x14ac:dyDescent="0.2">
      <c r="A571" t="s">
        <v>2184</v>
      </c>
    </row>
    <row r="572" spans="1:1" x14ac:dyDescent="0.2">
      <c r="A572" t="s">
        <v>2291</v>
      </c>
    </row>
    <row r="573" spans="1:1" x14ac:dyDescent="0.2">
      <c r="A573" t="s">
        <v>2505</v>
      </c>
    </row>
    <row r="574" spans="1:1" x14ac:dyDescent="0.2">
      <c r="A574" t="s">
        <v>2398</v>
      </c>
    </row>
    <row r="575" spans="1:1" x14ac:dyDescent="0.2">
      <c r="A575" t="s">
        <v>2612</v>
      </c>
    </row>
    <row r="576" spans="1:1" x14ac:dyDescent="0.2">
      <c r="A576" t="s">
        <v>2720</v>
      </c>
    </row>
    <row r="577" spans="1:1" x14ac:dyDescent="0.2">
      <c r="A577" t="s">
        <v>2185</v>
      </c>
    </row>
    <row r="578" spans="1:1" x14ac:dyDescent="0.2">
      <c r="A578" t="s">
        <v>2292</v>
      </c>
    </row>
    <row r="579" spans="1:1" x14ac:dyDescent="0.2">
      <c r="A579" t="s">
        <v>2506</v>
      </c>
    </row>
    <row r="580" spans="1:1" x14ac:dyDescent="0.2">
      <c r="A580" t="s">
        <v>2399</v>
      </c>
    </row>
    <row r="581" spans="1:1" x14ac:dyDescent="0.2">
      <c r="A581" t="s">
        <v>2613</v>
      </c>
    </row>
    <row r="582" spans="1:1" x14ac:dyDescent="0.2">
      <c r="A582" t="s">
        <v>2722</v>
      </c>
    </row>
    <row r="583" spans="1:1" x14ac:dyDescent="0.2">
      <c r="A583" t="s">
        <v>2187</v>
      </c>
    </row>
    <row r="584" spans="1:1" x14ac:dyDescent="0.2">
      <c r="A584" t="s">
        <v>2294</v>
      </c>
    </row>
    <row r="585" spans="1:1" x14ac:dyDescent="0.2">
      <c r="A585" t="s">
        <v>2508</v>
      </c>
    </row>
    <row r="586" spans="1:1" x14ac:dyDescent="0.2">
      <c r="A586" t="s">
        <v>2401</v>
      </c>
    </row>
    <row r="587" spans="1:1" x14ac:dyDescent="0.2">
      <c r="A587" t="s">
        <v>2615</v>
      </c>
    </row>
    <row r="588" spans="1:1" x14ac:dyDescent="0.2">
      <c r="A588" t="s">
        <v>2723</v>
      </c>
    </row>
    <row r="589" spans="1:1" x14ac:dyDescent="0.2">
      <c r="A589" t="s">
        <v>2188</v>
      </c>
    </row>
    <row r="590" spans="1:1" x14ac:dyDescent="0.2">
      <c r="A590" t="s">
        <v>2295</v>
      </c>
    </row>
    <row r="591" spans="1:1" x14ac:dyDescent="0.2">
      <c r="A591" t="s">
        <v>2509</v>
      </c>
    </row>
    <row r="592" spans="1:1" x14ac:dyDescent="0.2">
      <c r="A592" t="s">
        <v>2402</v>
      </c>
    </row>
    <row r="593" spans="1:1" x14ac:dyDescent="0.2">
      <c r="A593" t="s">
        <v>2616</v>
      </c>
    </row>
    <row r="594" spans="1:1" x14ac:dyDescent="0.2">
      <c r="A594" t="s">
        <v>2724</v>
      </c>
    </row>
    <row r="595" spans="1:1" x14ac:dyDescent="0.2">
      <c r="A595" t="s">
        <v>2189</v>
      </c>
    </row>
    <row r="596" spans="1:1" x14ac:dyDescent="0.2">
      <c r="A596" t="s">
        <v>2296</v>
      </c>
    </row>
    <row r="597" spans="1:1" x14ac:dyDescent="0.2">
      <c r="A597" t="s">
        <v>2510</v>
      </c>
    </row>
    <row r="598" spans="1:1" x14ac:dyDescent="0.2">
      <c r="A598" t="s">
        <v>2403</v>
      </c>
    </row>
    <row r="599" spans="1:1" x14ac:dyDescent="0.2">
      <c r="A599" t="s">
        <v>2617</v>
      </c>
    </row>
    <row r="600" spans="1:1" x14ac:dyDescent="0.2">
      <c r="A600" t="s">
        <v>2725</v>
      </c>
    </row>
    <row r="601" spans="1:1" x14ac:dyDescent="0.2">
      <c r="A601" t="s">
        <v>2190</v>
      </c>
    </row>
    <row r="602" spans="1:1" x14ac:dyDescent="0.2">
      <c r="A602" t="s">
        <v>2297</v>
      </c>
    </row>
    <row r="603" spans="1:1" x14ac:dyDescent="0.2">
      <c r="A603" t="s">
        <v>2511</v>
      </c>
    </row>
    <row r="604" spans="1:1" x14ac:dyDescent="0.2">
      <c r="A604" t="s">
        <v>2404</v>
      </c>
    </row>
    <row r="605" spans="1:1" x14ac:dyDescent="0.2">
      <c r="A605" t="s">
        <v>2618</v>
      </c>
    </row>
    <row r="606" spans="1:1" x14ac:dyDescent="0.2">
      <c r="A606" t="s">
        <v>2726</v>
      </c>
    </row>
    <row r="607" spans="1:1" x14ac:dyDescent="0.2">
      <c r="A607" t="s">
        <v>2191</v>
      </c>
    </row>
    <row r="608" spans="1:1" x14ac:dyDescent="0.2">
      <c r="A608" t="s">
        <v>2298</v>
      </c>
    </row>
    <row r="609" spans="1:1" x14ac:dyDescent="0.2">
      <c r="A609" t="s">
        <v>2512</v>
      </c>
    </row>
    <row r="610" spans="1:1" x14ac:dyDescent="0.2">
      <c r="A610" t="s">
        <v>2405</v>
      </c>
    </row>
    <row r="611" spans="1:1" x14ac:dyDescent="0.2">
      <c r="A611" t="s">
        <v>2619</v>
      </c>
    </row>
    <row r="612" spans="1:1" x14ac:dyDescent="0.2">
      <c r="A612" t="s">
        <v>2727</v>
      </c>
    </row>
    <row r="613" spans="1:1" x14ac:dyDescent="0.2">
      <c r="A613" t="s">
        <v>2192</v>
      </c>
    </row>
    <row r="614" spans="1:1" x14ac:dyDescent="0.2">
      <c r="A614" t="s">
        <v>2299</v>
      </c>
    </row>
    <row r="615" spans="1:1" x14ac:dyDescent="0.2">
      <c r="A615" t="s">
        <v>2513</v>
      </c>
    </row>
    <row r="616" spans="1:1" x14ac:dyDescent="0.2">
      <c r="A616" t="s">
        <v>2406</v>
      </c>
    </row>
    <row r="617" spans="1:1" x14ac:dyDescent="0.2">
      <c r="A617" t="s">
        <v>2620</v>
      </c>
    </row>
    <row r="618" spans="1:1" x14ac:dyDescent="0.2">
      <c r="A618" t="s">
        <v>2729</v>
      </c>
    </row>
    <row r="619" spans="1:1" x14ac:dyDescent="0.2">
      <c r="A619" t="s">
        <v>2194</v>
      </c>
    </row>
    <row r="620" spans="1:1" x14ac:dyDescent="0.2">
      <c r="A620" t="s">
        <v>2301</v>
      </c>
    </row>
    <row r="621" spans="1:1" x14ac:dyDescent="0.2">
      <c r="A621" t="s">
        <v>2515</v>
      </c>
    </row>
    <row r="622" spans="1:1" x14ac:dyDescent="0.2">
      <c r="A622" t="s">
        <v>2408</v>
      </c>
    </row>
    <row r="623" spans="1:1" x14ac:dyDescent="0.2">
      <c r="A623" t="s">
        <v>2622</v>
      </c>
    </row>
    <row r="624" spans="1:1" x14ac:dyDescent="0.2">
      <c r="A624" t="s">
        <v>2730</v>
      </c>
    </row>
    <row r="625" spans="1:1" x14ac:dyDescent="0.2">
      <c r="A625" t="s">
        <v>2195</v>
      </c>
    </row>
    <row r="626" spans="1:1" x14ac:dyDescent="0.2">
      <c r="A626" t="s">
        <v>2302</v>
      </c>
    </row>
    <row r="627" spans="1:1" x14ac:dyDescent="0.2">
      <c r="A627" t="s">
        <v>2516</v>
      </c>
    </row>
    <row r="628" spans="1:1" x14ac:dyDescent="0.2">
      <c r="A628" t="s">
        <v>2409</v>
      </c>
    </row>
    <row r="629" spans="1:1" x14ac:dyDescent="0.2">
      <c r="A629" t="s">
        <v>2623</v>
      </c>
    </row>
    <row r="630" spans="1:1" x14ac:dyDescent="0.2">
      <c r="A630" t="s">
        <v>2731</v>
      </c>
    </row>
    <row r="631" spans="1:1" x14ac:dyDescent="0.2">
      <c r="A631" t="s">
        <v>2196</v>
      </c>
    </row>
    <row r="632" spans="1:1" x14ac:dyDescent="0.2">
      <c r="A632" t="s">
        <v>2303</v>
      </c>
    </row>
    <row r="633" spans="1:1" x14ac:dyDescent="0.2">
      <c r="A633" t="s">
        <v>2517</v>
      </c>
    </row>
    <row r="634" spans="1:1" x14ac:dyDescent="0.2">
      <c r="A634" t="s">
        <v>2410</v>
      </c>
    </row>
    <row r="635" spans="1:1" x14ac:dyDescent="0.2">
      <c r="A635" t="s">
        <v>2624</v>
      </c>
    </row>
    <row r="636" spans="1:1" x14ac:dyDescent="0.2">
      <c r="A636" t="s">
        <v>2732</v>
      </c>
    </row>
    <row r="637" spans="1:1" x14ac:dyDescent="0.2">
      <c r="A637" t="s">
        <v>2197</v>
      </c>
    </row>
    <row r="638" spans="1:1" x14ac:dyDescent="0.2">
      <c r="A638" t="s">
        <v>2304</v>
      </c>
    </row>
    <row r="639" spans="1:1" x14ac:dyDescent="0.2">
      <c r="A639" t="s">
        <v>2518</v>
      </c>
    </row>
    <row r="640" spans="1:1" x14ac:dyDescent="0.2">
      <c r="A640" t="s">
        <v>2411</v>
      </c>
    </row>
    <row r="641" spans="1:1" x14ac:dyDescent="0.2">
      <c r="A641" t="s">
        <v>2625</v>
      </c>
    </row>
    <row r="642" spans="1:1" x14ac:dyDescent="0.2">
      <c r="A642" t="s">
        <v>2733</v>
      </c>
    </row>
    <row r="643" spans="1:1" x14ac:dyDescent="0.2">
      <c r="A643" t="s">
        <v>2198</v>
      </c>
    </row>
    <row r="644" spans="1:1" x14ac:dyDescent="0.2">
      <c r="A644" t="s">
        <v>2305</v>
      </c>
    </row>
    <row r="645" spans="1:1" x14ac:dyDescent="0.2">
      <c r="A645" t="s">
        <v>2519</v>
      </c>
    </row>
    <row r="646" spans="1:1" x14ac:dyDescent="0.2">
      <c r="A646" t="s">
        <v>2412</v>
      </c>
    </row>
    <row r="647" spans="1:1" x14ac:dyDescent="0.2">
      <c r="A647" t="s">
        <v>2626</v>
      </c>
    </row>
    <row r="648" spans="1:1" x14ac:dyDescent="0.2">
      <c r="A648" t="s">
        <v>2734</v>
      </c>
    </row>
    <row r="649" spans="1:1" x14ac:dyDescent="0.2">
      <c r="A649" t="s">
        <v>2199</v>
      </c>
    </row>
    <row r="650" spans="1:1" x14ac:dyDescent="0.2">
      <c r="A650" t="s">
        <v>2306</v>
      </c>
    </row>
    <row r="651" spans="1:1" x14ac:dyDescent="0.2">
      <c r="A651" t="s">
        <v>2520</v>
      </c>
    </row>
    <row r="652" spans="1:1" x14ac:dyDescent="0.2">
      <c r="A652" t="s">
        <v>2413</v>
      </c>
    </row>
    <row r="653" spans="1:1" x14ac:dyDescent="0.2">
      <c r="A653" t="s">
        <v>2627</v>
      </c>
    </row>
    <row r="654" spans="1:1" x14ac:dyDescent="0.2">
      <c r="A654" t="s">
        <v>2735</v>
      </c>
    </row>
    <row r="655" spans="1:1" x14ac:dyDescent="0.2">
      <c r="A655" t="s">
        <v>2200</v>
      </c>
    </row>
    <row r="656" spans="1:1" x14ac:dyDescent="0.2">
      <c r="A656" t="s">
        <v>2307</v>
      </c>
    </row>
    <row r="657" spans="1:1" x14ac:dyDescent="0.2">
      <c r="A657" t="s">
        <v>2521</v>
      </c>
    </row>
    <row r="658" spans="1:1" x14ac:dyDescent="0.2">
      <c r="A658" t="s">
        <v>2414</v>
      </c>
    </row>
    <row r="659" spans="1:1" x14ac:dyDescent="0.2">
      <c r="A659" t="s">
        <v>2628</v>
      </c>
    </row>
    <row r="660" spans="1:1" x14ac:dyDescent="0.2">
      <c r="A660" t="s">
        <v>2700</v>
      </c>
    </row>
    <row r="661" spans="1:1" x14ac:dyDescent="0.2">
      <c r="A661" t="s">
        <v>2165</v>
      </c>
    </row>
    <row r="662" spans="1:1" x14ac:dyDescent="0.2">
      <c r="A662" t="s">
        <v>2272</v>
      </c>
    </row>
    <row r="663" spans="1:1" x14ac:dyDescent="0.2">
      <c r="A663" t="s">
        <v>2486</v>
      </c>
    </row>
    <row r="664" spans="1:1" x14ac:dyDescent="0.2">
      <c r="A664" t="s">
        <v>2379</v>
      </c>
    </row>
    <row r="665" spans="1:1" x14ac:dyDescent="0.2">
      <c r="A665" t="s">
        <v>2593</v>
      </c>
    </row>
    <row r="666" spans="1:1" x14ac:dyDescent="0.2">
      <c r="A666" t="s">
        <v>2707</v>
      </c>
    </row>
    <row r="667" spans="1:1" x14ac:dyDescent="0.2">
      <c r="A667" t="s">
        <v>2172</v>
      </c>
    </row>
    <row r="668" spans="1:1" x14ac:dyDescent="0.2">
      <c r="A668" t="s">
        <v>2279</v>
      </c>
    </row>
    <row r="669" spans="1:1" x14ac:dyDescent="0.2">
      <c r="A669" t="s">
        <v>2493</v>
      </c>
    </row>
    <row r="670" spans="1:1" x14ac:dyDescent="0.2">
      <c r="A670" t="s">
        <v>2386</v>
      </c>
    </row>
    <row r="671" spans="1:1" x14ac:dyDescent="0.2">
      <c r="A671" t="s">
        <v>2600</v>
      </c>
    </row>
    <row r="672" spans="1:1" x14ac:dyDescent="0.2">
      <c r="A672" t="s">
        <v>2714</v>
      </c>
    </row>
    <row r="673" spans="1:1" x14ac:dyDescent="0.2">
      <c r="A673" t="s">
        <v>2179</v>
      </c>
    </row>
    <row r="674" spans="1:1" x14ac:dyDescent="0.2">
      <c r="A674" t="s">
        <v>2286</v>
      </c>
    </row>
    <row r="675" spans="1:1" x14ac:dyDescent="0.2">
      <c r="A675" t="s">
        <v>2500</v>
      </c>
    </row>
    <row r="676" spans="1:1" x14ac:dyDescent="0.2">
      <c r="A676" t="s">
        <v>2393</v>
      </c>
    </row>
    <row r="677" spans="1:1" x14ac:dyDescent="0.2">
      <c r="A677" t="s">
        <v>2607</v>
      </c>
    </row>
    <row r="678" spans="1:1" x14ac:dyDescent="0.2">
      <c r="A678" t="s">
        <v>2721</v>
      </c>
    </row>
    <row r="679" spans="1:1" x14ac:dyDescent="0.2">
      <c r="A679" t="s">
        <v>2186</v>
      </c>
    </row>
    <row r="680" spans="1:1" x14ac:dyDescent="0.2">
      <c r="A680" t="s">
        <v>2293</v>
      </c>
    </row>
    <row r="681" spans="1:1" x14ac:dyDescent="0.2">
      <c r="A681" t="s">
        <v>2507</v>
      </c>
    </row>
    <row r="682" spans="1:1" x14ac:dyDescent="0.2">
      <c r="A682" t="s">
        <v>2400</v>
      </c>
    </row>
    <row r="683" spans="1:1" x14ac:dyDescent="0.2">
      <c r="A683" t="s">
        <v>2614</v>
      </c>
    </row>
    <row r="684" spans="1:1" x14ac:dyDescent="0.2">
      <c r="A684" t="s">
        <v>2728</v>
      </c>
    </row>
    <row r="685" spans="1:1" x14ac:dyDescent="0.2">
      <c r="A685" t="s">
        <v>2193</v>
      </c>
    </row>
    <row r="686" spans="1:1" x14ac:dyDescent="0.2">
      <c r="A686" t="s">
        <v>2300</v>
      </c>
    </row>
    <row r="687" spans="1:1" x14ac:dyDescent="0.2">
      <c r="A687" t="s">
        <v>2514</v>
      </c>
    </row>
    <row r="688" spans="1:1" x14ac:dyDescent="0.2">
      <c r="A688" t="s">
        <v>2407</v>
      </c>
    </row>
    <row r="689" spans="1:1" x14ac:dyDescent="0.2">
      <c r="A689" t="s">
        <v>2621</v>
      </c>
    </row>
    <row r="690" spans="1:1" x14ac:dyDescent="0.2">
      <c r="A690" t="s">
        <v>29</v>
      </c>
    </row>
    <row r="691" spans="1:1" x14ac:dyDescent="0.2">
      <c r="A691" t="s">
        <v>30</v>
      </c>
    </row>
    <row r="692" spans="1:1" x14ac:dyDescent="0.2">
      <c r="A692" t="s">
        <v>35</v>
      </c>
    </row>
    <row r="693" spans="1:1" x14ac:dyDescent="0.2">
      <c r="A693" t="s">
        <v>36</v>
      </c>
    </row>
    <row r="694" spans="1:1" x14ac:dyDescent="0.2">
      <c r="A694" t="s">
        <v>37</v>
      </c>
    </row>
    <row r="695" spans="1:1" x14ac:dyDescent="0.2">
      <c r="A695" t="s">
        <v>38</v>
      </c>
    </row>
    <row r="696" spans="1:1" x14ac:dyDescent="0.2">
      <c r="A696" t="s">
        <v>39</v>
      </c>
    </row>
    <row r="697" spans="1:1" x14ac:dyDescent="0.2">
      <c r="A697" t="s">
        <v>40</v>
      </c>
    </row>
    <row r="698" spans="1:1" x14ac:dyDescent="0.2">
      <c r="A698" t="s">
        <v>42</v>
      </c>
    </row>
    <row r="699" spans="1:1" x14ac:dyDescent="0.2">
      <c r="A699" t="s">
        <v>43</v>
      </c>
    </row>
    <row r="700" spans="1:1" x14ac:dyDescent="0.2">
      <c r="A700" t="s">
        <v>44</v>
      </c>
    </row>
    <row r="701" spans="1:1" x14ac:dyDescent="0.2">
      <c r="A701" t="s">
        <v>45</v>
      </c>
    </row>
    <row r="702" spans="1:1" x14ac:dyDescent="0.2">
      <c r="A702" t="s">
        <v>46</v>
      </c>
    </row>
    <row r="703" spans="1:1" x14ac:dyDescent="0.2">
      <c r="A703" t="s">
        <v>47</v>
      </c>
    </row>
    <row r="704" spans="1:1" x14ac:dyDescent="0.2">
      <c r="A704" t="s">
        <v>49</v>
      </c>
    </row>
    <row r="705" spans="1:1" x14ac:dyDescent="0.2">
      <c r="A705" t="s">
        <v>50</v>
      </c>
    </row>
    <row r="706" spans="1:1" x14ac:dyDescent="0.2">
      <c r="A706" t="s">
        <v>51</v>
      </c>
    </row>
    <row r="707" spans="1:1" x14ac:dyDescent="0.2">
      <c r="A707" t="s">
        <v>52</v>
      </c>
    </row>
    <row r="708" spans="1:1" x14ac:dyDescent="0.2">
      <c r="A708" t="s">
        <v>53</v>
      </c>
    </row>
    <row r="709" spans="1:1" x14ac:dyDescent="0.2">
      <c r="A709" t="s">
        <v>54</v>
      </c>
    </row>
    <row r="710" spans="1:1" x14ac:dyDescent="0.2">
      <c r="A710" t="s">
        <v>56</v>
      </c>
    </row>
    <row r="711" spans="1:1" x14ac:dyDescent="0.2">
      <c r="A711" t="s">
        <v>57</v>
      </c>
    </row>
    <row r="712" spans="1:1" x14ac:dyDescent="0.2">
      <c r="A712" t="s">
        <v>58</v>
      </c>
    </row>
    <row r="713" spans="1:1" x14ac:dyDescent="0.2">
      <c r="A713" t="s">
        <v>59</v>
      </c>
    </row>
    <row r="714" spans="1:1" x14ac:dyDescent="0.2">
      <c r="A714" t="s">
        <v>60</v>
      </c>
    </row>
    <row r="715" spans="1:1" x14ac:dyDescent="0.2">
      <c r="A715" t="s">
        <v>61</v>
      </c>
    </row>
    <row r="716" spans="1:1" x14ac:dyDescent="0.2">
      <c r="A716" t="s">
        <v>63</v>
      </c>
    </row>
    <row r="717" spans="1:1" x14ac:dyDescent="0.2">
      <c r="A717" t="s">
        <v>64</v>
      </c>
    </row>
    <row r="718" spans="1:1" x14ac:dyDescent="0.2">
      <c r="A718" t="s">
        <v>65</v>
      </c>
    </row>
    <row r="719" spans="1:1" x14ac:dyDescent="0.2">
      <c r="A719" t="s">
        <v>66</v>
      </c>
    </row>
    <row r="720" spans="1:1" x14ac:dyDescent="0.2">
      <c r="A720" t="s">
        <v>67</v>
      </c>
    </row>
    <row r="721" spans="1:1" x14ac:dyDescent="0.2">
      <c r="A721" t="s">
        <v>68</v>
      </c>
    </row>
    <row r="722" spans="1:1" x14ac:dyDescent="0.2">
      <c r="A722" t="s">
        <v>70</v>
      </c>
    </row>
    <row r="723" spans="1:1" x14ac:dyDescent="0.2">
      <c r="A723" t="s">
        <v>71</v>
      </c>
    </row>
    <row r="724" spans="1:1" x14ac:dyDescent="0.2">
      <c r="A724" t="s">
        <v>72</v>
      </c>
    </row>
    <row r="725" spans="1:1" x14ac:dyDescent="0.2">
      <c r="A725" t="s">
        <v>73</v>
      </c>
    </row>
    <row r="726" spans="1:1" x14ac:dyDescent="0.2">
      <c r="A726" t="s">
        <v>74</v>
      </c>
    </row>
    <row r="727" spans="1:1" x14ac:dyDescent="0.2">
      <c r="A727" t="s">
        <v>75</v>
      </c>
    </row>
    <row r="728" spans="1:1" x14ac:dyDescent="0.2">
      <c r="A728" t="s">
        <v>32</v>
      </c>
    </row>
    <row r="729" spans="1:1" x14ac:dyDescent="0.2">
      <c r="A729" t="s">
        <v>31</v>
      </c>
    </row>
    <row r="730" spans="1:1" x14ac:dyDescent="0.2">
      <c r="A730" t="s">
        <v>34</v>
      </c>
    </row>
    <row r="731" spans="1:1" x14ac:dyDescent="0.2">
      <c r="A731" t="s">
        <v>33</v>
      </c>
    </row>
    <row r="732" spans="1:1" x14ac:dyDescent="0.2">
      <c r="A732" t="s">
        <v>77</v>
      </c>
    </row>
    <row r="733" spans="1:1" x14ac:dyDescent="0.2">
      <c r="A733" t="s">
        <v>78</v>
      </c>
    </row>
    <row r="734" spans="1:1" x14ac:dyDescent="0.2">
      <c r="A734" t="s">
        <v>79</v>
      </c>
    </row>
    <row r="735" spans="1:1" x14ac:dyDescent="0.2">
      <c r="A735" t="s">
        <v>80</v>
      </c>
    </row>
    <row r="736" spans="1:1" x14ac:dyDescent="0.2">
      <c r="A736" t="s">
        <v>81</v>
      </c>
    </row>
    <row r="737" spans="1:1" x14ac:dyDescent="0.2">
      <c r="A737" t="s">
        <v>82</v>
      </c>
    </row>
    <row r="738" spans="1:1" x14ac:dyDescent="0.2">
      <c r="A738" t="s">
        <v>83</v>
      </c>
    </row>
    <row r="739" spans="1:1" x14ac:dyDescent="0.2">
      <c r="A739" t="s">
        <v>41</v>
      </c>
    </row>
    <row r="740" spans="1:1" x14ac:dyDescent="0.2">
      <c r="A740" t="s">
        <v>48</v>
      </c>
    </row>
    <row r="741" spans="1:1" x14ac:dyDescent="0.2">
      <c r="A741" t="s">
        <v>55</v>
      </c>
    </row>
    <row r="742" spans="1:1" x14ac:dyDescent="0.2">
      <c r="A742" t="s">
        <v>62</v>
      </c>
    </row>
    <row r="743" spans="1:1" x14ac:dyDescent="0.2">
      <c r="A743" t="s">
        <v>69</v>
      </c>
    </row>
    <row r="744" spans="1:1" x14ac:dyDescent="0.2">
      <c r="A744" t="s">
        <v>76</v>
      </c>
    </row>
    <row r="745" spans="1:1" x14ac:dyDescent="0.2">
      <c r="A745" t="s">
        <v>84</v>
      </c>
    </row>
    <row r="746" spans="1:1" x14ac:dyDescent="0.2">
      <c r="A746" t="s">
        <v>85</v>
      </c>
    </row>
    <row r="747" spans="1:1" x14ac:dyDescent="0.2">
      <c r="A747" t="s">
        <v>86</v>
      </c>
    </row>
    <row r="748" spans="1:1" x14ac:dyDescent="0.2">
      <c r="A748" t="s">
        <v>87</v>
      </c>
    </row>
    <row r="749" spans="1:1" x14ac:dyDescent="0.2">
      <c r="A749" t="s">
        <v>88</v>
      </c>
    </row>
    <row r="750" spans="1:1" x14ac:dyDescent="0.2">
      <c r="A750" t="s">
        <v>89</v>
      </c>
    </row>
    <row r="751" spans="1:1" x14ac:dyDescent="0.2">
      <c r="A751" t="s">
        <v>91</v>
      </c>
    </row>
    <row r="752" spans="1:1" x14ac:dyDescent="0.2">
      <c r="A752" t="s">
        <v>92</v>
      </c>
    </row>
    <row r="753" spans="1:1" x14ac:dyDescent="0.2">
      <c r="A753" t="s">
        <v>93</v>
      </c>
    </row>
    <row r="754" spans="1:1" x14ac:dyDescent="0.2">
      <c r="A754" t="s">
        <v>94</v>
      </c>
    </row>
    <row r="755" spans="1:1" x14ac:dyDescent="0.2">
      <c r="A755" t="s">
        <v>95</v>
      </c>
    </row>
    <row r="756" spans="1:1" x14ac:dyDescent="0.2">
      <c r="A756" t="s">
        <v>96</v>
      </c>
    </row>
    <row r="757" spans="1:1" x14ac:dyDescent="0.2">
      <c r="A757" t="s">
        <v>98</v>
      </c>
    </row>
    <row r="758" spans="1:1" x14ac:dyDescent="0.2">
      <c r="A758" t="s">
        <v>99</v>
      </c>
    </row>
    <row r="759" spans="1:1" x14ac:dyDescent="0.2">
      <c r="A759" t="s">
        <v>100</v>
      </c>
    </row>
    <row r="760" spans="1:1" x14ac:dyDescent="0.2">
      <c r="A760" t="s">
        <v>101</v>
      </c>
    </row>
    <row r="761" spans="1:1" x14ac:dyDescent="0.2">
      <c r="A761" t="s">
        <v>102</v>
      </c>
    </row>
    <row r="762" spans="1:1" x14ac:dyDescent="0.2">
      <c r="A762" t="s">
        <v>103</v>
      </c>
    </row>
    <row r="763" spans="1:1" x14ac:dyDescent="0.2">
      <c r="A763" t="s">
        <v>105</v>
      </c>
    </row>
    <row r="764" spans="1:1" x14ac:dyDescent="0.2">
      <c r="A764" t="s">
        <v>106</v>
      </c>
    </row>
    <row r="765" spans="1:1" x14ac:dyDescent="0.2">
      <c r="A765" t="s">
        <v>107</v>
      </c>
    </row>
    <row r="766" spans="1:1" x14ac:dyDescent="0.2">
      <c r="A766" t="s">
        <v>108</v>
      </c>
    </row>
    <row r="767" spans="1:1" x14ac:dyDescent="0.2">
      <c r="A767" t="s">
        <v>109</v>
      </c>
    </row>
    <row r="768" spans="1:1" x14ac:dyDescent="0.2">
      <c r="A768" t="s">
        <v>110</v>
      </c>
    </row>
    <row r="769" spans="1:1" x14ac:dyDescent="0.2">
      <c r="A769" t="s">
        <v>112</v>
      </c>
    </row>
    <row r="770" spans="1:1" x14ac:dyDescent="0.2">
      <c r="A770" t="s">
        <v>113</v>
      </c>
    </row>
    <row r="771" spans="1:1" x14ac:dyDescent="0.2">
      <c r="A771" t="s">
        <v>114</v>
      </c>
    </row>
    <row r="772" spans="1:1" x14ac:dyDescent="0.2">
      <c r="A772" t="s">
        <v>115</v>
      </c>
    </row>
    <row r="773" spans="1:1" x14ac:dyDescent="0.2">
      <c r="A773" t="s">
        <v>116</v>
      </c>
    </row>
    <row r="774" spans="1:1" x14ac:dyDescent="0.2">
      <c r="A774" t="s">
        <v>117</v>
      </c>
    </row>
    <row r="775" spans="1:1" x14ac:dyDescent="0.2">
      <c r="A775" t="s">
        <v>119</v>
      </c>
    </row>
    <row r="776" spans="1:1" x14ac:dyDescent="0.2">
      <c r="A776" t="s">
        <v>120</v>
      </c>
    </row>
    <row r="777" spans="1:1" x14ac:dyDescent="0.2">
      <c r="A777" t="s">
        <v>121</v>
      </c>
    </row>
    <row r="778" spans="1:1" x14ac:dyDescent="0.2">
      <c r="A778" t="s">
        <v>122</v>
      </c>
    </row>
    <row r="779" spans="1:1" x14ac:dyDescent="0.2">
      <c r="A779" t="s">
        <v>123</v>
      </c>
    </row>
    <row r="780" spans="1:1" x14ac:dyDescent="0.2">
      <c r="A780" t="s">
        <v>124</v>
      </c>
    </row>
    <row r="781" spans="1:1" x14ac:dyDescent="0.2">
      <c r="A781" t="s">
        <v>126</v>
      </c>
    </row>
    <row r="782" spans="1:1" x14ac:dyDescent="0.2">
      <c r="A782" t="s">
        <v>127</v>
      </c>
    </row>
    <row r="783" spans="1:1" x14ac:dyDescent="0.2">
      <c r="A783" t="s">
        <v>128</v>
      </c>
    </row>
    <row r="784" spans="1:1" x14ac:dyDescent="0.2">
      <c r="A784" t="s">
        <v>129</v>
      </c>
    </row>
    <row r="785" spans="1:1" x14ac:dyDescent="0.2">
      <c r="A785" t="s">
        <v>130</v>
      </c>
    </row>
    <row r="786" spans="1:1" x14ac:dyDescent="0.2">
      <c r="A786" t="s">
        <v>131</v>
      </c>
    </row>
    <row r="787" spans="1:1" x14ac:dyDescent="0.2">
      <c r="A787" t="s">
        <v>132</v>
      </c>
    </row>
    <row r="788" spans="1:1" x14ac:dyDescent="0.2">
      <c r="A788" t="s">
        <v>90</v>
      </c>
    </row>
    <row r="789" spans="1:1" x14ac:dyDescent="0.2">
      <c r="A789" t="s">
        <v>97</v>
      </c>
    </row>
    <row r="790" spans="1:1" x14ac:dyDescent="0.2">
      <c r="A790" t="s">
        <v>104</v>
      </c>
    </row>
    <row r="791" spans="1:1" x14ac:dyDescent="0.2">
      <c r="A791" t="s">
        <v>111</v>
      </c>
    </row>
    <row r="792" spans="1:1" x14ac:dyDescent="0.2">
      <c r="A792" t="s">
        <v>118</v>
      </c>
    </row>
    <row r="793" spans="1:1" x14ac:dyDescent="0.2">
      <c r="A793" t="s">
        <v>125</v>
      </c>
    </row>
    <row r="794" spans="1:1" x14ac:dyDescent="0.2">
      <c r="A794" t="s">
        <v>169</v>
      </c>
    </row>
    <row r="795" spans="1:1" x14ac:dyDescent="0.2">
      <c r="A795" t="s">
        <v>170</v>
      </c>
    </row>
    <row r="796" spans="1:1" x14ac:dyDescent="0.2">
      <c r="A796" t="s">
        <v>171</v>
      </c>
    </row>
    <row r="797" spans="1:1" x14ac:dyDescent="0.2">
      <c r="A797" t="s">
        <v>172</v>
      </c>
    </row>
    <row r="798" spans="1:1" x14ac:dyDescent="0.2">
      <c r="A798" t="s">
        <v>173</v>
      </c>
    </row>
    <row r="799" spans="1:1" x14ac:dyDescent="0.2">
      <c r="A799" t="s">
        <v>174</v>
      </c>
    </row>
    <row r="800" spans="1:1" x14ac:dyDescent="0.2">
      <c r="A800" t="s">
        <v>176</v>
      </c>
    </row>
    <row r="801" spans="1:1" x14ac:dyDescent="0.2">
      <c r="A801" t="s">
        <v>177</v>
      </c>
    </row>
    <row r="802" spans="1:1" x14ac:dyDescent="0.2">
      <c r="A802" t="s">
        <v>178</v>
      </c>
    </row>
    <row r="803" spans="1:1" x14ac:dyDescent="0.2">
      <c r="A803" t="s">
        <v>179</v>
      </c>
    </row>
    <row r="804" spans="1:1" x14ac:dyDescent="0.2">
      <c r="A804" t="s">
        <v>180</v>
      </c>
    </row>
    <row r="805" spans="1:1" x14ac:dyDescent="0.2">
      <c r="A805" t="s">
        <v>181</v>
      </c>
    </row>
    <row r="806" spans="1:1" x14ac:dyDescent="0.2">
      <c r="A806" t="s">
        <v>183</v>
      </c>
    </row>
    <row r="807" spans="1:1" x14ac:dyDescent="0.2">
      <c r="A807" t="s">
        <v>184</v>
      </c>
    </row>
    <row r="808" spans="1:1" x14ac:dyDescent="0.2">
      <c r="A808" t="s">
        <v>185</v>
      </c>
    </row>
    <row r="809" spans="1:1" x14ac:dyDescent="0.2">
      <c r="A809" t="s">
        <v>186</v>
      </c>
    </row>
    <row r="810" spans="1:1" x14ac:dyDescent="0.2">
      <c r="A810" t="s">
        <v>187</v>
      </c>
    </row>
    <row r="811" spans="1:1" x14ac:dyDescent="0.2">
      <c r="A811" t="s">
        <v>188</v>
      </c>
    </row>
    <row r="812" spans="1:1" x14ac:dyDescent="0.2">
      <c r="A812" t="s">
        <v>190</v>
      </c>
    </row>
    <row r="813" spans="1:1" x14ac:dyDescent="0.2">
      <c r="A813" t="s">
        <v>191</v>
      </c>
    </row>
    <row r="814" spans="1:1" x14ac:dyDescent="0.2">
      <c r="A814" t="s">
        <v>192</v>
      </c>
    </row>
    <row r="815" spans="1:1" x14ac:dyDescent="0.2">
      <c r="A815" t="s">
        <v>193</v>
      </c>
    </row>
    <row r="816" spans="1:1" x14ac:dyDescent="0.2">
      <c r="A816" t="s">
        <v>194</v>
      </c>
    </row>
    <row r="817" spans="1:1" x14ac:dyDescent="0.2">
      <c r="A817" t="s">
        <v>195</v>
      </c>
    </row>
    <row r="818" spans="1:1" x14ac:dyDescent="0.2">
      <c r="A818" t="s">
        <v>197</v>
      </c>
    </row>
    <row r="819" spans="1:1" x14ac:dyDescent="0.2">
      <c r="A819" t="s">
        <v>198</v>
      </c>
    </row>
    <row r="820" spans="1:1" x14ac:dyDescent="0.2">
      <c r="A820" t="s">
        <v>199</v>
      </c>
    </row>
    <row r="821" spans="1:1" x14ac:dyDescent="0.2">
      <c r="A821" t="s">
        <v>200</v>
      </c>
    </row>
    <row r="822" spans="1:1" x14ac:dyDescent="0.2">
      <c r="A822" t="s">
        <v>201</v>
      </c>
    </row>
    <row r="823" spans="1:1" x14ac:dyDescent="0.2">
      <c r="A823" t="s">
        <v>202</v>
      </c>
    </row>
    <row r="824" spans="1:1" x14ac:dyDescent="0.2">
      <c r="A824" t="s">
        <v>204</v>
      </c>
    </row>
    <row r="825" spans="1:1" x14ac:dyDescent="0.2">
      <c r="A825" t="s">
        <v>205</v>
      </c>
    </row>
    <row r="826" spans="1:1" x14ac:dyDescent="0.2">
      <c r="A826" t="s">
        <v>206</v>
      </c>
    </row>
    <row r="827" spans="1:1" x14ac:dyDescent="0.2">
      <c r="A827" t="s">
        <v>207</v>
      </c>
    </row>
    <row r="828" spans="1:1" x14ac:dyDescent="0.2">
      <c r="A828" t="s">
        <v>208</v>
      </c>
    </row>
    <row r="829" spans="1:1" x14ac:dyDescent="0.2">
      <c r="A829" t="s">
        <v>209</v>
      </c>
    </row>
    <row r="830" spans="1:1" x14ac:dyDescent="0.2">
      <c r="A830" t="s">
        <v>211</v>
      </c>
    </row>
    <row r="831" spans="1:1" x14ac:dyDescent="0.2">
      <c r="A831" t="s">
        <v>212</v>
      </c>
    </row>
    <row r="832" spans="1:1" x14ac:dyDescent="0.2">
      <c r="A832" t="s">
        <v>213</v>
      </c>
    </row>
    <row r="833" spans="1:1" x14ac:dyDescent="0.2">
      <c r="A833" t="s">
        <v>214</v>
      </c>
    </row>
    <row r="834" spans="1:1" x14ac:dyDescent="0.2">
      <c r="A834" t="s">
        <v>215</v>
      </c>
    </row>
    <row r="835" spans="1:1" x14ac:dyDescent="0.2">
      <c r="A835" t="s">
        <v>216</v>
      </c>
    </row>
    <row r="836" spans="1:1" x14ac:dyDescent="0.2">
      <c r="A836" t="s">
        <v>219</v>
      </c>
    </row>
    <row r="837" spans="1:1" x14ac:dyDescent="0.2">
      <c r="A837" t="s">
        <v>220</v>
      </c>
    </row>
    <row r="838" spans="1:1" x14ac:dyDescent="0.2">
      <c r="A838" t="s">
        <v>221</v>
      </c>
    </row>
    <row r="839" spans="1:1" x14ac:dyDescent="0.2">
      <c r="A839" t="s">
        <v>222</v>
      </c>
    </row>
    <row r="840" spans="1:1" x14ac:dyDescent="0.2">
      <c r="A840" t="s">
        <v>223</v>
      </c>
    </row>
    <row r="841" spans="1:1" x14ac:dyDescent="0.2">
      <c r="A841" t="s">
        <v>224</v>
      </c>
    </row>
    <row r="842" spans="1:1" x14ac:dyDescent="0.2">
      <c r="A842" t="s">
        <v>226</v>
      </c>
    </row>
    <row r="843" spans="1:1" x14ac:dyDescent="0.2">
      <c r="A843" t="s">
        <v>227</v>
      </c>
    </row>
    <row r="844" spans="1:1" x14ac:dyDescent="0.2">
      <c r="A844" t="s">
        <v>228</v>
      </c>
    </row>
    <row r="845" spans="1:1" x14ac:dyDescent="0.2">
      <c r="A845" t="s">
        <v>229</v>
      </c>
    </row>
    <row r="846" spans="1:1" x14ac:dyDescent="0.2">
      <c r="A846" t="s">
        <v>230</v>
      </c>
    </row>
    <row r="847" spans="1:1" x14ac:dyDescent="0.2">
      <c r="A847" t="s">
        <v>231</v>
      </c>
    </row>
    <row r="848" spans="1:1" x14ac:dyDescent="0.2">
      <c r="A848" t="s">
        <v>232</v>
      </c>
    </row>
    <row r="849" spans="1:1" x14ac:dyDescent="0.2">
      <c r="A849" t="s">
        <v>218</v>
      </c>
    </row>
    <row r="850" spans="1:1" x14ac:dyDescent="0.2">
      <c r="A850" t="s">
        <v>175</v>
      </c>
    </row>
    <row r="851" spans="1:1" x14ac:dyDescent="0.2">
      <c r="A851" t="s">
        <v>182</v>
      </c>
    </row>
    <row r="852" spans="1:1" x14ac:dyDescent="0.2">
      <c r="A852" t="s">
        <v>189</v>
      </c>
    </row>
    <row r="853" spans="1:1" x14ac:dyDescent="0.2">
      <c r="A853" t="s">
        <v>196</v>
      </c>
    </row>
    <row r="854" spans="1:1" x14ac:dyDescent="0.2">
      <c r="A854" t="s">
        <v>203</v>
      </c>
    </row>
    <row r="855" spans="1:1" x14ac:dyDescent="0.2">
      <c r="A855" t="s">
        <v>210</v>
      </c>
    </row>
    <row r="856" spans="1:1" x14ac:dyDescent="0.2">
      <c r="A856" t="s">
        <v>217</v>
      </c>
    </row>
    <row r="857" spans="1:1" x14ac:dyDescent="0.2">
      <c r="A857" t="s">
        <v>225</v>
      </c>
    </row>
    <row r="858" spans="1:1" x14ac:dyDescent="0.2">
      <c r="A858" t="s">
        <v>233</v>
      </c>
    </row>
    <row r="859" spans="1:1" x14ac:dyDescent="0.2">
      <c r="A859" t="s">
        <v>234</v>
      </c>
    </row>
    <row r="860" spans="1:1" x14ac:dyDescent="0.2">
      <c r="A860" t="s">
        <v>235</v>
      </c>
    </row>
    <row r="861" spans="1:1" x14ac:dyDescent="0.2">
      <c r="A861" t="s">
        <v>236</v>
      </c>
    </row>
    <row r="862" spans="1:1" x14ac:dyDescent="0.2">
      <c r="A862" t="s">
        <v>237</v>
      </c>
    </row>
    <row r="863" spans="1:1" x14ac:dyDescent="0.2">
      <c r="A863" t="s">
        <v>238</v>
      </c>
    </row>
    <row r="864" spans="1:1" x14ac:dyDescent="0.2">
      <c r="A864" t="s">
        <v>240</v>
      </c>
    </row>
    <row r="865" spans="1:1" x14ac:dyDescent="0.2">
      <c r="A865" t="s">
        <v>241</v>
      </c>
    </row>
    <row r="866" spans="1:1" x14ac:dyDescent="0.2">
      <c r="A866" t="s">
        <v>242</v>
      </c>
    </row>
    <row r="867" spans="1:1" x14ac:dyDescent="0.2">
      <c r="A867" t="s">
        <v>243</v>
      </c>
    </row>
    <row r="868" spans="1:1" x14ac:dyDescent="0.2">
      <c r="A868" t="s">
        <v>244</v>
      </c>
    </row>
    <row r="869" spans="1:1" x14ac:dyDescent="0.2">
      <c r="A869" t="s">
        <v>245</v>
      </c>
    </row>
    <row r="870" spans="1:1" x14ac:dyDescent="0.2">
      <c r="A870" t="s">
        <v>247</v>
      </c>
    </row>
    <row r="871" spans="1:1" x14ac:dyDescent="0.2">
      <c r="A871" t="s">
        <v>248</v>
      </c>
    </row>
    <row r="872" spans="1:1" x14ac:dyDescent="0.2">
      <c r="A872" t="s">
        <v>249</v>
      </c>
    </row>
    <row r="873" spans="1:1" x14ac:dyDescent="0.2">
      <c r="A873" t="s">
        <v>250</v>
      </c>
    </row>
    <row r="874" spans="1:1" x14ac:dyDescent="0.2">
      <c r="A874" t="s">
        <v>251</v>
      </c>
    </row>
    <row r="875" spans="1:1" x14ac:dyDescent="0.2">
      <c r="A875" t="s">
        <v>252</v>
      </c>
    </row>
    <row r="876" spans="1:1" x14ac:dyDescent="0.2">
      <c r="A876" t="s">
        <v>254</v>
      </c>
    </row>
    <row r="877" spans="1:1" x14ac:dyDescent="0.2">
      <c r="A877" t="s">
        <v>255</v>
      </c>
    </row>
    <row r="878" spans="1:1" x14ac:dyDescent="0.2">
      <c r="A878" t="s">
        <v>256</v>
      </c>
    </row>
    <row r="879" spans="1:1" x14ac:dyDescent="0.2">
      <c r="A879" t="s">
        <v>257</v>
      </c>
    </row>
    <row r="880" spans="1:1" x14ac:dyDescent="0.2">
      <c r="A880" t="s">
        <v>258</v>
      </c>
    </row>
    <row r="881" spans="1:1" x14ac:dyDescent="0.2">
      <c r="A881" t="s">
        <v>259</v>
      </c>
    </row>
    <row r="882" spans="1:1" x14ac:dyDescent="0.2">
      <c r="A882" t="s">
        <v>261</v>
      </c>
    </row>
    <row r="883" spans="1:1" x14ac:dyDescent="0.2">
      <c r="A883" t="s">
        <v>262</v>
      </c>
    </row>
    <row r="884" spans="1:1" x14ac:dyDescent="0.2">
      <c r="A884" t="s">
        <v>263</v>
      </c>
    </row>
    <row r="885" spans="1:1" x14ac:dyDescent="0.2">
      <c r="A885" t="s">
        <v>264</v>
      </c>
    </row>
    <row r="886" spans="1:1" x14ac:dyDescent="0.2">
      <c r="A886" t="s">
        <v>265</v>
      </c>
    </row>
    <row r="887" spans="1:1" x14ac:dyDescent="0.2">
      <c r="A887" t="s">
        <v>266</v>
      </c>
    </row>
    <row r="888" spans="1:1" x14ac:dyDescent="0.2">
      <c r="A888" t="s">
        <v>268</v>
      </c>
    </row>
    <row r="889" spans="1:1" x14ac:dyDescent="0.2">
      <c r="A889" t="s">
        <v>269</v>
      </c>
    </row>
    <row r="890" spans="1:1" x14ac:dyDescent="0.2">
      <c r="A890" t="s">
        <v>270</v>
      </c>
    </row>
    <row r="891" spans="1:1" x14ac:dyDescent="0.2">
      <c r="A891" t="s">
        <v>271</v>
      </c>
    </row>
    <row r="892" spans="1:1" x14ac:dyDescent="0.2">
      <c r="A892" t="s">
        <v>272</v>
      </c>
    </row>
    <row r="893" spans="1:1" x14ac:dyDescent="0.2">
      <c r="A893" t="s">
        <v>273</v>
      </c>
    </row>
    <row r="894" spans="1:1" x14ac:dyDescent="0.2">
      <c r="A894" t="s">
        <v>274</v>
      </c>
    </row>
    <row r="895" spans="1:1" x14ac:dyDescent="0.2">
      <c r="A895" t="s">
        <v>239</v>
      </c>
    </row>
    <row r="896" spans="1:1" x14ac:dyDescent="0.2">
      <c r="A896" t="s">
        <v>246</v>
      </c>
    </row>
    <row r="897" spans="1:1" x14ac:dyDescent="0.2">
      <c r="A897" t="s">
        <v>253</v>
      </c>
    </row>
    <row r="898" spans="1:1" x14ac:dyDescent="0.2">
      <c r="A898" t="s">
        <v>260</v>
      </c>
    </row>
    <row r="899" spans="1:1" x14ac:dyDescent="0.2">
      <c r="A899" t="s">
        <v>267</v>
      </c>
    </row>
    <row r="900" spans="1:1" x14ac:dyDescent="0.2">
      <c r="A900" t="s">
        <v>275</v>
      </c>
    </row>
    <row r="901" spans="1:1" x14ac:dyDescent="0.2">
      <c r="A901" t="s">
        <v>276</v>
      </c>
    </row>
    <row r="902" spans="1:1" x14ac:dyDescent="0.2">
      <c r="A902" t="s">
        <v>277</v>
      </c>
    </row>
    <row r="903" spans="1:1" x14ac:dyDescent="0.2">
      <c r="A903" t="s">
        <v>279</v>
      </c>
    </row>
    <row r="904" spans="1:1" x14ac:dyDescent="0.2">
      <c r="A904" t="s">
        <v>278</v>
      </c>
    </row>
    <row r="905" spans="1:1" x14ac:dyDescent="0.2">
      <c r="A905" t="s">
        <v>280</v>
      </c>
    </row>
    <row r="906" spans="1:1" x14ac:dyDescent="0.2">
      <c r="A906" t="s">
        <v>281</v>
      </c>
    </row>
    <row r="907" spans="1:1" x14ac:dyDescent="0.2">
      <c r="A907" t="s">
        <v>282</v>
      </c>
    </row>
    <row r="908" spans="1:1" x14ac:dyDescent="0.2">
      <c r="A908" t="s">
        <v>21</v>
      </c>
    </row>
    <row r="909" spans="1:1" x14ac:dyDescent="0.2">
      <c r="A909" t="s">
        <v>25</v>
      </c>
    </row>
    <row r="910" spans="1:1" x14ac:dyDescent="0.2">
      <c r="A910" t="s">
        <v>26</v>
      </c>
    </row>
    <row r="911" spans="1:1" x14ac:dyDescent="0.2">
      <c r="A911" t="s">
        <v>27</v>
      </c>
    </row>
    <row r="912" spans="1:1" x14ac:dyDescent="0.2">
      <c r="A912" t="s">
        <v>23</v>
      </c>
    </row>
    <row r="913" spans="1:1" x14ac:dyDescent="0.2">
      <c r="A913" t="s">
        <v>22</v>
      </c>
    </row>
    <row r="914" spans="1:1" x14ac:dyDescent="0.2">
      <c r="A914" t="s">
        <v>20</v>
      </c>
    </row>
    <row r="915" spans="1:1" x14ac:dyDescent="0.2">
      <c r="A915" t="s">
        <v>24</v>
      </c>
    </row>
    <row r="916" spans="1:1" x14ac:dyDescent="0.2">
      <c r="A916" t="s">
        <v>16</v>
      </c>
    </row>
    <row r="917" spans="1:1" x14ac:dyDescent="0.2">
      <c r="A917" t="s">
        <v>3</v>
      </c>
    </row>
    <row r="918" spans="1:1" x14ac:dyDescent="0.2">
      <c r="A918" t="s">
        <v>3</v>
      </c>
    </row>
    <row r="919" spans="1:1" x14ac:dyDescent="0.2">
      <c r="A919" t="s">
        <v>3</v>
      </c>
    </row>
    <row r="920" spans="1:1" x14ac:dyDescent="0.2">
      <c r="A920" t="s">
        <v>3</v>
      </c>
    </row>
    <row r="921" spans="1:1" x14ac:dyDescent="0.2">
      <c r="A921" t="s">
        <v>3</v>
      </c>
    </row>
    <row r="922" spans="1:1" x14ac:dyDescent="0.2">
      <c r="A922" t="s">
        <v>3</v>
      </c>
    </row>
    <row r="923" spans="1:1" x14ac:dyDescent="0.2">
      <c r="A923" t="s">
        <v>15</v>
      </c>
    </row>
    <row r="924" spans="1:1" x14ac:dyDescent="0.2">
      <c r="A924" t="s">
        <v>11</v>
      </c>
    </row>
    <row r="925" spans="1:1" x14ac:dyDescent="0.2">
      <c r="A925" t="s">
        <v>10</v>
      </c>
    </row>
    <row r="926" spans="1:1" x14ac:dyDescent="0.2">
      <c r="A926" t="s">
        <v>13</v>
      </c>
    </row>
    <row r="927" spans="1:1" x14ac:dyDescent="0.2">
      <c r="A927" t="s">
        <v>12</v>
      </c>
    </row>
    <row r="928" spans="1:1" x14ac:dyDescent="0.2">
      <c r="A928" t="s">
        <v>14</v>
      </c>
    </row>
    <row r="929" spans="1:1" x14ac:dyDescent="0.2">
      <c r="A929" t="s">
        <v>2522</v>
      </c>
    </row>
    <row r="930" spans="1:1" x14ac:dyDescent="0.2">
      <c r="A930" t="s">
        <v>0</v>
      </c>
    </row>
    <row r="931" spans="1:1" x14ac:dyDescent="0.2">
      <c r="A931" t="s">
        <v>19</v>
      </c>
    </row>
  </sheetData>
  <autoFilter ref="A1:A931" xr:uid="{06BDFC81-2677-47EA-A004-8EC5F4728202}">
    <sortState xmlns:xlrd2="http://schemas.microsoft.com/office/spreadsheetml/2017/richdata2" ref="A2:A931">
      <sortCondition ref="A1:A931"/>
    </sortState>
  </autoFilter>
  <pageMargins left="0.7" right="0.7" top="0.75" bottom="0.75" header="0.3" footer="0.3"/>
  <customProperties>
    <customPr name="layoutContexts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DE4D9-1491-44BE-9D87-907C3496183B}">
  <dimension ref="A1:C931"/>
  <sheetViews>
    <sheetView topLeftCell="A803" workbookViewId="0">
      <selection activeCell="E933" sqref="E933"/>
    </sheetView>
  </sheetViews>
  <sheetFormatPr defaultRowHeight="12.75" x14ac:dyDescent="0.2"/>
  <cols>
    <col min="1" max="1" width="21.5703125" customWidth="1"/>
    <col min="2" max="2" width="13.85546875" customWidth="1"/>
  </cols>
  <sheetData>
    <row r="1" spans="1:3" x14ac:dyDescent="0.2">
      <c r="A1" t="s">
        <v>1875</v>
      </c>
      <c r="B1" t="s">
        <v>2086</v>
      </c>
      <c r="C1" t="s">
        <v>2093</v>
      </c>
    </row>
    <row r="2" spans="1:3" ht="16.5" customHeight="1" x14ac:dyDescent="0.2">
      <c r="A2" s="1" t="s">
        <v>0</v>
      </c>
      <c r="C2" t="str">
        <f>_xlfn.CONCAT(A2,B2)</f>
        <v>Surveycode</v>
      </c>
    </row>
    <row r="3" spans="1:3" x14ac:dyDescent="0.2">
      <c r="A3" s="2" t="s">
        <v>1</v>
      </c>
      <c r="C3" t="str">
        <f t="shared" ref="C3:C66" si="0">_xlfn.CONCAT(A3,B3)</f>
        <v>Association (Sample)</v>
      </c>
    </row>
    <row r="4" spans="1:3" x14ac:dyDescent="0.2">
      <c r="A4" s="2" t="s">
        <v>2</v>
      </c>
      <c r="C4" t="str">
        <f t="shared" si="0"/>
        <v>Company (Sample)</v>
      </c>
    </row>
    <row r="5" spans="1:3" x14ac:dyDescent="0.2">
      <c r="A5" s="2" t="s">
        <v>3</v>
      </c>
      <c r="C5" t="str">
        <f t="shared" si="0"/>
        <v>REGION</v>
      </c>
    </row>
    <row r="6" spans="1:3" x14ac:dyDescent="0.2">
      <c r="A6" s="2" t="s">
        <v>4</v>
      </c>
      <c r="C6" t="str">
        <f t="shared" si="0"/>
        <v>DateCompleted (Asia)</v>
      </c>
    </row>
    <row r="7" spans="1:3" x14ac:dyDescent="0.2">
      <c r="A7" s="2" t="s">
        <v>3</v>
      </c>
      <c r="C7" t="str">
        <f t="shared" si="0"/>
        <v>REGION</v>
      </c>
    </row>
    <row r="8" spans="1:3" x14ac:dyDescent="0.2">
      <c r="A8" s="2" t="s">
        <v>5</v>
      </c>
      <c r="C8" t="str">
        <f t="shared" si="0"/>
        <v>DateCompleted (Europe)</v>
      </c>
    </row>
    <row r="9" spans="1:3" x14ac:dyDescent="0.2">
      <c r="A9" s="2" t="s">
        <v>3</v>
      </c>
      <c r="C9" t="str">
        <f t="shared" si="0"/>
        <v>REGION</v>
      </c>
    </row>
    <row r="10" spans="1:3" x14ac:dyDescent="0.2">
      <c r="A10" s="2" t="s">
        <v>6</v>
      </c>
      <c r="C10" t="str">
        <f t="shared" si="0"/>
        <v>DateCompleted (NorthAmerica)</v>
      </c>
    </row>
    <row r="11" spans="1:3" x14ac:dyDescent="0.2">
      <c r="A11" s="2" t="s">
        <v>3</v>
      </c>
      <c r="C11" t="str">
        <f t="shared" si="0"/>
        <v>REGION</v>
      </c>
    </row>
    <row r="12" spans="1:3" x14ac:dyDescent="0.2">
      <c r="A12" s="2" t="s">
        <v>7</v>
      </c>
      <c r="C12" t="str">
        <f t="shared" si="0"/>
        <v>DateCompleted (Global)</v>
      </c>
    </row>
    <row r="13" spans="1:3" x14ac:dyDescent="0.2">
      <c r="A13" s="2" t="s">
        <v>3</v>
      </c>
      <c r="C13" t="str">
        <f t="shared" si="0"/>
        <v>REGION</v>
      </c>
    </row>
    <row r="14" spans="1:3" x14ac:dyDescent="0.2">
      <c r="A14" s="2" t="s">
        <v>8</v>
      </c>
      <c r="C14" t="str">
        <f t="shared" si="0"/>
        <v>DateCompleted (SouthAmerica)</v>
      </c>
    </row>
    <row r="15" spans="1:3" x14ac:dyDescent="0.2">
      <c r="A15" s="2" t="s">
        <v>3</v>
      </c>
      <c r="C15" t="str">
        <f t="shared" si="0"/>
        <v>REGION</v>
      </c>
    </row>
    <row r="16" spans="1:3" x14ac:dyDescent="0.2">
      <c r="A16" s="2" t="s">
        <v>9</v>
      </c>
      <c r="C16" t="str">
        <f t="shared" si="0"/>
        <v>DateCompleted (Africa)</v>
      </c>
    </row>
    <row r="17" spans="1:3" x14ac:dyDescent="0.2">
      <c r="A17" s="2" t="s">
        <v>10</v>
      </c>
      <c r="C17" t="str">
        <f t="shared" si="0"/>
        <v>ShowEurope</v>
      </c>
    </row>
    <row r="18" spans="1:3" x14ac:dyDescent="0.2">
      <c r="A18" s="2" t="s">
        <v>11</v>
      </c>
      <c r="C18" t="str">
        <f t="shared" si="0"/>
        <v>ShowAsia</v>
      </c>
    </row>
    <row r="19" spans="1:3" x14ac:dyDescent="0.2">
      <c r="A19" s="2" t="s">
        <v>12</v>
      </c>
      <c r="C19" t="str">
        <f t="shared" si="0"/>
        <v>ShowNA</v>
      </c>
    </row>
    <row r="20" spans="1:3" x14ac:dyDescent="0.2">
      <c r="A20" s="2" t="s">
        <v>13</v>
      </c>
      <c r="C20" t="str">
        <f t="shared" si="0"/>
        <v>ShowGlobal</v>
      </c>
    </row>
    <row r="21" spans="1:3" x14ac:dyDescent="0.2">
      <c r="A21" s="2" t="s">
        <v>14</v>
      </c>
      <c r="C21" t="str">
        <f t="shared" si="0"/>
        <v>ShowSA</v>
      </c>
    </row>
    <row r="22" spans="1:3" x14ac:dyDescent="0.2">
      <c r="A22" s="2" t="s">
        <v>15</v>
      </c>
      <c r="C22" t="str">
        <f t="shared" si="0"/>
        <v>ShowAfrica</v>
      </c>
    </row>
    <row r="23" spans="1:3" x14ac:dyDescent="0.2">
      <c r="A23" s="2" t="s">
        <v>16</v>
      </c>
      <c r="C23" t="str">
        <f t="shared" si="0"/>
        <v>RecordNo</v>
      </c>
    </row>
    <row r="24" spans="1:3" x14ac:dyDescent="0.2">
      <c r="A24" s="2" t="s">
        <v>17</v>
      </c>
      <c r="C24" t="str">
        <f t="shared" si="0"/>
        <v>DateCompleted</v>
      </c>
    </row>
    <row r="25" spans="1:3" x14ac:dyDescent="0.2">
      <c r="A25" s="2" t="s">
        <v>18</v>
      </c>
      <c r="C25" t="str">
        <f t="shared" si="0"/>
        <v>IPaddress</v>
      </c>
    </row>
    <row r="26" spans="1:3" x14ac:dyDescent="0.2">
      <c r="A26" s="2" t="s">
        <v>19</v>
      </c>
      <c r="C26" t="str">
        <f t="shared" si="0"/>
        <v>Version</v>
      </c>
    </row>
    <row r="27" spans="1:3" x14ac:dyDescent="0.2">
      <c r="A27" s="2" t="s">
        <v>20</v>
      </c>
      <c r="C27" t="str">
        <f t="shared" si="0"/>
        <v>qName</v>
      </c>
    </row>
    <row r="28" spans="1:3" x14ac:dyDescent="0.2">
      <c r="A28" s="2" t="s">
        <v>21</v>
      </c>
      <c r="C28" t="str">
        <f t="shared" si="0"/>
        <v>qCompany</v>
      </c>
    </row>
    <row r="29" spans="1:3" x14ac:dyDescent="0.2">
      <c r="A29" s="2" t="s">
        <v>22</v>
      </c>
      <c r="C29" t="str">
        <f t="shared" si="0"/>
        <v>qJobtitle</v>
      </c>
    </row>
    <row r="30" spans="1:3" x14ac:dyDescent="0.2">
      <c r="A30" s="2" t="s">
        <v>23</v>
      </c>
      <c r="C30" t="str">
        <f t="shared" si="0"/>
        <v>qEmail</v>
      </c>
    </row>
    <row r="31" spans="1:3" x14ac:dyDescent="0.2">
      <c r="A31" s="2" t="s">
        <v>24</v>
      </c>
      <c r="C31" t="str">
        <f t="shared" si="0"/>
        <v>qTelephone</v>
      </c>
    </row>
    <row r="32" spans="1:3" x14ac:dyDescent="0.2">
      <c r="A32" s="2" t="s">
        <v>25</v>
      </c>
      <c r="C32" t="str">
        <f t="shared" si="0"/>
        <v>qCountry</v>
      </c>
    </row>
    <row r="33" spans="1:3" x14ac:dyDescent="0.2">
      <c r="A33" s="2" t="s">
        <v>26</v>
      </c>
      <c r="C33" t="str">
        <f t="shared" si="0"/>
        <v>qCurrency</v>
      </c>
    </row>
    <row r="34" spans="1:3" x14ac:dyDescent="0.2">
      <c r="A34" s="2" t="s">
        <v>27</v>
      </c>
      <c r="C34" t="str">
        <f t="shared" si="0"/>
        <v>qCurrencyOther</v>
      </c>
    </row>
    <row r="35" spans="1:3" x14ac:dyDescent="0.2">
      <c r="A35" s="2" t="s">
        <v>28</v>
      </c>
      <c r="C35" t="str">
        <f t="shared" si="0"/>
        <v>q1</v>
      </c>
    </row>
    <row r="36" spans="1:3" x14ac:dyDescent="0.2">
      <c r="A36" s="2" t="s">
        <v>29</v>
      </c>
      <c r="C36" t="str">
        <f t="shared" si="0"/>
        <v>q2</v>
      </c>
    </row>
    <row r="37" spans="1:3" x14ac:dyDescent="0.2">
      <c r="A37" s="2" t="s">
        <v>30</v>
      </c>
      <c r="C37" t="str">
        <f t="shared" si="0"/>
        <v>q2other</v>
      </c>
    </row>
    <row r="38" spans="1:3" x14ac:dyDescent="0.2">
      <c r="A38" s="2" t="s">
        <v>31</v>
      </c>
      <c r="C38" t="str">
        <f t="shared" si="0"/>
        <v>q3A_TotalRealEstate</v>
      </c>
    </row>
    <row r="39" spans="1:3" x14ac:dyDescent="0.2">
      <c r="A39" s="2" t="s">
        <v>32</v>
      </c>
      <c r="C39" t="str">
        <f t="shared" si="0"/>
        <v>q3A_NonListedRealEstate</v>
      </c>
    </row>
    <row r="40" spans="1:3" x14ac:dyDescent="0.2">
      <c r="A40" s="2" t="s">
        <v>33</v>
      </c>
      <c r="C40" t="str">
        <f t="shared" si="0"/>
        <v>q3B_TotalRealEstate</v>
      </c>
    </row>
    <row r="41" spans="1:3" x14ac:dyDescent="0.2">
      <c r="A41" s="2" t="s">
        <v>34</v>
      </c>
      <c r="C41" t="str">
        <f t="shared" si="0"/>
        <v>q3B_NonListedRealEstate</v>
      </c>
    </row>
    <row r="42" spans="1:3" x14ac:dyDescent="0.2">
      <c r="A42" s="2" t="s">
        <v>35</v>
      </c>
      <c r="C42" t="str">
        <f t="shared" si="0"/>
        <v>q31_1</v>
      </c>
    </row>
    <row r="43" spans="1:3" x14ac:dyDescent="0.2">
      <c r="A43" s="2" t="s">
        <v>36</v>
      </c>
      <c r="C43" t="str">
        <f t="shared" si="0"/>
        <v>q31_2</v>
      </c>
    </row>
    <row r="44" spans="1:3" x14ac:dyDescent="0.2">
      <c r="A44" s="2" t="s">
        <v>37</v>
      </c>
      <c r="C44" t="str">
        <f t="shared" si="0"/>
        <v>q31_3</v>
      </c>
    </row>
    <row r="45" spans="1:3" x14ac:dyDescent="0.2">
      <c r="A45" s="2" t="s">
        <v>38</v>
      </c>
      <c r="C45" t="str">
        <f t="shared" si="0"/>
        <v>q31_4</v>
      </c>
    </row>
    <row r="46" spans="1:3" x14ac:dyDescent="0.2">
      <c r="A46" s="2" t="s">
        <v>39</v>
      </c>
      <c r="C46" t="str">
        <f t="shared" si="0"/>
        <v>q31_5</v>
      </c>
    </row>
    <row r="47" spans="1:3" x14ac:dyDescent="0.2">
      <c r="A47" s="2" t="s">
        <v>40</v>
      </c>
      <c r="C47" t="str">
        <f t="shared" si="0"/>
        <v>q31_6</v>
      </c>
    </row>
    <row r="48" spans="1:3" x14ac:dyDescent="0.2">
      <c r="A48" s="2" t="s">
        <v>41</v>
      </c>
      <c r="C48" t="str">
        <f t="shared" si="0"/>
        <v>q3ROW1_hidden</v>
      </c>
    </row>
    <row r="49" spans="1:3" x14ac:dyDescent="0.2">
      <c r="A49" s="2" t="s">
        <v>42</v>
      </c>
      <c r="C49" t="str">
        <f t="shared" si="0"/>
        <v>q32_1</v>
      </c>
    </row>
    <row r="50" spans="1:3" x14ac:dyDescent="0.2">
      <c r="A50" s="2" t="s">
        <v>43</v>
      </c>
      <c r="C50" t="str">
        <f t="shared" si="0"/>
        <v>q32_2</v>
      </c>
    </row>
    <row r="51" spans="1:3" x14ac:dyDescent="0.2">
      <c r="A51" s="2" t="s">
        <v>44</v>
      </c>
      <c r="C51" t="str">
        <f t="shared" si="0"/>
        <v>q32_3</v>
      </c>
    </row>
    <row r="52" spans="1:3" x14ac:dyDescent="0.2">
      <c r="A52" s="2" t="s">
        <v>45</v>
      </c>
      <c r="C52" t="str">
        <f t="shared" si="0"/>
        <v>q32_4</v>
      </c>
    </row>
    <row r="53" spans="1:3" x14ac:dyDescent="0.2">
      <c r="A53" s="2" t="s">
        <v>46</v>
      </c>
      <c r="C53" t="str">
        <f t="shared" si="0"/>
        <v>q32_5</v>
      </c>
    </row>
    <row r="54" spans="1:3" x14ac:dyDescent="0.2">
      <c r="A54" s="2" t="s">
        <v>47</v>
      </c>
      <c r="C54" t="str">
        <f t="shared" si="0"/>
        <v>q32_6</v>
      </c>
    </row>
    <row r="55" spans="1:3" x14ac:dyDescent="0.2">
      <c r="A55" s="2" t="s">
        <v>48</v>
      </c>
      <c r="C55" t="str">
        <f t="shared" si="0"/>
        <v>q3ROW2_hidden</v>
      </c>
    </row>
    <row r="56" spans="1:3" x14ac:dyDescent="0.2">
      <c r="A56" s="2" t="s">
        <v>49</v>
      </c>
      <c r="C56" t="str">
        <f t="shared" si="0"/>
        <v>q33_1</v>
      </c>
    </row>
    <row r="57" spans="1:3" x14ac:dyDescent="0.2">
      <c r="A57" s="2" t="s">
        <v>50</v>
      </c>
      <c r="C57" t="str">
        <f t="shared" si="0"/>
        <v>q33_2</v>
      </c>
    </row>
    <row r="58" spans="1:3" x14ac:dyDescent="0.2">
      <c r="A58" s="2" t="s">
        <v>51</v>
      </c>
      <c r="C58" t="str">
        <f t="shared" si="0"/>
        <v>q33_3</v>
      </c>
    </row>
    <row r="59" spans="1:3" x14ac:dyDescent="0.2">
      <c r="A59" s="2" t="s">
        <v>52</v>
      </c>
      <c r="C59" t="str">
        <f t="shared" si="0"/>
        <v>q33_4</v>
      </c>
    </row>
    <row r="60" spans="1:3" x14ac:dyDescent="0.2">
      <c r="A60" s="2" t="s">
        <v>53</v>
      </c>
      <c r="C60" t="str">
        <f t="shared" si="0"/>
        <v>q33_5</v>
      </c>
    </row>
    <row r="61" spans="1:3" x14ac:dyDescent="0.2">
      <c r="A61" s="2" t="s">
        <v>54</v>
      </c>
      <c r="C61" t="str">
        <f t="shared" si="0"/>
        <v>q33_6</v>
      </c>
    </row>
    <row r="62" spans="1:3" x14ac:dyDescent="0.2">
      <c r="A62" s="2" t="s">
        <v>55</v>
      </c>
      <c r="C62" t="str">
        <f t="shared" si="0"/>
        <v>q3ROW3_hidden</v>
      </c>
    </row>
    <row r="63" spans="1:3" x14ac:dyDescent="0.2">
      <c r="A63" s="2" t="s">
        <v>56</v>
      </c>
      <c r="C63" t="str">
        <f t="shared" si="0"/>
        <v>q34_1</v>
      </c>
    </row>
    <row r="64" spans="1:3" x14ac:dyDescent="0.2">
      <c r="A64" s="2" t="s">
        <v>57</v>
      </c>
      <c r="C64" t="str">
        <f t="shared" si="0"/>
        <v>q34_2</v>
      </c>
    </row>
    <row r="65" spans="1:3" x14ac:dyDescent="0.2">
      <c r="A65" s="2" t="s">
        <v>58</v>
      </c>
      <c r="C65" t="str">
        <f t="shared" si="0"/>
        <v>q34_3</v>
      </c>
    </row>
    <row r="66" spans="1:3" x14ac:dyDescent="0.2">
      <c r="A66" s="2" t="s">
        <v>59</v>
      </c>
      <c r="C66" t="str">
        <f t="shared" si="0"/>
        <v>q34_4</v>
      </c>
    </row>
    <row r="67" spans="1:3" x14ac:dyDescent="0.2">
      <c r="A67" s="2" t="s">
        <v>60</v>
      </c>
      <c r="C67" t="str">
        <f t="shared" ref="C67:C130" si="1">_xlfn.CONCAT(A67,B67)</f>
        <v>q34_5</v>
      </c>
    </row>
    <row r="68" spans="1:3" x14ac:dyDescent="0.2">
      <c r="A68" s="2" t="s">
        <v>61</v>
      </c>
      <c r="C68" t="str">
        <f t="shared" si="1"/>
        <v>q34_6</v>
      </c>
    </row>
    <row r="69" spans="1:3" x14ac:dyDescent="0.2">
      <c r="A69" s="2" t="s">
        <v>62</v>
      </c>
      <c r="C69" t="str">
        <f t="shared" si="1"/>
        <v>q3ROW4_hidden</v>
      </c>
    </row>
    <row r="70" spans="1:3" x14ac:dyDescent="0.2">
      <c r="A70" s="2" t="s">
        <v>63</v>
      </c>
      <c r="C70" t="str">
        <f t="shared" si="1"/>
        <v>q35_1</v>
      </c>
    </row>
    <row r="71" spans="1:3" x14ac:dyDescent="0.2">
      <c r="A71" s="2" t="s">
        <v>64</v>
      </c>
      <c r="C71" t="str">
        <f t="shared" si="1"/>
        <v>q35_2</v>
      </c>
    </row>
    <row r="72" spans="1:3" x14ac:dyDescent="0.2">
      <c r="A72" s="2" t="s">
        <v>65</v>
      </c>
      <c r="C72" t="str">
        <f t="shared" si="1"/>
        <v>q35_3</v>
      </c>
    </row>
    <row r="73" spans="1:3" x14ac:dyDescent="0.2">
      <c r="A73" s="2" t="s">
        <v>66</v>
      </c>
      <c r="C73" t="str">
        <f t="shared" si="1"/>
        <v>q35_4</v>
      </c>
    </row>
    <row r="74" spans="1:3" x14ac:dyDescent="0.2">
      <c r="A74" s="2" t="s">
        <v>67</v>
      </c>
      <c r="C74" t="str">
        <f t="shared" si="1"/>
        <v>q35_5</v>
      </c>
    </row>
    <row r="75" spans="1:3" x14ac:dyDescent="0.2">
      <c r="A75" s="2" t="s">
        <v>68</v>
      </c>
      <c r="C75" t="str">
        <f t="shared" si="1"/>
        <v>q35_6</v>
      </c>
    </row>
    <row r="76" spans="1:3" x14ac:dyDescent="0.2">
      <c r="A76" s="2" t="s">
        <v>69</v>
      </c>
      <c r="C76" t="str">
        <f t="shared" si="1"/>
        <v>q3ROW5_hidden</v>
      </c>
    </row>
    <row r="77" spans="1:3" x14ac:dyDescent="0.2">
      <c r="A77" s="2" t="s">
        <v>70</v>
      </c>
      <c r="C77" t="str">
        <f t="shared" si="1"/>
        <v>q36_1</v>
      </c>
    </row>
    <row r="78" spans="1:3" x14ac:dyDescent="0.2">
      <c r="A78" s="2" t="s">
        <v>71</v>
      </c>
      <c r="C78" t="str">
        <f t="shared" si="1"/>
        <v>q36_2</v>
      </c>
    </row>
    <row r="79" spans="1:3" x14ac:dyDescent="0.2">
      <c r="A79" s="2" t="s">
        <v>72</v>
      </c>
      <c r="C79" t="str">
        <f t="shared" si="1"/>
        <v>q36_3</v>
      </c>
    </row>
    <row r="80" spans="1:3" x14ac:dyDescent="0.2">
      <c r="A80" s="2" t="s">
        <v>73</v>
      </c>
      <c r="C80" t="str">
        <f t="shared" si="1"/>
        <v>q36_4</v>
      </c>
    </row>
    <row r="81" spans="1:3" x14ac:dyDescent="0.2">
      <c r="A81" s="2" t="s">
        <v>74</v>
      </c>
      <c r="C81" t="str">
        <f t="shared" si="1"/>
        <v>q36_5</v>
      </c>
    </row>
    <row r="82" spans="1:3" x14ac:dyDescent="0.2">
      <c r="A82" s="2" t="s">
        <v>75</v>
      </c>
      <c r="C82" t="str">
        <f t="shared" si="1"/>
        <v>q36_6</v>
      </c>
    </row>
    <row r="83" spans="1:3" x14ac:dyDescent="0.2">
      <c r="A83" s="2" t="s">
        <v>76</v>
      </c>
      <c r="C83" t="str">
        <f t="shared" si="1"/>
        <v>q3ROW6_hidden</v>
      </c>
    </row>
    <row r="84" spans="1:3" x14ac:dyDescent="0.2">
      <c r="A84" s="2" t="s">
        <v>77</v>
      </c>
      <c r="C84" t="str">
        <f t="shared" si="1"/>
        <v>q3COL1_hidden</v>
      </c>
    </row>
    <row r="85" spans="1:3" x14ac:dyDescent="0.2">
      <c r="A85" s="2" t="s">
        <v>78</v>
      </c>
      <c r="C85" t="str">
        <f t="shared" si="1"/>
        <v>q3COL2_hidden</v>
      </c>
    </row>
    <row r="86" spans="1:3" x14ac:dyDescent="0.2">
      <c r="A86" s="2" t="s">
        <v>79</v>
      </c>
      <c r="C86" t="str">
        <f t="shared" si="1"/>
        <v>q3COL3_hidden</v>
      </c>
    </row>
    <row r="87" spans="1:3" x14ac:dyDescent="0.2">
      <c r="A87" s="2" t="s">
        <v>80</v>
      </c>
      <c r="C87" t="str">
        <f t="shared" si="1"/>
        <v>q3COL4_hidden</v>
      </c>
    </row>
    <row r="88" spans="1:3" x14ac:dyDescent="0.2">
      <c r="A88" s="2" t="s">
        <v>81</v>
      </c>
      <c r="C88" t="str">
        <f t="shared" si="1"/>
        <v>q3COL5_hidden</v>
      </c>
    </row>
    <row r="89" spans="1:3" x14ac:dyDescent="0.2">
      <c r="A89" s="2" t="s">
        <v>82</v>
      </c>
      <c r="C89" t="str">
        <f t="shared" si="1"/>
        <v>q3COL6_hidden</v>
      </c>
    </row>
    <row r="90" spans="1:3" x14ac:dyDescent="0.2">
      <c r="A90" s="2" t="s">
        <v>83</v>
      </c>
      <c r="C90" t="str">
        <f t="shared" si="1"/>
        <v>q3GRANDTotal_hidden</v>
      </c>
    </row>
    <row r="91" spans="1:3" x14ac:dyDescent="0.2">
      <c r="A91" s="2" t="s">
        <v>84</v>
      </c>
      <c r="C91" t="str">
        <f t="shared" si="1"/>
        <v>q41_1</v>
      </c>
    </row>
    <row r="92" spans="1:3" x14ac:dyDescent="0.2">
      <c r="A92" s="2" t="s">
        <v>85</v>
      </c>
      <c r="C92" t="str">
        <f t="shared" si="1"/>
        <v>q41_2</v>
      </c>
    </row>
    <row r="93" spans="1:3" x14ac:dyDescent="0.2">
      <c r="A93" s="2" t="s">
        <v>86</v>
      </c>
      <c r="C93" t="str">
        <f t="shared" si="1"/>
        <v>q41_3</v>
      </c>
    </row>
    <row r="94" spans="1:3" x14ac:dyDescent="0.2">
      <c r="A94" s="2" t="s">
        <v>87</v>
      </c>
      <c r="C94" t="str">
        <f t="shared" si="1"/>
        <v>q41_4</v>
      </c>
    </row>
    <row r="95" spans="1:3" x14ac:dyDescent="0.2">
      <c r="A95" s="2" t="s">
        <v>88</v>
      </c>
      <c r="C95" t="str">
        <f t="shared" si="1"/>
        <v>q41_5</v>
      </c>
    </row>
    <row r="96" spans="1:3" x14ac:dyDescent="0.2">
      <c r="A96" s="2" t="s">
        <v>89</v>
      </c>
      <c r="C96" t="str">
        <f t="shared" si="1"/>
        <v>q41_6</v>
      </c>
    </row>
    <row r="97" spans="1:3" x14ac:dyDescent="0.2">
      <c r="A97" s="2" t="s">
        <v>90</v>
      </c>
      <c r="C97" t="str">
        <f t="shared" si="1"/>
        <v>q4ROW1_hidden</v>
      </c>
    </row>
    <row r="98" spans="1:3" x14ac:dyDescent="0.2">
      <c r="A98" s="2" t="s">
        <v>91</v>
      </c>
      <c r="C98" t="str">
        <f t="shared" si="1"/>
        <v>q42_1</v>
      </c>
    </row>
    <row r="99" spans="1:3" x14ac:dyDescent="0.2">
      <c r="A99" s="2" t="s">
        <v>92</v>
      </c>
      <c r="C99" t="str">
        <f t="shared" si="1"/>
        <v>q42_2</v>
      </c>
    </row>
    <row r="100" spans="1:3" x14ac:dyDescent="0.2">
      <c r="A100" s="2" t="s">
        <v>93</v>
      </c>
      <c r="C100" t="str">
        <f t="shared" si="1"/>
        <v>q42_3</v>
      </c>
    </row>
    <row r="101" spans="1:3" x14ac:dyDescent="0.2">
      <c r="A101" s="2" t="s">
        <v>94</v>
      </c>
      <c r="C101" t="str">
        <f t="shared" si="1"/>
        <v>q42_4</v>
      </c>
    </row>
    <row r="102" spans="1:3" x14ac:dyDescent="0.2">
      <c r="A102" s="2" t="s">
        <v>95</v>
      </c>
      <c r="C102" t="str">
        <f t="shared" si="1"/>
        <v>q42_5</v>
      </c>
    </row>
    <row r="103" spans="1:3" x14ac:dyDescent="0.2">
      <c r="A103" s="2" t="s">
        <v>96</v>
      </c>
      <c r="C103" t="str">
        <f t="shared" si="1"/>
        <v>q42_6</v>
      </c>
    </row>
    <row r="104" spans="1:3" x14ac:dyDescent="0.2">
      <c r="A104" s="2" t="s">
        <v>97</v>
      </c>
      <c r="C104" t="str">
        <f t="shared" si="1"/>
        <v>q4ROW2_hidden</v>
      </c>
    </row>
    <row r="105" spans="1:3" x14ac:dyDescent="0.2">
      <c r="A105" s="2" t="s">
        <v>98</v>
      </c>
      <c r="C105" t="str">
        <f t="shared" si="1"/>
        <v>q43_1</v>
      </c>
    </row>
    <row r="106" spans="1:3" x14ac:dyDescent="0.2">
      <c r="A106" s="2" t="s">
        <v>99</v>
      </c>
      <c r="C106" t="str">
        <f t="shared" si="1"/>
        <v>q43_2</v>
      </c>
    </row>
    <row r="107" spans="1:3" x14ac:dyDescent="0.2">
      <c r="A107" s="2" t="s">
        <v>100</v>
      </c>
      <c r="C107" t="str">
        <f t="shared" si="1"/>
        <v>q43_3</v>
      </c>
    </row>
    <row r="108" spans="1:3" x14ac:dyDescent="0.2">
      <c r="A108" s="2" t="s">
        <v>101</v>
      </c>
      <c r="C108" t="str">
        <f t="shared" si="1"/>
        <v>q43_4</v>
      </c>
    </row>
    <row r="109" spans="1:3" x14ac:dyDescent="0.2">
      <c r="A109" s="2" t="s">
        <v>102</v>
      </c>
      <c r="C109" t="str">
        <f t="shared" si="1"/>
        <v>q43_5</v>
      </c>
    </row>
    <row r="110" spans="1:3" x14ac:dyDescent="0.2">
      <c r="A110" s="2" t="s">
        <v>103</v>
      </c>
      <c r="C110" t="str">
        <f t="shared" si="1"/>
        <v>q43_6</v>
      </c>
    </row>
    <row r="111" spans="1:3" x14ac:dyDescent="0.2">
      <c r="A111" s="2" t="s">
        <v>104</v>
      </c>
      <c r="C111" t="str">
        <f t="shared" si="1"/>
        <v>q4ROW3_hidden</v>
      </c>
    </row>
    <row r="112" spans="1:3" x14ac:dyDescent="0.2">
      <c r="A112" s="2" t="s">
        <v>105</v>
      </c>
      <c r="C112" t="str">
        <f t="shared" si="1"/>
        <v>q44_1</v>
      </c>
    </row>
    <row r="113" spans="1:3" x14ac:dyDescent="0.2">
      <c r="A113" s="2" t="s">
        <v>106</v>
      </c>
      <c r="C113" t="str">
        <f t="shared" si="1"/>
        <v>q44_2</v>
      </c>
    </row>
    <row r="114" spans="1:3" x14ac:dyDescent="0.2">
      <c r="A114" s="2" t="s">
        <v>107</v>
      </c>
      <c r="C114" t="str">
        <f t="shared" si="1"/>
        <v>q44_3</v>
      </c>
    </row>
    <row r="115" spans="1:3" x14ac:dyDescent="0.2">
      <c r="A115" s="2" t="s">
        <v>108</v>
      </c>
      <c r="C115" t="str">
        <f t="shared" si="1"/>
        <v>q44_4</v>
      </c>
    </row>
    <row r="116" spans="1:3" x14ac:dyDescent="0.2">
      <c r="A116" s="2" t="s">
        <v>109</v>
      </c>
      <c r="C116" t="str">
        <f t="shared" si="1"/>
        <v>q44_5</v>
      </c>
    </row>
    <row r="117" spans="1:3" x14ac:dyDescent="0.2">
      <c r="A117" s="2" t="s">
        <v>110</v>
      </c>
      <c r="C117" t="str">
        <f t="shared" si="1"/>
        <v>q44_6</v>
      </c>
    </row>
    <row r="118" spans="1:3" x14ac:dyDescent="0.2">
      <c r="A118" s="2" t="s">
        <v>111</v>
      </c>
      <c r="C118" t="str">
        <f t="shared" si="1"/>
        <v>q4ROW4_hidden</v>
      </c>
    </row>
    <row r="119" spans="1:3" x14ac:dyDescent="0.2">
      <c r="A119" s="2" t="s">
        <v>112</v>
      </c>
      <c r="C119" t="str">
        <f t="shared" si="1"/>
        <v>q45_1</v>
      </c>
    </row>
    <row r="120" spans="1:3" x14ac:dyDescent="0.2">
      <c r="A120" s="2" t="s">
        <v>113</v>
      </c>
      <c r="C120" t="str">
        <f t="shared" si="1"/>
        <v>q45_2</v>
      </c>
    </row>
    <row r="121" spans="1:3" x14ac:dyDescent="0.2">
      <c r="A121" s="2" t="s">
        <v>114</v>
      </c>
      <c r="C121" t="str">
        <f t="shared" si="1"/>
        <v>q45_3</v>
      </c>
    </row>
    <row r="122" spans="1:3" x14ac:dyDescent="0.2">
      <c r="A122" s="2" t="s">
        <v>115</v>
      </c>
      <c r="C122" t="str">
        <f t="shared" si="1"/>
        <v>q45_4</v>
      </c>
    </row>
    <row r="123" spans="1:3" x14ac:dyDescent="0.2">
      <c r="A123" s="2" t="s">
        <v>116</v>
      </c>
      <c r="C123" t="str">
        <f t="shared" si="1"/>
        <v>q45_5</v>
      </c>
    </row>
    <row r="124" spans="1:3" x14ac:dyDescent="0.2">
      <c r="A124" s="2" t="s">
        <v>117</v>
      </c>
      <c r="C124" t="str">
        <f t="shared" si="1"/>
        <v>q45_6</v>
      </c>
    </row>
    <row r="125" spans="1:3" x14ac:dyDescent="0.2">
      <c r="A125" s="2" t="s">
        <v>118</v>
      </c>
      <c r="C125" t="str">
        <f t="shared" si="1"/>
        <v>q4ROW5_hidden</v>
      </c>
    </row>
    <row r="126" spans="1:3" x14ac:dyDescent="0.2">
      <c r="A126" s="2" t="s">
        <v>119</v>
      </c>
      <c r="C126" t="str">
        <f t="shared" si="1"/>
        <v>q46_1</v>
      </c>
    </row>
    <row r="127" spans="1:3" x14ac:dyDescent="0.2">
      <c r="A127" s="2" t="s">
        <v>120</v>
      </c>
      <c r="C127" t="str">
        <f t="shared" si="1"/>
        <v>q46_2</v>
      </c>
    </row>
    <row r="128" spans="1:3" x14ac:dyDescent="0.2">
      <c r="A128" s="2" t="s">
        <v>121</v>
      </c>
      <c r="C128" t="str">
        <f t="shared" si="1"/>
        <v>q46_3</v>
      </c>
    </row>
    <row r="129" spans="1:3" x14ac:dyDescent="0.2">
      <c r="A129" s="2" t="s">
        <v>122</v>
      </c>
      <c r="C129" t="str">
        <f t="shared" si="1"/>
        <v>q46_4</v>
      </c>
    </row>
    <row r="130" spans="1:3" x14ac:dyDescent="0.2">
      <c r="A130" s="2" t="s">
        <v>123</v>
      </c>
      <c r="C130" t="str">
        <f t="shared" si="1"/>
        <v>q46_5</v>
      </c>
    </row>
    <row r="131" spans="1:3" x14ac:dyDescent="0.2">
      <c r="A131" s="2" t="s">
        <v>124</v>
      </c>
      <c r="C131" t="str">
        <f t="shared" ref="C131:C194" si="2">_xlfn.CONCAT(A131,B131)</f>
        <v>q46_6</v>
      </c>
    </row>
    <row r="132" spans="1:3" x14ac:dyDescent="0.2">
      <c r="A132" s="2" t="s">
        <v>125</v>
      </c>
      <c r="C132" t="str">
        <f t="shared" si="2"/>
        <v>q4ROW6_hidden</v>
      </c>
    </row>
    <row r="133" spans="1:3" x14ac:dyDescent="0.2">
      <c r="A133" s="2" t="s">
        <v>126</v>
      </c>
      <c r="C133" t="str">
        <f t="shared" si="2"/>
        <v>q4COL1_hidden</v>
      </c>
    </row>
    <row r="134" spans="1:3" x14ac:dyDescent="0.2">
      <c r="A134" s="2" t="s">
        <v>127</v>
      </c>
      <c r="C134" t="str">
        <f t="shared" si="2"/>
        <v>q4COL2_hidden</v>
      </c>
    </row>
    <row r="135" spans="1:3" x14ac:dyDescent="0.2">
      <c r="A135" s="2" t="s">
        <v>128</v>
      </c>
      <c r="C135" t="str">
        <f t="shared" si="2"/>
        <v>q4COL3_hidden</v>
      </c>
    </row>
    <row r="136" spans="1:3" x14ac:dyDescent="0.2">
      <c r="A136" s="2" t="s">
        <v>129</v>
      </c>
      <c r="C136" t="str">
        <f t="shared" si="2"/>
        <v>q4COL4_hidden</v>
      </c>
    </row>
    <row r="137" spans="1:3" x14ac:dyDescent="0.2">
      <c r="A137" s="2" t="s">
        <v>130</v>
      </c>
      <c r="C137" t="str">
        <f t="shared" si="2"/>
        <v>q4COL5_hidden</v>
      </c>
    </row>
    <row r="138" spans="1:3" x14ac:dyDescent="0.2">
      <c r="A138" s="2" t="s">
        <v>131</v>
      </c>
      <c r="C138" t="str">
        <f t="shared" si="2"/>
        <v>q4COL6_hidden</v>
      </c>
    </row>
    <row r="139" spans="1:3" x14ac:dyDescent="0.2">
      <c r="A139" s="2" t="s">
        <v>132</v>
      </c>
      <c r="C139" t="str">
        <f t="shared" si="2"/>
        <v>q4GRANDTotal_hidden</v>
      </c>
    </row>
    <row r="140" spans="1:3" x14ac:dyDescent="0.2">
      <c r="A140" s="2" t="s">
        <v>133</v>
      </c>
      <c r="C140" t="str">
        <f t="shared" si="2"/>
        <v>Alert41_1</v>
      </c>
    </row>
    <row r="141" spans="1:3" x14ac:dyDescent="0.2">
      <c r="A141" s="2" t="s">
        <v>134</v>
      </c>
      <c r="C141" t="str">
        <f t="shared" si="2"/>
        <v>Alert41_2</v>
      </c>
    </row>
    <row r="142" spans="1:3" x14ac:dyDescent="0.2">
      <c r="A142" s="2" t="s">
        <v>135</v>
      </c>
      <c r="C142" t="str">
        <f t="shared" si="2"/>
        <v>Alert41_3</v>
      </c>
    </row>
    <row r="143" spans="1:3" x14ac:dyDescent="0.2">
      <c r="A143" s="2" t="s">
        <v>136</v>
      </c>
      <c r="C143" t="str">
        <f t="shared" si="2"/>
        <v>Alert41_4</v>
      </c>
    </row>
    <row r="144" spans="1:3" x14ac:dyDescent="0.2">
      <c r="A144" s="2" t="s">
        <v>137</v>
      </c>
      <c r="C144" t="str">
        <f t="shared" si="2"/>
        <v>Alert41_5</v>
      </c>
    </row>
    <row r="145" spans="1:3" x14ac:dyDescent="0.2">
      <c r="A145" s="2" t="s">
        <v>138</v>
      </c>
      <c r="C145" t="str">
        <f t="shared" si="2"/>
        <v>Alert41_6</v>
      </c>
    </row>
    <row r="146" spans="1:3" x14ac:dyDescent="0.2">
      <c r="A146" s="2" t="s">
        <v>139</v>
      </c>
      <c r="C146" t="str">
        <f t="shared" si="2"/>
        <v>Alert42_1</v>
      </c>
    </row>
    <row r="147" spans="1:3" x14ac:dyDescent="0.2">
      <c r="A147" s="2" t="s">
        <v>140</v>
      </c>
      <c r="C147" t="str">
        <f t="shared" si="2"/>
        <v>Alert42_2</v>
      </c>
    </row>
    <row r="148" spans="1:3" x14ac:dyDescent="0.2">
      <c r="A148" s="2" t="s">
        <v>141</v>
      </c>
      <c r="C148" t="str">
        <f t="shared" si="2"/>
        <v>Alert42_3</v>
      </c>
    </row>
    <row r="149" spans="1:3" x14ac:dyDescent="0.2">
      <c r="A149" s="2" t="s">
        <v>142</v>
      </c>
      <c r="C149" t="str">
        <f t="shared" si="2"/>
        <v>Alert42_4</v>
      </c>
    </row>
    <row r="150" spans="1:3" x14ac:dyDescent="0.2">
      <c r="A150" s="2" t="s">
        <v>143</v>
      </c>
      <c r="C150" t="str">
        <f t="shared" si="2"/>
        <v>Alert42_5</v>
      </c>
    </row>
    <row r="151" spans="1:3" x14ac:dyDescent="0.2">
      <c r="A151" s="2" t="s">
        <v>144</v>
      </c>
      <c r="C151" t="str">
        <f t="shared" si="2"/>
        <v>Alert42_6</v>
      </c>
    </row>
    <row r="152" spans="1:3" x14ac:dyDescent="0.2">
      <c r="A152" s="2" t="s">
        <v>145</v>
      </c>
      <c r="C152" t="str">
        <f t="shared" si="2"/>
        <v>Alert43_1</v>
      </c>
    </row>
    <row r="153" spans="1:3" x14ac:dyDescent="0.2">
      <c r="A153" s="2" t="s">
        <v>146</v>
      </c>
      <c r="C153" t="str">
        <f t="shared" si="2"/>
        <v>Alert43_2</v>
      </c>
    </row>
    <row r="154" spans="1:3" x14ac:dyDescent="0.2">
      <c r="A154" s="2" t="s">
        <v>147</v>
      </c>
      <c r="C154" t="str">
        <f t="shared" si="2"/>
        <v>Alert43_3</v>
      </c>
    </row>
    <row r="155" spans="1:3" x14ac:dyDescent="0.2">
      <c r="A155" s="2" t="s">
        <v>148</v>
      </c>
      <c r="C155" t="str">
        <f t="shared" si="2"/>
        <v>Alert43_4</v>
      </c>
    </row>
    <row r="156" spans="1:3" x14ac:dyDescent="0.2">
      <c r="A156" s="2" t="s">
        <v>149</v>
      </c>
      <c r="C156" t="str">
        <f t="shared" si="2"/>
        <v>Alert43_5</v>
      </c>
    </row>
    <row r="157" spans="1:3" x14ac:dyDescent="0.2">
      <c r="A157" s="2" t="s">
        <v>150</v>
      </c>
      <c r="C157" t="str">
        <f t="shared" si="2"/>
        <v>Alert43_6</v>
      </c>
    </row>
    <row r="158" spans="1:3" x14ac:dyDescent="0.2">
      <c r="A158" s="2" t="s">
        <v>151</v>
      </c>
      <c r="C158" t="str">
        <f t="shared" si="2"/>
        <v>Alert44_1</v>
      </c>
    </row>
    <row r="159" spans="1:3" x14ac:dyDescent="0.2">
      <c r="A159" s="2" t="s">
        <v>152</v>
      </c>
      <c r="C159" t="str">
        <f t="shared" si="2"/>
        <v>Alert44_2</v>
      </c>
    </row>
    <row r="160" spans="1:3" x14ac:dyDescent="0.2">
      <c r="A160" s="2" t="s">
        <v>153</v>
      </c>
      <c r="C160" t="str">
        <f t="shared" si="2"/>
        <v>Alert44_3</v>
      </c>
    </row>
    <row r="161" spans="1:3" x14ac:dyDescent="0.2">
      <c r="A161" s="2" t="s">
        <v>154</v>
      </c>
      <c r="C161" t="str">
        <f t="shared" si="2"/>
        <v>Alert44_4</v>
      </c>
    </row>
    <row r="162" spans="1:3" x14ac:dyDescent="0.2">
      <c r="A162" s="2" t="s">
        <v>155</v>
      </c>
      <c r="C162" t="str">
        <f t="shared" si="2"/>
        <v>Alert44_5</v>
      </c>
    </row>
    <row r="163" spans="1:3" x14ac:dyDescent="0.2">
      <c r="A163" s="2" t="s">
        <v>156</v>
      </c>
      <c r="C163" t="str">
        <f t="shared" si="2"/>
        <v>Alert44_6</v>
      </c>
    </row>
    <row r="164" spans="1:3" x14ac:dyDescent="0.2">
      <c r="A164" s="2" t="s">
        <v>157</v>
      </c>
      <c r="C164" t="str">
        <f t="shared" si="2"/>
        <v>Alert45_1</v>
      </c>
    </row>
    <row r="165" spans="1:3" x14ac:dyDescent="0.2">
      <c r="A165" s="2" t="s">
        <v>158</v>
      </c>
      <c r="C165" t="str">
        <f t="shared" si="2"/>
        <v>Alert45_2</v>
      </c>
    </row>
    <row r="166" spans="1:3" x14ac:dyDescent="0.2">
      <c r="A166" s="2" t="s">
        <v>159</v>
      </c>
      <c r="C166" t="str">
        <f t="shared" si="2"/>
        <v>Alert45_3</v>
      </c>
    </row>
    <row r="167" spans="1:3" x14ac:dyDescent="0.2">
      <c r="A167" s="2" t="s">
        <v>160</v>
      </c>
      <c r="C167" t="str">
        <f t="shared" si="2"/>
        <v>Alert45_4</v>
      </c>
    </row>
    <row r="168" spans="1:3" x14ac:dyDescent="0.2">
      <c r="A168" s="2" t="s">
        <v>161</v>
      </c>
      <c r="C168" t="str">
        <f t="shared" si="2"/>
        <v>Alert45_5</v>
      </c>
    </row>
    <row r="169" spans="1:3" x14ac:dyDescent="0.2">
      <c r="A169" s="2" t="s">
        <v>162</v>
      </c>
      <c r="C169" t="str">
        <f t="shared" si="2"/>
        <v>Alert45_6</v>
      </c>
    </row>
    <row r="170" spans="1:3" x14ac:dyDescent="0.2">
      <c r="A170" s="2" t="s">
        <v>163</v>
      </c>
      <c r="C170" t="str">
        <f t="shared" si="2"/>
        <v>Alert46_1</v>
      </c>
    </row>
    <row r="171" spans="1:3" x14ac:dyDescent="0.2">
      <c r="A171" s="2" t="s">
        <v>164</v>
      </c>
      <c r="C171" t="str">
        <f t="shared" si="2"/>
        <v>Alert46_2</v>
      </c>
    </row>
    <row r="172" spans="1:3" x14ac:dyDescent="0.2">
      <c r="A172" s="2" t="s">
        <v>165</v>
      </c>
      <c r="C172" t="str">
        <f t="shared" si="2"/>
        <v>Alert46_3</v>
      </c>
    </row>
    <row r="173" spans="1:3" x14ac:dyDescent="0.2">
      <c r="A173" s="2" t="s">
        <v>166</v>
      </c>
      <c r="C173" t="str">
        <f t="shared" si="2"/>
        <v>Alert46_4</v>
      </c>
    </row>
    <row r="174" spans="1:3" x14ac:dyDescent="0.2">
      <c r="A174" s="2" t="s">
        <v>167</v>
      </c>
      <c r="C174" t="str">
        <f t="shared" si="2"/>
        <v>Alert46_5</v>
      </c>
    </row>
    <row r="175" spans="1:3" x14ac:dyDescent="0.2">
      <c r="A175" s="2" t="s">
        <v>168</v>
      </c>
      <c r="C175" t="str">
        <f t="shared" si="2"/>
        <v>Alert46_6</v>
      </c>
    </row>
    <row r="176" spans="1:3" x14ac:dyDescent="0.2">
      <c r="A176" s="2" t="s">
        <v>169</v>
      </c>
      <c r="C176" t="str">
        <f t="shared" si="2"/>
        <v>q51_1</v>
      </c>
    </row>
    <row r="177" spans="1:3" x14ac:dyDescent="0.2">
      <c r="A177" s="2" t="s">
        <v>170</v>
      </c>
      <c r="C177" t="str">
        <f t="shared" si="2"/>
        <v>q51_2</v>
      </c>
    </row>
    <row r="178" spans="1:3" x14ac:dyDescent="0.2">
      <c r="A178" s="2" t="s">
        <v>171</v>
      </c>
      <c r="C178" t="str">
        <f t="shared" si="2"/>
        <v>q51_3</v>
      </c>
    </row>
    <row r="179" spans="1:3" x14ac:dyDescent="0.2">
      <c r="A179" s="2" t="s">
        <v>172</v>
      </c>
      <c r="C179" t="str">
        <f t="shared" si="2"/>
        <v>q51_4</v>
      </c>
    </row>
    <row r="180" spans="1:3" x14ac:dyDescent="0.2">
      <c r="A180" s="2" t="s">
        <v>173</v>
      </c>
      <c r="C180" t="str">
        <f t="shared" si="2"/>
        <v>q51_5</v>
      </c>
    </row>
    <row r="181" spans="1:3" x14ac:dyDescent="0.2">
      <c r="A181" s="2" t="s">
        <v>174</v>
      </c>
      <c r="C181" t="str">
        <f t="shared" si="2"/>
        <v>q51_6</v>
      </c>
    </row>
    <row r="182" spans="1:3" x14ac:dyDescent="0.2">
      <c r="A182" s="2" t="s">
        <v>175</v>
      </c>
      <c r="C182" t="str">
        <f t="shared" si="2"/>
        <v>q5ROW1_hidden</v>
      </c>
    </row>
    <row r="183" spans="1:3" x14ac:dyDescent="0.2">
      <c r="A183" s="2" t="s">
        <v>176</v>
      </c>
      <c r="C183" t="str">
        <f t="shared" si="2"/>
        <v>q52_1</v>
      </c>
    </row>
    <row r="184" spans="1:3" x14ac:dyDescent="0.2">
      <c r="A184" s="2" t="s">
        <v>177</v>
      </c>
      <c r="C184" t="str">
        <f t="shared" si="2"/>
        <v>q52_2</v>
      </c>
    </row>
    <row r="185" spans="1:3" x14ac:dyDescent="0.2">
      <c r="A185" s="2" t="s">
        <v>178</v>
      </c>
      <c r="C185" t="str">
        <f t="shared" si="2"/>
        <v>q52_3</v>
      </c>
    </row>
    <row r="186" spans="1:3" x14ac:dyDescent="0.2">
      <c r="A186" s="2" t="s">
        <v>179</v>
      </c>
      <c r="C186" t="str">
        <f t="shared" si="2"/>
        <v>q52_4</v>
      </c>
    </row>
    <row r="187" spans="1:3" x14ac:dyDescent="0.2">
      <c r="A187" s="2" t="s">
        <v>180</v>
      </c>
      <c r="C187" t="str">
        <f t="shared" si="2"/>
        <v>q52_5</v>
      </c>
    </row>
    <row r="188" spans="1:3" x14ac:dyDescent="0.2">
      <c r="A188" s="2" t="s">
        <v>181</v>
      </c>
      <c r="C188" t="str">
        <f t="shared" si="2"/>
        <v>q52_6</v>
      </c>
    </row>
    <row r="189" spans="1:3" x14ac:dyDescent="0.2">
      <c r="A189" s="2" t="s">
        <v>182</v>
      </c>
      <c r="C189" t="str">
        <f t="shared" si="2"/>
        <v>q5ROW2_hidden</v>
      </c>
    </row>
    <row r="190" spans="1:3" x14ac:dyDescent="0.2">
      <c r="A190" s="2" t="s">
        <v>183</v>
      </c>
      <c r="C190" t="str">
        <f t="shared" si="2"/>
        <v>q53_1</v>
      </c>
    </row>
    <row r="191" spans="1:3" x14ac:dyDescent="0.2">
      <c r="A191" s="2" t="s">
        <v>184</v>
      </c>
      <c r="C191" t="str">
        <f t="shared" si="2"/>
        <v>q53_2</v>
      </c>
    </row>
    <row r="192" spans="1:3" x14ac:dyDescent="0.2">
      <c r="A192" s="2" t="s">
        <v>185</v>
      </c>
      <c r="C192" t="str">
        <f t="shared" si="2"/>
        <v>q53_3</v>
      </c>
    </row>
    <row r="193" spans="1:3" x14ac:dyDescent="0.2">
      <c r="A193" s="2" t="s">
        <v>186</v>
      </c>
      <c r="C193" t="str">
        <f t="shared" si="2"/>
        <v>q53_4</v>
      </c>
    </row>
    <row r="194" spans="1:3" x14ac:dyDescent="0.2">
      <c r="A194" s="2" t="s">
        <v>187</v>
      </c>
      <c r="C194" t="str">
        <f t="shared" si="2"/>
        <v>q53_5</v>
      </c>
    </row>
    <row r="195" spans="1:3" x14ac:dyDescent="0.2">
      <c r="A195" s="2" t="s">
        <v>188</v>
      </c>
      <c r="C195" t="str">
        <f t="shared" ref="C195:C258" si="3">_xlfn.CONCAT(A195,B195)</f>
        <v>q53_6</v>
      </c>
    </row>
    <row r="196" spans="1:3" x14ac:dyDescent="0.2">
      <c r="A196" s="2" t="s">
        <v>189</v>
      </c>
      <c r="C196" t="str">
        <f t="shared" si="3"/>
        <v>q5ROW3_hidden</v>
      </c>
    </row>
    <row r="197" spans="1:3" x14ac:dyDescent="0.2">
      <c r="A197" s="2" t="s">
        <v>190</v>
      </c>
      <c r="C197" t="str">
        <f t="shared" si="3"/>
        <v>q54_1</v>
      </c>
    </row>
    <row r="198" spans="1:3" x14ac:dyDescent="0.2">
      <c r="A198" s="2" t="s">
        <v>191</v>
      </c>
      <c r="C198" t="str">
        <f t="shared" si="3"/>
        <v>q54_2</v>
      </c>
    </row>
    <row r="199" spans="1:3" x14ac:dyDescent="0.2">
      <c r="A199" s="2" t="s">
        <v>192</v>
      </c>
      <c r="C199" t="str">
        <f t="shared" si="3"/>
        <v>q54_3</v>
      </c>
    </row>
    <row r="200" spans="1:3" x14ac:dyDescent="0.2">
      <c r="A200" s="2" t="s">
        <v>193</v>
      </c>
      <c r="C200" t="str">
        <f t="shared" si="3"/>
        <v>q54_4</v>
      </c>
    </row>
    <row r="201" spans="1:3" x14ac:dyDescent="0.2">
      <c r="A201" s="2" t="s">
        <v>194</v>
      </c>
      <c r="C201" t="str">
        <f t="shared" si="3"/>
        <v>q54_5</v>
      </c>
    </row>
    <row r="202" spans="1:3" x14ac:dyDescent="0.2">
      <c r="A202" s="2" t="s">
        <v>195</v>
      </c>
      <c r="C202" t="str">
        <f t="shared" si="3"/>
        <v>q54_6</v>
      </c>
    </row>
    <row r="203" spans="1:3" x14ac:dyDescent="0.2">
      <c r="A203" s="2" t="s">
        <v>196</v>
      </c>
      <c r="C203" t="str">
        <f t="shared" si="3"/>
        <v>q5ROW4_hidden</v>
      </c>
    </row>
    <row r="204" spans="1:3" x14ac:dyDescent="0.2">
      <c r="A204" s="2" t="s">
        <v>197</v>
      </c>
      <c r="C204" t="str">
        <f t="shared" si="3"/>
        <v>q55_1</v>
      </c>
    </row>
    <row r="205" spans="1:3" x14ac:dyDescent="0.2">
      <c r="A205" s="2" t="s">
        <v>198</v>
      </c>
      <c r="C205" t="str">
        <f t="shared" si="3"/>
        <v>q55_2</v>
      </c>
    </row>
    <row r="206" spans="1:3" x14ac:dyDescent="0.2">
      <c r="A206" s="2" t="s">
        <v>199</v>
      </c>
      <c r="C206" t="str">
        <f t="shared" si="3"/>
        <v>q55_3</v>
      </c>
    </row>
    <row r="207" spans="1:3" x14ac:dyDescent="0.2">
      <c r="A207" s="2" t="s">
        <v>200</v>
      </c>
      <c r="C207" t="str">
        <f t="shared" si="3"/>
        <v>q55_4</v>
      </c>
    </row>
    <row r="208" spans="1:3" x14ac:dyDescent="0.2">
      <c r="A208" s="2" t="s">
        <v>201</v>
      </c>
      <c r="C208" t="str">
        <f t="shared" si="3"/>
        <v>q55_5</v>
      </c>
    </row>
    <row r="209" spans="1:3" x14ac:dyDescent="0.2">
      <c r="A209" s="2" t="s">
        <v>202</v>
      </c>
      <c r="C209" t="str">
        <f t="shared" si="3"/>
        <v>q55_6</v>
      </c>
    </row>
    <row r="210" spans="1:3" x14ac:dyDescent="0.2">
      <c r="A210" s="2" t="s">
        <v>203</v>
      </c>
      <c r="C210" t="str">
        <f t="shared" si="3"/>
        <v>q5ROW5_hidden</v>
      </c>
    </row>
    <row r="211" spans="1:3" x14ac:dyDescent="0.2">
      <c r="A211" s="2" t="s">
        <v>204</v>
      </c>
      <c r="C211" t="str">
        <f t="shared" si="3"/>
        <v>q56_1</v>
      </c>
    </row>
    <row r="212" spans="1:3" x14ac:dyDescent="0.2">
      <c r="A212" s="2" t="s">
        <v>205</v>
      </c>
      <c r="C212" t="str">
        <f t="shared" si="3"/>
        <v>q56_2</v>
      </c>
    </row>
    <row r="213" spans="1:3" x14ac:dyDescent="0.2">
      <c r="A213" s="2" t="s">
        <v>206</v>
      </c>
      <c r="C213" t="str">
        <f t="shared" si="3"/>
        <v>q56_3</v>
      </c>
    </row>
    <row r="214" spans="1:3" x14ac:dyDescent="0.2">
      <c r="A214" s="2" t="s">
        <v>207</v>
      </c>
      <c r="C214" t="str">
        <f t="shared" si="3"/>
        <v>q56_4</v>
      </c>
    </row>
    <row r="215" spans="1:3" x14ac:dyDescent="0.2">
      <c r="A215" s="2" t="s">
        <v>208</v>
      </c>
      <c r="C215" t="str">
        <f t="shared" si="3"/>
        <v>q56_5</v>
      </c>
    </row>
    <row r="216" spans="1:3" x14ac:dyDescent="0.2">
      <c r="A216" s="2" t="s">
        <v>209</v>
      </c>
      <c r="C216" t="str">
        <f t="shared" si="3"/>
        <v>q56_6</v>
      </c>
    </row>
    <row r="217" spans="1:3" x14ac:dyDescent="0.2">
      <c r="A217" s="2" t="s">
        <v>210</v>
      </c>
      <c r="C217" t="str">
        <f t="shared" si="3"/>
        <v>q5ROW6_hidden</v>
      </c>
    </row>
    <row r="218" spans="1:3" x14ac:dyDescent="0.2">
      <c r="A218" s="2" t="s">
        <v>211</v>
      </c>
      <c r="C218" t="str">
        <f t="shared" si="3"/>
        <v>q57_1</v>
      </c>
    </row>
    <row r="219" spans="1:3" x14ac:dyDescent="0.2">
      <c r="A219" s="2" t="s">
        <v>212</v>
      </c>
      <c r="C219" t="str">
        <f t="shared" si="3"/>
        <v>q57_2</v>
      </c>
    </row>
    <row r="220" spans="1:3" x14ac:dyDescent="0.2">
      <c r="A220" s="2" t="s">
        <v>213</v>
      </c>
      <c r="C220" t="str">
        <f t="shared" si="3"/>
        <v>q57_3</v>
      </c>
    </row>
    <row r="221" spans="1:3" x14ac:dyDescent="0.2">
      <c r="A221" s="2" t="s">
        <v>214</v>
      </c>
      <c r="C221" t="str">
        <f t="shared" si="3"/>
        <v>q57_4</v>
      </c>
    </row>
    <row r="222" spans="1:3" x14ac:dyDescent="0.2">
      <c r="A222" s="2" t="s">
        <v>215</v>
      </c>
      <c r="C222" t="str">
        <f t="shared" si="3"/>
        <v>q57_5</v>
      </c>
    </row>
    <row r="223" spans="1:3" x14ac:dyDescent="0.2">
      <c r="A223" s="2" t="s">
        <v>216</v>
      </c>
      <c r="C223" t="str">
        <f t="shared" si="3"/>
        <v>q57_6</v>
      </c>
    </row>
    <row r="224" spans="1:3" x14ac:dyDescent="0.2">
      <c r="A224" s="2" t="s">
        <v>217</v>
      </c>
      <c r="C224" t="str">
        <f t="shared" si="3"/>
        <v>q5ROW7_hidden</v>
      </c>
    </row>
    <row r="225" spans="1:3" x14ac:dyDescent="0.2">
      <c r="A225" s="2" t="s">
        <v>218</v>
      </c>
      <c r="C225" t="str">
        <f t="shared" si="3"/>
        <v>q5other</v>
      </c>
    </row>
    <row r="226" spans="1:3" x14ac:dyDescent="0.2">
      <c r="A226" s="2" t="s">
        <v>219</v>
      </c>
      <c r="C226" t="str">
        <f t="shared" si="3"/>
        <v>q58_1</v>
      </c>
    </row>
    <row r="227" spans="1:3" x14ac:dyDescent="0.2">
      <c r="A227" s="2" t="s">
        <v>220</v>
      </c>
      <c r="C227" t="str">
        <f t="shared" si="3"/>
        <v>q58_2</v>
      </c>
    </row>
    <row r="228" spans="1:3" x14ac:dyDescent="0.2">
      <c r="A228" s="2" t="s">
        <v>221</v>
      </c>
      <c r="C228" t="str">
        <f t="shared" si="3"/>
        <v>q58_3</v>
      </c>
    </row>
    <row r="229" spans="1:3" x14ac:dyDescent="0.2">
      <c r="A229" s="2" t="s">
        <v>222</v>
      </c>
      <c r="C229" t="str">
        <f t="shared" si="3"/>
        <v>q58_4</v>
      </c>
    </row>
    <row r="230" spans="1:3" x14ac:dyDescent="0.2">
      <c r="A230" s="2" t="s">
        <v>223</v>
      </c>
      <c r="C230" t="str">
        <f t="shared" si="3"/>
        <v>q58_5</v>
      </c>
    </row>
    <row r="231" spans="1:3" x14ac:dyDescent="0.2">
      <c r="A231" s="2" t="s">
        <v>224</v>
      </c>
      <c r="C231" t="str">
        <f t="shared" si="3"/>
        <v>q58_6</v>
      </c>
    </row>
    <row r="232" spans="1:3" x14ac:dyDescent="0.2">
      <c r="A232" s="2" t="s">
        <v>225</v>
      </c>
      <c r="C232" t="str">
        <f t="shared" si="3"/>
        <v>q5ROW8_hidden</v>
      </c>
    </row>
    <row r="233" spans="1:3" x14ac:dyDescent="0.2">
      <c r="A233" s="2" t="s">
        <v>226</v>
      </c>
      <c r="C233" t="str">
        <f t="shared" si="3"/>
        <v>q5COL1_hidden</v>
      </c>
    </row>
    <row r="234" spans="1:3" x14ac:dyDescent="0.2">
      <c r="A234" s="2" t="s">
        <v>227</v>
      </c>
      <c r="C234" t="str">
        <f t="shared" si="3"/>
        <v>q5COL2_hidden</v>
      </c>
    </row>
    <row r="235" spans="1:3" x14ac:dyDescent="0.2">
      <c r="A235" s="2" t="s">
        <v>228</v>
      </c>
      <c r="C235" t="str">
        <f t="shared" si="3"/>
        <v>q5COL3_hidden</v>
      </c>
    </row>
    <row r="236" spans="1:3" x14ac:dyDescent="0.2">
      <c r="A236" s="2" t="s">
        <v>229</v>
      </c>
      <c r="C236" t="str">
        <f t="shared" si="3"/>
        <v>q5COL4_hidden</v>
      </c>
    </row>
    <row r="237" spans="1:3" x14ac:dyDescent="0.2">
      <c r="A237" s="2" t="s">
        <v>230</v>
      </c>
      <c r="C237" t="str">
        <f t="shared" si="3"/>
        <v>q5COL5_hidden</v>
      </c>
    </row>
    <row r="238" spans="1:3" x14ac:dyDescent="0.2">
      <c r="A238" s="2" t="s">
        <v>231</v>
      </c>
      <c r="C238" t="str">
        <f t="shared" si="3"/>
        <v>q5COL6_hidden</v>
      </c>
    </row>
    <row r="239" spans="1:3" x14ac:dyDescent="0.2">
      <c r="A239" s="2" t="s">
        <v>232</v>
      </c>
      <c r="C239" t="str">
        <f t="shared" si="3"/>
        <v>q5GRANDTotal_hidden</v>
      </c>
    </row>
    <row r="240" spans="1:3" x14ac:dyDescent="0.2">
      <c r="A240" s="2" t="s">
        <v>233</v>
      </c>
      <c r="C240" t="str">
        <f t="shared" si="3"/>
        <v>q61_1</v>
      </c>
    </row>
    <row r="241" spans="1:3" x14ac:dyDescent="0.2">
      <c r="A241" s="2" t="s">
        <v>234</v>
      </c>
      <c r="C241" t="str">
        <f t="shared" si="3"/>
        <v>q61_2</v>
      </c>
    </row>
    <row r="242" spans="1:3" x14ac:dyDescent="0.2">
      <c r="A242" s="2" t="s">
        <v>235</v>
      </c>
      <c r="C242" t="str">
        <f t="shared" si="3"/>
        <v>q61_3</v>
      </c>
    </row>
    <row r="243" spans="1:3" x14ac:dyDescent="0.2">
      <c r="A243" s="2" t="s">
        <v>236</v>
      </c>
      <c r="C243" t="str">
        <f t="shared" si="3"/>
        <v>q61_4</v>
      </c>
    </row>
    <row r="244" spans="1:3" x14ac:dyDescent="0.2">
      <c r="A244" s="2" t="s">
        <v>237</v>
      </c>
      <c r="C244" t="str">
        <f t="shared" si="3"/>
        <v>q61_5</v>
      </c>
    </row>
    <row r="245" spans="1:3" x14ac:dyDescent="0.2">
      <c r="A245" s="2" t="s">
        <v>238</v>
      </c>
      <c r="C245" t="str">
        <f t="shared" si="3"/>
        <v>q61_6</v>
      </c>
    </row>
    <row r="246" spans="1:3" x14ac:dyDescent="0.2">
      <c r="A246" s="2" t="s">
        <v>239</v>
      </c>
      <c r="C246" t="str">
        <f t="shared" si="3"/>
        <v>q6ROW1_hidden</v>
      </c>
    </row>
    <row r="247" spans="1:3" x14ac:dyDescent="0.2">
      <c r="A247" s="2" t="s">
        <v>240</v>
      </c>
      <c r="C247" t="str">
        <f t="shared" si="3"/>
        <v>q62_1</v>
      </c>
    </row>
    <row r="248" spans="1:3" x14ac:dyDescent="0.2">
      <c r="A248" s="2" t="s">
        <v>241</v>
      </c>
      <c r="C248" t="str">
        <f t="shared" si="3"/>
        <v>q62_2</v>
      </c>
    </row>
    <row r="249" spans="1:3" x14ac:dyDescent="0.2">
      <c r="A249" s="2" t="s">
        <v>242</v>
      </c>
      <c r="C249" t="str">
        <f t="shared" si="3"/>
        <v>q62_3</v>
      </c>
    </row>
    <row r="250" spans="1:3" x14ac:dyDescent="0.2">
      <c r="A250" s="2" t="s">
        <v>243</v>
      </c>
      <c r="C250" t="str">
        <f t="shared" si="3"/>
        <v>q62_4</v>
      </c>
    </row>
    <row r="251" spans="1:3" x14ac:dyDescent="0.2">
      <c r="A251" s="2" t="s">
        <v>244</v>
      </c>
      <c r="C251" t="str">
        <f t="shared" si="3"/>
        <v>q62_5</v>
      </c>
    </row>
    <row r="252" spans="1:3" x14ac:dyDescent="0.2">
      <c r="A252" s="2" t="s">
        <v>245</v>
      </c>
      <c r="C252" t="str">
        <f t="shared" si="3"/>
        <v>q62_6</v>
      </c>
    </row>
    <row r="253" spans="1:3" x14ac:dyDescent="0.2">
      <c r="A253" s="2" t="s">
        <v>246</v>
      </c>
      <c r="C253" t="str">
        <f t="shared" si="3"/>
        <v>q6ROW2_hidden</v>
      </c>
    </row>
    <row r="254" spans="1:3" x14ac:dyDescent="0.2">
      <c r="A254" s="2" t="s">
        <v>247</v>
      </c>
      <c r="C254" t="str">
        <f t="shared" si="3"/>
        <v>q63_1</v>
      </c>
    </row>
    <row r="255" spans="1:3" x14ac:dyDescent="0.2">
      <c r="A255" s="2" t="s">
        <v>248</v>
      </c>
      <c r="C255" t="str">
        <f t="shared" si="3"/>
        <v>q63_2</v>
      </c>
    </row>
    <row r="256" spans="1:3" x14ac:dyDescent="0.2">
      <c r="A256" s="2" t="s">
        <v>249</v>
      </c>
      <c r="C256" t="str">
        <f t="shared" si="3"/>
        <v>q63_3</v>
      </c>
    </row>
    <row r="257" spans="1:3" x14ac:dyDescent="0.2">
      <c r="A257" s="2" t="s">
        <v>250</v>
      </c>
      <c r="C257" t="str">
        <f t="shared" si="3"/>
        <v>q63_4</v>
      </c>
    </row>
    <row r="258" spans="1:3" x14ac:dyDescent="0.2">
      <c r="A258" s="2" t="s">
        <v>251</v>
      </c>
      <c r="C258" t="str">
        <f t="shared" si="3"/>
        <v>q63_5</v>
      </c>
    </row>
    <row r="259" spans="1:3" x14ac:dyDescent="0.2">
      <c r="A259" s="2" t="s">
        <v>252</v>
      </c>
      <c r="C259" t="str">
        <f t="shared" ref="C259:C322" si="4">_xlfn.CONCAT(A259,B259)</f>
        <v>q63_6</v>
      </c>
    </row>
    <row r="260" spans="1:3" x14ac:dyDescent="0.2">
      <c r="A260" s="2" t="s">
        <v>253</v>
      </c>
      <c r="C260" t="str">
        <f t="shared" si="4"/>
        <v>q6ROW3_hidden</v>
      </c>
    </row>
    <row r="261" spans="1:3" x14ac:dyDescent="0.2">
      <c r="A261" s="2" t="s">
        <v>254</v>
      </c>
      <c r="C261" t="str">
        <f t="shared" si="4"/>
        <v>q64_1</v>
      </c>
    </row>
    <row r="262" spans="1:3" x14ac:dyDescent="0.2">
      <c r="A262" s="2" t="s">
        <v>255</v>
      </c>
      <c r="C262" t="str">
        <f t="shared" si="4"/>
        <v>q64_2</v>
      </c>
    </row>
    <row r="263" spans="1:3" x14ac:dyDescent="0.2">
      <c r="A263" s="2" t="s">
        <v>256</v>
      </c>
      <c r="C263" t="str">
        <f t="shared" si="4"/>
        <v>q64_3</v>
      </c>
    </row>
    <row r="264" spans="1:3" x14ac:dyDescent="0.2">
      <c r="A264" s="2" t="s">
        <v>257</v>
      </c>
      <c r="C264" t="str">
        <f t="shared" si="4"/>
        <v>q64_4</v>
      </c>
    </row>
    <row r="265" spans="1:3" x14ac:dyDescent="0.2">
      <c r="A265" s="2" t="s">
        <v>258</v>
      </c>
      <c r="C265" t="str">
        <f t="shared" si="4"/>
        <v>q64_5</v>
      </c>
    </row>
    <row r="266" spans="1:3" x14ac:dyDescent="0.2">
      <c r="A266" s="2" t="s">
        <v>259</v>
      </c>
      <c r="C266" t="str">
        <f t="shared" si="4"/>
        <v>q64_6</v>
      </c>
    </row>
    <row r="267" spans="1:3" x14ac:dyDescent="0.2">
      <c r="A267" s="2" t="s">
        <v>260</v>
      </c>
      <c r="C267" t="str">
        <f t="shared" si="4"/>
        <v>q6ROW4_hidden</v>
      </c>
    </row>
    <row r="268" spans="1:3" x14ac:dyDescent="0.2">
      <c r="A268" s="2" t="s">
        <v>261</v>
      </c>
      <c r="C268" t="str">
        <f t="shared" si="4"/>
        <v>q65_1</v>
      </c>
    </row>
    <row r="269" spans="1:3" x14ac:dyDescent="0.2">
      <c r="A269" s="2" t="s">
        <v>262</v>
      </c>
      <c r="C269" t="str">
        <f t="shared" si="4"/>
        <v>q65_2</v>
      </c>
    </row>
    <row r="270" spans="1:3" x14ac:dyDescent="0.2">
      <c r="A270" s="2" t="s">
        <v>263</v>
      </c>
      <c r="C270" t="str">
        <f t="shared" si="4"/>
        <v>q65_3</v>
      </c>
    </row>
    <row r="271" spans="1:3" x14ac:dyDescent="0.2">
      <c r="A271" s="2" t="s">
        <v>264</v>
      </c>
      <c r="C271" t="str">
        <f t="shared" si="4"/>
        <v>q65_4</v>
      </c>
    </row>
    <row r="272" spans="1:3" x14ac:dyDescent="0.2">
      <c r="A272" s="2" t="s">
        <v>265</v>
      </c>
      <c r="C272" t="str">
        <f t="shared" si="4"/>
        <v>q65_5</v>
      </c>
    </row>
    <row r="273" spans="1:3" x14ac:dyDescent="0.2">
      <c r="A273" s="2" t="s">
        <v>266</v>
      </c>
      <c r="C273" t="str">
        <f t="shared" si="4"/>
        <v>q65_6</v>
      </c>
    </row>
    <row r="274" spans="1:3" x14ac:dyDescent="0.2">
      <c r="A274" s="2" t="s">
        <v>267</v>
      </c>
      <c r="C274" t="str">
        <f t="shared" si="4"/>
        <v>q6ROW5_hidden</v>
      </c>
    </row>
    <row r="275" spans="1:3" x14ac:dyDescent="0.2">
      <c r="A275" s="2" t="s">
        <v>268</v>
      </c>
      <c r="C275" t="str">
        <f t="shared" si="4"/>
        <v>q6COL1_hidden</v>
      </c>
    </row>
    <row r="276" spans="1:3" x14ac:dyDescent="0.2">
      <c r="A276" s="2" t="s">
        <v>269</v>
      </c>
      <c r="C276" t="str">
        <f t="shared" si="4"/>
        <v>q6COL2_hidden</v>
      </c>
    </row>
    <row r="277" spans="1:3" x14ac:dyDescent="0.2">
      <c r="A277" s="2" t="s">
        <v>270</v>
      </c>
      <c r="C277" t="str">
        <f t="shared" si="4"/>
        <v>q6COL3_hidden</v>
      </c>
    </row>
    <row r="278" spans="1:3" x14ac:dyDescent="0.2">
      <c r="A278" s="2" t="s">
        <v>271</v>
      </c>
      <c r="C278" t="str">
        <f t="shared" si="4"/>
        <v>q6COL4_hidden</v>
      </c>
    </row>
    <row r="279" spans="1:3" x14ac:dyDescent="0.2">
      <c r="A279" s="2" t="s">
        <v>272</v>
      </c>
      <c r="C279" t="str">
        <f t="shared" si="4"/>
        <v>q6COL5_hidden</v>
      </c>
    </row>
    <row r="280" spans="1:3" x14ac:dyDescent="0.2">
      <c r="A280" s="2" t="s">
        <v>273</v>
      </c>
      <c r="C280" t="str">
        <f t="shared" si="4"/>
        <v>q6COL6_hidden</v>
      </c>
    </row>
    <row r="281" spans="1:3" x14ac:dyDescent="0.2">
      <c r="A281" s="2" t="s">
        <v>274</v>
      </c>
      <c r="C281" t="str">
        <f t="shared" si="4"/>
        <v>q6GRANDTotal_hidden</v>
      </c>
    </row>
    <row r="282" spans="1:3" x14ac:dyDescent="0.2">
      <c r="A282" s="2" t="s">
        <v>275</v>
      </c>
      <c r="C282" t="str">
        <f t="shared" si="4"/>
        <v>q7_1</v>
      </c>
    </row>
    <row r="283" spans="1:3" x14ac:dyDescent="0.2">
      <c r="A283" s="2" t="s">
        <v>276</v>
      </c>
      <c r="C283" t="str">
        <f t="shared" si="4"/>
        <v>q7_2</v>
      </c>
    </row>
    <row r="284" spans="1:3" x14ac:dyDescent="0.2">
      <c r="A284" s="2" t="s">
        <v>277</v>
      </c>
      <c r="C284" t="str">
        <f t="shared" si="4"/>
        <v>q7_3</v>
      </c>
    </row>
    <row r="285" spans="1:3" x14ac:dyDescent="0.2">
      <c r="A285" s="2" t="s">
        <v>278</v>
      </c>
      <c r="C285" t="str">
        <f t="shared" si="4"/>
        <v>q7other</v>
      </c>
    </row>
    <row r="286" spans="1:3" x14ac:dyDescent="0.2">
      <c r="A286" s="2" t="s">
        <v>279</v>
      </c>
      <c r="C286" t="str">
        <f t="shared" si="4"/>
        <v>q7_4</v>
      </c>
    </row>
    <row r="287" spans="1:3" x14ac:dyDescent="0.2">
      <c r="A287" s="2" t="s">
        <v>280</v>
      </c>
      <c r="C287" t="str">
        <f t="shared" si="4"/>
        <v>q8</v>
      </c>
    </row>
    <row r="288" spans="1:3" x14ac:dyDescent="0.2">
      <c r="A288" s="2" t="s">
        <v>281</v>
      </c>
      <c r="C288" t="str">
        <f t="shared" si="4"/>
        <v>q9</v>
      </c>
    </row>
    <row r="289" spans="1:3" x14ac:dyDescent="0.2">
      <c r="A289" s="2" t="s">
        <v>282</v>
      </c>
      <c r="C289" t="str">
        <f t="shared" si="4"/>
        <v>q91</v>
      </c>
    </row>
    <row r="290" spans="1:3" x14ac:dyDescent="0.2">
      <c r="A290" s="2" t="s">
        <v>283</v>
      </c>
      <c r="B290" t="s">
        <v>2087</v>
      </c>
      <c r="C290" t="str">
        <f t="shared" si="4"/>
        <v>ASIA PACIFIC_apac</v>
      </c>
    </row>
    <row r="291" spans="1:3" x14ac:dyDescent="0.2">
      <c r="A291" s="2" t="s">
        <v>284</v>
      </c>
      <c r="B291" t="str">
        <f t="shared" ref="B291:B322" si="5">B290</f>
        <v>_apac</v>
      </c>
      <c r="C291" t="str">
        <f t="shared" si="4"/>
        <v>q101_1_apac</v>
      </c>
    </row>
    <row r="292" spans="1:3" x14ac:dyDescent="0.2">
      <c r="A292" s="2" t="s">
        <v>285</v>
      </c>
      <c r="B292" t="str">
        <f t="shared" si="5"/>
        <v>_apac</v>
      </c>
      <c r="C292" t="str">
        <f t="shared" si="4"/>
        <v>q101_2_apac</v>
      </c>
    </row>
    <row r="293" spans="1:3" x14ac:dyDescent="0.2">
      <c r="A293" s="2" t="s">
        <v>286</v>
      </c>
      <c r="B293" t="str">
        <f t="shared" si="5"/>
        <v>_apac</v>
      </c>
      <c r="C293" t="str">
        <f t="shared" si="4"/>
        <v>q101_3_apac</v>
      </c>
    </row>
    <row r="294" spans="1:3" x14ac:dyDescent="0.2">
      <c r="A294" s="2" t="s">
        <v>287</v>
      </c>
      <c r="B294" t="str">
        <f t="shared" si="5"/>
        <v>_apac</v>
      </c>
      <c r="C294" t="str">
        <f t="shared" si="4"/>
        <v>q101_4_apac</v>
      </c>
    </row>
    <row r="295" spans="1:3" x14ac:dyDescent="0.2">
      <c r="A295" s="2" t="s">
        <v>288</v>
      </c>
      <c r="B295" t="str">
        <f t="shared" si="5"/>
        <v>_apac</v>
      </c>
      <c r="C295" t="str">
        <f t="shared" si="4"/>
        <v>q101_5_apac</v>
      </c>
    </row>
    <row r="296" spans="1:3" x14ac:dyDescent="0.2">
      <c r="A296" s="2" t="s">
        <v>289</v>
      </c>
      <c r="B296" t="str">
        <f t="shared" si="5"/>
        <v>_apac</v>
      </c>
      <c r="C296" t="str">
        <f t="shared" si="4"/>
        <v>q101_6_apac</v>
      </c>
    </row>
    <row r="297" spans="1:3" x14ac:dyDescent="0.2">
      <c r="A297" s="2" t="s">
        <v>290</v>
      </c>
      <c r="B297" t="str">
        <f t="shared" si="5"/>
        <v>_apac</v>
      </c>
      <c r="C297" t="str">
        <f t="shared" si="4"/>
        <v>q10ROW1_hidden_apac</v>
      </c>
    </row>
    <row r="298" spans="1:3" x14ac:dyDescent="0.2">
      <c r="A298" s="2" t="s">
        <v>291</v>
      </c>
      <c r="B298" t="str">
        <f t="shared" si="5"/>
        <v>_apac</v>
      </c>
      <c r="C298" t="str">
        <f t="shared" si="4"/>
        <v>q102_1_apac</v>
      </c>
    </row>
    <row r="299" spans="1:3" x14ac:dyDescent="0.2">
      <c r="A299" s="2" t="s">
        <v>292</v>
      </c>
      <c r="B299" t="str">
        <f t="shared" si="5"/>
        <v>_apac</v>
      </c>
      <c r="C299" t="str">
        <f t="shared" si="4"/>
        <v>q102_2_apac</v>
      </c>
    </row>
    <row r="300" spans="1:3" x14ac:dyDescent="0.2">
      <c r="A300" s="2" t="s">
        <v>293</v>
      </c>
      <c r="B300" t="str">
        <f t="shared" si="5"/>
        <v>_apac</v>
      </c>
      <c r="C300" t="str">
        <f t="shared" si="4"/>
        <v>q102_3_apac</v>
      </c>
    </row>
    <row r="301" spans="1:3" x14ac:dyDescent="0.2">
      <c r="A301" s="2" t="s">
        <v>294</v>
      </c>
      <c r="B301" t="str">
        <f t="shared" si="5"/>
        <v>_apac</v>
      </c>
      <c r="C301" t="str">
        <f t="shared" si="4"/>
        <v>q102_4_apac</v>
      </c>
    </row>
    <row r="302" spans="1:3" x14ac:dyDescent="0.2">
      <c r="A302" s="2" t="s">
        <v>295</v>
      </c>
      <c r="B302" t="str">
        <f t="shared" si="5"/>
        <v>_apac</v>
      </c>
      <c r="C302" t="str">
        <f t="shared" si="4"/>
        <v>q102_5_apac</v>
      </c>
    </row>
    <row r="303" spans="1:3" x14ac:dyDescent="0.2">
      <c r="A303" s="2" t="s">
        <v>296</v>
      </c>
      <c r="B303" t="str">
        <f t="shared" si="5"/>
        <v>_apac</v>
      </c>
      <c r="C303" t="str">
        <f t="shared" si="4"/>
        <v>q102_6_apac</v>
      </c>
    </row>
    <row r="304" spans="1:3" x14ac:dyDescent="0.2">
      <c r="A304" s="2" t="s">
        <v>297</v>
      </c>
      <c r="B304" t="str">
        <f t="shared" si="5"/>
        <v>_apac</v>
      </c>
      <c r="C304" t="str">
        <f t="shared" si="4"/>
        <v>q10ROW2_hidden_apac</v>
      </c>
    </row>
    <row r="305" spans="1:3" x14ac:dyDescent="0.2">
      <c r="A305" s="2" t="s">
        <v>298</v>
      </c>
      <c r="B305" t="str">
        <f t="shared" si="5"/>
        <v>_apac</v>
      </c>
      <c r="C305" t="str">
        <f t="shared" si="4"/>
        <v>q103_1_apac</v>
      </c>
    </row>
    <row r="306" spans="1:3" x14ac:dyDescent="0.2">
      <c r="A306" s="2" t="s">
        <v>299</v>
      </c>
      <c r="B306" t="str">
        <f t="shared" si="5"/>
        <v>_apac</v>
      </c>
      <c r="C306" t="str">
        <f t="shared" si="4"/>
        <v>q103_2_apac</v>
      </c>
    </row>
    <row r="307" spans="1:3" x14ac:dyDescent="0.2">
      <c r="A307" s="2" t="s">
        <v>300</v>
      </c>
      <c r="B307" t="str">
        <f t="shared" si="5"/>
        <v>_apac</v>
      </c>
      <c r="C307" t="str">
        <f t="shared" si="4"/>
        <v>q103_3_apac</v>
      </c>
    </row>
    <row r="308" spans="1:3" x14ac:dyDescent="0.2">
      <c r="A308" s="2" t="s">
        <v>301</v>
      </c>
      <c r="B308" t="str">
        <f t="shared" si="5"/>
        <v>_apac</v>
      </c>
      <c r="C308" t="str">
        <f t="shared" si="4"/>
        <v>q103_4_apac</v>
      </c>
    </row>
    <row r="309" spans="1:3" x14ac:dyDescent="0.2">
      <c r="A309" s="2" t="s">
        <v>302</v>
      </c>
      <c r="B309" t="str">
        <f t="shared" si="5"/>
        <v>_apac</v>
      </c>
      <c r="C309" t="str">
        <f t="shared" si="4"/>
        <v>q103_5_apac</v>
      </c>
    </row>
    <row r="310" spans="1:3" x14ac:dyDescent="0.2">
      <c r="A310" s="2" t="s">
        <v>303</v>
      </c>
      <c r="B310" t="str">
        <f t="shared" si="5"/>
        <v>_apac</v>
      </c>
      <c r="C310" t="str">
        <f t="shared" si="4"/>
        <v>q103_6_apac</v>
      </c>
    </row>
    <row r="311" spans="1:3" x14ac:dyDescent="0.2">
      <c r="A311" s="2" t="s">
        <v>304</v>
      </c>
      <c r="B311" t="str">
        <f t="shared" si="5"/>
        <v>_apac</v>
      </c>
      <c r="C311" t="str">
        <f t="shared" si="4"/>
        <v>q10ROW3_hidden_apac</v>
      </c>
    </row>
    <row r="312" spans="1:3" x14ac:dyDescent="0.2">
      <c r="A312" s="2" t="s">
        <v>305</v>
      </c>
      <c r="B312" t="str">
        <f t="shared" si="5"/>
        <v>_apac</v>
      </c>
      <c r="C312" t="str">
        <f t="shared" si="4"/>
        <v>q104_1_apac</v>
      </c>
    </row>
    <row r="313" spans="1:3" x14ac:dyDescent="0.2">
      <c r="A313" s="2" t="s">
        <v>306</v>
      </c>
      <c r="B313" t="str">
        <f t="shared" si="5"/>
        <v>_apac</v>
      </c>
      <c r="C313" t="str">
        <f t="shared" si="4"/>
        <v>q104_2_apac</v>
      </c>
    </row>
    <row r="314" spans="1:3" x14ac:dyDescent="0.2">
      <c r="A314" s="2" t="s">
        <v>307</v>
      </c>
      <c r="B314" t="str">
        <f t="shared" si="5"/>
        <v>_apac</v>
      </c>
      <c r="C314" t="str">
        <f t="shared" si="4"/>
        <v>q104_3_apac</v>
      </c>
    </row>
    <row r="315" spans="1:3" x14ac:dyDescent="0.2">
      <c r="A315" s="2" t="s">
        <v>308</v>
      </c>
      <c r="B315" t="str">
        <f t="shared" si="5"/>
        <v>_apac</v>
      </c>
      <c r="C315" t="str">
        <f t="shared" si="4"/>
        <v>q104_4_apac</v>
      </c>
    </row>
    <row r="316" spans="1:3" x14ac:dyDescent="0.2">
      <c r="A316" s="2" t="s">
        <v>309</v>
      </c>
      <c r="B316" t="str">
        <f t="shared" si="5"/>
        <v>_apac</v>
      </c>
      <c r="C316" t="str">
        <f t="shared" si="4"/>
        <v>q104_5_apac</v>
      </c>
    </row>
    <row r="317" spans="1:3" x14ac:dyDescent="0.2">
      <c r="A317" s="2" t="s">
        <v>310</v>
      </c>
      <c r="B317" t="str">
        <f t="shared" si="5"/>
        <v>_apac</v>
      </c>
      <c r="C317" t="str">
        <f t="shared" si="4"/>
        <v>q104_6_apac</v>
      </c>
    </row>
    <row r="318" spans="1:3" x14ac:dyDescent="0.2">
      <c r="A318" s="2" t="s">
        <v>311</v>
      </c>
      <c r="B318" t="str">
        <f t="shared" si="5"/>
        <v>_apac</v>
      </c>
      <c r="C318" t="str">
        <f t="shared" si="4"/>
        <v>q10ROW4_hidden_apac</v>
      </c>
    </row>
    <row r="319" spans="1:3" x14ac:dyDescent="0.2">
      <c r="A319" s="2" t="s">
        <v>312</v>
      </c>
      <c r="B319" t="str">
        <f t="shared" si="5"/>
        <v>_apac</v>
      </c>
      <c r="C319" t="str">
        <f t="shared" si="4"/>
        <v>q105_1_apac</v>
      </c>
    </row>
    <row r="320" spans="1:3" x14ac:dyDescent="0.2">
      <c r="A320" s="2" t="s">
        <v>313</v>
      </c>
      <c r="B320" t="str">
        <f t="shared" si="5"/>
        <v>_apac</v>
      </c>
      <c r="C320" t="str">
        <f t="shared" si="4"/>
        <v>q105_2_apac</v>
      </c>
    </row>
    <row r="321" spans="1:3" x14ac:dyDescent="0.2">
      <c r="A321" s="2" t="s">
        <v>314</v>
      </c>
      <c r="B321" t="str">
        <f t="shared" si="5"/>
        <v>_apac</v>
      </c>
      <c r="C321" t="str">
        <f t="shared" si="4"/>
        <v>q105_3_apac</v>
      </c>
    </row>
    <row r="322" spans="1:3" x14ac:dyDescent="0.2">
      <c r="A322" s="2" t="s">
        <v>315</v>
      </c>
      <c r="B322" t="str">
        <f t="shared" si="5"/>
        <v>_apac</v>
      </c>
      <c r="C322" t="str">
        <f t="shared" si="4"/>
        <v>q105_4_apac</v>
      </c>
    </row>
    <row r="323" spans="1:3" x14ac:dyDescent="0.2">
      <c r="A323" s="2" t="s">
        <v>316</v>
      </c>
      <c r="B323" t="str">
        <f t="shared" ref="B323:B354" si="6">B322</f>
        <v>_apac</v>
      </c>
      <c r="C323" t="str">
        <f t="shared" ref="C323:C386" si="7">_xlfn.CONCAT(A323,B323)</f>
        <v>q105_5_apac</v>
      </c>
    </row>
    <row r="324" spans="1:3" x14ac:dyDescent="0.2">
      <c r="A324" s="2" t="s">
        <v>317</v>
      </c>
      <c r="B324" t="str">
        <f t="shared" si="6"/>
        <v>_apac</v>
      </c>
      <c r="C324" t="str">
        <f t="shared" si="7"/>
        <v>q105_6_apac</v>
      </c>
    </row>
    <row r="325" spans="1:3" x14ac:dyDescent="0.2">
      <c r="A325" s="2" t="s">
        <v>318</v>
      </c>
      <c r="B325" t="str">
        <f t="shared" si="6"/>
        <v>_apac</v>
      </c>
      <c r="C325" t="str">
        <f t="shared" si="7"/>
        <v>q10ROW5_hidden_apac</v>
      </c>
    </row>
    <row r="326" spans="1:3" x14ac:dyDescent="0.2">
      <c r="A326" s="2" t="s">
        <v>319</v>
      </c>
      <c r="B326" t="str">
        <f t="shared" si="6"/>
        <v>_apac</v>
      </c>
      <c r="C326" t="str">
        <f t="shared" si="7"/>
        <v>q106_1_apac</v>
      </c>
    </row>
    <row r="327" spans="1:3" x14ac:dyDescent="0.2">
      <c r="A327" s="2" t="s">
        <v>320</v>
      </c>
      <c r="B327" t="str">
        <f t="shared" si="6"/>
        <v>_apac</v>
      </c>
      <c r="C327" t="str">
        <f t="shared" si="7"/>
        <v>q106_2_apac</v>
      </c>
    </row>
    <row r="328" spans="1:3" x14ac:dyDescent="0.2">
      <c r="A328" s="2" t="s">
        <v>321</v>
      </c>
      <c r="B328" t="str">
        <f t="shared" si="6"/>
        <v>_apac</v>
      </c>
      <c r="C328" t="str">
        <f t="shared" si="7"/>
        <v>q106_3_apac</v>
      </c>
    </row>
    <row r="329" spans="1:3" x14ac:dyDescent="0.2">
      <c r="A329" s="2" t="s">
        <v>322</v>
      </c>
      <c r="B329" t="str">
        <f t="shared" si="6"/>
        <v>_apac</v>
      </c>
      <c r="C329" t="str">
        <f t="shared" si="7"/>
        <v>q106_4_apac</v>
      </c>
    </row>
    <row r="330" spans="1:3" x14ac:dyDescent="0.2">
      <c r="A330" s="2" t="s">
        <v>323</v>
      </c>
      <c r="B330" t="str">
        <f t="shared" si="6"/>
        <v>_apac</v>
      </c>
      <c r="C330" t="str">
        <f t="shared" si="7"/>
        <v>q106_5_apac</v>
      </c>
    </row>
    <row r="331" spans="1:3" x14ac:dyDescent="0.2">
      <c r="A331" s="2" t="s">
        <v>324</v>
      </c>
      <c r="B331" t="str">
        <f t="shared" si="6"/>
        <v>_apac</v>
      </c>
      <c r="C331" t="str">
        <f t="shared" si="7"/>
        <v>q106_6_apac</v>
      </c>
    </row>
    <row r="332" spans="1:3" x14ac:dyDescent="0.2">
      <c r="A332" s="2" t="s">
        <v>325</v>
      </c>
      <c r="B332" t="str">
        <f t="shared" si="6"/>
        <v>_apac</v>
      </c>
      <c r="C332" t="str">
        <f t="shared" si="7"/>
        <v>q10ROW6_hidden_apac</v>
      </c>
    </row>
    <row r="333" spans="1:3" x14ac:dyDescent="0.2">
      <c r="A333" s="2" t="s">
        <v>326</v>
      </c>
      <c r="B333" t="str">
        <f t="shared" si="6"/>
        <v>_apac</v>
      </c>
      <c r="C333" t="str">
        <f t="shared" si="7"/>
        <v>q107_1_apac</v>
      </c>
    </row>
    <row r="334" spans="1:3" x14ac:dyDescent="0.2">
      <c r="A334" s="2" t="s">
        <v>327</v>
      </c>
      <c r="B334" t="str">
        <f t="shared" si="6"/>
        <v>_apac</v>
      </c>
      <c r="C334" t="str">
        <f t="shared" si="7"/>
        <v>q107_2_apac</v>
      </c>
    </row>
    <row r="335" spans="1:3" x14ac:dyDescent="0.2">
      <c r="A335" s="2" t="s">
        <v>328</v>
      </c>
      <c r="B335" t="str">
        <f t="shared" si="6"/>
        <v>_apac</v>
      </c>
      <c r="C335" t="str">
        <f t="shared" si="7"/>
        <v>q107_3_apac</v>
      </c>
    </row>
    <row r="336" spans="1:3" x14ac:dyDescent="0.2">
      <c r="A336" s="2" t="s">
        <v>329</v>
      </c>
      <c r="B336" t="str">
        <f t="shared" si="6"/>
        <v>_apac</v>
      </c>
      <c r="C336" t="str">
        <f t="shared" si="7"/>
        <v>q107_4_apac</v>
      </c>
    </row>
    <row r="337" spans="1:3" x14ac:dyDescent="0.2">
      <c r="A337" s="2" t="s">
        <v>330</v>
      </c>
      <c r="B337" t="str">
        <f t="shared" si="6"/>
        <v>_apac</v>
      </c>
      <c r="C337" t="str">
        <f t="shared" si="7"/>
        <v>q107_5_apac</v>
      </c>
    </row>
    <row r="338" spans="1:3" x14ac:dyDescent="0.2">
      <c r="A338" s="2" t="s">
        <v>331</v>
      </c>
      <c r="B338" t="str">
        <f t="shared" si="6"/>
        <v>_apac</v>
      </c>
      <c r="C338" t="str">
        <f t="shared" si="7"/>
        <v>q107_6_apac</v>
      </c>
    </row>
    <row r="339" spans="1:3" x14ac:dyDescent="0.2">
      <c r="A339" s="2" t="s">
        <v>332</v>
      </c>
      <c r="B339" t="str">
        <f t="shared" si="6"/>
        <v>_apac</v>
      </c>
      <c r="C339" t="str">
        <f t="shared" si="7"/>
        <v>q10ROW7_hidden_apac</v>
      </c>
    </row>
    <row r="340" spans="1:3" x14ac:dyDescent="0.2">
      <c r="A340" s="2" t="s">
        <v>333</v>
      </c>
      <c r="B340" t="str">
        <f t="shared" si="6"/>
        <v>_apac</v>
      </c>
      <c r="C340" t="str">
        <f t="shared" si="7"/>
        <v>q10other_apac</v>
      </c>
    </row>
    <row r="341" spans="1:3" x14ac:dyDescent="0.2">
      <c r="A341" s="2" t="s">
        <v>334</v>
      </c>
      <c r="B341" t="str">
        <f t="shared" si="6"/>
        <v>_apac</v>
      </c>
      <c r="C341" t="str">
        <f t="shared" si="7"/>
        <v>q108_1_apac</v>
      </c>
    </row>
    <row r="342" spans="1:3" x14ac:dyDescent="0.2">
      <c r="A342" s="2" t="s">
        <v>335</v>
      </c>
      <c r="B342" t="str">
        <f t="shared" si="6"/>
        <v>_apac</v>
      </c>
      <c r="C342" t="str">
        <f t="shared" si="7"/>
        <v>q108_2_apac</v>
      </c>
    </row>
    <row r="343" spans="1:3" x14ac:dyDescent="0.2">
      <c r="A343" s="2" t="s">
        <v>336</v>
      </c>
      <c r="B343" t="str">
        <f t="shared" si="6"/>
        <v>_apac</v>
      </c>
      <c r="C343" t="str">
        <f t="shared" si="7"/>
        <v>q108_3_apac</v>
      </c>
    </row>
    <row r="344" spans="1:3" x14ac:dyDescent="0.2">
      <c r="A344" s="2" t="s">
        <v>337</v>
      </c>
      <c r="B344" t="str">
        <f t="shared" si="6"/>
        <v>_apac</v>
      </c>
      <c r="C344" t="str">
        <f t="shared" si="7"/>
        <v>q108_4_apac</v>
      </c>
    </row>
    <row r="345" spans="1:3" x14ac:dyDescent="0.2">
      <c r="A345" s="2" t="s">
        <v>338</v>
      </c>
      <c r="B345" t="str">
        <f t="shared" si="6"/>
        <v>_apac</v>
      </c>
      <c r="C345" t="str">
        <f t="shared" si="7"/>
        <v>q108_5_apac</v>
      </c>
    </row>
    <row r="346" spans="1:3" x14ac:dyDescent="0.2">
      <c r="A346" s="2" t="s">
        <v>339</v>
      </c>
      <c r="B346" t="str">
        <f t="shared" si="6"/>
        <v>_apac</v>
      </c>
      <c r="C346" t="str">
        <f t="shared" si="7"/>
        <v>q108_6_apac</v>
      </c>
    </row>
    <row r="347" spans="1:3" x14ac:dyDescent="0.2">
      <c r="A347" s="2" t="s">
        <v>340</v>
      </c>
      <c r="B347" t="str">
        <f t="shared" si="6"/>
        <v>_apac</v>
      </c>
      <c r="C347" t="str">
        <f t="shared" si="7"/>
        <v>q10ROW8_hidden_apac</v>
      </c>
    </row>
    <row r="348" spans="1:3" x14ac:dyDescent="0.2">
      <c r="A348" s="2" t="s">
        <v>341</v>
      </c>
      <c r="B348" t="str">
        <f t="shared" si="6"/>
        <v>_apac</v>
      </c>
      <c r="C348" t="str">
        <f t="shared" si="7"/>
        <v>q10COL1_hidden_apac</v>
      </c>
    </row>
    <row r="349" spans="1:3" x14ac:dyDescent="0.2">
      <c r="A349" s="2" t="s">
        <v>342</v>
      </c>
      <c r="B349" t="str">
        <f t="shared" si="6"/>
        <v>_apac</v>
      </c>
      <c r="C349" t="str">
        <f t="shared" si="7"/>
        <v>q10COL2_hidden_apac</v>
      </c>
    </row>
    <row r="350" spans="1:3" x14ac:dyDescent="0.2">
      <c r="A350" s="2" t="s">
        <v>343</v>
      </c>
      <c r="B350" t="str">
        <f t="shared" si="6"/>
        <v>_apac</v>
      </c>
      <c r="C350" t="str">
        <f t="shared" si="7"/>
        <v>q10COL3_hidden_apac</v>
      </c>
    </row>
    <row r="351" spans="1:3" x14ac:dyDescent="0.2">
      <c r="A351" s="2" t="s">
        <v>344</v>
      </c>
      <c r="B351" t="str">
        <f t="shared" si="6"/>
        <v>_apac</v>
      </c>
      <c r="C351" t="str">
        <f t="shared" si="7"/>
        <v>q10COL4_hidden_apac</v>
      </c>
    </row>
    <row r="352" spans="1:3" x14ac:dyDescent="0.2">
      <c r="A352" s="2" t="s">
        <v>345</v>
      </c>
      <c r="B352" t="str">
        <f t="shared" si="6"/>
        <v>_apac</v>
      </c>
      <c r="C352" t="str">
        <f t="shared" si="7"/>
        <v>q10COL5_hidden_apac</v>
      </c>
    </row>
    <row r="353" spans="1:3" x14ac:dyDescent="0.2">
      <c r="A353" s="2" t="s">
        <v>346</v>
      </c>
      <c r="B353" t="str">
        <f t="shared" si="6"/>
        <v>_apac</v>
      </c>
      <c r="C353" t="str">
        <f t="shared" si="7"/>
        <v>q10COL6_hidden_apac</v>
      </c>
    </row>
    <row r="354" spans="1:3" x14ac:dyDescent="0.2">
      <c r="A354" s="2" t="s">
        <v>347</v>
      </c>
      <c r="B354" t="str">
        <f t="shared" si="6"/>
        <v>_apac</v>
      </c>
      <c r="C354" t="str">
        <f t="shared" si="7"/>
        <v>q10GRANDTotal_hidden_apac</v>
      </c>
    </row>
    <row r="355" spans="1:3" x14ac:dyDescent="0.2">
      <c r="A355" s="2" t="s">
        <v>348</v>
      </c>
      <c r="B355" t="str">
        <f t="shared" ref="B355:B386" si="8">B354</f>
        <v>_apac</v>
      </c>
      <c r="C355" t="str">
        <f t="shared" si="7"/>
        <v>q111_1_apac</v>
      </c>
    </row>
    <row r="356" spans="1:3" x14ac:dyDescent="0.2">
      <c r="A356" s="2" t="s">
        <v>349</v>
      </c>
      <c r="B356" t="str">
        <f t="shared" si="8"/>
        <v>_apac</v>
      </c>
      <c r="C356" t="str">
        <f t="shared" si="7"/>
        <v>q111_2_apac</v>
      </c>
    </row>
    <row r="357" spans="1:3" x14ac:dyDescent="0.2">
      <c r="A357" s="2" t="s">
        <v>350</v>
      </c>
      <c r="B357" t="str">
        <f t="shared" si="8"/>
        <v>_apac</v>
      </c>
      <c r="C357" t="str">
        <f t="shared" si="7"/>
        <v>q111_3_apac</v>
      </c>
    </row>
    <row r="358" spans="1:3" x14ac:dyDescent="0.2">
      <c r="A358" s="2" t="s">
        <v>351</v>
      </c>
      <c r="B358" t="str">
        <f t="shared" si="8"/>
        <v>_apac</v>
      </c>
      <c r="C358" t="str">
        <f t="shared" si="7"/>
        <v>q111_4_apac</v>
      </c>
    </row>
    <row r="359" spans="1:3" x14ac:dyDescent="0.2">
      <c r="A359" s="2" t="s">
        <v>352</v>
      </c>
      <c r="B359" t="str">
        <f t="shared" si="8"/>
        <v>_apac</v>
      </c>
      <c r="C359" t="str">
        <f t="shared" si="7"/>
        <v>q111_5_apac</v>
      </c>
    </row>
    <row r="360" spans="1:3" x14ac:dyDescent="0.2">
      <c r="A360" s="2" t="s">
        <v>353</v>
      </c>
      <c r="B360" t="str">
        <f t="shared" si="8"/>
        <v>_apac</v>
      </c>
      <c r="C360" t="str">
        <f t="shared" si="7"/>
        <v>q111_6_apac</v>
      </c>
    </row>
    <row r="361" spans="1:3" x14ac:dyDescent="0.2">
      <c r="A361" s="2" t="s">
        <v>354</v>
      </c>
      <c r="B361" t="str">
        <f t="shared" si="8"/>
        <v>_apac</v>
      </c>
      <c r="C361" t="str">
        <f t="shared" si="7"/>
        <v>q11ROW1_hidden_apac</v>
      </c>
    </row>
    <row r="362" spans="1:3" x14ac:dyDescent="0.2">
      <c r="A362" s="2" t="s">
        <v>355</v>
      </c>
      <c r="B362" t="str">
        <f t="shared" si="8"/>
        <v>_apac</v>
      </c>
      <c r="C362" t="str">
        <f t="shared" si="7"/>
        <v>q112_1_apac</v>
      </c>
    </row>
    <row r="363" spans="1:3" x14ac:dyDescent="0.2">
      <c r="A363" s="2" t="s">
        <v>356</v>
      </c>
      <c r="B363" t="str">
        <f t="shared" si="8"/>
        <v>_apac</v>
      </c>
      <c r="C363" t="str">
        <f t="shared" si="7"/>
        <v>q112_2_apac</v>
      </c>
    </row>
    <row r="364" spans="1:3" x14ac:dyDescent="0.2">
      <c r="A364" s="2" t="s">
        <v>357</v>
      </c>
      <c r="B364" t="str">
        <f t="shared" si="8"/>
        <v>_apac</v>
      </c>
      <c r="C364" t="str">
        <f t="shared" si="7"/>
        <v>q112_3_apac</v>
      </c>
    </row>
    <row r="365" spans="1:3" x14ac:dyDescent="0.2">
      <c r="A365" s="2" t="s">
        <v>358</v>
      </c>
      <c r="B365" t="str">
        <f t="shared" si="8"/>
        <v>_apac</v>
      </c>
      <c r="C365" t="str">
        <f t="shared" si="7"/>
        <v>q112_4_apac</v>
      </c>
    </row>
    <row r="366" spans="1:3" x14ac:dyDescent="0.2">
      <c r="A366" s="2" t="s">
        <v>359</v>
      </c>
      <c r="B366" t="str">
        <f t="shared" si="8"/>
        <v>_apac</v>
      </c>
      <c r="C366" t="str">
        <f t="shared" si="7"/>
        <v>q112_5_apac</v>
      </c>
    </row>
    <row r="367" spans="1:3" x14ac:dyDescent="0.2">
      <c r="A367" s="2" t="s">
        <v>360</v>
      </c>
      <c r="B367" t="str">
        <f t="shared" si="8"/>
        <v>_apac</v>
      </c>
      <c r="C367" t="str">
        <f t="shared" si="7"/>
        <v>q112_6_apac</v>
      </c>
    </row>
    <row r="368" spans="1:3" x14ac:dyDescent="0.2">
      <c r="A368" s="2" t="s">
        <v>361</v>
      </c>
      <c r="B368" t="str">
        <f t="shared" si="8"/>
        <v>_apac</v>
      </c>
      <c r="C368" t="str">
        <f t="shared" si="7"/>
        <v>q11ROW2_hidden_apac</v>
      </c>
    </row>
    <row r="369" spans="1:3" x14ac:dyDescent="0.2">
      <c r="A369" s="2" t="s">
        <v>362</v>
      </c>
      <c r="B369" t="str">
        <f t="shared" si="8"/>
        <v>_apac</v>
      </c>
      <c r="C369" t="str">
        <f t="shared" si="7"/>
        <v>q113_1_apac</v>
      </c>
    </row>
    <row r="370" spans="1:3" x14ac:dyDescent="0.2">
      <c r="A370" s="2" t="s">
        <v>363</v>
      </c>
      <c r="B370" t="str">
        <f t="shared" si="8"/>
        <v>_apac</v>
      </c>
      <c r="C370" t="str">
        <f t="shared" si="7"/>
        <v>q113_2_apac</v>
      </c>
    </row>
    <row r="371" spans="1:3" x14ac:dyDescent="0.2">
      <c r="A371" s="2" t="s">
        <v>364</v>
      </c>
      <c r="B371" t="str">
        <f t="shared" si="8"/>
        <v>_apac</v>
      </c>
      <c r="C371" t="str">
        <f t="shared" si="7"/>
        <v>q113_3_apac</v>
      </c>
    </row>
    <row r="372" spans="1:3" x14ac:dyDescent="0.2">
      <c r="A372" s="2" t="s">
        <v>365</v>
      </c>
      <c r="B372" t="str">
        <f t="shared" si="8"/>
        <v>_apac</v>
      </c>
      <c r="C372" t="str">
        <f t="shared" si="7"/>
        <v>q113_4_apac</v>
      </c>
    </row>
    <row r="373" spans="1:3" x14ac:dyDescent="0.2">
      <c r="A373" s="2" t="s">
        <v>366</v>
      </c>
      <c r="B373" t="str">
        <f t="shared" si="8"/>
        <v>_apac</v>
      </c>
      <c r="C373" t="str">
        <f t="shared" si="7"/>
        <v>q113_5_apac</v>
      </c>
    </row>
    <row r="374" spans="1:3" x14ac:dyDescent="0.2">
      <c r="A374" s="2" t="s">
        <v>367</v>
      </c>
      <c r="B374" t="str">
        <f t="shared" si="8"/>
        <v>_apac</v>
      </c>
      <c r="C374" t="str">
        <f t="shared" si="7"/>
        <v>q113_6_apac</v>
      </c>
    </row>
    <row r="375" spans="1:3" x14ac:dyDescent="0.2">
      <c r="A375" s="2" t="s">
        <v>368</v>
      </c>
      <c r="B375" t="str">
        <f t="shared" si="8"/>
        <v>_apac</v>
      </c>
      <c r="C375" t="str">
        <f t="shared" si="7"/>
        <v>q11ROW3_hidden_apac</v>
      </c>
    </row>
    <row r="376" spans="1:3" x14ac:dyDescent="0.2">
      <c r="A376" s="2" t="s">
        <v>369</v>
      </c>
      <c r="B376" t="str">
        <f t="shared" si="8"/>
        <v>_apac</v>
      </c>
      <c r="C376" t="str">
        <f t="shared" si="7"/>
        <v>q114_1_apac</v>
      </c>
    </row>
    <row r="377" spans="1:3" x14ac:dyDescent="0.2">
      <c r="A377" s="2" t="s">
        <v>370</v>
      </c>
      <c r="B377" t="str">
        <f t="shared" si="8"/>
        <v>_apac</v>
      </c>
      <c r="C377" t="str">
        <f t="shared" si="7"/>
        <v>q114_2_apac</v>
      </c>
    </row>
    <row r="378" spans="1:3" x14ac:dyDescent="0.2">
      <c r="A378" s="2" t="s">
        <v>371</v>
      </c>
      <c r="B378" t="str">
        <f t="shared" si="8"/>
        <v>_apac</v>
      </c>
      <c r="C378" t="str">
        <f t="shared" si="7"/>
        <v>q114_3_apac</v>
      </c>
    </row>
    <row r="379" spans="1:3" x14ac:dyDescent="0.2">
      <c r="A379" s="2" t="s">
        <v>372</v>
      </c>
      <c r="B379" t="str">
        <f t="shared" si="8"/>
        <v>_apac</v>
      </c>
      <c r="C379" t="str">
        <f t="shared" si="7"/>
        <v>q114_4_apac</v>
      </c>
    </row>
    <row r="380" spans="1:3" x14ac:dyDescent="0.2">
      <c r="A380" s="2" t="s">
        <v>373</v>
      </c>
      <c r="B380" t="str">
        <f t="shared" si="8"/>
        <v>_apac</v>
      </c>
      <c r="C380" t="str">
        <f t="shared" si="7"/>
        <v>q114_5_apac</v>
      </c>
    </row>
    <row r="381" spans="1:3" x14ac:dyDescent="0.2">
      <c r="A381" s="2" t="s">
        <v>374</v>
      </c>
      <c r="B381" t="str">
        <f t="shared" si="8"/>
        <v>_apac</v>
      </c>
      <c r="C381" t="str">
        <f t="shared" si="7"/>
        <v>q114_6_apac</v>
      </c>
    </row>
    <row r="382" spans="1:3" x14ac:dyDescent="0.2">
      <c r="A382" s="2" t="s">
        <v>375</v>
      </c>
      <c r="B382" t="str">
        <f t="shared" si="8"/>
        <v>_apac</v>
      </c>
      <c r="C382" t="str">
        <f t="shared" si="7"/>
        <v>q11ROW4_hidden_apac</v>
      </c>
    </row>
    <row r="383" spans="1:3" x14ac:dyDescent="0.2">
      <c r="A383" s="2" t="s">
        <v>376</v>
      </c>
      <c r="B383" t="str">
        <f t="shared" si="8"/>
        <v>_apac</v>
      </c>
      <c r="C383" t="str">
        <f t="shared" si="7"/>
        <v>q115_1_apac</v>
      </c>
    </row>
    <row r="384" spans="1:3" x14ac:dyDescent="0.2">
      <c r="A384" s="2" t="s">
        <v>377</v>
      </c>
      <c r="B384" t="str">
        <f t="shared" si="8"/>
        <v>_apac</v>
      </c>
      <c r="C384" t="str">
        <f t="shared" si="7"/>
        <v>q115_2_apac</v>
      </c>
    </row>
    <row r="385" spans="1:3" x14ac:dyDescent="0.2">
      <c r="A385" s="2" t="s">
        <v>378</v>
      </c>
      <c r="B385" t="str">
        <f t="shared" si="8"/>
        <v>_apac</v>
      </c>
      <c r="C385" t="str">
        <f t="shared" si="7"/>
        <v>q115_3_apac</v>
      </c>
    </row>
    <row r="386" spans="1:3" x14ac:dyDescent="0.2">
      <c r="A386" s="2" t="s">
        <v>379</v>
      </c>
      <c r="B386" t="str">
        <f t="shared" si="8"/>
        <v>_apac</v>
      </c>
      <c r="C386" t="str">
        <f t="shared" si="7"/>
        <v>q115_4_apac</v>
      </c>
    </row>
    <row r="387" spans="1:3" x14ac:dyDescent="0.2">
      <c r="A387" s="2" t="s">
        <v>380</v>
      </c>
      <c r="B387" t="str">
        <f t="shared" ref="B387:B396" si="9">B386</f>
        <v>_apac</v>
      </c>
      <c r="C387" t="str">
        <f t="shared" ref="C387:C450" si="10">_xlfn.CONCAT(A387,B387)</f>
        <v>q115_5_apac</v>
      </c>
    </row>
    <row r="388" spans="1:3" x14ac:dyDescent="0.2">
      <c r="A388" s="2" t="s">
        <v>381</v>
      </c>
      <c r="B388" t="str">
        <f t="shared" si="9"/>
        <v>_apac</v>
      </c>
      <c r="C388" t="str">
        <f t="shared" si="10"/>
        <v>q115_6_apac</v>
      </c>
    </row>
    <row r="389" spans="1:3" x14ac:dyDescent="0.2">
      <c r="A389" s="2" t="s">
        <v>382</v>
      </c>
      <c r="B389" t="str">
        <f t="shared" si="9"/>
        <v>_apac</v>
      </c>
      <c r="C389" t="str">
        <f t="shared" si="10"/>
        <v>q11ROW5_hidden_apac</v>
      </c>
    </row>
    <row r="390" spans="1:3" x14ac:dyDescent="0.2">
      <c r="A390" s="2" t="s">
        <v>383</v>
      </c>
      <c r="B390" t="str">
        <f t="shared" si="9"/>
        <v>_apac</v>
      </c>
      <c r="C390" t="str">
        <f t="shared" si="10"/>
        <v>q11COL1_hidden_apac</v>
      </c>
    </row>
    <row r="391" spans="1:3" x14ac:dyDescent="0.2">
      <c r="A391" s="2" t="s">
        <v>384</v>
      </c>
      <c r="B391" t="str">
        <f t="shared" si="9"/>
        <v>_apac</v>
      </c>
      <c r="C391" t="str">
        <f t="shared" si="10"/>
        <v>q11COL2_hidden_apac</v>
      </c>
    </row>
    <row r="392" spans="1:3" x14ac:dyDescent="0.2">
      <c r="A392" s="2" t="s">
        <v>385</v>
      </c>
      <c r="B392" t="str">
        <f t="shared" si="9"/>
        <v>_apac</v>
      </c>
      <c r="C392" t="str">
        <f t="shared" si="10"/>
        <v>q11COL3_hidden_apac</v>
      </c>
    </row>
    <row r="393" spans="1:3" x14ac:dyDescent="0.2">
      <c r="A393" s="2" t="s">
        <v>386</v>
      </c>
      <c r="B393" t="str">
        <f t="shared" si="9"/>
        <v>_apac</v>
      </c>
      <c r="C393" t="str">
        <f t="shared" si="10"/>
        <v>q11COL4_hidden_apac</v>
      </c>
    </row>
    <row r="394" spans="1:3" x14ac:dyDescent="0.2">
      <c r="A394" s="2" t="s">
        <v>387</v>
      </c>
      <c r="B394" t="str">
        <f t="shared" si="9"/>
        <v>_apac</v>
      </c>
      <c r="C394" t="str">
        <f t="shared" si="10"/>
        <v>q11COL5_hidden_apac</v>
      </c>
    </row>
    <row r="395" spans="1:3" x14ac:dyDescent="0.2">
      <c r="A395" s="2" t="s">
        <v>388</v>
      </c>
      <c r="B395" t="str">
        <f t="shared" si="9"/>
        <v>_apac</v>
      </c>
      <c r="C395" t="str">
        <f t="shared" si="10"/>
        <v>q11COL6_hidden_apac</v>
      </c>
    </row>
    <row r="396" spans="1:3" x14ac:dyDescent="0.2">
      <c r="A396" s="2" t="s">
        <v>389</v>
      </c>
      <c r="B396" t="str">
        <f t="shared" si="9"/>
        <v>_apac</v>
      </c>
      <c r="C396" t="str">
        <f t="shared" si="10"/>
        <v>q11GRANDTotal_hidden_apac</v>
      </c>
    </row>
    <row r="397" spans="1:3" x14ac:dyDescent="0.2">
      <c r="A397" s="2" t="s">
        <v>390</v>
      </c>
      <c r="B397" t="s">
        <v>2088</v>
      </c>
      <c r="C397" t="str">
        <f t="shared" si="10"/>
        <v>EUROPE_europe</v>
      </c>
    </row>
    <row r="398" spans="1:3" x14ac:dyDescent="0.2">
      <c r="A398" s="2" t="s">
        <v>284</v>
      </c>
      <c r="B398" t="str">
        <f t="shared" ref="B398:B429" si="11">B397</f>
        <v>_europe</v>
      </c>
      <c r="C398" t="str">
        <f t="shared" si="10"/>
        <v>q101_1_europe</v>
      </c>
    </row>
    <row r="399" spans="1:3" x14ac:dyDescent="0.2">
      <c r="A399" s="2" t="s">
        <v>285</v>
      </c>
      <c r="B399" t="str">
        <f t="shared" si="11"/>
        <v>_europe</v>
      </c>
      <c r="C399" t="str">
        <f t="shared" si="10"/>
        <v>q101_2_europe</v>
      </c>
    </row>
    <row r="400" spans="1:3" x14ac:dyDescent="0.2">
      <c r="A400" s="2" t="s">
        <v>286</v>
      </c>
      <c r="B400" t="str">
        <f t="shared" si="11"/>
        <v>_europe</v>
      </c>
      <c r="C400" t="str">
        <f t="shared" si="10"/>
        <v>q101_3_europe</v>
      </c>
    </row>
    <row r="401" spans="1:3" x14ac:dyDescent="0.2">
      <c r="A401" s="2" t="s">
        <v>287</v>
      </c>
      <c r="B401" t="str">
        <f t="shared" si="11"/>
        <v>_europe</v>
      </c>
      <c r="C401" t="str">
        <f t="shared" si="10"/>
        <v>q101_4_europe</v>
      </c>
    </row>
    <row r="402" spans="1:3" x14ac:dyDescent="0.2">
      <c r="A402" s="2" t="s">
        <v>288</v>
      </c>
      <c r="B402" t="str">
        <f t="shared" si="11"/>
        <v>_europe</v>
      </c>
      <c r="C402" t="str">
        <f t="shared" si="10"/>
        <v>q101_5_europe</v>
      </c>
    </row>
    <row r="403" spans="1:3" x14ac:dyDescent="0.2">
      <c r="A403" s="2" t="s">
        <v>289</v>
      </c>
      <c r="B403" t="str">
        <f t="shared" si="11"/>
        <v>_europe</v>
      </c>
      <c r="C403" t="str">
        <f t="shared" si="10"/>
        <v>q101_6_europe</v>
      </c>
    </row>
    <row r="404" spans="1:3" x14ac:dyDescent="0.2">
      <c r="A404" s="2" t="s">
        <v>290</v>
      </c>
      <c r="B404" t="str">
        <f t="shared" si="11"/>
        <v>_europe</v>
      </c>
      <c r="C404" t="str">
        <f t="shared" si="10"/>
        <v>q10ROW1_hidden_europe</v>
      </c>
    </row>
    <row r="405" spans="1:3" x14ac:dyDescent="0.2">
      <c r="A405" s="2" t="s">
        <v>291</v>
      </c>
      <c r="B405" t="str">
        <f t="shared" si="11"/>
        <v>_europe</v>
      </c>
      <c r="C405" t="str">
        <f t="shared" si="10"/>
        <v>q102_1_europe</v>
      </c>
    </row>
    <row r="406" spans="1:3" x14ac:dyDescent="0.2">
      <c r="A406" s="2" t="s">
        <v>292</v>
      </c>
      <c r="B406" t="str">
        <f t="shared" si="11"/>
        <v>_europe</v>
      </c>
      <c r="C406" t="str">
        <f t="shared" si="10"/>
        <v>q102_2_europe</v>
      </c>
    </row>
    <row r="407" spans="1:3" x14ac:dyDescent="0.2">
      <c r="A407" s="2" t="s">
        <v>293</v>
      </c>
      <c r="B407" t="str">
        <f t="shared" si="11"/>
        <v>_europe</v>
      </c>
      <c r="C407" t="str">
        <f t="shared" si="10"/>
        <v>q102_3_europe</v>
      </c>
    </row>
    <row r="408" spans="1:3" x14ac:dyDescent="0.2">
      <c r="A408" s="2" t="s">
        <v>294</v>
      </c>
      <c r="B408" t="str">
        <f t="shared" si="11"/>
        <v>_europe</v>
      </c>
      <c r="C408" t="str">
        <f t="shared" si="10"/>
        <v>q102_4_europe</v>
      </c>
    </row>
    <row r="409" spans="1:3" x14ac:dyDescent="0.2">
      <c r="A409" s="2" t="s">
        <v>295</v>
      </c>
      <c r="B409" t="str">
        <f t="shared" si="11"/>
        <v>_europe</v>
      </c>
      <c r="C409" t="str">
        <f t="shared" si="10"/>
        <v>q102_5_europe</v>
      </c>
    </row>
    <row r="410" spans="1:3" x14ac:dyDescent="0.2">
      <c r="A410" s="2" t="s">
        <v>296</v>
      </c>
      <c r="B410" t="str">
        <f t="shared" si="11"/>
        <v>_europe</v>
      </c>
      <c r="C410" t="str">
        <f t="shared" si="10"/>
        <v>q102_6_europe</v>
      </c>
    </row>
    <row r="411" spans="1:3" x14ac:dyDescent="0.2">
      <c r="A411" s="2" t="s">
        <v>297</v>
      </c>
      <c r="B411" t="str">
        <f t="shared" si="11"/>
        <v>_europe</v>
      </c>
      <c r="C411" t="str">
        <f t="shared" si="10"/>
        <v>q10ROW2_hidden_europe</v>
      </c>
    </row>
    <row r="412" spans="1:3" x14ac:dyDescent="0.2">
      <c r="A412" s="2" t="s">
        <v>298</v>
      </c>
      <c r="B412" t="str">
        <f t="shared" si="11"/>
        <v>_europe</v>
      </c>
      <c r="C412" t="str">
        <f t="shared" si="10"/>
        <v>q103_1_europe</v>
      </c>
    </row>
    <row r="413" spans="1:3" x14ac:dyDescent="0.2">
      <c r="A413" s="2" t="s">
        <v>299</v>
      </c>
      <c r="B413" t="str">
        <f t="shared" si="11"/>
        <v>_europe</v>
      </c>
      <c r="C413" t="str">
        <f t="shared" si="10"/>
        <v>q103_2_europe</v>
      </c>
    </row>
    <row r="414" spans="1:3" x14ac:dyDescent="0.2">
      <c r="A414" s="2" t="s">
        <v>300</v>
      </c>
      <c r="B414" t="str">
        <f t="shared" si="11"/>
        <v>_europe</v>
      </c>
      <c r="C414" t="str">
        <f t="shared" si="10"/>
        <v>q103_3_europe</v>
      </c>
    </row>
    <row r="415" spans="1:3" x14ac:dyDescent="0.2">
      <c r="A415" s="2" t="s">
        <v>301</v>
      </c>
      <c r="B415" t="str">
        <f t="shared" si="11"/>
        <v>_europe</v>
      </c>
      <c r="C415" t="str">
        <f t="shared" si="10"/>
        <v>q103_4_europe</v>
      </c>
    </row>
    <row r="416" spans="1:3" x14ac:dyDescent="0.2">
      <c r="A416" s="2" t="s">
        <v>302</v>
      </c>
      <c r="B416" t="str">
        <f t="shared" si="11"/>
        <v>_europe</v>
      </c>
      <c r="C416" t="str">
        <f t="shared" si="10"/>
        <v>q103_5_europe</v>
      </c>
    </row>
    <row r="417" spans="1:3" x14ac:dyDescent="0.2">
      <c r="A417" s="2" t="s">
        <v>303</v>
      </c>
      <c r="B417" t="str">
        <f t="shared" si="11"/>
        <v>_europe</v>
      </c>
      <c r="C417" t="str">
        <f t="shared" si="10"/>
        <v>q103_6_europe</v>
      </c>
    </row>
    <row r="418" spans="1:3" x14ac:dyDescent="0.2">
      <c r="A418" s="2" t="s">
        <v>304</v>
      </c>
      <c r="B418" t="str">
        <f t="shared" si="11"/>
        <v>_europe</v>
      </c>
      <c r="C418" t="str">
        <f t="shared" si="10"/>
        <v>q10ROW3_hidden_europe</v>
      </c>
    </row>
    <row r="419" spans="1:3" x14ac:dyDescent="0.2">
      <c r="A419" s="2" t="s">
        <v>305</v>
      </c>
      <c r="B419" t="str">
        <f t="shared" si="11"/>
        <v>_europe</v>
      </c>
      <c r="C419" t="str">
        <f t="shared" si="10"/>
        <v>q104_1_europe</v>
      </c>
    </row>
    <row r="420" spans="1:3" x14ac:dyDescent="0.2">
      <c r="A420" s="2" t="s">
        <v>306</v>
      </c>
      <c r="B420" t="str">
        <f t="shared" si="11"/>
        <v>_europe</v>
      </c>
      <c r="C420" t="str">
        <f t="shared" si="10"/>
        <v>q104_2_europe</v>
      </c>
    </row>
    <row r="421" spans="1:3" x14ac:dyDescent="0.2">
      <c r="A421" s="2" t="s">
        <v>307</v>
      </c>
      <c r="B421" t="str">
        <f t="shared" si="11"/>
        <v>_europe</v>
      </c>
      <c r="C421" t="str">
        <f t="shared" si="10"/>
        <v>q104_3_europe</v>
      </c>
    </row>
    <row r="422" spans="1:3" x14ac:dyDescent="0.2">
      <c r="A422" s="2" t="s">
        <v>308</v>
      </c>
      <c r="B422" t="str">
        <f t="shared" si="11"/>
        <v>_europe</v>
      </c>
      <c r="C422" t="str">
        <f t="shared" si="10"/>
        <v>q104_4_europe</v>
      </c>
    </row>
    <row r="423" spans="1:3" x14ac:dyDescent="0.2">
      <c r="A423" s="2" t="s">
        <v>309</v>
      </c>
      <c r="B423" t="str">
        <f t="shared" si="11"/>
        <v>_europe</v>
      </c>
      <c r="C423" t="str">
        <f t="shared" si="10"/>
        <v>q104_5_europe</v>
      </c>
    </row>
    <row r="424" spans="1:3" x14ac:dyDescent="0.2">
      <c r="A424" s="2" t="s">
        <v>310</v>
      </c>
      <c r="B424" t="str">
        <f t="shared" si="11"/>
        <v>_europe</v>
      </c>
      <c r="C424" t="str">
        <f t="shared" si="10"/>
        <v>q104_6_europe</v>
      </c>
    </row>
    <row r="425" spans="1:3" x14ac:dyDescent="0.2">
      <c r="A425" s="2" t="s">
        <v>311</v>
      </c>
      <c r="B425" t="str">
        <f t="shared" si="11"/>
        <v>_europe</v>
      </c>
      <c r="C425" t="str">
        <f t="shared" si="10"/>
        <v>q10ROW4_hidden_europe</v>
      </c>
    </row>
    <row r="426" spans="1:3" x14ac:dyDescent="0.2">
      <c r="A426" s="2" t="s">
        <v>312</v>
      </c>
      <c r="B426" t="str">
        <f t="shared" si="11"/>
        <v>_europe</v>
      </c>
      <c r="C426" t="str">
        <f t="shared" si="10"/>
        <v>q105_1_europe</v>
      </c>
    </row>
    <row r="427" spans="1:3" x14ac:dyDescent="0.2">
      <c r="A427" s="2" t="s">
        <v>313</v>
      </c>
      <c r="B427" t="str">
        <f t="shared" si="11"/>
        <v>_europe</v>
      </c>
      <c r="C427" t="str">
        <f t="shared" si="10"/>
        <v>q105_2_europe</v>
      </c>
    </row>
    <row r="428" spans="1:3" x14ac:dyDescent="0.2">
      <c r="A428" s="2" t="s">
        <v>314</v>
      </c>
      <c r="B428" t="str">
        <f t="shared" si="11"/>
        <v>_europe</v>
      </c>
      <c r="C428" t="str">
        <f t="shared" si="10"/>
        <v>q105_3_europe</v>
      </c>
    </row>
    <row r="429" spans="1:3" x14ac:dyDescent="0.2">
      <c r="A429" s="2" t="s">
        <v>315</v>
      </c>
      <c r="B429" t="str">
        <f t="shared" si="11"/>
        <v>_europe</v>
      </c>
      <c r="C429" t="str">
        <f t="shared" si="10"/>
        <v>q105_4_europe</v>
      </c>
    </row>
    <row r="430" spans="1:3" x14ac:dyDescent="0.2">
      <c r="A430" s="2" t="s">
        <v>316</v>
      </c>
      <c r="B430" t="str">
        <f t="shared" ref="B430:B461" si="12">B429</f>
        <v>_europe</v>
      </c>
      <c r="C430" t="str">
        <f t="shared" si="10"/>
        <v>q105_5_europe</v>
      </c>
    </row>
    <row r="431" spans="1:3" x14ac:dyDescent="0.2">
      <c r="A431" s="2" t="s">
        <v>317</v>
      </c>
      <c r="B431" t="str">
        <f t="shared" si="12"/>
        <v>_europe</v>
      </c>
      <c r="C431" t="str">
        <f t="shared" si="10"/>
        <v>q105_6_europe</v>
      </c>
    </row>
    <row r="432" spans="1:3" x14ac:dyDescent="0.2">
      <c r="A432" s="2" t="s">
        <v>318</v>
      </c>
      <c r="B432" t="str">
        <f t="shared" si="12"/>
        <v>_europe</v>
      </c>
      <c r="C432" t="str">
        <f t="shared" si="10"/>
        <v>q10ROW5_hidden_europe</v>
      </c>
    </row>
    <row r="433" spans="1:3" x14ac:dyDescent="0.2">
      <c r="A433" s="2" t="s">
        <v>319</v>
      </c>
      <c r="B433" t="str">
        <f t="shared" si="12"/>
        <v>_europe</v>
      </c>
      <c r="C433" t="str">
        <f t="shared" si="10"/>
        <v>q106_1_europe</v>
      </c>
    </row>
    <row r="434" spans="1:3" x14ac:dyDescent="0.2">
      <c r="A434" s="2" t="s">
        <v>320</v>
      </c>
      <c r="B434" t="str">
        <f t="shared" si="12"/>
        <v>_europe</v>
      </c>
      <c r="C434" t="str">
        <f t="shared" si="10"/>
        <v>q106_2_europe</v>
      </c>
    </row>
    <row r="435" spans="1:3" x14ac:dyDescent="0.2">
      <c r="A435" s="2" t="s">
        <v>321</v>
      </c>
      <c r="B435" t="str">
        <f t="shared" si="12"/>
        <v>_europe</v>
      </c>
      <c r="C435" t="str">
        <f t="shared" si="10"/>
        <v>q106_3_europe</v>
      </c>
    </row>
    <row r="436" spans="1:3" x14ac:dyDescent="0.2">
      <c r="A436" s="2" t="s">
        <v>322</v>
      </c>
      <c r="B436" t="str">
        <f t="shared" si="12"/>
        <v>_europe</v>
      </c>
      <c r="C436" t="str">
        <f t="shared" si="10"/>
        <v>q106_4_europe</v>
      </c>
    </row>
    <row r="437" spans="1:3" x14ac:dyDescent="0.2">
      <c r="A437" s="2" t="s">
        <v>323</v>
      </c>
      <c r="B437" t="str">
        <f t="shared" si="12"/>
        <v>_europe</v>
      </c>
      <c r="C437" t="str">
        <f t="shared" si="10"/>
        <v>q106_5_europe</v>
      </c>
    </row>
    <row r="438" spans="1:3" x14ac:dyDescent="0.2">
      <c r="A438" s="2" t="s">
        <v>324</v>
      </c>
      <c r="B438" t="str">
        <f t="shared" si="12"/>
        <v>_europe</v>
      </c>
      <c r="C438" t="str">
        <f t="shared" si="10"/>
        <v>q106_6_europe</v>
      </c>
    </row>
    <row r="439" spans="1:3" x14ac:dyDescent="0.2">
      <c r="A439" s="2" t="s">
        <v>325</v>
      </c>
      <c r="B439" t="str">
        <f t="shared" si="12"/>
        <v>_europe</v>
      </c>
      <c r="C439" t="str">
        <f t="shared" si="10"/>
        <v>q10ROW6_hidden_europe</v>
      </c>
    </row>
    <row r="440" spans="1:3" x14ac:dyDescent="0.2">
      <c r="A440" s="2" t="s">
        <v>326</v>
      </c>
      <c r="B440" t="str">
        <f t="shared" si="12"/>
        <v>_europe</v>
      </c>
      <c r="C440" t="str">
        <f t="shared" si="10"/>
        <v>q107_1_europe</v>
      </c>
    </row>
    <row r="441" spans="1:3" x14ac:dyDescent="0.2">
      <c r="A441" s="2" t="s">
        <v>327</v>
      </c>
      <c r="B441" t="str">
        <f t="shared" si="12"/>
        <v>_europe</v>
      </c>
      <c r="C441" t="str">
        <f t="shared" si="10"/>
        <v>q107_2_europe</v>
      </c>
    </row>
    <row r="442" spans="1:3" x14ac:dyDescent="0.2">
      <c r="A442" s="2" t="s">
        <v>328</v>
      </c>
      <c r="B442" t="str">
        <f t="shared" si="12"/>
        <v>_europe</v>
      </c>
      <c r="C442" t="str">
        <f t="shared" si="10"/>
        <v>q107_3_europe</v>
      </c>
    </row>
    <row r="443" spans="1:3" x14ac:dyDescent="0.2">
      <c r="A443" s="2" t="s">
        <v>329</v>
      </c>
      <c r="B443" t="str">
        <f t="shared" si="12"/>
        <v>_europe</v>
      </c>
      <c r="C443" t="str">
        <f t="shared" si="10"/>
        <v>q107_4_europe</v>
      </c>
    </row>
    <row r="444" spans="1:3" x14ac:dyDescent="0.2">
      <c r="A444" s="2" t="s">
        <v>330</v>
      </c>
      <c r="B444" t="str">
        <f t="shared" si="12"/>
        <v>_europe</v>
      </c>
      <c r="C444" t="str">
        <f t="shared" si="10"/>
        <v>q107_5_europe</v>
      </c>
    </row>
    <row r="445" spans="1:3" x14ac:dyDescent="0.2">
      <c r="A445" s="2" t="s">
        <v>331</v>
      </c>
      <c r="B445" t="str">
        <f t="shared" si="12"/>
        <v>_europe</v>
      </c>
      <c r="C445" t="str">
        <f t="shared" si="10"/>
        <v>q107_6_europe</v>
      </c>
    </row>
    <row r="446" spans="1:3" x14ac:dyDescent="0.2">
      <c r="A446" s="2" t="s">
        <v>332</v>
      </c>
      <c r="B446" t="str">
        <f t="shared" si="12"/>
        <v>_europe</v>
      </c>
      <c r="C446" t="str">
        <f t="shared" si="10"/>
        <v>q10ROW7_hidden_europe</v>
      </c>
    </row>
    <row r="447" spans="1:3" x14ac:dyDescent="0.2">
      <c r="A447" s="2" t="s">
        <v>333</v>
      </c>
      <c r="B447" t="str">
        <f t="shared" si="12"/>
        <v>_europe</v>
      </c>
      <c r="C447" t="str">
        <f t="shared" si="10"/>
        <v>q10other_europe</v>
      </c>
    </row>
    <row r="448" spans="1:3" x14ac:dyDescent="0.2">
      <c r="A448" s="2" t="s">
        <v>334</v>
      </c>
      <c r="B448" t="str">
        <f t="shared" si="12"/>
        <v>_europe</v>
      </c>
      <c r="C448" t="str">
        <f t="shared" si="10"/>
        <v>q108_1_europe</v>
      </c>
    </row>
    <row r="449" spans="1:3" x14ac:dyDescent="0.2">
      <c r="A449" s="2" t="s">
        <v>335</v>
      </c>
      <c r="B449" t="str">
        <f t="shared" si="12"/>
        <v>_europe</v>
      </c>
      <c r="C449" t="str">
        <f t="shared" si="10"/>
        <v>q108_2_europe</v>
      </c>
    </row>
    <row r="450" spans="1:3" x14ac:dyDescent="0.2">
      <c r="A450" s="2" t="s">
        <v>336</v>
      </c>
      <c r="B450" t="str">
        <f t="shared" si="12"/>
        <v>_europe</v>
      </c>
      <c r="C450" t="str">
        <f t="shared" si="10"/>
        <v>q108_3_europe</v>
      </c>
    </row>
    <row r="451" spans="1:3" x14ac:dyDescent="0.2">
      <c r="A451" s="2" t="s">
        <v>337</v>
      </c>
      <c r="B451" t="str">
        <f t="shared" si="12"/>
        <v>_europe</v>
      </c>
      <c r="C451" t="str">
        <f t="shared" ref="C451:C514" si="13">_xlfn.CONCAT(A451,B451)</f>
        <v>q108_4_europe</v>
      </c>
    </row>
    <row r="452" spans="1:3" x14ac:dyDescent="0.2">
      <c r="A452" s="2" t="s">
        <v>338</v>
      </c>
      <c r="B452" t="str">
        <f t="shared" si="12"/>
        <v>_europe</v>
      </c>
      <c r="C452" t="str">
        <f t="shared" si="13"/>
        <v>q108_5_europe</v>
      </c>
    </row>
    <row r="453" spans="1:3" x14ac:dyDescent="0.2">
      <c r="A453" s="2" t="s">
        <v>339</v>
      </c>
      <c r="B453" t="str">
        <f t="shared" si="12"/>
        <v>_europe</v>
      </c>
      <c r="C453" t="str">
        <f t="shared" si="13"/>
        <v>q108_6_europe</v>
      </c>
    </row>
    <row r="454" spans="1:3" x14ac:dyDescent="0.2">
      <c r="A454" s="2" t="s">
        <v>340</v>
      </c>
      <c r="B454" t="str">
        <f t="shared" si="12"/>
        <v>_europe</v>
      </c>
      <c r="C454" t="str">
        <f t="shared" si="13"/>
        <v>q10ROW8_hidden_europe</v>
      </c>
    </row>
    <row r="455" spans="1:3" x14ac:dyDescent="0.2">
      <c r="A455" s="2" t="s">
        <v>341</v>
      </c>
      <c r="B455" t="str">
        <f t="shared" si="12"/>
        <v>_europe</v>
      </c>
      <c r="C455" t="str">
        <f t="shared" si="13"/>
        <v>q10COL1_hidden_europe</v>
      </c>
    </row>
    <row r="456" spans="1:3" x14ac:dyDescent="0.2">
      <c r="A456" s="2" t="s">
        <v>342</v>
      </c>
      <c r="B456" t="str">
        <f t="shared" si="12"/>
        <v>_europe</v>
      </c>
      <c r="C456" t="str">
        <f t="shared" si="13"/>
        <v>q10COL2_hidden_europe</v>
      </c>
    </row>
    <row r="457" spans="1:3" x14ac:dyDescent="0.2">
      <c r="A457" s="2" t="s">
        <v>343</v>
      </c>
      <c r="B457" t="str">
        <f t="shared" si="12"/>
        <v>_europe</v>
      </c>
      <c r="C457" t="str">
        <f t="shared" si="13"/>
        <v>q10COL3_hidden_europe</v>
      </c>
    </row>
    <row r="458" spans="1:3" x14ac:dyDescent="0.2">
      <c r="A458" s="2" t="s">
        <v>344</v>
      </c>
      <c r="B458" t="str">
        <f t="shared" si="12"/>
        <v>_europe</v>
      </c>
      <c r="C458" t="str">
        <f t="shared" si="13"/>
        <v>q10COL4_hidden_europe</v>
      </c>
    </row>
    <row r="459" spans="1:3" x14ac:dyDescent="0.2">
      <c r="A459" s="2" t="s">
        <v>345</v>
      </c>
      <c r="B459" t="str">
        <f t="shared" si="12"/>
        <v>_europe</v>
      </c>
      <c r="C459" t="str">
        <f t="shared" si="13"/>
        <v>q10COL5_hidden_europe</v>
      </c>
    </row>
    <row r="460" spans="1:3" x14ac:dyDescent="0.2">
      <c r="A460" s="2" t="s">
        <v>346</v>
      </c>
      <c r="B460" t="str">
        <f t="shared" si="12"/>
        <v>_europe</v>
      </c>
      <c r="C460" t="str">
        <f t="shared" si="13"/>
        <v>q10COL6_hidden_europe</v>
      </c>
    </row>
    <row r="461" spans="1:3" x14ac:dyDescent="0.2">
      <c r="A461" s="2" t="s">
        <v>347</v>
      </c>
      <c r="B461" t="str">
        <f t="shared" si="12"/>
        <v>_europe</v>
      </c>
      <c r="C461" t="str">
        <f t="shared" si="13"/>
        <v>q10GRANDTotal_hidden_europe</v>
      </c>
    </row>
    <row r="462" spans="1:3" x14ac:dyDescent="0.2">
      <c r="A462" s="2" t="s">
        <v>348</v>
      </c>
      <c r="B462" t="str">
        <f t="shared" ref="B462:B493" si="14">B461</f>
        <v>_europe</v>
      </c>
      <c r="C462" t="str">
        <f t="shared" si="13"/>
        <v>q111_1_europe</v>
      </c>
    </row>
    <row r="463" spans="1:3" x14ac:dyDescent="0.2">
      <c r="A463" s="2" t="s">
        <v>349</v>
      </c>
      <c r="B463" t="str">
        <f t="shared" si="14"/>
        <v>_europe</v>
      </c>
      <c r="C463" t="str">
        <f t="shared" si="13"/>
        <v>q111_2_europe</v>
      </c>
    </row>
    <row r="464" spans="1:3" x14ac:dyDescent="0.2">
      <c r="A464" s="2" t="s">
        <v>350</v>
      </c>
      <c r="B464" t="str">
        <f t="shared" si="14"/>
        <v>_europe</v>
      </c>
      <c r="C464" t="str">
        <f t="shared" si="13"/>
        <v>q111_3_europe</v>
      </c>
    </row>
    <row r="465" spans="1:3" x14ac:dyDescent="0.2">
      <c r="A465" s="2" t="s">
        <v>351</v>
      </c>
      <c r="B465" t="str">
        <f t="shared" si="14"/>
        <v>_europe</v>
      </c>
      <c r="C465" t="str">
        <f t="shared" si="13"/>
        <v>q111_4_europe</v>
      </c>
    </row>
    <row r="466" spans="1:3" x14ac:dyDescent="0.2">
      <c r="A466" s="2" t="s">
        <v>352</v>
      </c>
      <c r="B466" t="str">
        <f t="shared" si="14"/>
        <v>_europe</v>
      </c>
      <c r="C466" t="str">
        <f t="shared" si="13"/>
        <v>q111_5_europe</v>
      </c>
    </row>
    <row r="467" spans="1:3" x14ac:dyDescent="0.2">
      <c r="A467" s="2" t="s">
        <v>353</v>
      </c>
      <c r="B467" t="str">
        <f t="shared" si="14"/>
        <v>_europe</v>
      </c>
      <c r="C467" t="str">
        <f t="shared" si="13"/>
        <v>q111_6_europe</v>
      </c>
    </row>
    <row r="468" spans="1:3" x14ac:dyDescent="0.2">
      <c r="A468" s="2" t="s">
        <v>354</v>
      </c>
      <c r="B468" t="str">
        <f t="shared" si="14"/>
        <v>_europe</v>
      </c>
      <c r="C468" t="str">
        <f t="shared" si="13"/>
        <v>q11ROW1_hidden_europe</v>
      </c>
    </row>
    <row r="469" spans="1:3" x14ac:dyDescent="0.2">
      <c r="A469" s="2" t="s">
        <v>355</v>
      </c>
      <c r="B469" t="str">
        <f t="shared" si="14"/>
        <v>_europe</v>
      </c>
      <c r="C469" t="str">
        <f t="shared" si="13"/>
        <v>q112_1_europe</v>
      </c>
    </row>
    <row r="470" spans="1:3" x14ac:dyDescent="0.2">
      <c r="A470" s="2" t="s">
        <v>356</v>
      </c>
      <c r="B470" t="str">
        <f t="shared" si="14"/>
        <v>_europe</v>
      </c>
      <c r="C470" t="str">
        <f t="shared" si="13"/>
        <v>q112_2_europe</v>
      </c>
    </row>
    <row r="471" spans="1:3" x14ac:dyDescent="0.2">
      <c r="A471" s="2" t="s">
        <v>357</v>
      </c>
      <c r="B471" t="str">
        <f t="shared" si="14"/>
        <v>_europe</v>
      </c>
      <c r="C471" t="str">
        <f t="shared" si="13"/>
        <v>q112_3_europe</v>
      </c>
    </row>
    <row r="472" spans="1:3" x14ac:dyDescent="0.2">
      <c r="A472" s="2" t="s">
        <v>358</v>
      </c>
      <c r="B472" t="str">
        <f t="shared" si="14"/>
        <v>_europe</v>
      </c>
      <c r="C472" t="str">
        <f t="shared" si="13"/>
        <v>q112_4_europe</v>
      </c>
    </row>
    <row r="473" spans="1:3" x14ac:dyDescent="0.2">
      <c r="A473" s="2" t="s">
        <v>359</v>
      </c>
      <c r="B473" t="str">
        <f t="shared" si="14"/>
        <v>_europe</v>
      </c>
      <c r="C473" t="str">
        <f t="shared" si="13"/>
        <v>q112_5_europe</v>
      </c>
    </row>
    <row r="474" spans="1:3" x14ac:dyDescent="0.2">
      <c r="A474" s="2" t="s">
        <v>360</v>
      </c>
      <c r="B474" t="str">
        <f t="shared" si="14"/>
        <v>_europe</v>
      </c>
      <c r="C474" t="str">
        <f t="shared" si="13"/>
        <v>q112_6_europe</v>
      </c>
    </row>
    <row r="475" spans="1:3" x14ac:dyDescent="0.2">
      <c r="A475" s="2" t="s">
        <v>361</v>
      </c>
      <c r="B475" t="str">
        <f t="shared" si="14"/>
        <v>_europe</v>
      </c>
      <c r="C475" t="str">
        <f t="shared" si="13"/>
        <v>q11ROW2_hidden_europe</v>
      </c>
    </row>
    <row r="476" spans="1:3" x14ac:dyDescent="0.2">
      <c r="A476" s="2" t="s">
        <v>362</v>
      </c>
      <c r="B476" t="str">
        <f t="shared" si="14"/>
        <v>_europe</v>
      </c>
      <c r="C476" t="str">
        <f t="shared" si="13"/>
        <v>q113_1_europe</v>
      </c>
    </row>
    <row r="477" spans="1:3" x14ac:dyDescent="0.2">
      <c r="A477" s="2" t="s">
        <v>363</v>
      </c>
      <c r="B477" t="str">
        <f t="shared" si="14"/>
        <v>_europe</v>
      </c>
      <c r="C477" t="str">
        <f t="shared" si="13"/>
        <v>q113_2_europe</v>
      </c>
    </row>
    <row r="478" spans="1:3" x14ac:dyDescent="0.2">
      <c r="A478" s="2" t="s">
        <v>364</v>
      </c>
      <c r="B478" t="str">
        <f t="shared" si="14"/>
        <v>_europe</v>
      </c>
      <c r="C478" t="str">
        <f t="shared" si="13"/>
        <v>q113_3_europe</v>
      </c>
    </row>
    <row r="479" spans="1:3" x14ac:dyDescent="0.2">
      <c r="A479" s="2" t="s">
        <v>365</v>
      </c>
      <c r="B479" t="str">
        <f t="shared" si="14"/>
        <v>_europe</v>
      </c>
      <c r="C479" t="str">
        <f t="shared" si="13"/>
        <v>q113_4_europe</v>
      </c>
    </row>
    <row r="480" spans="1:3" x14ac:dyDescent="0.2">
      <c r="A480" s="2" t="s">
        <v>366</v>
      </c>
      <c r="B480" t="str">
        <f t="shared" si="14"/>
        <v>_europe</v>
      </c>
      <c r="C480" t="str">
        <f t="shared" si="13"/>
        <v>q113_5_europe</v>
      </c>
    </row>
    <row r="481" spans="1:3" x14ac:dyDescent="0.2">
      <c r="A481" s="2" t="s">
        <v>367</v>
      </c>
      <c r="B481" t="str">
        <f t="shared" si="14"/>
        <v>_europe</v>
      </c>
      <c r="C481" t="str">
        <f t="shared" si="13"/>
        <v>q113_6_europe</v>
      </c>
    </row>
    <row r="482" spans="1:3" x14ac:dyDescent="0.2">
      <c r="A482" s="2" t="s">
        <v>368</v>
      </c>
      <c r="B482" t="str">
        <f t="shared" si="14"/>
        <v>_europe</v>
      </c>
      <c r="C482" t="str">
        <f t="shared" si="13"/>
        <v>q11ROW3_hidden_europe</v>
      </c>
    </row>
    <row r="483" spans="1:3" x14ac:dyDescent="0.2">
      <c r="A483" s="2" t="s">
        <v>369</v>
      </c>
      <c r="B483" t="str">
        <f t="shared" si="14"/>
        <v>_europe</v>
      </c>
      <c r="C483" t="str">
        <f t="shared" si="13"/>
        <v>q114_1_europe</v>
      </c>
    </row>
    <row r="484" spans="1:3" x14ac:dyDescent="0.2">
      <c r="A484" s="2" t="s">
        <v>370</v>
      </c>
      <c r="B484" t="str">
        <f t="shared" si="14"/>
        <v>_europe</v>
      </c>
      <c r="C484" t="str">
        <f t="shared" si="13"/>
        <v>q114_2_europe</v>
      </c>
    </row>
    <row r="485" spans="1:3" x14ac:dyDescent="0.2">
      <c r="A485" s="2" t="s">
        <v>371</v>
      </c>
      <c r="B485" t="str">
        <f t="shared" si="14"/>
        <v>_europe</v>
      </c>
      <c r="C485" t="str">
        <f t="shared" si="13"/>
        <v>q114_3_europe</v>
      </c>
    </row>
    <row r="486" spans="1:3" x14ac:dyDescent="0.2">
      <c r="A486" s="2" t="s">
        <v>372</v>
      </c>
      <c r="B486" t="str">
        <f t="shared" si="14"/>
        <v>_europe</v>
      </c>
      <c r="C486" t="str">
        <f t="shared" si="13"/>
        <v>q114_4_europe</v>
      </c>
    </row>
    <row r="487" spans="1:3" x14ac:dyDescent="0.2">
      <c r="A487" s="2" t="s">
        <v>373</v>
      </c>
      <c r="B487" t="str">
        <f t="shared" si="14"/>
        <v>_europe</v>
      </c>
      <c r="C487" t="str">
        <f t="shared" si="13"/>
        <v>q114_5_europe</v>
      </c>
    </row>
    <row r="488" spans="1:3" x14ac:dyDescent="0.2">
      <c r="A488" s="2" t="s">
        <v>374</v>
      </c>
      <c r="B488" t="str">
        <f t="shared" si="14"/>
        <v>_europe</v>
      </c>
      <c r="C488" t="str">
        <f t="shared" si="13"/>
        <v>q114_6_europe</v>
      </c>
    </row>
    <row r="489" spans="1:3" x14ac:dyDescent="0.2">
      <c r="A489" s="2" t="s">
        <v>375</v>
      </c>
      <c r="B489" t="str">
        <f t="shared" si="14"/>
        <v>_europe</v>
      </c>
      <c r="C489" t="str">
        <f t="shared" si="13"/>
        <v>q11ROW4_hidden_europe</v>
      </c>
    </row>
    <row r="490" spans="1:3" x14ac:dyDescent="0.2">
      <c r="A490" s="2" t="s">
        <v>376</v>
      </c>
      <c r="B490" t="str">
        <f t="shared" si="14"/>
        <v>_europe</v>
      </c>
      <c r="C490" t="str">
        <f t="shared" si="13"/>
        <v>q115_1_europe</v>
      </c>
    </row>
    <row r="491" spans="1:3" x14ac:dyDescent="0.2">
      <c r="A491" s="2" t="s">
        <v>377</v>
      </c>
      <c r="B491" t="str">
        <f t="shared" si="14"/>
        <v>_europe</v>
      </c>
      <c r="C491" t="str">
        <f t="shared" si="13"/>
        <v>q115_2_europe</v>
      </c>
    </row>
    <row r="492" spans="1:3" x14ac:dyDescent="0.2">
      <c r="A492" s="2" t="s">
        <v>378</v>
      </c>
      <c r="B492" t="str">
        <f t="shared" si="14"/>
        <v>_europe</v>
      </c>
      <c r="C492" t="str">
        <f t="shared" si="13"/>
        <v>q115_3_europe</v>
      </c>
    </row>
    <row r="493" spans="1:3" x14ac:dyDescent="0.2">
      <c r="A493" s="2" t="s">
        <v>379</v>
      </c>
      <c r="B493" t="str">
        <f t="shared" si="14"/>
        <v>_europe</v>
      </c>
      <c r="C493" t="str">
        <f t="shared" si="13"/>
        <v>q115_4_europe</v>
      </c>
    </row>
    <row r="494" spans="1:3" x14ac:dyDescent="0.2">
      <c r="A494" s="2" t="s">
        <v>380</v>
      </c>
      <c r="B494" t="str">
        <f t="shared" ref="B494:B503" si="15">B493</f>
        <v>_europe</v>
      </c>
      <c r="C494" t="str">
        <f t="shared" si="13"/>
        <v>q115_5_europe</v>
      </c>
    </row>
    <row r="495" spans="1:3" x14ac:dyDescent="0.2">
      <c r="A495" s="2" t="s">
        <v>381</v>
      </c>
      <c r="B495" t="str">
        <f t="shared" si="15"/>
        <v>_europe</v>
      </c>
      <c r="C495" t="str">
        <f t="shared" si="13"/>
        <v>q115_6_europe</v>
      </c>
    </row>
    <row r="496" spans="1:3" x14ac:dyDescent="0.2">
      <c r="A496" s="2" t="s">
        <v>382</v>
      </c>
      <c r="B496" t="str">
        <f t="shared" si="15"/>
        <v>_europe</v>
      </c>
      <c r="C496" t="str">
        <f t="shared" si="13"/>
        <v>q11ROW5_hidden_europe</v>
      </c>
    </row>
    <row r="497" spans="1:3" x14ac:dyDescent="0.2">
      <c r="A497" s="2" t="s">
        <v>383</v>
      </c>
      <c r="B497" t="str">
        <f t="shared" si="15"/>
        <v>_europe</v>
      </c>
      <c r="C497" t="str">
        <f t="shared" si="13"/>
        <v>q11COL1_hidden_europe</v>
      </c>
    </row>
    <row r="498" spans="1:3" x14ac:dyDescent="0.2">
      <c r="A498" s="2" t="s">
        <v>384</v>
      </c>
      <c r="B498" t="str">
        <f t="shared" si="15"/>
        <v>_europe</v>
      </c>
      <c r="C498" t="str">
        <f t="shared" si="13"/>
        <v>q11COL2_hidden_europe</v>
      </c>
    </row>
    <row r="499" spans="1:3" x14ac:dyDescent="0.2">
      <c r="A499" s="2" t="s">
        <v>385</v>
      </c>
      <c r="B499" t="str">
        <f t="shared" si="15"/>
        <v>_europe</v>
      </c>
      <c r="C499" t="str">
        <f t="shared" si="13"/>
        <v>q11COL3_hidden_europe</v>
      </c>
    </row>
    <row r="500" spans="1:3" x14ac:dyDescent="0.2">
      <c r="A500" s="2" t="s">
        <v>386</v>
      </c>
      <c r="B500" t="str">
        <f t="shared" si="15"/>
        <v>_europe</v>
      </c>
      <c r="C500" t="str">
        <f t="shared" si="13"/>
        <v>q11COL4_hidden_europe</v>
      </c>
    </row>
    <row r="501" spans="1:3" x14ac:dyDescent="0.2">
      <c r="A501" s="2" t="s">
        <v>387</v>
      </c>
      <c r="B501" t="str">
        <f t="shared" si="15"/>
        <v>_europe</v>
      </c>
      <c r="C501" t="str">
        <f t="shared" si="13"/>
        <v>q11COL5_hidden_europe</v>
      </c>
    </row>
    <row r="502" spans="1:3" x14ac:dyDescent="0.2">
      <c r="A502" s="2" t="s">
        <v>388</v>
      </c>
      <c r="B502" t="str">
        <f t="shared" si="15"/>
        <v>_europe</v>
      </c>
      <c r="C502" t="str">
        <f t="shared" si="13"/>
        <v>q11COL6_hidden_europe</v>
      </c>
    </row>
    <row r="503" spans="1:3" x14ac:dyDescent="0.2">
      <c r="A503" s="2" t="s">
        <v>389</v>
      </c>
      <c r="B503" t="str">
        <f t="shared" si="15"/>
        <v>_europe</v>
      </c>
      <c r="C503" t="str">
        <f t="shared" si="13"/>
        <v>q11GRANDTotal_hidden_europe</v>
      </c>
    </row>
    <row r="504" spans="1:3" x14ac:dyDescent="0.2">
      <c r="A504" s="2" t="s">
        <v>391</v>
      </c>
      <c r="B504" t="s">
        <v>2089</v>
      </c>
      <c r="C504" t="str">
        <f t="shared" si="13"/>
        <v>NORTH AMERICA_northamerica</v>
      </c>
    </row>
    <row r="505" spans="1:3" x14ac:dyDescent="0.2">
      <c r="A505" s="2" t="s">
        <v>284</v>
      </c>
      <c r="B505" t="str">
        <f t="shared" ref="B505:B536" si="16">B504</f>
        <v>_northamerica</v>
      </c>
      <c r="C505" t="str">
        <f t="shared" si="13"/>
        <v>q101_1_northamerica</v>
      </c>
    </row>
    <row r="506" spans="1:3" x14ac:dyDescent="0.2">
      <c r="A506" s="2" t="s">
        <v>285</v>
      </c>
      <c r="B506" t="str">
        <f t="shared" si="16"/>
        <v>_northamerica</v>
      </c>
      <c r="C506" t="str">
        <f t="shared" si="13"/>
        <v>q101_2_northamerica</v>
      </c>
    </row>
    <row r="507" spans="1:3" x14ac:dyDescent="0.2">
      <c r="A507" s="2" t="s">
        <v>286</v>
      </c>
      <c r="B507" t="str">
        <f t="shared" si="16"/>
        <v>_northamerica</v>
      </c>
      <c r="C507" t="str">
        <f t="shared" si="13"/>
        <v>q101_3_northamerica</v>
      </c>
    </row>
    <row r="508" spans="1:3" x14ac:dyDescent="0.2">
      <c r="A508" s="2" t="s">
        <v>287</v>
      </c>
      <c r="B508" t="str">
        <f t="shared" si="16"/>
        <v>_northamerica</v>
      </c>
      <c r="C508" t="str">
        <f t="shared" si="13"/>
        <v>q101_4_northamerica</v>
      </c>
    </row>
    <row r="509" spans="1:3" x14ac:dyDescent="0.2">
      <c r="A509" s="2" t="s">
        <v>288</v>
      </c>
      <c r="B509" t="str">
        <f t="shared" si="16"/>
        <v>_northamerica</v>
      </c>
      <c r="C509" t="str">
        <f t="shared" si="13"/>
        <v>q101_5_northamerica</v>
      </c>
    </row>
    <row r="510" spans="1:3" x14ac:dyDescent="0.2">
      <c r="A510" s="2" t="s">
        <v>289</v>
      </c>
      <c r="B510" t="str">
        <f t="shared" si="16"/>
        <v>_northamerica</v>
      </c>
      <c r="C510" t="str">
        <f t="shared" si="13"/>
        <v>q101_6_northamerica</v>
      </c>
    </row>
    <row r="511" spans="1:3" x14ac:dyDescent="0.2">
      <c r="A511" s="2" t="s">
        <v>290</v>
      </c>
      <c r="B511" t="str">
        <f t="shared" si="16"/>
        <v>_northamerica</v>
      </c>
      <c r="C511" t="str">
        <f t="shared" si="13"/>
        <v>q10ROW1_hidden_northamerica</v>
      </c>
    </row>
    <row r="512" spans="1:3" x14ac:dyDescent="0.2">
      <c r="A512" s="2" t="s">
        <v>291</v>
      </c>
      <c r="B512" t="str">
        <f t="shared" si="16"/>
        <v>_northamerica</v>
      </c>
      <c r="C512" t="str">
        <f t="shared" si="13"/>
        <v>q102_1_northamerica</v>
      </c>
    </row>
    <row r="513" spans="1:3" x14ac:dyDescent="0.2">
      <c r="A513" s="2" t="s">
        <v>292</v>
      </c>
      <c r="B513" t="str">
        <f t="shared" si="16"/>
        <v>_northamerica</v>
      </c>
      <c r="C513" t="str">
        <f t="shared" si="13"/>
        <v>q102_2_northamerica</v>
      </c>
    </row>
    <row r="514" spans="1:3" x14ac:dyDescent="0.2">
      <c r="A514" s="2" t="s">
        <v>293</v>
      </c>
      <c r="B514" t="str">
        <f t="shared" si="16"/>
        <v>_northamerica</v>
      </c>
      <c r="C514" t="str">
        <f t="shared" si="13"/>
        <v>q102_3_northamerica</v>
      </c>
    </row>
    <row r="515" spans="1:3" x14ac:dyDescent="0.2">
      <c r="A515" s="2" t="s">
        <v>294</v>
      </c>
      <c r="B515" t="str">
        <f t="shared" si="16"/>
        <v>_northamerica</v>
      </c>
      <c r="C515" t="str">
        <f t="shared" ref="C515:C578" si="17">_xlfn.CONCAT(A515,B515)</f>
        <v>q102_4_northamerica</v>
      </c>
    </row>
    <row r="516" spans="1:3" x14ac:dyDescent="0.2">
      <c r="A516" s="2" t="s">
        <v>295</v>
      </c>
      <c r="B516" t="str">
        <f t="shared" si="16"/>
        <v>_northamerica</v>
      </c>
      <c r="C516" t="str">
        <f t="shared" si="17"/>
        <v>q102_5_northamerica</v>
      </c>
    </row>
    <row r="517" spans="1:3" x14ac:dyDescent="0.2">
      <c r="A517" s="2" t="s">
        <v>296</v>
      </c>
      <c r="B517" t="str">
        <f t="shared" si="16"/>
        <v>_northamerica</v>
      </c>
      <c r="C517" t="str">
        <f t="shared" si="17"/>
        <v>q102_6_northamerica</v>
      </c>
    </row>
    <row r="518" spans="1:3" x14ac:dyDescent="0.2">
      <c r="A518" s="2" t="s">
        <v>297</v>
      </c>
      <c r="B518" t="str">
        <f t="shared" si="16"/>
        <v>_northamerica</v>
      </c>
      <c r="C518" t="str">
        <f t="shared" si="17"/>
        <v>q10ROW2_hidden_northamerica</v>
      </c>
    </row>
    <row r="519" spans="1:3" x14ac:dyDescent="0.2">
      <c r="A519" s="2" t="s">
        <v>298</v>
      </c>
      <c r="B519" t="str">
        <f t="shared" si="16"/>
        <v>_northamerica</v>
      </c>
      <c r="C519" t="str">
        <f t="shared" si="17"/>
        <v>q103_1_northamerica</v>
      </c>
    </row>
    <row r="520" spans="1:3" x14ac:dyDescent="0.2">
      <c r="A520" s="2" t="s">
        <v>299</v>
      </c>
      <c r="B520" t="str">
        <f t="shared" si="16"/>
        <v>_northamerica</v>
      </c>
      <c r="C520" t="str">
        <f t="shared" si="17"/>
        <v>q103_2_northamerica</v>
      </c>
    </row>
    <row r="521" spans="1:3" x14ac:dyDescent="0.2">
      <c r="A521" s="2" t="s">
        <v>300</v>
      </c>
      <c r="B521" t="str">
        <f t="shared" si="16"/>
        <v>_northamerica</v>
      </c>
      <c r="C521" t="str">
        <f t="shared" si="17"/>
        <v>q103_3_northamerica</v>
      </c>
    </row>
    <row r="522" spans="1:3" x14ac:dyDescent="0.2">
      <c r="A522" s="2" t="s">
        <v>301</v>
      </c>
      <c r="B522" t="str">
        <f t="shared" si="16"/>
        <v>_northamerica</v>
      </c>
      <c r="C522" t="str">
        <f t="shared" si="17"/>
        <v>q103_4_northamerica</v>
      </c>
    </row>
    <row r="523" spans="1:3" x14ac:dyDescent="0.2">
      <c r="A523" s="2" t="s">
        <v>302</v>
      </c>
      <c r="B523" t="str">
        <f t="shared" si="16"/>
        <v>_northamerica</v>
      </c>
      <c r="C523" t="str">
        <f t="shared" si="17"/>
        <v>q103_5_northamerica</v>
      </c>
    </row>
    <row r="524" spans="1:3" x14ac:dyDescent="0.2">
      <c r="A524" s="2" t="s">
        <v>303</v>
      </c>
      <c r="B524" t="str">
        <f t="shared" si="16"/>
        <v>_northamerica</v>
      </c>
      <c r="C524" t="str">
        <f t="shared" si="17"/>
        <v>q103_6_northamerica</v>
      </c>
    </row>
    <row r="525" spans="1:3" x14ac:dyDescent="0.2">
      <c r="A525" s="2" t="s">
        <v>304</v>
      </c>
      <c r="B525" t="str">
        <f t="shared" si="16"/>
        <v>_northamerica</v>
      </c>
      <c r="C525" t="str">
        <f t="shared" si="17"/>
        <v>q10ROW3_hidden_northamerica</v>
      </c>
    </row>
    <row r="526" spans="1:3" x14ac:dyDescent="0.2">
      <c r="A526" s="2" t="s">
        <v>305</v>
      </c>
      <c r="B526" t="str">
        <f t="shared" si="16"/>
        <v>_northamerica</v>
      </c>
      <c r="C526" t="str">
        <f t="shared" si="17"/>
        <v>q104_1_northamerica</v>
      </c>
    </row>
    <row r="527" spans="1:3" x14ac:dyDescent="0.2">
      <c r="A527" s="2" t="s">
        <v>306</v>
      </c>
      <c r="B527" t="str">
        <f t="shared" si="16"/>
        <v>_northamerica</v>
      </c>
      <c r="C527" t="str">
        <f t="shared" si="17"/>
        <v>q104_2_northamerica</v>
      </c>
    </row>
    <row r="528" spans="1:3" x14ac:dyDescent="0.2">
      <c r="A528" s="2" t="s">
        <v>307</v>
      </c>
      <c r="B528" t="str">
        <f t="shared" si="16"/>
        <v>_northamerica</v>
      </c>
      <c r="C528" t="str">
        <f t="shared" si="17"/>
        <v>q104_3_northamerica</v>
      </c>
    </row>
    <row r="529" spans="1:3" x14ac:dyDescent="0.2">
      <c r="A529" s="2" t="s">
        <v>308</v>
      </c>
      <c r="B529" t="str">
        <f t="shared" si="16"/>
        <v>_northamerica</v>
      </c>
      <c r="C529" t="str">
        <f t="shared" si="17"/>
        <v>q104_4_northamerica</v>
      </c>
    </row>
    <row r="530" spans="1:3" x14ac:dyDescent="0.2">
      <c r="A530" s="2" t="s">
        <v>309</v>
      </c>
      <c r="B530" t="str">
        <f t="shared" si="16"/>
        <v>_northamerica</v>
      </c>
      <c r="C530" t="str">
        <f t="shared" si="17"/>
        <v>q104_5_northamerica</v>
      </c>
    </row>
    <row r="531" spans="1:3" x14ac:dyDescent="0.2">
      <c r="A531" s="2" t="s">
        <v>310</v>
      </c>
      <c r="B531" t="str">
        <f t="shared" si="16"/>
        <v>_northamerica</v>
      </c>
      <c r="C531" t="str">
        <f t="shared" si="17"/>
        <v>q104_6_northamerica</v>
      </c>
    </row>
    <row r="532" spans="1:3" x14ac:dyDescent="0.2">
      <c r="A532" s="2" t="s">
        <v>311</v>
      </c>
      <c r="B532" t="str">
        <f t="shared" si="16"/>
        <v>_northamerica</v>
      </c>
      <c r="C532" t="str">
        <f t="shared" si="17"/>
        <v>q10ROW4_hidden_northamerica</v>
      </c>
    </row>
    <row r="533" spans="1:3" x14ac:dyDescent="0.2">
      <c r="A533" s="2" t="s">
        <v>312</v>
      </c>
      <c r="B533" t="str">
        <f t="shared" si="16"/>
        <v>_northamerica</v>
      </c>
      <c r="C533" t="str">
        <f t="shared" si="17"/>
        <v>q105_1_northamerica</v>
      </c>
    </row>
    <row r="534" spans="1:3" x14ac:dyDescent="0.2">
      <c r="A534" s="2" t="s">
        <v>313</v>
      </c>
      <c r="B534" t="str">
        <f t="shared" si="16"/>
        <v>_northamerica</v>
      </c>
      <c r="C534" t="str">
        <f t="shared" si="17"/>
        <v>q105_2_northamerica</v>
      </c>
    </row>
    <row r="535" spans="1:3" x14ac:dyDescent="0.2">
      <c r="A535" s="2" t="s">
        <v>314</v>
      </c>
      <c r="B535" t="str">
        <f t="shared" si="16"/>
        <v>_northamerica</v>
      </c>
      <c r="C535" t="str">
        <f t="shared" si="17"/>
        <v>q105_3_northamerica</v>
      </c>
    </row>
    <row r="536" spans="1:3" x14ac:dyDescent="0.2">
      <c r="A536" s="2" t="s">
        <v>315</v>
      </c>
      <c r="B536" t="str">
        <f t="shared" si="16"/>
        <v>_northamerica</v>
      </c>
      <c r="C536" t="str">
        <f t="shared" si="17"/>
        <v>q105_4_northamerica</v>
      </c>
    </row>
    <row r="537" spans="1:3" x14ac:dyDescent="0.2">
      <c r="A537" s="2" t="s">
        <v>316</v>
      </c>
      <c r="B537" t="str">
        <f t="shared" ref="B537:B568" si="18">B536</f>
        <v>_northamerica</v>
      </c>
      <c r="C537" t="str">
        <f t="shared" si="17"/>
        <v>q105_5_northamerica</v>
      </c>
    </row>
    <row r="538" spans="1:3" x14ac:dyDescent="0.2">
      <c r="A538" s="2" t="s">
        <v>317</v>
      </c>
      <c r="B538" t="str">
        <f t="shared" si="18"/>
        <v>_northamerica</v>
      </c>
      <c r="C538" t="str">
        <f t="shared" si="17"/>
        <v>q105_6_northamerica</v>
      </c>
    </row>
    <row r="539" spans="1:3" x14ac:dyDescent="0.2">
      <c r="A539" s="2" t="s">
        <v>318</v>
      </c>
      <c r="B539" t="str">
        <f t="shared" si="18"/>
        <v>_northamerica</v>
      </c>
      <c r="C539" t="str">
        <f t="shared" si="17"/>
        <v>q10ROW5_hidden_northamerica</v>
      </c>
    </row>
    <row r="540" spans="1:3" x14ac:dyDescent="0.2">
      <c r="A540" s="2" t="s">
        <v>319</v>
      </c>
      <c r="B540" t="str">
        <f t="shared" si="18"/>
        <v>_northamerica</v>
      </c>
      <c r="C540" t="str">
        <f t="shared" si="17"/>
        <v>q106_1_northamerica</v>
      </c>
    </row>
    <row r="541" spans="1:3" x14ac:dyDescent="0.2">
      <c r="A541" s="2" t="s">
        <v>320</v>
      </c>
      <c r="B541" t="str">
        <f t="shared" si="18"/>
        <v>_northamerica</v>
      </c>
      <c r="C541" t="str">
        <f t="shared" si="17"/>
        <v>q106_2_northamerica</v>
      </c>
    </row>
    <row r="542" spans="1:3" x14ac:dyDescent="0.2">
      <c r="A542" s="2" t="s">
        <v>321</v>
      </c>
      <c r="B542" t="str">
        <f t="shared" si="18"/>
        <v>_northamerica</v>
      </c>
      <c r="C542" t="str">
        <f t="shared" si="17"/>
        <v>q106_3_northamerica</v>
      </c>
    </row>
    <row r="543" spans="1:3" x14ac:dyDescent="0.2">
      <c r="A543" s="2" t="s">
        <v>322</v>
      </c>
      <c r="B543" t="str">
        <f t="shared" si="18"/>
        <v>_northamerica</v>
      </c>
      <c r="C543" t="str">
        <f t="shared" si="17"/>
        <v>q106_4_northamerica</v>
      </c>
    </row>
    <row r="544" spans="1:3" x14ac:dyDescent="0.2">
      <c r="A544" s="2" t="s">
        <v>323</v>
      </c>
      <c r="B544" t="str">
        <f t="shared" si="18"/>
        <v>_northamerica</v>
      </c>
      <c r="C544" t="str">
        <f t="shared" si="17"/>
        <v>q106_5_northamerica</v>
      </c>
    </row>
    <row r="545" spans="1:3" x14ac:dyDescent="0.2">
      <c r="A545" s="2" t="s">
        <v>324</v>
      </c>
      <c r="B545" t="str">
        <f t="shared" si="18"/>
        <v>_northamerica</v>
      </c>
      <c r="C545" t="str">
        <f t="shared" si="17"/>
        <v>q106_6_northamerica</v>
      </c>
    </row>
    <row r="546" spans="1:3" x14ac:dyDescent="0.2">
      <c r="A546" s="2" t="s">
        <v>325</v>
      </c>
      <c r="B546" t="str">
        <f t="shared" si="18"/>
        <v>_northamerica</v>
      </c>
      <c r="C546" t="str">
        <f t="shared" si="17"/>
        <v>q10ROW6_hidden_northamerica</v>
      </c>
    </row>
    <row r="547" spans="1:3" x14ac:dyDescent="0.2">
      <c r="A547" s="2" t="s">
        <v>326</v>
      </c>
      <c r="B547" t="str">
        <f t="shared" si="18"/>
        <v>_northamerica</v>
      </c>
      <c r="C547" t="str">
        <f t="shared" si="17"/>
        <v>q107_1_northamerica</v>
      </c>
    </row>
    <row r="548" spans="1:3" x14ac:dyDescent="0.2">
      <c r="A548" s="2" t="s">
        <v>327</v>
      </c>
      <c r="B548" t="str">
        <f t="shared" si="18"/>
        <v>_northamerica</v>
      </c>
      <c r="C548" t="str">
        <f t="shared" si="17"/>
        <v>q107_2_northamerica</v>
      </c>
    </row>
    <row r="549" spans="1:3" x14ac:dyDescent="0.2">
      <c r="A549" s="2" t="s">
        <v>328</v>
      </c>
      <c r="B549" t="str">
        <f t="shared" si="18"/>
        <v>_northamerica</v>
      </c>
      <c r="C549" t="str">
        <f t="shared" si="17"/>
        <v>q107_3_northamerica</v>
      </c>
    </row>
    <row r="550" spans="1:3" x14ac:dyDescent="0.2">
      <c r="A550" s="2" t="s">
        <v>329</v>
      </c>
      <c r="B550" t="str">
        <f t="shared" si="18"/>
        <v>_northamerica</v>
      </c>
      <c r="C550" t="str">
        <f t="shared" si="17"/>
        <v>q107_4_northamerica</v>
      </c>
    </row>
    <row r="551" spans="1:3" x14ac:dyDescent="0.2">
      <c r="A551" s="2" t="s">
        <v>330</v>
      </c>
      <c r="B551" t="str">
        <f t="shared" si="18"/>
        <v>_northamerica</v>
      </c>
      <c r="C551" t="str">
        <f t="shared" si="17"/>
        <v>q107_5_northamerica</v>
      </c>
    </row>
    <row r="552" spans="1:3" x14ac:dyDescent="0.2">
      <c r="A552" s="2" t="s">
        <v>331</v>
      </c>
      <c r="B552" t="str">
        <f t="shared" si="18"/>
        <v>_northamerica</v>
      </c>
      <c r="C552" t="str">
        <f t="shared" si="17"/>
        <v>q107_6_northamerica</v>
      </c>
    </row>
    <row r="553" spans="1:3" x14ac:dyDescent="0.2">
      <c r="A553" s="2" t="s">
        <v>332</v>
      </c>
      <c r="B553" t="str">
        <f t="shared" si="18"/>
        <v>_northamerica</v>
      </c>
      <c r="C553" t="str">
        <f t="shared" si="17"/>
        <v>q10ROW7_hidden_northamerica</v>
      </c>
    </row>
    <row r="554" spans="1:3" x14ac:dyDescent="0.2">
      <c r="A554" s="2" t="s">
        <v>333</v>
      </c>
      <c r="B554" t="str">
        <f t="shared" si="18"/>
        <v>_northamerica</v>
      </c>
      <c r="C554" t="str">
        <f t="shared" si="17"/>
        <v>q10other_northamerica</v>
      </c>
    </row>
    <row r="555" spans="1:3" x14ac:dyDescent="0.2">
      <c r="A555" s="2" t="s">
        <v>334</v>
      </c>
      <c r="B555" t="str">
        <f t="shared" si="18"/>
        <v>_northamerica</v>
      </c>
      <c r="C555" t="str">
        <f t="shared" si="17"/>
        <v>q108_1_northamerica</v>
      </c>
    </row>
    <row r="556" spans="1:3" x14ac:dyDescent="0.2">
      <c r="A556" s="2" t="s">
        <v>335</v>
      </c>
      <c r="B556" t="str">
        <f t="shared" si="18"/>
        <v>_northamerica</v>
      </c>
      <c r="C556" t="str">
        <f t="shared" si="17"/>
        <v>q108_2_northamerica</v>
      </c>
    </row>
    <row r="557" spans="1:3" x14ac:dyDescent="0.2">
      <c r="A557" s="2" t="s">
        <v>336</v>
      </c>
      <c r="B557" t="str">
        <f t="shared" si="18"/>
        <v>_northamerica</v>
      </c>
      <c r="C557" t="str">
        <f t="shared" si="17"/>
        <v>q108_3_northamerica</v>
      </c>
    </row>
    <row r="558" spans="1:3" x14ac:dyDescent="0.2">
      <c r="A558" s="2" t="s">
        <v>337</v>
      </c>
      <c r="B558" t="str">
        <f t="shared" si="18"/>
        <v>_northamerica</v>
      </c>
      <c r="C558" t="str">
        <f t="shared" si="17"/>
        <v>q108_4_northamerica</v>
      </c>
    </row>
    <row r="559" spans="1:3" x14ac:dyDescent="0.2">
      <c r="A559" s="2" t="s">
        <v>338</v>
      </c>
      <c r="B559" t="str">
        <f t="shared" si="18"/>
        <v>_northamerica</v>
      </c>
      <c r="C559" t="str">
        <f t="shared" si="17"/>
        <v>q108_5_northamerica</v>
      </c>
    </row>
    <row r="560" spans="1:3" x14ac:dyDescent="0.2">
      <c r="A560" s="2" t="s">
        <v>339</v>
      </c>
      <c r="B560" t="str">
        <f t="shared" si="18"/>
        <v>_northamerica</v>
      </c>
      <c r="C560" t="str">
        <f t="shared" si="17"/>
        <v>q108_6_northamerica</v>
      </c>
    </row>
    <row r="561" spans="1:3" x14ac:dyDescent="0.2">
      <c r="A561" s="2" t="s">
        <v>340</v>
      </c>
      <c r="B561" t="str">
        <f t="shared" si="18"/>
        <v>_northamerica</v>
      </c>
      <c r="C561" t="str">
        <f t="shared" si="17"/>
        <v>q10ROW8_hidden_northamerica</v>
      </c>
    </row>
    <row r="562" spans="1:3" x14ac:dyDescent="0.2">
      <c r="A562" s="2" t="s">
        <v>341</v>
      </c>
      <c r="B562" t="str">
        <f t="shared" si="18"/>
        <v>_northamerica</v>
      </c>
      <c r="C562" t="str">
        <f t="shared" si="17"/>
        <v>q10COL1_hidden_northamerica</v>
      </c>
    </row>
    <row r="563" spans="1:3" x14ac:dyDescent="0.2">
      <c r="A563" s="2" t="s">
        <v>342</v>
      </c>
      <c r="B563" t="str">
        <f t="shared" si="18"/>
        <v>_northamerica</v>
      </c>
      <c r="C563" t="str">
        <f t="shared" si="17"/>
        <v>q10COL2_hidden_northamerica</v>
      </c>
    </row>
    <row r="564" spans="1:3" x14ac:dyDescent="0.2">
      <c r="A564" s="2" t="s">
        <v>343</v>
      </c>
      <c r="B564" t="str">
        <f t="shared" si="18"/>
        <v>_northamerica</v>
      </c>
      <c r="C564" t="str">
        <f t="shared" si="17"/>
        <v>q10COL3_hidden_northamerica</v>
      </c>
    </row>
    <row r="565" spans="1:3" x14ac:dyDescent="0.2">
      <c r="A565" s="2" t="s">
        <v>344</v>
      </c>
      <c r="B565" t="str">
        <f t="shared" si="18"/>
        <v>_northamerica</v>
      </c>
      <c r="C565" t="str">
        <f t="shared" si="17"/>
        <v>q10COL4_hidden_northamerica</v>
      </c>
    </row>
    <row r="566" spans="1:3" x14ac:dyDescent="0.2">
      <c r="A566" s="2" t="s">
        <v>345</v>
      </c>
      <c r="B566" t="str">
        <f t="shared" si="18"/>
        <v>_northamerica</v>
      </c>
      <c r="C566" t="str">
        <f t="shared" si="17"/>
        <v>q10COL5_hidden_northamerica</v>
      </c>
    </row>
    <row r="567" spans="1:3" x14ac:dyDescent="0.2">
      <c r="A567" s="2" t="s">
        <v>346</v>
      </c>
      <c r="B567" t="str">
        <f t="shared" si="18"/>
        <v>_northamerica</v>
      </c>
      <c r="C567" t="str">
        <f t="shared" si="17"/>
        <v>q10COL6_hidden_northamerica</v>
      </c>
    </row>
    <row r="568" spans="1:3" x14ac:dyDescent="0.2">
      <c r="A568" s="2" t="s">
        <v>347</v>
      </c>
      <c r="B568" t="str">
        <f t="shared" si="18"/>
        <v>_northamerica</v>
      </c>
      <c r="C568" t="str">
        <f t="shared" si="17"/>
        <v>q10GRANDTotal_hidden_northamerica</v>
      </c>
    </row>
    <row r="569" spans="1:3" x14ac:dyDescent="0.2">
      <c r="A569" s="2" t="s">
        <v>348</v>
      </c>
      <c r="B569" t="str">
        <f t="shared" ref="B569:B600" si="19">B568</f>
        <v>_northamerica</v>
      </c>
      <c r="C569" t="str">
        <f t="shared" si="17"/>
        <v>q111_1_northamerica</v>
      </c>
    </row>
    <row r="570" spans="1:3" x14ac:dyDescent="0.2">
      <c r="A570" s="2" t="s">
        <v>349</v>
      </c>
      <c r="B570" t="str">
        <f t="shared" si="19"/>
        <v>_northamerica</v>
      </c>
      <c r="C570" t="str">
        <f t="shared" si="17"/>
        <v>q111_2_northamerica</v>
      </c>
    </row>
    <row r="571" spans="1:3" x14ac:dyDescent="0.2">
      <c r="A571" s="2" t="s">
        <v>350</v>
      </c>
      <c r="B571" t="str">
        <f t="shared" si="19"/>
        <v>_northamerica</v>
      </c>
      <c r="C571" t="str">
        <f t="shared" si="17"/>
        <v>q111_3_northamerica</v>
      </c>
    </row>
    <row r="572" spans="1:3" x14ac:dyDescent="0.2">
      <c r="A572" s="2" t="s">
        <v>351</v>
      </c>
      <c r="B572" t="str">
        <f t="shared" si="19"/>
        <v>_northamerica</v>
      </c>
      <c r="C572" t="str">
        <f t="shared" si="17"/>
        <v>q111_4_northamerica</v>
      </c>
    </row>
    <row r="573" spans="1:3" x14ac:dyDescent="0.2">
      <c r="A573" s="2" t="s">
        <v>352</v>
      </c>
      <c r="B573" t="str">
        <f t="shared" si="19"/>
        <v>_northamerica</v>
      </c>
      <c r="C573" t="str">
        <f t="shared" si="17"/>
        <v>q111_5_northamerica</v>
      </c>
    </row>
    <row r="574" spans="1:3" x14ac:dyDescent="0.2">
      <c r="A574" s="2" t="s">
        <v>353</v>
      </c>
      <c r="B574" t="str">
        <f t="shared" si="19"/>
        <v>_northamerica</v>
      </c>
      <c r="C574" t="str">
        <f t="shared" si="17"/>
        <v>q111_6_northamerica</v>
      </c>
    </row>
    <row r="575" spans="1:3" x14ac:dyDescent="0.2">
      <c r="A575" s="2" t="s">
        <v>354</v>
      </c>
      <c r="B575" t="str">
        <f t="shared" si="19"/>
        <v>_northamerica</v>
      </c>
      <c r="C575" t="str">
        <f t="shared" si="17"/>
        <v>q11ROW1_hidden_northamerica</v>
      </c>
    </row>
    <row r="576" spans="1:3" x14ac:dyDescent="0.2">
      <c r="A576" s="2" t="s">
        <v>355</v>
      </c>
      <c r="B576" t="str">
        <f t="shared" si="19"/>
        <v>_northamerica</v>
      </c>
      <c r="C576" t="str">
        <f t="shared" si="17"/>
        <v>q112_1_northamerica</v>
      </c>
    </row>
    <row r="577" spans="1:3" x14ac:dyDescent="0.2">
      <c r="A577" s="2" t="s">
        <v>356</v>
      </c>
      <c r="B577" t="str">
        <f t="shared" si="19"/>
        <v>_northamerica</v>
      </c>
      <c r="C577" t="str">
        <f t="shared" si="17"/>
        <v>q112_2_northamerica</v>
      </c>
    </row>
    <row r="578" spans="1:3" x14ac:dyDescent="0.2">
      <c r="A578" s="2" t="s">
        <v>357</v>
      </c>
      <c r="B578" t="str">
        <f t="shared" si="19"/>
        <v>_northamerica</v>
      </c>
      <c r="C578" t="str">
        <f t="shared" si="17"/>
        <v>q112_3_northamerica</v>
      </c>
    </row>
    <row r="579" spans="1:3" x14ac:dyDescent="0.2">
      <c r="A579" s="2" t="s">
        <v>358</v>
      </c>
      <c r="B579" t="str">
        <f t="shared" si="19"/>
        <v>_northamerica</v>
      </c>
      <c r="C579" t="str">
        <f t="shared" ref="C579:C642" si="20">_xlfn.CONCAT(A579,B579)</f>
        <v>q112_4_northamerica</v>
      </c>
    </row>
    <row r="580" spans="1:3" x14ac:dyDescent="0.2">
      <c r="A580" s="2" t="s">
        <v>359</v>
      </c>
      <c r="B580" t="str">
        <f t="shared" si="19"/>
        <v>_northamerica</v>
      </c>
      <c r="C580" t="str">
        <f t="shared" si="20"/>
        <v>q112_5_northamerica</v>
      </c>
    </row>
    <row r="581" spans="1:3" x14ac:dyDescent="0.2">
      <c r="A581" s="2" t="s">
        <v>360</v>
      </c>
      <c r="B581" t="str">
        <f t="shared" si="19"/>
        <v>_northamerica</v>
      </c>
      <c r="C581" t="str">
        <f t="shared" si="20"/>
        <v>q112_6_northamerica</v>
      </c>
    </row>
    <row r="582" spans="1:3" x14ac:dyDescent="0.2">
      <c r="A582" s="2" t="s">
        <v>361</v>
      </c>
      <c r="B582" t="str">
        <f t="shared" si="19"/>
        <v>_northamerica</v>
      </c>
      <c r="C582" t="str">
        <f t="shared" si="20"/>
        <v>q11ROW2_hidden_northamerica</v>
      </c>
    </row>
    <row r="583" spans="1:3" x14ac:dyDescent="0.2">
      <c r="A583" s="2" t="s">
        <v>362</v>
      </c>
      <c r="B583" t="str">
        <f t="shared" si="19"/>
        <v>_northamerica</v>
      </c>
      <c r="C583" t="str">
        <f t="shared" si="20"/>
        <v>q113_1_northamerica</v>
      </c>
    </row>
    <row r="584" spans="1:3" x14ac:dyDescent="0.2">
      <c r="A584" s="2" t="s">
        <v>363</v>
      </c>
      <c r="B584" t="str">
        <f t="shared" si="19"/>
        <v>_northamerica</v>
      </c>
      <c r="C584" t="str">
        <f t="shared" si="20"/>
        <v>q113_2_northamerica</v>
      </c>
    </row>
    <row r="585" spans="1:3" x14ac:dyDescent="0.2">
      <c r="A585" s="2" t="s">
        <v>364</v>
      </c>
      <c r="B585" t="str">
        <f t="shared" si="19"/>
        <v>_northamerica</v>
      </c>
      <c r="C585" t="str">
        <f t="shared" si="20"/>
        <v>q113_3_northamerica</v>
      </c>
    </row>
    <row r="586" spans="1:3" x14ac:dyDescent="0.2">
      <c r="A586" s="2" t="s">
        <v>365</v>
      </c>
      <c r="B586" t="str">
        <f t="shared" si="19"/>
        <v>_northamerica</v>
      </c>
      <c r="C586" t="str">
        <f t="shared" si="20"/>
        <v>q113_4_northamerica</v>
      </c>
    </row>
    <row r="587" spans="1:3" x14ac:dyDescent="0.2">
      <c r="A587" s="2" t="s">
        <v>366</v>
      </c>
      <c r="B587" t="str">
        <f t="shared" si="19"/>
        <v>_northamerica</v>
      </c>
      <c r="C587" t="str">
        <f t="shared" si="20"/>
        <v>q113_5_northamerica</v>
      </c>
    </row>
    <row r="588" spans="1:3" x14ac:dyDescent="0.2">
      <c r="A588" s="2" t="s">
        <v>367</v>
      </c>
      <c r="B588" t="str">
        <f t="shared" si="19"/>
        <v>_northamerica</v>
      </c>
      <c r="C588" t="str">
        <f t="shared" si="20"/>
        <v>q113_6_northamerica</v>
      </c>
    </row>
    <row r="589" spans="1:3" x14ac:dyDescent="0.2">
      <c r="A589" s="2" t="s">
        <v>368</v>
      </c>
      <c r="B589" t="str">
        <f t="shared" si="19"/>
        <v>_northamerica</v>
      </c>
      <c r="C589" t="str">
        <f t="shared" si="20"/>
        <v>q11ROW3_hidden_northamerica</v>
      </c>
    </row>
    <row r="590" spans="1:3" x14ac:dyDescent="0.2">
      <c r="A590" s="2" t="s">
        <v>369</v>
      </c>
      <c r="B590" t="str">
        <f t="shared" si="19"/>
        <v>_northamerica</v>
      </c>
      <c r="C590" t="str">
        <f t="shared" si="20"/>
        <v>q114_1_northamerica</v>
      </c>
    </row>
    <row r="591" spans="1:3" x14ac:dyDescent="0.2">
      <c r="A591" s="2" t="s">
        <v>370</v>
      </c>
      <c r="B591" t="str">
        <f t="shared" si="19"/>
        <v>_northamerica</v>
      </c>
      <c r="C591" t="str">
        <f t="shared" si="20"/>
        <v>q114_2_northamerica</v>
      </c>
    </row>
    <row r="592" spans="1:3" x14ac:dyDescent="0.2">
      <c r="A592" s="2" t="s">
        <v>371</v>
      </c>
      <c r="B592" t="str">
        <f t="shared" si="19"/>
        <v>_northamerica</v>
      </c>
      <c r="C592" t="str">
        <f t="shared" si="20"/>
        <v>q114_3_northamerica</v>
      </c>
    </row>
    <row r="593" spans="1:3" x14ac:dyDescent="0.2">
      <c r="A593" s="2" t="s">
        <v>372</v>
      </c>
      <c r="B593" t="str">
        <f t="shared" si="19"/>
        <v>_northamerica</v>
      </c>
      <c r="C593" t="str">
        <f t="shared" si="20"/>
        <v>q114_4_northamerica</v>
      </c>
    </row>
    <row r="594" spans="1:3" x14ac:dyDescent="0.2">
      <c r="A594" s="2" t="s">
        <v>373</v>
      </c>
      <c r="B594" t="str">
        <f t="shared" si="19"/>
        <v>_northamerica</v>
      </c>
      <c r="C594" t="str">
        <f t="shared" si="20"/>
        <v>q114_5_northamerica</v>
      </c>
    </row>
    <row r="595" spans="1:3" x14ac:dyDescent="0.2">
      <c r="A595" s="2" t="s">
        <v>374</v>
      </c>
      <c r="B595" t="str">
        <f t="shared" si="19"/>
        <v>_northamerica</v>
      </c>
      <c r="C595" t="str">
        <f t="shared" si="20"/>
        <v>q114_6_northamerica</v>
      </c>
    </row>
    <row r="596" spans="1:3" x14ac:dyDescent="0.2">
      <c r="A596" s="2" t="s">
        <v>375</v>
      </c>
      <c r="B596" t="str">
        <f t="shared" si="19"/>
        <v>_northamerica</v>
      </c>
      <c r="C596" t="str">
        <f t="shared" si="20"/>
        <v>q11ROW4_hidden_northamerica</v>
      </c>
    </row>
    <row r="597" spans="1:3" x14ac:dyDescent="0.2">
      <c r="A597" s="2" t="s">
        <v>376</v>
      </c>
      <c r="B597" t="str">
        <f t="shared" si="19"/>
        <v>_northamerica</v>
      </c>
      <c r="C597" t="str">
        <f t="shared" si="20"/>
        <v>q115_1_northamerica</v>
      </c>
    </row>
    <row r="598" spans="1:3" x14ac:dyDescent="0.2">
      <c r="A598" s="2" t="s">
        <v>377</v>
      </c>
      <c r="B598" t="str">
        <f t="shared" si="19"/>
        <v>_northamerica</v>
      </c>
      <c r="C598" t="str">
        <f t="shared" si="20"/>
        <v>q115_2_northamerica</v>
      </c>
    </row>
    <row r="599" spans="1:3" x14ac:dyDescent="0.2">
      <c r="A599" s="2" t="s">
        <v>378</v>
      </c>
      <c r="B599" t="str">
        <f t="shared" si="19"/>
        <v>_northamerica</v>
      </c>
      <c r="C599" t="str">
        <f t="shared" si="20"/>
        <v>q115_3_northamerica</v>
      </c>
    </row>
    <row r="600" spans="1:3" x14ac:dyDescent="0.2">
      <c r="A600" s="2" t="s">
        <v>379</v>
      </c>
      <c r="B600" t="str">
        <f t="shared" si="19"/>
        <v>_northamerica</v>
      </c>
      <c r="C600" t="str">
        <f t="shared" si="20"/>
        <v>q115_4_northamerica</v>
      </c>
    </row>
    <row r="601" spans="1:3" x14ac:dyDescent="0.2">
      <c r="A601" s="2" t="s">
        <v>380</v>
      </c>
      <c r="B601" t="str">
        <f t="shared" ref="B601:B610" si="21">B600</f>
        <v>_northamerica</v>
      </c>
      <c r="C601" t="str">
        <f t="shared" si="20"/>
        <v>q115_5_northamerica</v>
      </c>
    </row>
    <row r="602" spans="1:3" x14ac:dyDescent="0.2">
      <c r="A602" s="2" t="s">
        <v>381</v>
      </c>
      <c r="B602" t="str">
        <f t="shared" si="21"/>
        <v>_northamerica</v>
      </c>
      <c r="C602" t="str">
        <f t="shared" si="20"/>
        <v>q115_6_northamerica</v>
      </c>
    </row>
    <row r="603" spans="1:3" x14ac:dyDescent="0.2">
      <c r="A603" s="2" t="s">
        <v>382</v>
      </c>
      <c r="B603" t="str">
        <f t="shared" si="21"/>
        <v>_northamerica</v>
      </c>
      <c r="C603" t="str">
        <f t="shared" si="20"/>
        <v>q11ROW5_hidden_northamerica</v>
      </c>
    </row>
    <row r="604" spans="1:3" x14ac:dyDescent="0.2">
      <c r="A604" s="2" t="s">
        <v>383</v>
      </c>
      <c r="B604" t="str">
        <f t="shared" si="21"/>
        <v>_northamerica</v>
      </c>
      <c r="C604" t="str">
        <f t="shared" si="20"/>
        <v>q11COL1_hidden_northamerica</v>
      </c>
    </row>
    <row r="605" spans="1:3" x14ac:dyDescent="0.2">
      <c r="A605" s="2" t="s">
        <v>384</v>
      </c>
      <c r="B605" t="str">
        <f t="shared" si="21"/>
        <v>_northamerica</v>
      </c>
      <c r="C605" t="str">
        <f t="shared" si="20"/>
        <v>q11COL2_hidden_northamerica</v>
      </c>
    </row>
    <row r="606" spans="1:3" x14ac:dyDescent="0.2">
      <c r="A606" s="2" t="s">
        <v>385</v>
      </c>
      <c r="B606" t="str">
        <f t="shared" si="21"/>
        <v>_northamerica</v>
      </c>
      <c r="C606" t="str">
        <f t="shared" si="20"/>
        <v>q11COL3_hidden_northamerica</v>
      </c>
    </row>
    <row r="607" spans="1:3" x14ac:dyDescent="0.2">
      <c r="A607" s="2" t="s">
        <v>386</v>
      </c>
      <c r="B607" t="str">
        <f t="shared" si="21"/>
        <v>_northamerica</v>
      </c>
      <c r="C607" t="str">
        <f t="shared" si="20"/>
        <v>q11COL4_hidden_northamerica</v>
      </c>
    </row>
    <row r="608" spans="1:3" x14ac:dyDescent="0.2">
      <c r="A608" s="2" t="s">
        <v>387</v>
      </c>
      <c r="B608" t="str">
        <f t="shared" si="21"/>
        <v>_northamerica</v>
      </c>
      <c r="C608" t="str">
        <f t="shared" si="20"/>
        <v>q11COL5_hidden_northamerica</v>
      </c>
    </row>
    <row r="609" spans="1:3" x14ac:dyDescent="0.2">
      <c r="A609" s="2" t="s">
        <v>388</v>
      </c>
      <c r="B609" t="str">
        <f t="shared" si="21"/>
        <v>_northamerica</v>
      </c>
      <c r="C609" t="str">
        <f t="shared" si="20"/>
        <v>q11COL6_hidden_northamerica</v>
      </c>
    </row>
    <row r="610" spans="1:3" x14ac:dyDescent="0.2">
      <c r="A610" s="2" t="s">
        <v>389</v>
      </c>
      <c r="B610" t="str">
        <f t="shared" si="21"/>
        <v>_northamerica</v>
      </c>
      <c r="C610" t="str">
        <f t="shared" si="20"/>
        <v>q11GRANDTotal_hidden_northamerica</v>
      </c>
    </row>
    <row r="611" spans="1:3" x14ac:dyDescent="0.2">
      <c r="A611" s="2" t="s">
        <v>392</v>
      </c>
      <c r="B611" t="s">
        <v>2090</v>
      </c>
      <c r="C611" t="str">
        <f t="shared" si="20"/>
        <v>Global_global</v>
      </c>
    </row>
    <row r="612" spans="1:3" x14ac:dyDescent="0.2">
      <c r="A612" s="2" t="s">
        <v>284</v>
      </c>
      <c r="B612" t="str">
        <f t="shared" ref="B612:B643" si="22">B611</f>
        <v>_global</v>
      </c>
      <c r="C612" t="str">
        <f t="shared" si="20"/>
        <v>q101_1_global</v>
      </c>
    </row>
    <row r="613" spans="1:3" x14ac:dyDescent="0.2">
      <c r="A613" s="2" t="s">
        <v>285</v>
      </c>
      <c r="B613" t="str">
        <f t="shared" si="22"/>
        <v>_global</v>
      </c>
      <c r="C613" t="str">
        <f t="shared" si="20"/>
        <v>q101_2_global</v>
      </c>
    </row>
    <row r="614" spans="1:3" x14ac:dyDescent="0.2">
      <c r="A614" s="2" t="s">
        <v>286</v>
      </c>
      <c r="B614" t="str">
        <f t="shared" si="22"/>
        <v>_global</v>
      </c>
      <c r="C614" t="str">
        <f t="shared" si="20"/>
        <v>q101_3_global</v>
      </c>
    </row>
    <row r="615" spans="1:3" x14ac:dyDescent="0.2">
      <c r="A615" s="2" t="s">
        <v>287</v>
      </c>
      <c r="B615" t="str">
        <f t="shared" si="22"/>
        <v>_global</v>
      </c>
      <c r="C615" t="str">
        <f t="shared" si="20"/>
        <v>q101_4_global</v>
      </c>
    </row>
    <row r="616" spans="1:3" x14ac:dyDescent="0.2">
      <c r="A616" s="2" t="s">
        <v>288</v>
      </c>
      <c r="B616" t="str">
        <f t="shared" si="22"/>
        <v>_global</v>
      </c>
      <c r="C616" t="str">
        <f t="shared" si="20"/>
        <v>q101_5_global</v>
      </c>
    </row>
    <row r="617" spans="1:3" x14ac:dyDescent="0.2">
      <c r="A617" s="2" t="s">
        <v>289</v>
      </c>
      <c r="B617" t="str">
        <f t="shared" si="22"/>
        <v>_global</v>
      </c>
      <c r="C617" t="str">
        <f t="shared" si="20"/>
        <v>q101_6_global</v>
      </c>
    </row>
    <row r="618" spans="1:3" x14ac:dyDescent="0.2">
      <c r="A618" s="2" t="s">
        <v>290</v>
      </c>
      <c r="B618" t="str">
        <f t="shared" si="22"/>
        <v>_global</v>
      </c>
      <c r="C618" t="str">
        <f t="shared" si="20"/>
        <v>q10ROW1_hidden_global</v>
      </c>
    </row>
    <row r="619" spans="1:3" x14ac:dyDescent="0.2">
      <c r="A619" s="2" t="s">
        <v>291</v>
      </c>
      <c r="B619" t="str">
        <f t="shared" si="22"/>
        <v>_global</v>
      </c>
      <c r="C619" t="str">
        <f t="shared" si="20"/>
        <v>q102_1_global</v>
      </c>
    </row>
    <row r="620" spans="1:3" x14ac:dyDescent="0.2">
      <c r="A620" s="2" t="s">
        <v>292</v>
      </c>
      <c r="B620" t="str">
        <f t="shared" si="22"/>
        <v>_global</v>
      </c>
      <c r="C620" t="str">
        <f t="shared" si="20"/>
        <v>q102_2_global</v>
      </c>
    </row>
    <row r="621" spans="1:3" x14ac:dyDescent="0.2">
      <c r="A621" s="2" t="s">
        <v>293</v>
      </c>
      <c r="B621" t="str">
        <f t="shared" si="22"/>
        <v>_global</v>
      </c>
      <c r="C621" t="str">
        <f t="shared" si="20"/>
        <v>q102_3_global</v>
      </c>
    </row>
    <row r="622" spans="1:3" x14ac:dyDescent="0.2">
      <c r="A622" s="2" t="s">
        <v>294</v>
      </c>
      <c r="B622" t="str">
        <f t="shared" si="22"/>
        <v>_global</v>
      </c>
      <c r="C622" t="str">
        <f t="shared" si="20"/>
        <v>q102_4_global</v>
      </c>
    </row>
    <row r="623" spans="1:3" x14ac:dyDescent="0.2">
      <c r="A623" s="2" t="s">
        <v>295</v>
      </c>
      <c r="B623" t="str">
        <f t="shared" si="22"/>
        <v>_global</v>
      </c>
      <c r="C623" t="str">
        <f t="shared" si="20"/>
        <v>q102_5_global</v>
      </c>
    </row>
    <row r="624" spans="1:3" x14ac:dyDescent="0.2">
      <c r="A624" s="2" t="s">
        <v>296</v>
      </c>
      <c r="B624" t="str">
        <f t="shared" si="22"/>
        <v>_global</v>
      </c>
      <c r="C624" t="str">
        <f t="shared" si="20"/>
        <v>q102_6_global</v>
      </c>
    </row>
    <row r="625" spans="1:3" x14ac:dyDescent="0.2">
      <c r="A625" s="2" t="s">
        <v>297</v>
      </c>
      <c r="B625" t="str">
        <f t="shared" si="22"/>
        <v>_global</v>
      </c>
      <c r="C625" t="str">
        <f t="shared" si="20"/>
        <v>q10ROW2_hidden_global</v>
      </c>
    </row>
    <row r="626" spans="1:3" x14ac:dyDescent="0.2">
      <c r="A626" s="2" t="s">
        <v>298</v>
      </c>
      <c r="B626" t="str">
        <f t="shared" si="22"/>
        <v>_global</v>
      </c>
      <c r="C626" t="str">
        <f t="shared" si="20"/>
        <v>q103_1_global</v>
      </c>
    </row>
    <row r="627" spans="1:3" x14ac:dyDescent="0.2">
      <c r="A627" s="2" t="s">
        <v>299</v>
      </c>
      <c r="B627" t="str">
        <f t="shared" si="22"/>
        <v>_global</v>
      </c>
      <c r="C627" t="str">
        <f t="shared" si="20"/>
        <v>q103_2_global</v>
      </c>
    </row>
    <row r="628" spans="1:3" x14ac:dyDescent="0.2">
      <c r="A628" s="2" t="s">
        <v>300</v>
      </c>
      <c r="B628" t="str">
        <f t="shared" si="22"/>
        <v>_global</v>
      </c>
      <c r="C628" t="str">
        <f t="shared" si="20"/>
        <v>q103_3_global</v>
      </c>
    </row>
    <row r="629" spans="1:3" x14ac:dyDescent="0.2">
      <c r="A629" s="2" t="s">
        <v>301</v>
      </c>
      <c r="B629" t="str">
        <f t="shared" si="22"/>
        <v>_global</v>
      </c>
      <c r="C629" t="str">
        <f t="shared" si="20"/>
        <v>q103_4_global</v>
      </c>
    </row>
    <row r="630" spans="1:3" x14ac:dyDescent="0.2">
      <c r="A630" s="2" t="s">
        <v>302</v>
      </c>
      <c r="B630" t="str">
        <f t="shared" si="22"/>
        <v>_global</v>
      </c>
      <c r="C630" t="str">
        <f t="shared" si="20"/>
        <v>q103_5_global</v>
      </c>
    </row>
    <row r="631" spans="1:3" x14ac:dyDescent="0.2">
      <c r="A631" s="2" t="s">
        <v>303</v>
      </c>
      <c r="B631" t="str">
        <f t="shared" si="22"/>
        <v>_global</v>
      </c>
      <c r="C631" t="str">
        <f t="shared" si="20"/>
        <v>q103_6_global</v>
      </c>
    </row>
    <row r="632" spans="1:3" x14ac:dyDescent="0.2">
      <c r="A632" s="2" t="s">
        <v>304</v>
      </c>
      <c r="B632" t="str">
        <f t="shared" si="22"/>
        <v>_global</v>
      </c>
      <c r="C632" t="str">
        <f t="shared" si="20"/>
        <v>q10ROW3_hidden_global</v>
      </c>
    </row>
    <row r="633" spans="1:3" x14ac:dyDescent="0.2">
      <c r="A633" s="2" t="s">
        <v>305</v>
      </c>
      <c r="B633" t="str">
        <f t="shared" si="22"/>
        <v>_global</v>
      </c>
      <c r="C633" t="str">
        <f t="shared" si="20"/>
        <v>q104_1_global</v>
      </c>
    </row>
    <row r="634" spans="1:3" x14ac:dyDescent="0.2">
      <c r="A634" s="2" t="s">
        <v>306</v>
      </c>
      <c r="B634" t="str">
        <f t="shared" si="22"/>
        <v>_global</v>
      </c>
      <c r="C634" t="str">
        <f t="shared" si="20"/>
        <v>q104_2_global</v>
      </c>
    </row>
    <row r="635" spans="1:3" x14ac:dyDescent="0.2">
      <c r="A635" s="2" t="s">
        <v>307</v>
      </c>
      <c r="B635" t="str">
        <f t="shared" si="22"/>
        <v>_global</v>
      </c>
      <c r="C635" t="str">
        <f t="shared" si="20"/>
        <v>q104_3_global</v>
      </c>
    </row>
    <row r="636" spans="1:3" x14ac:dyDescent="0.2">
      <c r="A636" s="2" t="s">
        <v>308</v>
      </c>
      <c r="B636" t="str">
        <f t="shared" si="22"/>
        <v>_global</v>
      </c>
      <c r="C636" t="str">
        <f t="shared" si="20"/>
        <v>q104_4_global</v>
      </c>
    </row>
    <row r="637" spans="1:3" x14ac:dyDescent="0.2">
      <c r="A637" s="2" t="s">
        <v>309</v>
      </c>
      <c r="B637" t="str">
        <f t="shared" si="22"/>
        <v>_global</v>
      </c>
      <c r="C637" t="str">
        <f t="shared" si="20"/>
        <v>q104_5_global</v>
      </c>
    </row>
    <row r="638" spans="1:3" x14ac:dyDescent="0.2">
      <c r="A638" s="2" t="s">
        <v>310</v>
      </c>
      <c r="B638" t="str">
        <f t="shared" si="22"/>
        <v>_global</v>
      </c>
      <c r="C638" t="str">
        <f t="shared" si="20"/>
        <v>q104_6_global</v>
      </c>
    </row>
    <row r="639" spans="1:3" x14ac:dyDescent="0.2">
      <c r="A639" s="2" t="s">
        <v>311</v>
      </c>
      <c r="B639" t="str">
        <f t="shared" si="22"/>
        <v>_global</v>
      </c>
      <c r="C639" t="str">
        <f t="shared" si="20"/>
        <v>q10ROW4_hidden_global</v>
      </c>
    </row>
    <row r="640" spans="1:3" x14ac:dyDescent="0.2">
      <c r="A640" s="2" t="s">
        <v>312</v>
      </c>
      <c r="B640" t="str">
        <f t="shared" si="22"/>
        <v>_global</v>
      </c>
      <c r="C640" t="str">
        <f t="shared" si="20"/>
        <v>q105_1_global</v>
      </c>
    </row>
    <row r="641" spans="1:3" x14ac:dyDescent="0.2">
      <c r="A641" s="2" t="s">
        <v>313</v>
      </c>
      <c r="B641" t="str">
        <f t="shared" si="22"/>
        <v>_global</v>
      </c>
      <c r="C641" t="str">
        <f t="shared" si="20"/>
        <v>q105_2_global</v>
      </c>
    </row>
    <row r="642" spans="1:3" x14ac:dyDescent="0.2">
      <c r="A642" s="2" t="s">
        <v>314</v>
      </c>
      <c r="B642" t="str">
        <f t="shared" si="22"/>
        <v>_global</v>
      </c>
      <c r="C642" t="str">
        <f t="shared" si="20"/>
        <v>q105_3_global</v>
      </c>
    </row>
    <row r="643" spans="1:3" x14ac:dyDescent="0.2">
      <c r="A643" s="2" t="s">
        <v>315</v>
      </c>
      <c r="B643" t="str">
        <f t="shared" si="22"/>
        <v>_global</v>
      </c>
      <c r="C643" t="str">
        <f t="shared" ref="C643:C706" si="23">_xlfn.CONCAT(A643,B643)</f>
        <v>q105_4_global</v>
      </c>
    </row>
    <row r="644" spans="1:3" x14ac:dyDescent="0.2">
      <c r="A644" s="2" t="s">
        <v>316</v>
      </c>
      <c r="B644" t="str">
        <f t="shared" ref="B644:B675" si="24">B643</f>
        <v>_global</v>
      </c>
      <c r="C644" t="str">
        <f t="shared" si="23"/>
        <v>q105_5_global</v>
      </c>
    </row>
    <row r="645" spans="1:3" x14ac:dyDescent="0.2">
      <c r="A645" s="2" t="s">
        <v>317</v>
      </c>
      <c r="B645" t="str">
        <f t="shared" si="24"/>
        <v>_global</v>
      </c>
      <c r="C645" t="str">
        <f t="shared" si="23"/>
        <v>q105_6_global</v>
      </c>
    </row>
    <row r="646" spans="1:3" x14ac:dyDescent="0.2">
      <c r="A646" s="2" t="s">
        <v>318</v>
      </c>
      <c r="B646" t="str">
        <f t="shared" si="24"/>
        <v>_global</v>
      </c>
      <c r="C646" t="str">
        <f t="shared" si="23"/>
        <v>q10ROW5_hidden_global</v>
      </c>
    </row>
    <row r="647" spans="1:3" x14ac:dyDescent="0.2">
      <c r="A647" s="2" t="s">
        <v>319</v>
      </c>
      <c r="B647" t="str">
        <f t="shared" si="24"/>
        <v>_global</v>
      </c>
      <c r="C647" t="str">
        <f t="shared" si="23"/>
        <v>q106_1_global</v>
      </c>
    </row>
    <row r="648" spans="1:3" x14ac:dyDescent="0.2">
      <c r="A648" s="2" t="s">
        <v>320</v>
      </c>
      <c r="B648" t="str">
        <f t="shared" si="24"/>
        <v>_global</v>
      </c>
      <c r="C648" t="str">
        <f t="shared" si="23"/>
        <v>q106_2_global</v>
      </c>
    </row>
    <row r="649" spans="1:3" x14ac:dyDescent="0.2">
      <c r="A649" s="2" t="s">
        <v>321</v>
      </c>
      <c r="B649" t="str">
        <f t="shared" si="24"/>
        <v>_global</v>
      </c>
      <c r="C649" t="str">
        <f t="shared" si="23"/>
        <v>q106_3_global</v>
      </c>
    </row>
    <row r="650" spans="1:3" x14ac:dyDescent="0.2">
      <c r="A650" s="2" t="s">
        <v>322</v>
      </c>
      <c r="B650" t="str">
        <f t="shared" si="24"/>
        <v>_global</v>
      </c>
      <c r="C650" t="str">
        <f t="shared" si="23"/>
        <v>q106_4_global</v>
      </c>
    </row>
    <row r="651" spans="1:3" x14ac:dyDescent="0.2">
      <c r="A651" s="2" t="s">
        <v>323</v>
      </c>
      <c r="B651" t="str">
        <f t="shared" si="24"/>
        <v>_global</v>
      </c>
      <c r="C651" t="str">
        <f t="shared" si="23"/>
        <v>q106_5_global</v>
      </c>
    </row>
    <row r="652" spans="1:3" x14ac:dyDescent="0.2">
      <c r="A652" s="2" t="s">
        <v>324</v>
      </c>
      <c r="B652" t="str">
        <f t="shared" si="24"/>
        <v>_global</v>
      </c>
      <c r="C652" t="str">
        <f t="shared" si="23"/>
        <v>q106_6_global</v>
      </c>
    </row>
    <row r="653" spans="1:3" x14ac:dyDescent="0.2">
      <c r="A653" s="2" t="s">
        <v>325</v>
      </c>
      <c r="B653" t="str">
        <f t="shared" si="24"/>
        <v>_global</v>
      </c>
      <c r="C653" t="str">
        <f t="shared" si="23"/>
        <v>q10ROW6_hidden_global</v>
      </c>
    </row>
    <row r="654" spans="1:3" x14ac:dyDescent="0.2">
      <c r="A654" s="2" t="s">
        <v>326</v>
      </c>
      <c r="B654" t="str">
        <f t="shared" si="24"/>
        <v>_global</v>
      </c>
      <c r="C654" t="str">
        <f t="shared" si="23"/>
        <v>q107_1_global</v>
      </c>
    </row>
    <row r="655" spans="1:3" x14ac:dyDescent="0.2">
      <c r="A655" s="2" t="s">
        <v>327</v>
      </c>
      <c r="B655" t="str">
        <f t="shared" si="24"/>
        <v>_global</v>
      </c>
      <c r="C655" t="str">
        <f t="shared" si="23"/>
        <v>q107_2_global</v>
      </c>
    </row>
    <row r="656" spans="1:3" x14ac:dyDescent="0.2">
      <c r="A656" s="2" t="s">
        <v>328</v>
      </c>
      <c r="B656" t="str">
        <f t="shared" si="24"/>
        <v>_global</v>
      </c>
      <c r="C656" t="str">
        <f t="shared" si="23"/>
        <v>q107_3_global</v>
      </c>
    </row>
    <row r="657" spans="1:3" x14ac:dyDescent="0.2">
      <c r="A657" s="2" t="s">
        <v>329</v>
      </c>
      <c r="B657" t="str">
        <f t="shared" si="24"/>
        <v>_global</v>
      </c>
      <c r="C657" t="str">
        <f t="shared" si="23"/>
        <v>q107_4_global</v>
      </c>
    </row>
    <row r="658" spans="1:3" x14ac:dyDescent="0.2">
      <c r="A658" s="2" t="s">
        <v>330</v>
      </c>
      <c r="B658" t="str">
        <f t="shared" si="24"/>
        <v>_global</v>
      </c>
      <c r="C658" t="str">
        <f t="shared" si="23"/>
        <v>q107_5_global</v>
      </c>
    </row>
    <row r="659" spans="1:3" x14ac:dyDescent="0.2">
      <c r="A659" s="2" t="s">
        <v>331</v>
      </c>
      <c r="B659" t="str">
        <f t="shared" si="24"/>
        <v>_global</v>
      </c>
      <c r="C659" t="str">
        <f t="shared" si="23"/>
        <v>q107_6_global</v>
      </c>
    </row>
    <row r="660" spans="1:3" x14ac:dyDescent="0.2">
      <c r="A660" s="2" t="s">
        <v>332</v>
      </c>
      <c r="B660" t="str">
        <f t="shared" si="24"/>
        <v>_global</v>
      </c>
      <c r="C660" t="str">
        <f t="shared" si="23"/>
        <v>q10ROW7_hidden_global</v>
      </c>
    </row>
    <row r="661" spans="1:3" x14ac:dyDescent="0.2">
      <c r="A661" s="2" t="s">
        <v>333</v>
      </c>
      <c r="B661" t="str">
        <f t="shared" si="24"/>
        <v>_global</v>
      </c>
      <c r="C661" t="str">
        <f t="shared" si="23"/>
        <v>q10other_global</v>
      </c>
    </row>
    <row r="662" spans="1:3" x14ac:dyDescent="0.2">
      <c r="A662" s="2" t="s">
        <v>334</v>
      </c>
      <c r="B662" t="str">
        <f t="shared" si="24"/>
        <v>_global</v>
      </c>
      <c r="C662" t="str">
        <f t="shared" si="23"/>
        <v>q108_1_global</v>
      </c>
    </row>
    <row r="663" spans="1:3" x14ac:dyDescent="0.2">
      <c r="A663" s="2" t="s">
        <v>335</v>
      </c>
      <c r="B663" t="str">
        <f t="shared" si="24"/>
        <v>_global</v>
      </c>
      <c r="C663" t="str">
        <f t="shared" si="23"/>
        <v>q108_2_global</v>
      </c>
    </row>
    <row r="664" spans="1:3" x14ac:dyDescent="0.2">
      <c r="A664" s="2" t="s">
        <v>336</v>
      </c>
      <c r="B664" t="str">
        <f t="shared" si="24"/>
        <v>_global</v>
      </c>
      <c r="C664" t="str">
        <f t="shared" si="23"/>
        <v>q108_3_global</v>
      </c>
    </row>
    <row r="665" spans="1:3" x14ac:dyDescent="0.2">
      <c r="A665" s="2" t="s">
        <v>337</v>
      </c>
      <c r="B665" t="str">
        <f t="shared" si="24"/>
        <v>_global</v>
      </c>
      <c r="C665" t="str">
        <f t="shared" si="23"/>
        <v>q108_4_global</v>
      </c>
    </row>
    <row r="666" spans="1:3" x14ac:dyDescent="0.2">
      <c r="A666" s="2" t="s">
        <v>338</v>
      </c>
      <c r="B666" t="str">
        <f t="shared" si="24"/>
        <v>_global</v>
      </c>
      <c r="C666" t="str">
        <f t="shared" si="23"/>
        <v>q108_5_global</v>
      </c>
    </row>
    <row r="667" spans="1:3" x14ac:dyDescent="0.2">
      <c r="A667" s="2" t="s">
        <v>339</v>
      </c>
      <c r="B667" t="str">
        <f t="shared" si="24"/>
        <v>_global</v>
      </c>
      <c r="C667" t="str">
        <f t="shared" si="23"/>
        <v>q108_6_global</v>
      </c>
    </row>
    <row r="668" spans="1:3" x14ac:dyDescent="0.2">
      <c r="A668" s="2" t="s">
        <v>340</v>
      </c>
      <c r="B668" t="str">
        <f t="shared" si="24"/>
        <v>_global</v>
      </c>
      <c r="C668" t="str">
        <f t="shared" si="23"/>
        <v>q10ROW8_hidden_global</v>
      </c>
    </row>
    <row r="669" spans="1:3" x14ac:dyDescent="0.2">
      <c r="A669" s="2" t="s">
        <v>341</v>
      </c>
      <c r="B669" t="str">
        <f t="shared" si="24"/>
        <v>_global</v>
      </c>
      <c r="C669" t="str">
        <f t="shared" si="23"/>
        <v>q10COL1_hidden_global</v>
      </c>
    </row>
    <row r="670" spans="1:3" x14ac:dyDescent="0.2">
      <c r="A670" s="2" t="s">
        <v>342</v>
      </c>
      <c r="B670" t="str">
        <f t="shared" si="24"/>
        <v>_global</v>
      </c>
      <c r="C670" t="str">
        <f t="shared" si="23"/>
        <v>q10COL2_hidden_global</v>
      </c>
    </row>
    <row r="671" spans="1:3" x14ac:dyDescent="0.2">
      <c r="A671" s="2" t="s">
        <v>343</v>
      </c>
      <c r="B671" t="str">
        <f t="shared" si="24"/>
        <v>_global</v>
      </c>
      <c r="C671" t="str">
        <f t="shared" si="23"/>
        <v>q10COL3_hidden_global</v>
      </c>
    </row>
    <row r="672" spans="1:3" x14ac:dyDescent="0.2">
      <c r="A672" s="2" t="s">
        <v>344</v>
      </c>
      <c r="B672" t="str">
        <f t="shared" si="24"/>
        <v>_global</v>
      </c>
      <c r="C672" t="str">
        <f t="shared" si="23"/>
        <v>q10COL4_hidden_global</v>
      </c>
    </row>
    <row r="673" spans="1:3" x14ac:dyDescent="0.2">
      <c r="A673" s="2" t="s">
        <v>345</v>
      </c>
      <c r="B673" t="str">
        <f t="shared" si="24"/>
        <v>_global</v>
      </c>
      <c r="C673" t="str">
        <f t="shared" si="23"/>
        <v>q10COL5_hidden_global</v>
      </c>
    </row>
    <row r="674" spans="1:3" x14ac:dyDescent="0.2">
      <c r="A674" s="2" t="s">
        <v>346</v>
      </c>
      <c r="B674" t="str">
        <f t="shared" si="24"/>
        <v>_global</v>
      </c>
      <c r="C674" t="str">
        <f t="shared" si="23"/>
        <v>q10COL6_hidden_global</v>
      </c>
    </row>
    <row r="675" spans="1:3" x14ac:dyDescent="0.2">
      <c r="A675" s="2" t="s">
        <v>347</v>
      </c>
      <c r="B675" t="str">
        <f t="shared" si="24"/>
        <v>_global</v>
      </c>
      <c r="C675" t="str">
        <f t="shared" si="23"/>
        <v>q10GRANDTotal_hidden_global</v>
      </c>
    </row>
    <row r="676" spans="1:3" x14ac:dyDescent="0.2">
      <c r="A676" s="2" t="s">
        <v>348</v>
      </c>
      <c r="B676" t="str">
        <f t="shared" ref="B676:B707" si="25">B675</f>
        <v>_global</v>
      </c>
      <c r="C676" t="str">
        <f t="shared" si="23"/>
        <v>q111_1_global</v>
      </c>
    </row>
    <row r="677" spans="1:3" x14ac:dyDescent="0.2">
      <c r="A677" s="2" t="s">
        <v>349</v>
      </c>
      <c r="B677" t="str">
        <f t="shared" si="25"/>
        <v>_global</v>
      </c>
      <c r="C677" t="str">
        <f t="shared" si="23"/>
        <v>q111_2_global</v>
      </c>
    </row>
    <row r="678" spans="1:3" x14ac:dyDescent="0.2">
      <c r="A678" s="2" t="s">
        <v>350</v>
      </c>
      <c r="B678" t="str">
        <f t="shared" si="25"/>
        <v>_global</v>
      </c>
      <c r="C678" t="str">
        <f t="shared" si="23"/>
        <v>q111_3_global</v>
      </c>
    </row>
    <row r="679" spans="1:3" x14ac:dyDescent="0.2">
      <c r="A679" s="2" t="s">
        <v>351</v>
      </c>
      <c r="B679" t="str">
        <f t="shared" si="25"/>
        <v>_global</v>
      </c>
      <c r="C679" t="str">
        <f t="shared" si="23"/>
        <v>q111_4_global</v>
      </c>
    </row>
    <row r="680" spans="1:3" x14ac:dyDescent="0.2">
      <c r="A680" s="2" t="s">
        <v>352</v>
      </c>
      <c r="B680" t="str">
        <f t="shared" si="25"/>
        <v>_global</v>
      </c>
      <c r="C680" t="str">
        <f t="shared" si="23"/>
        <v>q111_5_global</v>
      </c>
    </row>
    <row r="681" spans="1:3" x14ac:dyDescent="0.2">
      <c r="A681" s="2" t="s">
        <v>353</v>
      </c>
      <c r="B681" t="str">
        <f t="shared" si="25"/>
        <v>_global</v>
      </c>
      <c r="C681" t="str">
        <f t="shared" si="23"/>
        <v>q111_6_global</v>
      </c>
    </row>
    <row r="682" spans="1:3" x14ac:dyDescent="0.2">
      <c r="A682" s="2" t="s">
        <v>354</v>
      </c>
      <c r="B682" t="str">
        <f t="shared" si="25"/>
        <v>_global</v>
      </c>
      <c r="C682" t="str">
        <f t="shared" si="23"/>
        <v>q11ROW1_hidden_global</v>
      </c>
    </row>
    <row r="683" spans="1:3" x14ac:dyDescent="0.2">
      <c r="A683" s="2" t="s">
        <v>355</v>
      </c>
      <c r="B683" t="str">
        <f t="shared" si="25"/>
        <v>_global</v>
      </c>
      <c r="C683" t="str">
        <f t="shared" si="23"/>
        <v>q112_1_global</v>
      </c>
    </row>
    <row r="684" spans="1:3" x14ac:dyDescent="0.2">
      <c r="A684" s="2" t="s">
        <v>356</v>
      </c>
      <c r="B684" t="str">
        <f t="shared" si="25"/>
        <v>_global</v>
      </c>
      <c r="C684" t="str">
        <f t="shared" si="23"/>
        <v>q112_2_global</v>
      </c>
    </row>
    <row r="685" spans="1:3" x14ac:dyDescent="0.2">
      <c r="A685" s="2" t="s">
        <v>357</v>
      </c>
      <c r="B685" t="str">
        <f t="shared" si="25"/>
        <v>_global</v>
      </c>
      <c r="C685" t="str">
        <f t="shared" si="23"/>
        <v>q112_3_global</v>
      </c>
    </row>
    <row r="686" spans="1:3" x14ac:dyDescent="0.2">
      <c r="A686" s="2" t="s">
        <v>358</v>
      </c>
      <c r="B686" t="str">
        <f t="shared" si="25"/>
        <v>_global</v>
      </c>
      <c r="C686" t="str">
        <f t="shared" si="23"/>
        <v>q112_4_global</v>
      </c>
    </row>
    <row r="687" spans="1:3" x14ac:dyDescent="0.2">
      <c r="A687" s="2" t="s">
        <v>359</v>
      </c>
      <c r="B687" t="str">
        <f t="shared" si="25"/>
        <v>_global</v>
      </c>
      <c r="C687" t="str">
        <f t="shared" si="23"/>
        <v>q112_5_global</v>
      </c>
    </row>
    <row r="688" spans="1:3" x14ac:dyDescent="0.2">
      <c r="A688" s="2" t="s">
        <v>360</v>
      </c>
      <c r="B688" t="str">
        <f t="shared" si="25"/>
        <v>_global</v>
      </c>
      <c r="C688" t="str">
        <f t="shared" si="23"/>
        <v>q112_6_global</v>
      </c>
    </row>
    <row r="689" spans="1:3" x14ac:dyDescent="0.2">
      <c r="A689" s="2" t="s">
        <v>361</v>
      </c>
      <c r="B689" t="str">
        <f t="shared" si="25"/>
        <v>_global</v>
      </c>
      <c r="C689" t="str">
        <f t="shared" si="23"/>
        <v>q11ROW2_hidden_global</v>
      </c>
    </row>
    <row r="690" spans="1:3" x14ac:dyDescent="0.2">
      <c r="A690" s="2" t="s">
        <v>362</v>
      </c>
      <c r="B690" t="str">
        <f t="shared" si="25"/>
        <v>_global</v>
      </c>
      <c r="C690" t="str">
        <f t="shared" si="23"/>
        <v>q113_1_global</v>
      </c>
    </row>
    <row r="691" spans="1:3" x14ac:dyDescent="0.2">
      <c r="A691" s="2" t="s">
        <v>363</v>
      </c>
      <c r="B691" t="str">
        <f t="shared" si="25"/>
        <v>_global</v>
      </c>
      <c r="C691" t="str">
        <f t="shared" si="23"/>
        <v>q113_2_global</v>
      </c>
    </row>
    <row r="692" spans="1:3" x14ac:dyDescent="0.2">
      <c r="A692" s="2" t="s">
        <v>364</v>
      </c>
      <c r="B692" t="str">
        <f t="shared" si="25"/>
        <v>_global</v>
      </c>
      <c r="C692" t="str">
        <f t="shared" si="23"/>
        <v>q113_3_global</v>
      </c>
    </row>
    <row r="693" spans="1:3" x14ac:dyDescent="0.2">
      <c r="A693" s="2" t="s">
        <v>365</v>
      </c>
      <c r="B693" t="str">
        <f t="shared" si="25"/>
        <v>_global</v>
      </c>
      <c r="C693" t="str">
        <f t="shared" si="23"/>
        <v>q113_4_global</v>
      </c>
    </row>
    <row r="694" spans="1:3" x14ac:dyDescent="0.2">
      <c r="A694" s="2" t="s">
        <v>366</v>
      </c>
      <c r="B694" t="str">
        <f t="shared" si="25"/>
        <v>_global</v>
      </c>
      <c r="C694" t="str">
        <f t="shared" si="23"/>
        <v>q113_5_global</v>
      </c>
    </row>
    <row r="695" spans="1:3" x14ac:dyDescent="0.2">
      <c r="A695" s="2" t="s">
        <v>367</v>
      </c>
      <c r="B695" t="str">
        <f t="shared" si="25"/>
        <v>_global</v>
      </c>
      <c r="C695" t="str">
        <f t="shared" si="23"/>
        <v>q113_6_global</v>
      </c>
    </row>
    <row r="696" spans="1:3" x14ac:dyDescent="0.2">
      <c r="A696" s="2" t="s">
        <v>368</v>
      </c>
      <c r="B696" t="str">
        <f t="shared" si="25"/>
        <v>_global</v>
      </c>
      <c r="C696" t="str">
        <f t="shared" si="23"/>
        <v>q11ROW3_hidden_global</v>
      </c>
    </row>
    <row r="697" spans="1:3" x14ac:dyDescent="0.2">
      <c r="A697" s="2" t="s">
        <v>369</v>
      </c>
      <c r="B697" t="str">
        <f t="shared" si="25"/>
        <v>_global</v>
      </c>
      <c r="C697" t="str">
        <f t="shared" si="23"/>
        <v>q114_1_global</v>
      </c>
    </row>
    <row r="698" spans="1:3" x14ac:dyDescent="0.2">
      <c r="A698" s="2" t="s">
        <v>370</v>
      </c>
      <c r="B698" t="str">
        <f t="shared" si="25"/>
        <v>_global</v>
      </c>
      <c r="C698" t="str">
        <f t="shared" si="23"/>
        <v>q114_2_global</v>
      </c>
    </row>
    <row r="699" spans="1:3" x14ac:dyDescent="0.2">
      <c r="A699" s="2" t="s">
        <v>371</v>
      </c>
      <c r="B699" t="str">
        <f t="shared" si="25"/>
        <v>_global</v>
      </c>
      <c r="C699" t="str">
        <f t="shared" si="23"/>
        <v>q114_3_global</v>
      </c>
    </row>
    <row r="700" spans="1:3" x14ac:dyDescent="0.2">
      <c r="A700" s="2" t="s">
        <v>372</v>
      </c>
      <c r="B700" t="str">
        <f t="shared" si="25"/>
        <v>_global</v>
      </c>
      <c r="C700" t="str">
        <f t="shared" si="23"/>
        <v>q114_4_global</v>
      </c>
    </row>
    <row r="701" spans="1:3" x14ac:dyDescent="0.2">
      <c r="A701" s="2" t="s">
        <v>373</v>
      </c>
      <c r="B701" t="str">
        <f t="shared" si="25"/>
        <v>_global</v>
      </c>
      <c r="C701" t="str">
        <f t="shared" si="23"/>
        <v>q114_5_global</v>
      </c>
    </row>
    <row r="702" spans="1:3" x14ac:dyDescent="0.2">
      <c r="A702" s="2" t="s">
        <v>374</v>
      </c>
      <c r="B702" t="str">
        <f t="shared" si="25"/>
        <v>_global</v>
      </c>
      <c r="C702" t="str">
        <f t="shared" si="23"/>
        <v>q114_6_global</v>
      </c>
    </row>
    <row r="703" spans="1:3" x14ac:dyDescent="0.2">
      <c r="A703" s="2" t="s">
        <v>375</v>
      </c>
      <c r="B703" t="str">
        <f t="shared" si="25"/>
        <v>_global</v>
      </c>
      <c r="C703" t="str">
        <f t="shared" si="23"/>
        <v>q11ROW4_hidden_global</v>
      </c>
    </row>
    <row r="704" spans="1:3" x14ac:dyDescent="0.2">
      <c r="A704" s="2" t="s">
        <v>376</v>
      </c>
      <c r="B704" t="str">
        <f t="shared" si="25"/>
        <v>_global</v>
      </c>
      <c r="C704" t="str">
        <f t="shared" si="23"/>
        <v>q115_1_global</v>
      </c>
    </row>
    <row r="705" spans="1:3" x14ac:dyDescent="0.2">
      <c r="A705" s="2" t="s">
        <v>377</v>
      </c>
      <c r="B705" t="str">
        <f t="shared" si="25"/>
        <v>_global</v>
      </c>
      <c r="C705" t="str">
        <f t="shared" si="23"/>
        <v>q115_2_global</v>
      </c>
    </row>
    <row r="706" spans="1:3" x14ac:dyDescent="0.2">
      <c r="A706" s="2" t="s">
        <v>378</v>
      </c>
      <c r="B706" t="str">
        <f t="shared" si="25"/>
        <v>_global</v>
      </c>
      <c r="C706" t="str">
        <f t="shared" si="23"/>
        <v>q115_3_global</v>
      </c>
    </row>
    <row r="707" spans="1:3" x14ac:dyDescent="0.2">
      <c r="A707" s="2" t="s">
        <v>379</v>
      </c>
      <c r="B707" t="str">
        <f t="shared" si="25"/>
        <v>_global</v>
      </c>
      <c r="C707" t="str">
        <f t="shared" ref="C707:C770" si="26">_xlfn.CONCAT(A707,B707)</f>
        <v>q115_4_global</v>
      </c>
    </row>
    <row r="708" spans="1:3" x14ac:dyDescent="0.2">
      <c r="A708" s="2" t="s">
        <v>380</v>
      </c>
      <c r="B708" t="str">
        <f t="shared" ref="B708:B717" si="27">B707</f>
        <v>_global</v>
      </c>
      <c r="C708" t="str">
        <f t="shared" si="26"/>
        <v>q115_5_global</v>
      </c>
    </row>
    <row r="709" spans="1:3" x14ac:dyDescent="0.2">
      <c r="A709" s="2" t="s">
        <v>381</v>
      </c>
      <c r="B709" t="str">
        <f t="shared" si="27"/>
        <v>_global</v>
      </c>
      <c r="C709" t="str">
        <f t="shared" si="26"/>
        <v>q115_6_global</v>
      </c>
    </row>
    <row r="710" spans="1:3" x14ac:dyDescent="0.2">
      <c r="A710" s="2" t="s">
        <v>382</v>
      </c>
      <c r="B710" t="str">
        <f t="shared" si="27"/>
        <v>_global</v>
      </c>
      <c r="C710" t="str">
        <f t="shared" si="26"/>
        <v>q11ROW5_hidden_global</v>
      </c>
    </row>
    <row r="711" spans="1:3" x14ac:dyDescent="0.2">
      <c r="A711" s="2" t="s">
        <v>383</v>
      </c>
      <c r="B711" t="str">
        <f t="shared" si="27"/>
        <v>_global</v>
      </c>
      <c r="C711" t="str">
        <f t="shared" si="26"/>
        <v>q11COL1_hidden_global</v>
      </c>
    </row>
    <row r="712" spans="1:3" x14ac:dyDescent="0.2">
      <c r="A712" s="2" t="s">
        <v>384</v>
      </c>
      <c r="B712" t="str">
        <f t="shared" si="27"/>
        <v>_global</v>
      </c>
      <c r="C712" t="str">
        <f t="shared" si="26"/>
        <v>q11COL2_hidden_global</v>
      </c>
    </row>
    <row r="713" spans="1:3" x14ac:dyDescent="0.2">
      <c r="A713" s="2" t="s">
        <v>385</v>
      </c>
      <c r="B713" t="str">
        <f t="shared" si="27"/>
        <v>_global</v>
      </c>
      <c r="C713" t="str">
        <f t="shared" si="26"/>
        <v>q11COL3_hidden_global</v>
      </c>
    </row>
    <row r="714" spans="1:3" x14ac:dyDescent="0.2">
      <c r="A714" s="2" t="s">
        <v>386</v>
      </c>
      <c r="B714" t="str">
        <f t="shared" si="27"/>
        <v>_global</v>
      </c>
      <c r="C714" t="str">
        <f t="shared" si="26"/>
        <v>q11COL4_hidden_global</v>
      </c>
    </row>
    <row r="715" spans="1:3" x14ac:dyDescent="0.2">
      <c r="A715" s="2" t="s">
        <v>387</v>
      </c>
      <c r="B715" t="str">
        <f t="shared" si="27"/>
        <v>_global</v>
      </c>
      <c r="C715" t="str">
        <f t="shared" si="26"/>
        <v>q11COL5_hidden_global</v>
      </c>
    </row>
    <row r="716" spans="1:3" x14ac:dyDescent="0.2">
      <c r="A716" s="2" t="s">
        <v>388</v>
      </c>
      <c r="B716" t="str">
        <f t="shared" si="27"/>
        <v>_global</v>
      </c>
      <c r="C716" t="str">
        <f t="shared" si="26"/>
        <v>q11COL6_hidden_global</v>
      </c>
    </row>
    <row r="717" spans="1:3" x14ac:dyDescent="0.2">
      <c r="A717" s="2" t="s">
        <v>389</v>
      </c>
      <c r="B717" t="str">
        <f t="shared" si="27"/>
        <v>_global</v>
      </c>
      <c r="C717" t="str">
        <f t="shared" si="26"/>
        <v>q11GRANDTotal_hidden_global</v>
      </c>
    </row>
    <row r="718" spans="1:3" x14ac:dyDescent="0.2">
      <c r="A718" s="2" t="s">
        <v>393</v>
      </c>
      <c r="B718" t="s">
        <v>2091</v>
      </c>
      <c r="C718" t="str">
        <f t="shared" si="26"/>
        <v>SOUTH AMERICA_southamerica</v>
      </c>
    </row>
    <row r="719" spans="1:3" x14ac:dyDescent="0.2">
      <c r="A719" s="2" t="s">
        <v>284</v>
      </c>
      <c r="B719" t="str">
        <f t="shared" ref="B719:B750" si="28">B718</f>
        <v>_southamerica</v>
      </c>
      <c r="C719" t="str">
        <f t="shared" si="26"/>
        <v>q101_1_southamerica</v>
      </c>
    </row>
    <row r="720" spans="1:3" x14ac:dyDescent="0.2">
      <c r="A720" s="2" t="s">
        <v>285</v>
      </c>
      <c r="B720" t="str">
        <f t="shared" si="28"/>
        <v>_southamerica</v>
      </c>
      <c r="C720" t="str">
        <f t="shared" si="26"/>
        <v>q101_2_southamerica</v>
      </c>
    </row>
    <row r="721" spans="1:3" x14ac:dyDescent="0.2">
      <c r="A721" s="2" t="s">
        <v>286</v>
      </c>
      <c r="B721" t="str">
        <f t="shared" si="28"/>
        <v>_southamerica</v>
      </c>
      <c r="C721" t="str">
        <f t="shared" si="26"/>
        <v>q101_3_southamerica</v>
      </c>
    </row>
    <row r="722" spans="1:3" x14ac:dyDescent="0.2">
      <c r="A722" s="2" t="s">
        <v>287</v>
      </c>
      <c r="B722" t="str">
        <f t="shared" si="28"/>
        <v>_southamerica</v>
      </c>
      <c r="C722" t="str">
        <f t="shared" si="26"/>
        <v>q101_4_southamerica</v>
      </c>
    </row>
    <row r="723" spans="1:3" x14ac:dyDescent="0.2">
      <c r="A723" s="2" t="s">
        <v>288</v>
      </c>
      <c r="B723" t="str">
        <f t="shared" si="28"/>
        <v>_southamerica</v>
      </c>
      <c r="C723" t="str">
        <f t="shared" si="26"/>
        <v>q101_5_southamerica</v>
      </c>
    </row>
    <row r="724" spans="1:3" x14ac:dyDescent="0.2">
      <c r="A724" s="2" t="s">
        <v>289</v>
      </c>
      <c r="B724" t="str">
        <f t="shared" si="28"/>
        <v>_southamerica</v>
      </c>
      <c r="C724" t="str">
        <f t="shared" si="26"/>
        <v>q101_6_southamerica</v>
      </c>
    </row>
    <row r="725" spans="1:3" x14ac:dyDescent="0.2">
      <c r="A725" s="2" t="s">
        <v>290</v>
      </c>
      <c r="B725" t="str">
        <f t="shared" si="28"/>
        <v>_southamerica</v>
      </c>
      <c r="C725" t="str">
        <f t="shared" si="26"/>
        <v>q10ROW1_hidden_southamerica</v>
      </c>
    </row>
    <row r="726" spans="1:3" x14ac:dyDescent="0.2">
      <c r="A726" s="2" t="s">
        <v>291</v>
      </c>
      <c r="B726" t="str">
        <f t="shared" si="28"/>
        <v>_southamerica</v>
      </c>
      <c r="C726" t="str">
        <f t="shared" si="26"/>
        <v>q102_1_southamerica</v>
      </c>
    </row>
    <row r="727" spans="1:3" x14ac:dyDescent="0.2">
      <c r="A727" s="2" t="s">
        <v>292</v>
      </c>
      <c r="B727" t="str">
        <f t="shared" si="28"/>
        <v>_southamerica</v>
      </c>
      <c r="C727" t="str">
        <f t="shared" si="26"/>
        <v>q102_2_southamerica</v>
      </c>
    </row>
    <row r="728" spans="1:3" x14ac:dyDescent="0.2">
      <c r="A728" s="2" t="s">
        <v>293</v>
      </c>
      <c r="B728" t="str">
        <f t="shared" si="28"/>
        <v>_southamerica</v>
      </c>
      <c r="C728" t="str">
        <f t="shared" si="26"/>
        <v>q102_3_southamerica</v>
      </c>
    </row>
    <row r="729" spans="1:3" x14ac:dyDescent="0.2">
      <c r="A729" s="2" t="s">
        <v>294</v>
      </c>
      <c r="B729" t="str">
        <f t="shared" si="28"/>
        <v>_southamerica</v>
      </c>
      <c r="C729" t="str">
        <f t="shared" si="26"/>
        <v>q102_4_southamerica</v>
      </c>
    </row>
    <row r="730" spans="1:3" x14ac:dyDescent="0.2">
      <c r="A730" s="2" t="s">
        <v>295</v>
      </c>
      <c r="B730" t="str">
        <f t="shared" si="28"/>
        <v>_southamerica</v>
      </c>
      <c r="C730" t="str">
        <f t="shared" si="26"/>
        <v>q102_5_southamerica</v>
      </c>
    </row>
    <row r="731" spans="1:3" x14ac:dyDescent="0.2">
      <c r="A731" s="2" t="s">
        <v>296</v>
      </c>
      <c r="B731" t="str">
        <f t="shared" si="28"/>
        <v>_southamerica</v>
      </c>
      <c r="C731" t="str">
        <f t="shared" si="26"/>
        <v>q102_6_southamerica</v>
      </c>
    </row>
    <row r="732" spans="1:3" x14ac:dyDescent="0.2">
      <c r="A732" s="2" t="s">
        <v>297</v>
      </c>
      <c r="B732" t="str">
        <f t="shared" si="28"/>
        <v>_southamerica</v>
      </c>
      <c r="C732" t="str">
        <f t="shared" si="26"/>
        <v>q10ROW2_hidden_southamerica</v>
      </c>
    </row>
    <row r="733" spans="1:3" x14ac:dyDescent="0.2">
      <c r="A733" s="2" t="s">
        <v>298</v>
      </c>
      <c r="B733" t="str">
        <f t="shared" si="28"/>
        <v>_southamerica</v>
      </c>
      <c r="C733" t="str">
        <f t="shared" si="26"/>
        <v>q103_1_southamerica</v>
      </c>
    </row>
    <row r="734" spans="1:3" x14ac:dyDescent="0.2">
      <c r="A734" s="2" t="s">
        <v>299</v>
      </c>
      <c r="B734" t="str">
        <f t="shared" si="28"/>
        <v>_southamerica</v>
      </c>
      <c r="C734" t="str">
        <f t="shared" si="26"/>
        <v>q103_2_southamerica</v>
      </c>
    </row>
    <row r="735" spans="1:3" x14ac:dyDescent="0.2">
      <c r="A735" s="2" t="s">
        <v>300</v>
      </c>
      <c r="B735" t="str">
        <f t="shared" si="28"/>
        <v>_southamerica</v>
      </c>
      <c r="C735" t="str">
        <f t="shared" si="26"/>
        <v>q103_3_southamerica</v>
      </c>
    </row>
    <row r="736" spans="1:3" x14ac:dyDescent="0.2">
      <c r="A736" s="2" t="s">
        <v>301</v>
      </c>
      <c r="B736" t="str">
        <f t="shared" si="28"/>
        <v>_southamerica</v>
      </c>
      <c r="C736" t="str">
        <f t="shared" si="26"/>
        <v>q103_4_southamerica</v>
      </c>
    </row>
    <row r="737" spans="1:3" x14ac:dyDescent="0.2">
      <c r="A737" s="2" t="s">
        <v>302</v>
      </c>
      <c r="B737" t="str">
        <f t="shared" si="28"/>
        <v>_southamerica</v>
      </c>
      <c r="C737" t="str">
        <f t="shared" si="26"/>
        <v>q103_5_southamerica</v>
      </c>
    </row>
    <row r="738" spans="1:3" x14ac:dyDescent="0.2">
      <c r="A738" s="2" t="s">
        <v>303</v>
      </c>
      <c r="B738" t="str">
        <f t="shared" si="28"/>
        <v>_southamerica</v>
      </c>
      <c r="C738" t="str">
        <f t="shared" si="26"/>
        <v>q103_6_southamerica</v>
      </c>
    </row>
    <row r="739" spans="1:3" x14ac:dyDescent="0.2">
      <c r="A739" s="2" t="s">
        <v>304</v>
      </c>
      <c r="B739" t="str">
        <f t="shared" si="28"/>
        <v>_southamerica</v>
      </c>
      <c r="C739" t="str">
        <f t="shared" si="26"/>
        <v>q10ROW3_hidden_southamerica</v>
      </c>
    </row>
    <row r="740" spans="1:3" x14ac:dyDescent="0.2">
      <c r="A740" s="2" t="s">
        <v>305</v>
      </c>
      <c r="B740" t="str">
        <f t="shared" si="28"/>
        <v>_southamerica</v>
      </c>
      <c r="C740" t="str">
        <f t="shared" si="26"/>
        <v>q104_1_southamerica</v>
      </c>
    </row>
    <row r="741" spans="1:3" x14ac:dyDescent="0.2">
      <c r="A741" s="2" t="s">
        <v>306</v>
      </c>
      <c r="B741" t="str">
        <f t="shared" si="28"/>
        <v>_southamerica</v>
      </c>
      <c r="C741" t="str">
        <f t="shared" si="26"/>
        <v>q104_2_southamerica</v>
      </c>
    </row>
    <row r="742" spans="1:3" x14ac:dyDescent="0.2">
      <c r="A742" s="2" t="s">
        <v>307</v>
      </c>
      <c r="B742" t="str">
        <f t="shared" si="28"/>
        <v>_southamerica</v>
      </c>
      <c r="C742" t="str">
        <f t="shared" si="26"/>
        <v>q104_3_southamerica</v>
      </c>
    </row>
    <row r="743" spans="1:3" x14ac:dyDescent="0.2">
      <c r="A743" s="2" t="s">
        <v>308</v>
      </c>
      <c r="B743" t="str">
        <f t="shared" si="28"/>
        <v>_southamerica</v>
      </c>
      <c r="C743" t="str">
        <f t="shared" si="26"/>
        <v>q104_4_southamerica</v>
      </c>
    </row>
    <row r="744" spans="1:3" x14ac:dyDescent="0.2">
      <c r="A744" s="2" t="s">
        <v>309</v>
      </c>
      <c r="B744" t="str">
        <f t="shared" si="28"/>
        <v>_southamerica</v>
      </c>
      <c r="C744" t="str">
        <f t="shared" si="26"/>
        <v>q104_5_southamerica</v>
      </c>
    </row>
    <row r="745" spans="1:3" x14ac:dyDescent="0.2">
      <c r="A745" s="2" t="s">
        <v>310</v>
      </c>
      <c r="B745" t="str">
        <f t="shared" si="28"/>
        <v>_southamerica</v>
      </c>
      <c r="C745" t="str">
        <f t="shared" si="26"/>
        <v>q104_6_southamerica</v>
      </c>
    </row>
    <row r="746" spans="1:3" x14ac:dyDescent="0.2">
      <c r="A746" s="2" t="s">
        <v>311</v>
      </c>
      <c r="B746" t="str">
        <f t="shared" si="28"/>
        <v>_southamerica</v>
      </c>
      <c r="C746" t="str">
        <f t="shared" si="26"/>
        <v>q10ROW4_hidden_southamerica</v>
      </c>
    </row>
    <row r="747" spans="1:3" x14ac:dyDescent="0.2">
      <c r="A747" s="2" t="s">
        <v>312</v>
      </c>
      <c r="B747" t="str">
        <f t="shared" si="28"/>
        <v>_southamerica</v>
      </c>
      <c r="C747" t="str">
        <f t="shared" si="26"/>
        <v>q105_1_southamerica</v>
      </c>
    </row>
    <row r="748" spans="1:3" x14ac:dyDescent="0.2">
      <c r="A748" s="2" t="s">
        <v>313</v>
      </c>
      <c r="B748" t="str">
        <f t="shared" si="28"/>
        <v>_southamerica</v>
      </c>
      <c r="C748" t="str">
        <f t="shared" si="26"/>
        <v>q105_2_southamerica</v>
      </c>
    </row>
    <row r="749" spans="1:3" x14ac:dyDescent="0.2">
      <c r="A749" s="2" t="s">
        <v>314</v>
      </c>
      <c r="B749" t="str">
        <f t="shared" si="28"/>
        <v>_southamerica</v>
      </c>
      <c r="C749" t="str">
        <f t="shared" si="26"/>
        <v>q105_3_southamerica</v>
      </c>
    </row>
    <row r="750" spans="1:3" x14ac:dyDescent="0.2">
      <c r="A750" s="2" t="s">
        <v>315</v>
      </c>
      <c r="B750" t="str">
        <f t="shared" si="28"/>
        <v>_southamerica</v>
      </c>
      <c r="C750" t="str">
        <f t="shared" si="26"/>
        <v>q105_4_southamerica</v>
      </c>
    </row>
    <row r="751" spans="1:3" x14ac:dyDescent="0.2">
      <c r="A751" s="2" t="s">
        <v>316</v>
      </c>
      <c r="B751" t="str">
        <f t="shared" ref="B751:B782" si="29">B750</f>
        <v>_southamerica</v>
      </c>
      <c r="C751" t="str">
        <f t="shared" si="26"/>
        <v>q105_5_southamerica</v>
      </c>
    </row>
    <row r="752" spans="1:3" x14ac:dyDescent="0.2">
      <c r="A752" s="2" t="s">
        <v>317</v>
      </c>
      <c r="B752" t="str">
        <f t="shared" si="29"/>
        <v>_southamerica</v>
      </c>
      <c r="C752" t="str">
        <f t="shared" si="26"/>
        <v>q105_6_southamerica</v>
      </c>
    </row>
    <row r="753" spans="1:3" x14ac:dyDescent="0.2">
      <c r="A753" s="2" t="s">
        <v>318</v>
      </c>
      <c r="B753" t="str">
        <f t="shared" si="29"/>
        <v>_southamerica</v>
      </c>
      <c r="C753" t="str">
        <f t="shared" si="26"/>
        <v>q10ROW5_hidden_southamerica</v>
      </c>
    </row>
    <row r="754" spans="1:3" x14ac:dyDescent="0.2">
      <c r="A754" s="2" t="s">
        <v>319</v>
      </c>
      <c r="B754" t="str">
        <f t="shared" si="29"/>
        <v>_southamerica</v>
      </c>
      <c r="C754" t="str">
        <f t="shared" si="26"/>
        <v>q106_1_southamerica</v>
      </c>
    </row>
    <row r="755" spans="1:3" x14ac:dyDescent="0.2">
      <c r="A755" s="2" t="s">
        <v>320</v>
      </c>
      <c r="B755" t="str">
        <f t="shared" si="29"/>
        <v>_southamerica</v>
      </c>
      <c r="C755" t="str">
        <f t="shared" si="26"/>
        <v>q106_2_southamerica</v>
      </c>
    </row>
    <row r="756" spans="1:3" x14ac:dyDescent="0.2">
      <c r="A756" s="2" t="s">
        <v>321</v>
      </c>
      <c r="B756" t="str">
        <f t="shared" si="29"/>
        <v>_southamerica</v>
      </c>
      <c r="C756" t="str">
        <f t="shared" si="26"/>
        <v>q106_3_southamerica</v>
      </c>
    </row>
    <row r="757" spans="1:3" x14ac:dyDescent="0.2">
      <c r="A757" s="2" t="s">
        <v>322</v>
      </c>
      <c r="B757" t="str">
        <f t="shared" si="29"/>
        <v>_southamerica</v>
      </c>
      <c r="C757" t="str">
        <f t="shared" si="26"/>
        <v>q106_4_southamerica</v>
      </c>
    </row>
    <row r="758" spans="1:3" x14ac:dyDescent="0.2">
      <c r="A758" s="2" t="s">
        <v>323</v>
      </c>
      <c r="B758" t="str">
        <f t="shared" si="29"/>
        <v>_southamerica</v>
      </c>
      <c r="C758" t="str">
        <f t="shared" si="26"/>
        <v>q106_5_southamerica</v>
      </c>
    </row>
    <row r="759" spans="1:3" x14ac:dyDescent="0.2">
      <c r="A759" s="2" t="s">
        <v>324</v>
      </c>
      <c r="B759" t="str">
        <f t="shared" si="29"/>
        <v>_southamerica</v>
      </c>
      <c r="C759" t="str">
        <f t="shared" si="26"/>
        <v>q106_6_southamerica</v>
      </c>
    </row>
    <row r="760" spans="1:3" x14ac:dyDescent="0.2">
      <c r="A760" s="2" t="s">
        <v>325</v>
      </c>
      <c r="B760" t="str">
        <f t="shared" si="29"/>
        <v>_southamerica</v>
      </c>
      <c r="C760" t="str">
        <f t="shared" si="26"/>
        <v>q10ROW6_hidden_southamerica</v>
      </c>
    </row>
    <row r="761" spans="1:3" x14ac:dyDescent="0.2">
      <c r="A761" s="2" t="s">
        <v>326</v>
      </c>
      <c r="B761" t="str">
        <f t="shared" si="29"/>
        <v>_southamerica</v>
      </c>
      <c r="C761" t="str">
        <f t="shared" si="26"/>
        <v>q107_1_southamerica</v>
      </c>
    </row>
    <row r="762" spans="1:3" x14ac:dyDescent="0.2">
      <c r="A762" s="2" t="s">
        <v>327</v>
      </c>
      <c r="B762" t="str">
        <f t="shared" si="29"/>
        <v>_southamerica</v>
      </c>
      <c r="C762" t="str">
        <f t="shared" si="26"/>
        <v>q107_2_southamerica</v>
      </c>
    </row>
    <row r="763" spans="1:3" x14ac:dyDescent="0.2">
      <c r="A763" s="2" t="s">
        <v>328</v>
      </c>
      <c r="B763" t="str">
        <f t="shared" si="29"/>
        <v>_southamerica</v>
      </c>
      <c r="C763" t="str">
        <f t="shared" si="26"/>
        <v>q107_3_southamerica</v>
      </c>
    </row>
    <row r="764" spans="1:3" x14ac:dyDescent="0.2">
      <c r="A764" s="2" t="s">
        <v>329</v>
      </c>
      <c r="B764" t="str">
        <f t="shared" si="29"/>
        <v>_southamerica</v>
      </c>
      <c r="C764" t="str">
        <f t="shared" si="26"/>
        <v>q107_4_southamerica</v>
      </c>
    </row>
    <row r="765" spans="1:3" x14ac:dyDescent="0.2">
      <c r="A765" s="2" t="s">
        <v>330</v>
      </c>
      <c r="B765" t="str">
        <f t="shared" si="29"/>
        <v>_southamerica</v>
      </c>
      <c r="C765" t="str">
        <f t="shared" si="26"/>
        <v>q107_5_southamerica</v>
      </c>
    </row>
    <row r="766" spans="1:3" x14ac:dyDescent="0.2">
      <c r="A766" s="2" t="s">
        <v>331</v>
      </c>
      <c r="B766" t="str">
        <f t="shared" si="29"/>
        <v>_southamerica</v>
      </c>
      <c r="C766" t="str">
        <f t="shared" si="26"/>
        <v>q107_6_southamerica</v>
      </c>
    </row>
    <row r="767" spans="1:3" x14ac:dyDescent="0.2">
      <c r="A767" s="2" t="s">
        <v>332</v>
      </c>
      <c r="B767" t="str">
        <f t="shared" si="29"/>
        <v>_southamerica</v>
      </c>
      <c r="C767" t="str">
        <f t="shared" si="26"/>
        <v>q10ROW7_hidden_southamerica</v>
      </c>
    </row>
    <row r="768" spans="1:3" x14ac:dyDescent="0.2">
      <c r="A768" s="2" t="s">
        <v>333</v>
      </c>
      <c r="B768" t="str">
        <f t="shared" si="29"/>
        <v>_southamerica</v>
      </c>
      <c r="C768" t="str">
        <f t="shared" si="26"/>
        <v>q10other_southamerica</v>
      </c>
    </row>
    <row r="769" spans="1:3" x14ac:dyDescent="0.2">
      <c r="A769" s="2" t="s">
        <v>334</v>
      </c>
      <c r="B769" t="str">
        <f t="shared" si="29"/>
        <v>_southamerica</v>
      </c>
      <c r="C769" t="str">
        <f t="shared" si="26"/>
        <v>q108_1_southamerica</v>
      </c>
    </row>
    <row r="770" spans="1:3" x14ac:dyDescent="0.2">
      <c r="A770" s="2" t="s">
        <v>335</v>
      </c>
      <c r="B770" t="str">
        <f t="shared" si="29"/>
        <v>_southamerica</v>
      </c>
      <c r="C770" t="str">
        <f t="shared" si="26"/>
        <v>q108_2_southamerica</v>
      </c>
    </row>
    <row r="771" spans="1:3" x14ac:dyDescent="0.2">
      <c r="A771" s="2" t="s">
        <v>336</v>
      </c>
      <c r="B771" t="str">
        <f t="shared" si="29"/>
        <v>_southamerica</v>
      </c>
      <c r="C771" t="str">
        <f t="shared" ref="C771:C834" si="30">_xlfn.CONCAT(A771,B771)</f>
        <v>q108_3_southamerica</v>
      </c>
    </row>
    <row r="772" spans="1:3" x14ac:dyDescent="0.2">
      <c r="A772" s="2" t="s">
        <v>337</v>
      </c>
      <c r="B772" t="str">
        <f t="shared" si="29"/>
        <v>_southamerica</v>
      </c>
      <c r="C772" t="str">
        <f t="shared" si="30"/>
        <v>q108_4_southamerica</v>
      </c>
    </row>
    <row r="773" spans="1:3" x14ac:dyDescent="0.2">
      <c r="A773" s="2" t="s">
        <v>338</v>
      </c>
      <c r="B773" t="str">
        <f t="shared" si="29"/>
        <v>_southamerica</v>
      </c>
      <c r="C773" t="str">
        <f t="shared" si="30"/>
        <v>q108_5_southamerica</v>
      </c>
    </row>
    <row r="774" spans="1:3" x14ac:dyDescent="0.2">
      <c r="A774" s="2" t="s">
        <v>339</v>
      </c>
      <c r="B774" t="str">
        <f t="shared" si="29"/>
        <v>_southamerica</v>
      </c>
      <c r="C774" t="str">
        <f t="shared" si="30"/>
        <v>q108_6_southamerica</v>
      </c>
    </row>
    <row r="775" spans="1:3" x14ac:dyDescent="0.2">
      <c r="A775" s="2" t="s">
        <v>340</v>
      </c>
      <c r="B775" t="str">
        <f t="shared" si="29"/>
        <v>_southamerica</v>
      </c>
      <c r="C775" t="str">
        <f t="shared" si="30"/>
        <v>q10ROW8_hidden_southamerica</v>
      </c>
    </row>
    <row r="776" spans="1:3" x14ac:dyDescent="0.2">
      <c r="A776" s="2" t="s">
        <v>341</v>
      </c>
      <c r="B776" t="str">
        <f t="shared" si="29"/>
        <v>_southamerica</v>
      </c>
      <c r="C776" t="str">
        <f t="shared" si="30"/>
        <v>q10COL1_hidden_southamerica</v>
      </c>
    </row>
    <row r="777" spans="1:3" x14ac:dyDescent="0.2">
      <c r="A777" s="2" t="s">
        <v>342</v>
      </c>
      <c r="B777" t="str">
        <f t="shared" si="29"/>
        <v>_southamerica</v>
      </c>
      <c r="C777" t="str">
        <f t="shared" si="30"/>
        <v>q10COL2_hidden_southamerica</v>
      </c>
    </row>
    <row r="778" spans="1:3" x14ac:dyDescent="0.2">
      <c r="A778" s="2" t="s">
        <v>343</v>
      </c>
      <c r="B778" t="str">
        <f t="shared" si="29"/>
        <v>_southamerica</v>
      </c>
      <c r="C778" t="str">
        <f t="shared" si="30"/>
        <v>q10COL3_hidden_southamerica</v>
      </c>
    </row>
    <row r="779" spans="1:3" x14ac:dyDescent="0.2">
      <c r="A779" s="2" t="s">
        <v>344</v>
      </c>
      <c r="B779" t="str">
        <f t="shared" si="29"/>
        <v>_southamerica</v>
      </c>
      <c r="C779" t="str">
        <f t="shared" si="30"/>
        <v>q10COL4_hidden_southamerica</v>
      </c>
    </row>
    <row r="780" spans="1:3" x14ac:dyDescent="0.2">
      <c r="A780" s="2" t="s">
        <v>345</v>
      </c>
      <c r="B780" t="str">
        <f t="shared" si="29"/>
        <v>_southamerica</v>
      </c>
      <c r="C780" t="str">
        <f t="shared" si="30"/>
        <v>q10COL5_hidden_southamerica</v>
      </c>
    </row>
    <row r="781" spans="1:3" x14ac:dyDescent="0.2">
      <c r="A781" s="2" t="s">
        <v>346</v>
      </c>
      <c r="B781" t="str">
        <f t="shared" si="29"/>
        <v>_southamerica</v>
      </c>
      <c r="C781" t="str">
        <f t="shared" si="30"/>
        <v>q10COL6_hidden_southamerica</v>
      </c>
    </row>
    <row r="782" spans="1:3" x14ac:dyDescent="0.2">
      <c r="A782" s="2" t="s">
        <v>347</v>
      </c>
      <c r="B782" t="str">
        <f t="shared" si="29"/>
        <v>_southamerica</v>
      </c>
      <c r="C782" t="str">
        <f t="shared" si="30"/>
        <v>q10GRANDTotal_hidden_southamerica</v>
      </c>
    </row>
    <row r="783" spans="1:3" x14ac:dyDescent="0.2">
      <c r="A783" s="2" t="s">
        <v>348</v>
      </c>
      <c r="B783" t="str">
        <f t="shared" ref="B783:B814" si="31">B782</f>
        <v>_southamerica</v>
      </c>
      <c r="C783" t="str">
        <f t="shared" si="30"/>
        <v>q111_1_southamerica</v>
      </c>
    </row>
    <row r="784" spans="1:3" x14ac:dyDescent="0.2">
      <c r="A784" s="2" t="s">
        <v>349</v>
      </c>
      <c r="B784" t="str">
        <f t="shared" si="31"/>
        <v>_southamerica</v>
      </c>
      <c r="C784" t="str">
        <f t="shared" si="30"/>
        <v>q111_2_southamerica</v>
      </c>
    </row>
    <row r="785" spans="1:3" x14ac:dyDescent="0.2">
      <c r="A785" s="2" t="s">
        <v>350</v>
      </c>
      <c r="B785" t="str">
        <f t="shared" si="31"/>
        <v>_southamerica</v>
      </c>
      <c r="C785" t="str">
        <f t="shared" si="30"/>
        <v>q111_3_southamerica</v>
      </c>
    </row>
    <row r="786" spans="1:3" x14ac:dyDescent="0.2">
      <c r="A786" s="2" t="s">
        <v>351</v>
      </c>
      <c r="B786" t="str">
        <f t="shared" si="31"/>
        <v>_southamerica</v>
      </c>
      <c r="C786" t="str">
        <f t="shared" si="30"/>
        <v>q111_4_southamerica</v>
      </c>
    </row>
    <row r="787" spans="1:3" x14ac:dyDescent="0.2">
      <c r="A787" s="2" t="s">
        <v>352</v>
      </c>
      <c r="B787" t="str">
        <f t="shared" si="31"/>
        <v>_southamerica</v>
      </c>
      <c r="C787" t="str">
        <f t="shared" si="30"/>
        <v>q111_5_southamerica</v>
      </c>
    </row>
    <row r="788" spans="1:3" x14ac:dyDescent="0.2">
      <c r="A788" s="2" t="s">
        <v>353</v>
      </c>
      <c r="B788" t="str">
        <f t="shared" si="31"/>
        <v>_southamerica</v>
      </c>
      <c r="C788" t="str">
        <f t="shared" si="30"/>
        <v>q111_6_southamerica</v>
      </c>
    </row>
    <row r="789" spans="1:3" x14ac:dyDescent="0.2">
      <c r="A789" s="2" t="s">
        <v>354</v>
      </c>
      <c r="B789" t="str">
        <f t="shared" si="31"/>
        <v>_southamerica</v>
      </c>
      <c r="C789" t="str">
        <f t="shared" si="30"/>
        <v>q11ROW1_hidden_southamerica</v>
      </c>
    </row>
    <row r="790" spans="1:3" x14ac:dyDescent="0.2">
      <c r="A790" s="2" t="s">
        <v>355</v>
      </c>
      <c r="B790" t="str">
        <f t="shared" si="31"/>
        <v>_southamerica</v>
      </c>
      <c r="C790" t="str">
        <f t="shared" si="30"/>
        <v>q112_1_southamerica</v>
      </c>
    </row>
    <row r="791" spans="1:3" x14ac:dyDescent="0.2">
      <c r="A791" s="2" t="s">
        <v>356</v>
      </c>
      <c r="B791" t="str">
        <f t="shared" si="31"/>
        <v>_southamerica</v>
      </c>
      <c r="C791" t="str">
        <f t="shared" si="30"/>
        <v>q112_2_southamerica</v>
      </c>
    </row>
    <row r="792" spans="1:3" x14ac:dyDescent="0.2">
      <c r="A792" s="2" t="s">
        <v>357</v>
      </c>
      <c r="B792" t="str">
        <f t="shared" si="31"/>
        <v>_southamerica</v>
      </c>
      <c r="C792" t="str">
        <f t="shared" si="30"/>
        <v>q112_3_southamerica</v>
      </c>
    </row>
    <row r="793" spans="1:3" x14ac:dyDescent="0.2">
      <c r="A793" s="2" t="s">
        <v>358</v>
      </c>
      <c r="B793" t="str">
        <f t="shared" si="31"/>
        <v>_southamerica</v>
      </c>
      <c r="C793" t="str">
        <f t="shared" si="30"/>
        <v>q112_4_southamerica</v>
      </c>
    </row>
    <row r="794" spans="1:3" x14ac:dyDescent="0.2">
      <c r="A794" s="2" t="s">
        <v>359</v>
      </c>
      <c r="B794" t="str">
        <f t="shared" si="31"/>
        <v>_southamerica</v>
      </c>
      <c r="C794" t="str">
        <f t="shared" si="30"/>
        <v>q112_5_southamerica</v>
      </c>
    </row>
    <row r="795" spans="1:3" x14ac:dyDescent="0.2">
      <c r="A795" s="2" t="s">
        <v>360</v>
      </c>
      <c r="B795" t="str">
        <f t="shared" si="31"/>
        <v>_southamerica</v>
      </c>
      <c r="C795" t="str">
        <f t="shared" si="30"/>
        <v>q112_6_southamerica</v>
      </c>
    </row>
    <row r="796" spans="1:3" x14ac:dyDescent="0.2">
      <c r="A796" s="2" t="s">
        <v>361</v>
      </c>
      <c r="B796" t="str">
        <f t="shared" si="31"/>
        <v>_southamerica</v>
      </c>
      <c r="C796" t="str">
        <f t="shared" si="30"/>
        <v>q11ROW2_hidden_southamerica</v>
      </c>
    </row>
    <row r="797" spans="1:3" x14ac:dyDescent="0.2">
      <c r="A797" s="2" t="s">
        <v>362</v>
      </c>
      <c r="B797" t="str">
        <f t="shared" si="31"/>
        <v>_southamerica</v>
      </c>
      <c r="C797" t="str">
        <f t="shared" si="30"/>
        <v>q113_1_southamerica</v>
      </c>
    </row>
    <row r="798" spans="1:3" x14ac:dyDescent="0.2">
      <c r="A798" s="2" t="s">
        <v>363</v>
      </c>
      <c r="B798" t="str">
        <f t="shared" si="31"/>
        <v>_southamerica</v>
      </c>
      <c r="C798" t="str">
        <f t="shared" si="30"/>
        <v>q113_2_southamerica</v>
      </c>
    </row>
    <row r="799" spans="1:3" x14ac:dyDescent="0.2">
      <c r="A799" s="2" t="s">
        <v>364</v>
      </c>
      <c r="B799" t="str">
        <f t="shared" si="31"/>
        <v>_southamerica</v>
      </c>
      <c r="C799" t="str">
        <f t="shared" si="30"/>
        <v>q113_3_southamerica</v>
      </c>
    </row>
    <row r="800" spans="1:3" x14ac:dyDescent="0.2">
      <c r="A800" s="2" t="s">
        <v>365</v>
      </c>
      <c r="B800" t="str">
        <f t="shared" si="31"/>
        <v>_southamerica</v>
      </c>
      <c r="C800" t="str">
        <f t="shared" si="30"/>
        <v>q113_4_southamerica</v>
      </c>
    </row>
    <row r="801" spans="1:3" x14ac:dyDescent="0.2">
      <c r="A801" s="2" t="s">
        <v>366</v>
      </c>
      <c r="B801" t="str">
        <f t="shared" si="31"/>
        <v>_southamerica</v>
      </c>
      <c r="C801" t="str">
        <f t="shared" si="30"/>
        <v>q113_5_southamerica</v>
      </c>
    </row>
    <row r="802" spans="1:3" x14ac:dyDescent="0.2">
      <c r="A802" s="2" t="s">
        <v>367</v>
      </c>
      <c r="B802" t="str">
        <f t="shared" si="31"/>
        <v>_southamerica</v>
      </c>
      <c r="C802" t="str">
        <f t="shared" si="30"/>
        <v>q113_6_southamerica</v>
      </c>
    </row>
    <row r="803" spans="1:3" x14ac:dyDescent="0.2">
      <c r="A803" s="2" t="s">
        <v>368</v>
      </c>
      <c r="B803" t="str">
        <f t="shared" si="31"/>
        <v>_southamerica</v>
      </c>
      <c r="C803" t="str">
        <f t="shared" si="30"/>
        <v>q11ROW3_hidden_southamerica</v>
      </c>
    </row>
    <row r="804" spans="1:3" x14ac:dyDescent="0.2">
      <c r="A804" s="2" t="s">
        <v>369</v>
      </c>
      <c r="B804" t="str">
        <f t="shared" si="31"/>
        <v>_southamerica</v>
      </c>
      <c r="C804" t="str">
        <f t="shared" si="30"/>
        <v>q114_1_southamerica</v>
      </c>
    </row>
    <row r="805" spans="1:3" x14ac:dyDescent="0.2">
      <c r="A805" s="2" t="s">
        <v>370</v>
      </c>
      <c r="B805" t="str">
        <f t="shared" si="31"/>
        <v>_southamerica</v>
      </c>
      <c r="C805" t="str">
        <f t="shared" si="30"/>
        <v>q114_2_southamerica</v>
      </c>
    </row>
    <row r="806" spans="1:3" x14ac:dyDescent="0.2">
      <c r="A806" s="2" t="s">
        <v>371</v>
      </c>
      <c r="B806" t="str">
        <f t="shared" si="31"/>
        <v>_southamerica</v>
      </c>
      <c r="C806" t="str">
        <f t="shared" si="30"/>
        <v>q114_3_southamerica</v>
      </c>
    </row>
    <row r="807" spans="1:3" x14ac:dyDescent="0.2">
      <c r="A807" s="2" t="s">
        <v>372</v>
      </c>
      <c r="B807" t="str">
        <f t="shared" si="31"/>
        <v>_southamerica</v>
      </c>
      <c r="C807" t="str">
        <f t="shared" si="30"/>
        <v>q114_4_southamerica</v>
      </c>
    </row>
    <row r="808" spans="1:3" x14ac:dyDescent="0.2">
      <c r="A808" s="2" t="s">
        <v>373</v>
      </c>
      <c r="B808" t="str">
        <f t="shared" si="31"/>
        <v>_southamerica</v>
      </c>
      <c r="C808" t="str">
        <f t="shared" si="30"/>
        <v>q114_5_southamerica</v>
      </c>
    </row>
    <row r="809" spans="1:3" x14ac:dyDescent="0.2">
      <c r="A809" s="2" t="s">
        <v>374</v>
      </c>
      <c r="B809" t="str">
        <f t="shared" si="31"/>
        <v>_southamerica</v>
      </c>
      <c r="C809" t="str">
        <f t="shared" si="30"/>
        <v>q114_6_southamerica</v>
      </c>
    </row>
    <row r="810" spans="1:3" x14ac:dyDescent="0.2">
      <c r="A810" s="2" t="s">
        <v>375</v>
      </c>
      <c r="B810" t="str">
        <f t="shared" si="31"/>
        <v>_southamerica</v>
      </c>
      <c r="C810" t="str">
        <f t="shared" si="30"/>
        <v>q11ROW4_hidden_southamerica</v>
      </c>
    </row>
    <row r="811" spans="1:3" x14ac:dyDescent="0.2">
      <c r="A811" s="2" t="s">
        <v>376</v>
      </c>
      <c r="B811" t="str">
        <f t="shared" si="31"/>
        <v>_southamerica</v>
      </c>
      <c r="C811" t="str">
        <f t="shared" si="30"/>
        <v>q115_1_southamerica</v>
      </c>
    </row>
    <row r="812" spans="1:3" x14ac:dyDescent="0.2">
      <c r="A812" s="2" t="s">
        <v>377</v>
      </c>
      <c r="B812" t="str">
        <f t="shared" si="31"/>
        <v>_southamerica</v>
      </c>
      <c r="C812" t="str">
        <f t="shared" si="30"/>
        <v>q115_2_southamerica</v>
      </c>
    </row>
    <row r="813" spans="1:3" x14ac:dyDescent="0.2">
      <c r="A813" s="2" t="s">
        <v>378</v>
      </c>
      <c r="B813" t="str">
        <f t="shared" si="31"/>
        <v>_southamerica</v>
      </c>
      <c r="C813" t="str">
        <f t="shared" si="30"/>
        <v>q115_3_southamerica</v>
      </c>
    </row>
    <row r="814" spans="1:3" x14ac:dyDescent="0.2">
      <c r="A814" s="2" t="s">
        <v>379</v>
      </c>
      <c r="B814" t="str">
        <f t="shared" si="31"/>
        <v>_southamerica</v>
      </c>
      <c r="C814" t="str">
        <f t="shared" si="30"/>
        <v>q115_4_southamerica</v>
      </c>
    </row>
    <row r="815" spans="1:3" x14ac:dyDescent="0.2">
      <c r="A815" s="2" t="s">
        <v>380</v>
      </c>
      <c r="B815" t="str">
        <f t="shared" ref="B815:B824" si="32">B814</f>
        <v>_southamerica</v>
      </c>
      <c r="C815" t="str">
        <f t="shared" si="30"/>
        <v>q115_5_southamerica</v>
      </c>
    </row>
    <row r="816" spans="1:3" x14ac:dyDescent="0.2">
      <c r="A816" s="2" t="s">
        <v>381</v>
      </c>
      <c r="B816" t="str">
        <f t="shared" si="32"/>
        <v>_southamerica</v>
      </c>
      <c r="C816" t="str">
        <f t="shared" si="30"/>
        <v>q115_6_southamerica</v>
      </c>
    </row>
    <row r="817" spans="1:3" x14ac:dyDescent="0.2">
      <c r="A817" s="2" t="s">
        <v>382</v>
      </c>
      <c r="B817" t="str">
        <f t="shared" si="32"/>
        <v>_southamerica</v>
      </c>
      <c r="C817" t="str">
        <f t="shared" si="30"/>
        <v>q11ROW5_hidden_southamerica</v>
      </c>
    </row>
    <row r="818" spans="1:3" x14ac:dyDescent="0.2">
      <c r="A818" s="2" t="s">
        <v>383</v>
      </c>
      <c r="B818" t="str">
        <f t="shared" si="32"/>
        <v>_southamerica</v>
      </c>
      <c r="C818" t="str">
        <f t="shared" si="30"/>
        <v>q11COL1_hidden_southamerica</v>
      </c>
    </row>
    <row r="819" spans="1:3" x14ac:dyDescent="0.2">
      <c r="A819" s="2" t="s">
        <v>384</v>
      </c>
      <c r="B819" t="str">
        <f t="shared" si="32"/>
        <v>_southamerica</v>
      </c>
      <c r="C819" t="str">
        <f t="shared" si="30"/>
        <v>q11COL2_hidden_southamerica</v>
      </c>
    </row>
    <row r="820" spans="1:3" x14ac:dyDescent="0.2">
      <c r="A820" s="2" t="s">
        <v>385</v>
      </c>
      <c r="B820" t="str">
        <f t="shared" si="32"/>
        <v>_southamerica</v>
      </c>
      <c r="C820" t="str">
        <f t="shared" si="30"/>
        <v>q11COL3_hidden_southamerica</v>
      </c>
    </row>
    <row r="821" spans="1:3" x14ac:dyDescent="0.2">
      <c r="A821" s="2" t="s">
        <v>386</v>
      </c>
      <c r="B821" t="str">
        <f t="shared" si="32"/>
        <v>_southamerica</v>
      </c>
      <c r="C821" t="str">
        <f t="shared" si="30"/>
        <v>q11COL4_hidden_southamerica</v>
      </c>
    </row>
    <row r="822" spans="1:3" x14ac:dyDescent="0.2">
      <c r="A822" s="2" t="s">
        <v>387</v>
      </c>
      <c r="B822" t="str">
        <f t="shared" si="32"/>
        <v>_southamerica</v>
      </c>
      <c r="C822" t="str">
        <f t="shared" si="30"/>
        <v>q11COL5_hidden_southamerica</v>
      </c>
    </row>
    <row r="823" spans="1:3" x14ac:dyDescent="0.2">
      <c r="A823" s="2" t="s">
        <v>388</v>
      </c>
      <c r="B823" t="str">
        <f t="shared" si="32"/>
        <v>_southamerica</v>
      </c>
      <c r="C823" t="str">
        <f t="shared" si="30"/>
        <v>q11COL6_hidden_southamerica</v>
      </c>
    </row>
    <row r="824" spans="1:3" x14ac:dyDescent="0.2">
      <c r="A824" s="2" t="s">
        <v>389</v>
      </c>
      <c r="B824" t="str">
        <f t="shared" si="32"/>
        <v>_southamerica</v>
      </c>
      <c r="C824" t="str">
        <f t="shared" si="30"/>
        <v>q11GRANDTotal_hidden_southamerica</v>
      </c>
    </row>
    <row r="825" spans="1:3" x14ac:dyDescent="0.2">
      <c r="A825" s="2" t="s">
        <v>394</v>
      </c>
      <c r="B825" t="s">
        <v>2092</v>
      </c>
      <c r="C825" t="str">
        <f t="shared" si="30"/>
        <v>AFRICA_africa</v>
      </c>
    </row>
    <row r="826" spans="1:3" x14ac:dyDescent="0.2">
      <c r="A826" s="2" t="s">
        <v>284</v>
      </c>
      <c r="B826" t="str">
        <f t="shared" ref="B826:B857" si="33">B825</f>
        <v>_africa</v>
      </c>
      <c r="C826" t="str">
        <f t="shared" si="30"/>
        <v>q101_1_africa</v>
      </c>
    </row>
    <row r="827" spans="1:3" x14ac:dyDescent="0.2">
      <c r="A827" s="2" t="s">
        <v>285</v>
      </c>
      <c r="B827" t="str">
        <f t="shared" si="33"/>
        <v>_africa</v>
      </c>
      <c r="C827" t="str">
        <f t="shared" si="30"/>
        <v>q101_2_africa</v>
      </c>
    </row>
    <row r="828" spans="1:3" x14ac:dyDescent="0.2">
      <c r="A828" s="2" t="s">
        <v>286</v>
      </c>
      <c r="B828" t="str">
        <f t="shared" si="33"/>
        <v>_africa</v>
      </c>
      <c r="C828" t="str">
        <f t="shared" si="30"/>
        <v>q101_3_africa</v>
      </c>
    </row>
    <row r="829" spans="1:3" x14ac:dyDescent="0.2">
      <c r="A829" s="2" t="s">
        <v>287</v>
      </c>
      <c r="B829" t="str">
        <f t="shared" si="33"/>
        <v>_africa</v>
      </c>
      <c r="C829" t="str">
        <f t="shared" si="30"/>
        <v>q101_4_africa</v>
      </c>
    </row>
    <row r="830" spans="1:3" x14ac:dyDescent="0.2">
      <c r="A830" s="2" t="s">
        <v>288</v>
      </c>
      <c r="B830" t="str">
        <f t="shared" si="33"/>
        <v>_africa</v>
      </c>
      <c r="C830" t="str">
        <f t="shared" si="30"/>
        <v>q101_5_africa</v>
      </c>
    </row>
    <row r="831" spans="1:3" x14ac:dyDescent="0.2">
      <c r="A831" s="2" t="s">
        <v>289</v>
      </c>
      <c r="B831" t="str">
        <f t="shared" si="33"/>
        <v>_africa</v>
      </c>
      <c r="C831" t="str">
        <f t="shared" si="30"/>
        <v>q101_6_africa</v>
      </c>
    </row>
    <row r="832" spans="1:3" x14ac:dyDescent="0.2">
      <c r="A832" s="2" t="s">
        <v>290</v>
      </c>
      <c r="B832" t="str">
        <f t="shared" si="33"/>
        <v>_africa</v>
      </c>
      <c r="C832" t="str">
        <f t="shared" si="30"/>
        <v>q10ROW1_hidden_africa</v>
      </c>
    </row>
    <row r="833" spans="1:3" x14ac:dyDescent="0.2">
      <c r="A833" s="2" t="s">
        <v>291</v>
      </c>
      <c r="B833" t="str">
        <f t="shared" si="33"/>
        <v>_africa</v>
      </c>
      <c r="C833" t="str">
        <f t="shared" si="30"/>
        <v>q102_1_africa</v>
      </c>
    </row>
    <row r="834" spans="1:3" x14ac:dyDescent="0.2">
      <c r="A834" s="2" t="s">
        <v>292</v>
      </c>
      <c r="B834" t="str">
        <f t="shared" si="33"/>
        <v>_africa</v>
      </c>
      <c r="C834" t="str">
        <f t="shared" si="30"/>
        <v>q102_2_africa</v>
      </c>
    </row>
    <row r="835" spans="1:3" x14ac:dyDescent="0.2">
      <c r="A835" s="2" t="s">
        <v>293</v>
      </c>
      <c r="B835" t="str">
        <f t="shared" si="33"/>
        <v>_africa</v>
      </c>
      <c r="C835" t="str">
        <f t="shared" ref="C835:C898" si="34">_xlfn.CONCAT(A835,B835)</f>
        <v>q102_3_africa</v>
      </c>
    </row>
    <row r="836" spans="1:3" x14ac:dyDescent="0.2">
      <c r="A836" s="2" t="s">
        <v>294</v>
      </c>
      <c r="B836" t="str">
        <f t="shared" si="33"/>
        <v>_africa</v>
      </c>
      <c r="C836" t="str">
        <f t="shared" si="34"/>
        <v>q102_4_africa</v>
      </c>
    </row>
    <row r="837" spans="1:3" x14ac:dyDescent="0.2">
      <c r="A837" s="2" t="s">
        <v>295</v>
      </c>
      <c r="B837" t="str">
        <f t="shared" si="33"/>
        <v>_africa</v>
      </c>
      <c r="C837" t="str">
        <f t="shared" si="34"/>
        <v>q102_5_africa</v>
      </c>
    </row>
    <row r="838" spans="1:3" x14ac:dyDescent="0.2">
      <c r="A838" s="2" t="s">
        <v>296</v>
      </c>
      <c r="B838" t="str">
        <f t="shared" si="33"/>
        <v>_africa</v>
      </c>
      <c r="C838" t="str">
        <f t="shared" si="34"/>
        <v>q102_6_africa</v>
      </c>
    </row>
    <row r="839" spans="1:3" x14ac:dyDescent="0.2">
      <c r="A839" s="2" t="s">
        <v>297</v>
      </c>
      <c r="B839" t="str">
        <f t="shared" si="33"/>
        <v>_africa</v>
      </c>
      <c r="C839" t="str">
        <f t="shared" si="34"/>
        <v>q10ROW2_hidden_africa</v>
      </c>
    </row>
    <row r="840" spans="1:3" x14ac:dyDescent="0.2">
      <c r="A840" s="2" t="s">
        <v>298</v>
      </c>
      <c r="B840" t="str">
        <f t="shared" si="33"/>
        <v>_africa</v>
      </c>
      <c r="C840" t="str">
        <f t="shared" si="34"/>
        <v>q103_1_africa</v>
      </c>
    </row>
    <row r="841" spans="1:3" x14ac:dyDescent="0.2">
      <c r="A841" s="2" t="s">
        <v>299</v>
      </c>
      <c r="B841" t="str">
        <f t="shared" si="33"/>
        <v>_africa</v>
      </c>
      <c r="C841" t="str">
        <f t="shared" si="34"/>
        <v>q103_2_africa</v>
      </c>
    </row>
    <row r="842" spans="1:3" x14ac:dyDescent="0.2">
      <c r="A842" s="2" t="s">
        <v>300</v>
      </c>
      <c r="B842" t="str">
        <f t="shared" si="33"/>
        <v>_africa</v>
      </c>
      <c r="C842" t="str">
        <f t="shared" si="34"/>
        <v>q103_3_africa</v>
      </c>
    </row>
    <row r="843" spans="1:3" x14ac:dyDescent="0.2">
      <c r="A843" s="2" t="s">
        <v>301</v>
      </c>
      <c r="B843" t="str">
        <f t="shared" si="33"/>
        <v>_africa</v>
      </c>
      <c r="C843" t="str">
        <f t="shared" si="34"/>
        <v>q103_4_africa</v>
      </c>
    </row>
    <row r="844" spans="1:3" x14ac:dyDescent="0.2">
      <c r="A844" s="2" t="s">
        <v>302</v>
      </c>
      <c r="B844" t="str">
        <f t="shared" si="33"/>
        <v>_africa</v>
      </c>
      <c r="C844" t="str">
        <f t="shared" si="34"/>
        <v>q103_5_africa</v>
      </c>
    </row>
    <row r="845" spans="1:3" x14ac:dyDescent="0.2">
      <c r="A845" s="2" t="s">
        <v>303</v>
      </c>
      <c r="B845" t="str">
        <f t="shared" si="33"/>
        <v>_africa</v>
      </c>
      <c r="C845" t="str">
        <f t="shared" si="34"/>
        <v>q103_6_africa</v>
      </c>
    </row>
    <row r="846" spans="1:3" x14ac:dyDescent="0.2">
      <c r="A846" s="2" t="s">
        <v>304</v>
      </c>
      <c r="B846" t="str">
        <f t="shared" si="33"/>
        <v>_africa</v>
      </c>
      <c r="C846" t="str">
        <f t="shared" si="34"/>
        <v>q10ROW3_hidden_africa</v>
      </c>
    </row>
    <row r="847" spans="1:3" x14ac:dyDescent="0.2">
      <c r="A847" s="2" t="s">
        <v>305</v>
      </c>
      <c r="B847" t="str">
        <f t="shared" si="33"/>
        <v>_africa</v>
      </c>
      <c r="C847" t="str">
        <f t="shared" si="34"/>
        <v>q104_1_africa</v>
      </c>
    </row>
    <row r="848" spans="1:3" x14ac:dyDescent="0.2">
      <c r="A848" s="2" t="s">
        <v>306</v>
      </c>
      <c r="B848" t="str">
        <f t="shared" si="33"/>
        <v>_africa</v>
      </c>
      <c r="C848" t="str">
        <f t="shared" si="34"/>
        <v>q104_2_africa</v>
      </c>
    </row>
    <row r="849" spans="1:3" x14ac:dyDescent="0.2">
      <c r="A849" s="2" t="s">
        <v>307</v>
      </c>
      <c r="B849" t="str">
        <f t="shared" si="33"/>
        <v>_africa</v>
      </c>
      <c r="C849" t="str">
        <f t="shared" si="34"/>
        <v>q104_3_africa</v>
      </c>
    </row>
    <row r="850" spans="1:3" x14ac:dyDescent="0.2">
      <c r="A850" s="2" t="s">
        <v>308</v>
      </c>
      <c r="B850" t="str">
        <f t="shared" si="33"/>
        <v>_africa</v>
      </c>
      <c r="C850" t="str">
        <f t="shared" si="34"/>
        <v>q104_4_africa</v>
      </c>
    </row>
    <row r="851" spans="1:3" x14ac:dyDescent="0.2">
      <c r="A851" s="2" t="s">
        <v>309</v>
      </c>
      <c r="B851" t="str">
        <f t="shared" si="33"/>
        <v>_africa</v>
      </c>
      <c r="C851" t="str">
        <f t="shared" si="34"/>
        <v>q104_5_africa</v>
      </c>
    </row>
    <row r="852" spans="1:3" x14ac:dyDescent="0.2">
      <c r="A852" s="2" t="s">
        <v>310</v>
      </c>
      <c r="B852" t="str">
        <f t="shared" si="33"/>
        <v>_africa</v>
      </c>
      <c r="C852" t="str">
        <f t="shared" si="34"/>
        <v>q104_6_africa</v>
      </c>
    </row>
    <row r="853" spans="1:3" x14ac:dyDescent="0.2">
      <c r="A853" s="2" t="s">
        <v>311</v>
      </c>
      <c r="B853" t="str">
        <f t="shared" si="33"/>
        <v>_africa</v>
      </c>
      <c r="C853" t="str">
        <f t="shared" si="34"/>
        <v>q10ROW4_hidden_africa</v>
      </c>
    </row>
    <row r="854" spans="1:3" x14ac:dyDescent="0.2">
      <c r="A854" s="2" t="s">
        <v>312</v>
      </c>
      <c r="B854" t="str">
        <f t="shared" si="33"/>
        <v>_africa</v>
      </c>
      <c r="C854" t="str">
        <f t="shared" si="34"/>
        <v>q105_1_africa</v>
      </c>
    </row>
    <row r="855" spans="1:3" x14ac:dyDescent="0.2">
      <c r="A855" s="2" t="s">
        <v>313</v>
      </c>
      <c r="B855" t="str">
        <f t="shared" si="33"/>
        <v>_africa</v>
      </c>
      <c r="C855" t="str">
        <f t="shared" si="34"/>
        <v>q105_2_africa</v>
      </c>
    </row>
    <row r="856" spans="1:3" x14ac:dyDescent="0.2">
      <c r="A856" s="2" t="s">
        <v>314</v>
      </c>
      <c r="B856" t="str">
        <f t="shared" si="33"/>
        <v>_africa</v>
      </c>
      <c r="C856" t="str">
        <f t="shared" si="34"/>
        <v>q105_3_africa</v>
      </c>
    </row>
    <row r="857" spans="1:3" x14ac:dyDescent="0.2">
      <c r="A857" s="2" t="s">
        <v>315</v>
      </c>
      <c r="B857" t="str">
        <f t="shared" si="33"/>
        <v>_africa</v>
      </c>
      <c r="C857" t="str">
        <f t="shared" si="34"/>
        <v>q105_4_africa</v>
      </c>
    </row>
    <row r="858" spans="1:3" x14ac:dyDescent="0.2">
      <c r="A858" s="2" t="s">
        <v>316</v>
      </c>
      <c r="B858" t="str">
        <f t="shared" ref="B858:B889" si="35">B857</f>
        <v>_africa</v>
      </c>
      <c r="C858" t="str">
        <f t="shared" si="34"/>
        <v>q105_5_africa</v>
      </c>
    </row>
    <row r="859" spans="1:3" x14ac:dyDescent="0.2">
      <c r="A859" s="2" t="s">
        <v>317</v>
      </c>
      <c r="B859" t="str">
        <f t="shared" si="35"/>
        <v>_africa</v>
      </c>
      <c r="C859" t="str">
        <f t="shared" si="34"/>
        <v>q105_6_africa</v>
      </c>
    </row>
    <row r="860" spans="1:3" x14ac:dyDescent="0.2">
      <c r="A860" s="2" t="s">
        <v>318</v>
      </c>
      <c r="B860" t="str">
        <f t="shared" si="35"/>
        <v>_africa</v>
      </c>
      <c r="C860" t="str">
        <f t="shared" si="34"/>
        <v>q10ROW5_hidden_africa</v>
      </c>
    </row>
    <row r="861" spans="1:3" x14ac:dyDescent="0.2">
      <c r="A861" s="2" t="s">
        <v>319</v>
      </c>
      <c r="B861" t="str">
        <f t="shared" si="35"/>
        <v>_africa</v>
      </c>
      <c r="C861" t="str">
        <f t="shared" si="34"/>
        <v>q106_1_africa</v>
      </c>
    </row>
    <row r="862" spans="1:3" x14ac:dyDescent="0.2">
      <c r="A862" s="2" t="s">
        <v>320</v>
      </c>
      <c r="B862" t="str">
        <f t="shared" si="35"/>
        <v>_africa</v>
      </c>
      <c r="C862" t="str">
        <f t="shared" si="34"/>
        <v>q106_2_africa</v>
      </c>
    </row>
    <row r="863" spans="1:3" x14ac:dyDescent="0.2">
      <c r="A863" s="2" t="s">
        <v>321</v>
      </c>
      <c r="B863" t="str">
        <f t="shared" si="35"/>
        <v>_africa</v>
      </c>
      <c r="C863" t="str">
        <f t="shared" si="34"/>
        <v>q106_3_africa</v>
      </c>
    </row>
    <row r="864" spans="1:3" x14ac:dyDescent="0.2">
      <c r="A864" s="2" t="s">
        <v>322</v>
      </c>
      <c r="B864" t="str">
        <f t="shared" si="35"/>
        <v>_africa</v>
      </c>
      <c r="C864" t="str">
        <f t="shared" si="34"/>
        <v>q106_4_africa</v>
      </c>
    </row>
    <row r="865" spans="1:3" x14ac:dyDescent="0.2">
      <c r="A865" s="2" t="s">
        <v>323</v>
      </c>
      <c r="B865" t="str">
        <f t="shared" si="35"/>
        <v>_africa</v>
      </c>
      <c r="C865" t="str">
        <f t="shared" si="34"/>
        <v>q106_5_africa</v>
      </c>
    </row>
    <row r="866" spans="1:3" x14ac:dyDescent="0.2">
      <c r="A866" s="2" t="s">
        <v>324</v>
      </c>
      <c r="B866" t="str">
        <f t="shared" si="35"/>
        <v>_africa</v>
      </c>
      <c r="C866" t="str">
        <f t="shared" si="34"/>
        <v>q106_6_africa</v>
      </c>
    </row>
    <row r="867" spans="1:3" x14ac:dyDescent="0.2">
      <c r="A867" s="2" t="s">
        <v>325</v>
      </c>
      <c r="B867" t="str">
        <f t="shared" si="35"/>
        <v>_africa</v>
      </c>
      <c r="C867" t="str">
        <f t="shared" si="34"/>
        <v>q10ROW6_hidden_africa</v>
      </c>
    </row>
    <row r="868" spans="1:3" x14ac:dyDescent="0.2">
      <c r="A868" s="2" t="s">
        <v>326</v>
      </c>
      <c r="B868" t="str">
        <f t="shared" si="35"/>
        <v>_africa</v>
      </c>
      <c r="C868" t="str">
        <f t="shared" si="34"/>
        <v>q107_1_africa</v>
      </c>
    </row>
    <row r="869" spans="1:3" x14ac:dyDescent="0.2">
      <c r="A869" s="2" t="s">
        <v>327</v>
      </c>
      <c r="B869" t="str">
        <f t="shared" si="35"/>
        <v>_africa</v>
      </c>
      <c r="C869" t="str">
        <f t="shared" si="34"/>
        <v>q107_2_africa</v>
      </c>
    </row>
    <row r="870" spans="1:3" x14ac:dyDescent="0.2">
      <c r="A870" s="2" t="s">
        <v>328</v>
      </c>
      <c r="B870" t="str">
        <f t="shared" si="35"/>
        <v>_africa</v>
      </c>
      <c r="C870" t="str">
        <f t="shared" si="34"/>
        <v>q107_3_africa</v>
      </c>
    </row>
    <row r="871" spans="1:3" x14ac:dyDescent="0.2">
      <c r="A871" s="2" t="s">
        <v>329</v>
      </c>
      <c r="B871" t="str">
        <f t="shared" si="35"/>
        <v>_africa</v>
      </c>
      <c r="C871" t="str">
        <f t="shared" si="34"/>
        <v>q107_4_africa</v>
      </c>
    </row>
    <row r="872" spans="1:3" x14ac:dyDescent="0.2">
      <c r="A872" s="2" t="s">
        <v>330</v>
      </c>
      <c r="B872" t="str">
        <f t="shared" si="35"/>
        <v>_africa</v>
      </c>
      <c r="C872" t="str">
        <f t="shared" si="34"/>
        <v>q107_5_africa</v>
      </c>
    </row>
    <row r="873" spans="1:3" x14ac:dyDescent="0.2">
      <c r="A873" s="2" t="s">
        <v>331</v>
      </c>
      <c r="B873" t="str">
        <f t="shared" si="35"/>
        <v>_africa</v>
      </c>
      <c r="C873" t="str">
        <f t="shared" si="34"/>
        <v>q107_6_africa</v>
      </c>
    </row>
    <row r="874" spans="1:3" x14ac:dyDescent="0.2">
      <c r="A874" s="2" t="s">
        <v>332</v>
      </c>
      <c r="B874" t="str">
        <f t="shared" si="35"/>
        <v>_africa</v>
      </c>
      <c r="C874" t="str">
        <f t="shared" si="34"/>
        <v>q10ROW7_hidden_africa</v>
      </c>
    </row>
    <row r="875" spans="1:3" x14ac:dyDescent="0.2">
      <c r="A875" s="2" t="s">
        <v>333</v>
      </c>
      <c r="B875" t="str">
        <f t="shared" si="35"/>
        <v>_africa</v>
      </c>
      <c r="C875" t="str">
        <f t="shared" si="34"/>
        <v>q10other_africa</v>
      </c>
    </row>
    <row r="876" spans="1:3" x14ac:dyDescent="0.2">
      <c r="A876" s="2" t="s">
        <v>334</v>
      </c>
      <c r="B876" t="str">
        <f t="shared" si="35"/>
        <v>_africa</v>
      </c>
      <c r="C876" t="str">
        <f t="shared" si="34"/>
        <v>q108_1_africa</v>
      </c>
    </row>
    <row r="877" spans="1:3" x14ac:dyDescent="0.2">
      <c r="A877" s="2" t="s">
        <v>335</v>
      </c>
      <c r="B877" t="str">
        <f t="shared" si="35"/>
        <v>_africa</v>
      </c>
      <c r="C877" t="str">
        <f t="shared" si="34"/>
        <v>q108_2_africa</v>
      </c>
    </row>
    <row r="878" spans="1:3" x14ac:dyDescent="0.2">
      <c r="A878" s="2" t="s">
        <v>336</v>
      </c>
      <c r="B878" t="str">
        <f t="shared" si="35"/>
        <v>_africa</v>
      </c>
      <c r="C878" t="str">
        <f t="shared" si="34"/>
        <v>q108_3_africa</v>
      </c>
    </row>
    <row r="879" spans="1:3" x14ac:dyDescent="0.2">
      <c r="A879" s="2" t="s">
        <v>337</v>
      </c>
      <c r="B879" t="str">
        <f t="shared" si="35"/>
        <v>_africa</v>
      </c>
      <c r="C879" t="str">
        <f t="shared" si="34"/>
        <v>q108_4_africa</v>
      </c>
    </row>
    <row r="880" spans="1:3" x14ac:dyDescent="0.2">
      <c r="A880" s="2" t="s">
        <v>338</v>
      </c>
      <c r="B880" t="str">
        <f t="shared" si="35"/>
        <v>_africa</v>
      </c>
      <c r="C880" t="str">
        <f t="shared" si="34"/>
        <v>q108_5_africa</v>
      </c>
    </row>
    <row r="881" spans="1:3" x14ac:dyDescent="0.2">
      <c r="A881" s="2" t="s">
        <v>339</v>
      </c>
      <c r="B881" t="str">
        <f t="shared" si="35"/>
        <v>_africa</v>
      </c>
      <c r="C881" t="str">
        <f t="shared" si="34"/>
        <v>q108_6_africa</v>
      </c>
    </row>
    <row r="882" spans="1:3" x14ac:dyDescent="0.2">
      <c r="A882" s="2" t="s">
        <v>340</v>
      </c>
      <c r="B882" t="str">
        <f t="shared" si="35"/>
        <v>_africa</v>
      </c>
      <c r="C882" t="str">
        <f t="shared" si="34"/>
        <v>q10ROW8_hidden_africa</v>
      </c>
    </row>
    <row r="883" spans="1:3" x14ac:dyDescent="0.2">
      <c r="A883" s="2" t="s">
        <v>341</v>
      </c>
      <c r="B883" t="str">
        <f t="shared" si="35"/>
        <v>_africa</v>
      </c>
      <c r="C883" t="str">
        <f t="shared" si="34"/>
        <v>q10COL1_hidden_africa</v>
      </c>
    </row>
    <row r="884" spans="1:3" x14ac:dyDescent="0.2">
      <c r="A884" s="2" t="s">
        <v>342</v>
      </c>
      <c r="B884" t="str">
        <f t="shared" si="35"/>
        <v>_africa</v>
      </c>
      <c r="C884" t="str">
        <f t="shared" si="34"/>
        <v>q10COL2_hidden_africa</v>
      </c>
    </row>
    <row r="885" spans="1:3" x14ac:dyDescent="0.2">
      <c r="A885" s="2" t="s">
        <v>343</v>
      </c>
      <c r="B885" t="str">
        <f t="shared" si="35"/>
        <v>_africa</v>
      </c>
      <c r="C885" t="str">
        <f t="shared" si="34"/>
        <v>q10COL3_hidden_africa</v>
      </c>
    </row>
    <row r="886" spans="1:3" x14ac:dyDescent="0.2">
      <c r="A886" s="2" t="s">
        <v>344</v>
      </c>
      <c r="B886" t="str">
        <f t="shared" si="35"/>
        <v>_africa</v>
      </c>
      <c r="C886" t="str">
        <f t="shared" si="34"/>
        <v>q10COL4_hidden_africa</v>
      </c>
    </row>
    <row r="887" spans="1:3" x14ac:dyDescent="0.2">
      <c r="A887" s="2" t="s">
        <v>345</v>
      </c>
      <c r="B887" t="str">
        <f t="shared" si="35"/>
        <v>_africa</v>
      </c>
      <c r="C887" t="str">
        <f t="shared" si="34"/>
        <v>q10COL5_hidden_africa</v>
      </c>
    </row>
    <row r="888" spans="1:3" x14ac:dyDescent="0.2">
      <c r="A888" s="2" t="s">
        <v>346</v>
      </c>
      <c r="B888" t="str">
        <f t="shared" si="35"/>
        <v>_africa</v>
      </c>
      <c r="C888" t="str">
        <f t="shared" si="34"/>
        <v>q10COL6_hidden_africa</v>
      </c>
    </row>
    <row r="889" spans="1:3" x14ac:dyDescent="0.2">
      <c r="A889" s="2" t="s">
        <v>347</v>
      </c>
      <c r="B889" t="str">
        <f t="shared" si="35"/>
        <v>_africa</v>
      </c>
      <c r="C889" t="str">
        <f t="shared" si="34"/>
        <v>q10GRANDTotal_hidden_africa</v>
      </c>
    </row>
    <row r="890" spans="1:3" x14ac:dyDescent="0.2">
      <c r="A890" s="2" t="s">
        <v>348</v>
      </c>
      <c r="B890" t="str">
        <f t="shared" ref="B890:B921" si="36">B889</f>
        <v>_africa</v>
      </c>
      <c r="C890" t="str">
        <f t="shared" si="34"/>
        <v>q111_1_africa</v>
      </c>
    </row>
    <row r="891" spans="1:3" x14ac:dyDescent="0.2">
      <c r="A891" s="2" t="s">
        <v>349</v>
      </c>
      <c r="B891" t="str">
        <f t="shared" si="36"/>
        <v>_africa</v>
      </c>
      <c r="C891" t="str">
        <f t="shared" si="34"/>
        <v>q111_2_africa</v>
      </c>
    </row>
    <row r="892" spans="1:3" x14ac:dyDescent="0.2">
      <c r="A892" s="2" t="s">
        <v>350</v>
      </c>
      <c r="B892" t="str">
        <f t="shared" si="36"/>
        <v>_africa</v>
      </c>
      <c r="C892" t="str">
        <f t="shared" si="34"/>
        <v>q111_3_africa</v>
      </c>
    </row>
    <row r="893" spans="1:3" x14ac:dyDescent="0.2">
      <c r="A893" s="2" t="s">
        <v>351</v>
      </c>
      <c r="B893" t="str">
        <f t="shared" si="36"/>
        <v>_africa</v>
      </c>
      <c r="C893" t="str">
        <f t="shared" si="34"/>
        <v>q111_4_africa</v>
      </c>
    </row>
    <row r="894" spans="1:3" x14ac:dyDescent="0.2">
      <c r="A894" s="2" t="s">
        <v>352</v>
      </c>
      <c r="B894" t="str">
        <f t="shared" si="36"/>
        <v>_africa</v>
      </c>
      <c r="C894" t="str">
        <f t="shared" si="34"/>
        <v>q111_5_africa</v>
      </c>
    </row>
    <row r="895" spans="1:3" x14ac:dyDescent="0.2">
      <c r="A895" s="2" t="s">
        <v>353</v>
      </c>
      <c r="B895" t="str">
        <f t="shared" si="36"/>
        <v>_africa</v>
      </c>
      <c r="C895" t="str">
        <f t="shared" si="34"/>
        <v>q111_6_africa</v>
      </c>
    </row>
    <row r="896" spans="1:3" x14ac:dyDescent="0.2">
      <c r="A896" s="2" t="s">
        <v>354</v>
      </c>
      <c r="B896" t="str">
        <f t="shared" si="36"/>
        <v>_africa</v>
      </c>
      <c r="C896" t="str">
        <f t="shared" si="34"/>
        <v>q11ROW1_hidden_africa</v>
      </c>
    </row>
    <row r="897" spans="1:3" x14ac:dyDescent="0.2">
      <c r="A897" s="2" t="s">
        <v>355</v>
      </c>
      <c r="B897" t="str">
        <f t="shared" si="36"/>
        <v>_africa</v>
      </c>
      <c r="C897" t="str">
        <f t="shared" si="34"/>
        <v>q112_1_africa</v>
      </c>
    </row>
    <row r="898" spans="1:3" x14ac:dyDescent="0.2">
      <c r="A898" s="2" t="s">
        <v>356</v>
      </c>
      <c r="B898" t="str">
        <f t="shared" si="36"/>
        <v>_africa</v>
      </c>
      <c r="C898" t="str">
        <f t="shared" si="34"/>
        <v>q112_2_africa</v>
      </c>
    </row>
    <row r="899" spans="1:3" x14ac:dyDescent="0.2">
      <c r="A899" s="2" t="s">
        <v>357</v>
      </c>
      <c r="B899" t="str">
        <f t="shared" si="36"/>
        <v>_africa</v>
      </c>
      <c r="C899" t="str">
        <f t="shared" ref="C899:C931" si="37">_xlfn.CONCAT(A899,B899)</f>
        <v>q112_3_africa</v>
      </c>
    </row>
    <row r="900" spans="1:3" x14ac:dyDescent="0.2">
      <c r="A900" s="2" t="s">
        <v>358</v>
      </c>
      <c r="B900" t="str">
        <f t="shared" si="36"/>
        <v>_africa</v>
      </c>
      <c r="C900" t="str">
        <f t="shared" si="37"/>
        <v>q112_4_africa</v>
      </c>
    </row>
    <row r="901" spans="1:3" x14ac:dyDescent="0.2">
      <c r="A901" s="2" t="s">
        <v>359</v>
      </c>
      <c r="B901" t="str">
        <f t="shared" si="36"/>
        <v>_africa</v>
      </c>
      <c r="C901" t="str">
        <f t="shared" si="37"/>
        <v>q112_5_africa</v>
      </c>
    </row>
    <row r="902" spans="1:3" x14ac:dyDescent="0.2">
      <c r="A902" s="2" t="s">
        <v>360</v>
      </c>
      <c r="B902" t="str">
        <f t="shared" si="36"/>
        <v>_africa</v>
      </c>
      <c r="C902" t="str">
        <f t="shared" si="37"/>
        <v>q112_6_africa</v>
      </c>
    </row>
    <row r="903" spans="1:3" x14ac:dyDescent="0.2">
      <c r="A903" s="2" t="s">
        <v>361</v>
      </c>
      <c r="B903" t="str">
        <f t="shared" si="36"/>
        <v>_africa</v>
      </c>
      <c r="C903" t="str">
        <f t="shared" si="37"/>
        <v>q11ROW2_hidden_africa</v>
      </c>
    </row>
    <row r="904" spans="1:3" x14ac:dyDescent="0.2">
      <c r="A904" s="2" t="s">
        <v>362</v>
      </c>
      <c r="B904" t="str">
        <f t="shared" si="36"/>
        <v>_africa</v>
      </c>
      <c r="C904" t="str">
        <f t="shared" si="37"/>
        <v>q113_1_africa</v>
      </c>
    </row>
    <row r="905" spans="1:3" x14ac:dyDescent="0.2">
      <c r="A905" s="2" t="s">
        <v>363</v>
      </c>
      <c r="B905" t="str">
        <f t="shared" si="36"/>
        <v>_africa</v>
      </c>
      <c r="C905" t="str">
        <f t="shared" si="37"/>
        <v>q113_2_africa</v>
      </c>
    </row>
    <row r="906" spans="1:3" x14ac:dyDescent="0.2">
      <c r="A906" s="2" t="s">
        <v>364</v>
      </c>
      <c r="B906" t="str">
        <f t="shared" si="36"/>
        <v>_africa</v>
      </c>
      <c r="C906" t="str">
        <f t="shared" si="37"/>
        <v>q113_3_africa</v>
      </c>
    </row>
    <row r="907" spans="1:3" x14ac:dyDescent="0.2">
      <c r="A907" s="2" t="s">
        <v>365</v>
      </c>
      <c r="B907" t="str">
        <f t="shared" si="36"/>
        <v>_africa</v>
      </c>
      <c r="C907" t="str">
        <f t="shared" si="37"/>
        <v>q113_4_africa</v>
      </c>
    </row>
    <row r="908" spans="1:3" x14ac:dyDescent="0.2">
      <c r="A908" s="2" t="s">
        <v>366</v>
      </c>
      <c r="B908" t="str">
        <f t="shared" si="36"/>
        <v>_africa</v>
      </c>
      <c r="C908" t="str">
        <f t="shared" si="37"/>
        <v>q113_5_africa</v>
      </c>
    </row>
    <row r="909" spans="1:3" x14ac:dyDescent="0.2">
      <c r="A909" s="2" t="s">
        <v>367</v>
      </c>
      <c r="B909" t="str">
        <f t="shared" si="36"/>
        <v>_africa</v>
      </c>
      <c r="C909" t="str">
        <f t="shared" si="37"/>
        <v>q113_6_africa</v>
      </c>
    </row>
    <row r="910" spans="1:3" x14ac:dyDescent="0.2">
      <c r="A910" s="2" t="s">
        <v>368</v>
      </c>
      <c r="B910" t="str">
        <f t="shared" si="36"/>
        <v>_africa</v>
      </c>
      <c r="C910" t="str">
        <f t="shared" si="37"/>
        <v>q11ROW3_hidden_africa</v>
      </c>
    </row>
    <row r="911" spans="1:3" x14ac:dyDescent="0.2">
      <c r="A911" s="2" t="s">
        <v>369</v>
      </c>
      <c r="B911" t="str">
        <f t="shared" si="36"/>
        <v>_africa</v>
      </c>
      <c r="C911" t="str">
        <f t="shared" si="37"/>
        <v>q114_1_africa</v>
      </c>
    </row>
    <row r="912" spans="1:3" x14ac:dyDescent="0.2">
      <c r="A912" s="2" t="s">
        <v>370</v>
      </c>
      <c r="B912" t="str">
        <f t="shared" si="36"/>
        <v>_africa</v>
      </c>
      <c r="C912" t="str">
        <f t="shared" si="37"/>
        <v>q114_2_africa</v>
      </c>
    </row>
    <row r="913" spans="1:3" x14ac:dyDescent="0.2">
      <c r="A913" s="2" t="s">
        <v>371</v>
      </c>
      <c r="B913" t="str">
        <f t="shared" si="36"/>
        <v>_africa</v>
      </c>
      <c r="C913" t="str">
        <f t="shared" si="37"/>
        <v>q114_3_africa</v>
      </c>
    </row>
    <row r="914" spans="1:3" x14ac:dyDescent="0.2">
      <c r="A914" s="2" t="s">
        <v>372</v>
      </c>
      <c r="B914" t="str">
        <f t="shared" si="36"/>
        <v>_africa</v>
      </c>
      <c r="C914" t="str">
        <f t="shared" si="37"/>
        <v>q114_4_africa</v>
      </c>
    </row>
    <row r="915" spans="1:3" x14ac:dyDescent="0.2">
      <c r="A915" s="2" t="s">
        <v>373</v>
      </c>
      <c r="B915" t="str">
        <f t="shared" si="36"/>
        <v>_africa</v>
      </c>
      <c r="C915" t="str">
        <f t="shared" si="37"/>
        <v>q114_5_africa</v>
      </c>
    </row>
    <row r="916" spans="1:3" x14ac:dyDescent="0.2">
      <c r="A916" s="2" t="s">
        <v>374</v>
      </c>
      <c r="B916" t="str">
        <f t="shared" si="36"/>
        <v>_africa</v>
      </c>
      <c r="C916" t="str">
        <f t="shared" si="37"/>
        <v>q114_6_africa</v>
      </c>
    </row>
    <row r="917" spans="1:3" x14ac:dyDescent="0.2">
      <c r="A917" s="2" t="s">
        <v>375</v>
      </c>
      <c r="B917" t="str">
        <f t="shared" si="36"/>
        <v>_africa</v>
      </c>
      <c r="C917" t="str">
        <f t="shared" si="37"/>
        <v>q11ROW4_hidden_africa</v>
      </c>
    </row>
    <row r="918" spans="1:3" x14ac:dyDescent="0.2">
      <c r="A918" s="2" t="s">
        <v>376</v>
      </c>
      <c r="B918" t="str">
        <f t="shared" si="36"/>
        <v>_africa</v>
      </c>
      <c r="C918" t="str">
        <f t="shared" si="37"/>
        <v>q115_1_africa</v>
      </c>
    </row>
    <row r="919" spans="1:3" x14ac:dyDescent="0.2">
      <c r="A919" s="2" t="s">
        <v>377</v>
      </c>
      <c r="B919" t="str">
        <f t="shared" si="36"/>
        <v>_africa</v>
      </c>
      <c r="C919" t="str">
        <f t="shared" si="37"/>
        <v>q115_2_africa</v>
      </c>
    </row>
    <row r="920" spans="1:3" x14ac:dyDescent="0.2">
      <c r="A920" s="2" t="s">
        <v>378</v>
      </c>
      <c r="B920" t="str">
        <f t="shared" si="36"/>
        <v>_africa</v>
      </c>
      <c r="C920" t="str">
        <f t="shared" si="37"/>
        <v>q115_3_africa</v>
      </c>
    </row>
    <row r="921" spans="1:3" x14ac:dyDescent="0.2">
      <c r="A921" s="2" t="s">
        <v>379</v>
      </c>
      <c r="B921" t="str">
        <f t="shared" si="36"/>
        <v>_africa</v>
      </c>
      <c r="C921" t="str">
        <f t="shared" si="37"/>
        <v>q115_4_africa</v>
      </c>
    </row>
    <row r="922" spans="1:3" x14ac:dyDescent="0.2">
      <c r="A922" s="2" t="s">
        <v>380</v>
      </c>
      <c r="B922" t="str">
        <f t="shared" ref="B922:B931" si="38">B921</f>
        <v>_africa</v>
      </c>
      <c r="C922" t="str">
        <f t="shared" si="37"/>
        <v>q115_5_africa</v>
      </c>
    </row>
    <row r="923" spans="1:3" x14ac:dyDescent="0.2">
      <c r="A923" s="2" t="s">
        <v>381</v>
      </c>
      <c r="B923" t="str">
        <f t="shared" si="38"/>
        <v>_africa</v>
      </c>
      <c r="C923" t="str">
        <f t="shared" si="37"/>
        <v>q115_6_africa</v>
      </c>
    </row>
    <row r="924" spans="1:3" x14ac:dyDescent="0.2">
      <c r="A924" s="2" t="s">
        <v>382</v>
      </c>
      <c r="B924" t="str">
        <f t="shared" si="38"/>
        <v>_africa</v>
      </c>
      <c r="C924" t="str">
        <f t="shared" si="37"/>
        <v>q11ROW5_hidden_africa</v>
      </c>
    </row>
    <row r="925" spans="1:3" x14ac:dyDescent="0.2">
      <c r="A925" s="2" t="s">
        <v>383</v>
      </c>
      <c r="B925" t="str">
        <f t="shared" si="38"/>
        <v>_africa</v>
      </c>
      <c r="C925" t="str">
        <f t="shared" si="37"/>
        <v>q11COL1_hidden_africa</v>
      </c>
    </row>
    <row r="926" spans="1:3" x14ac:dyDescent="0.2">
      <c r="A926" s="2" t="s">
        <v>384</v>
      </c>
      <c r="B926" t="str">
        <f t="shared" si="38"/>
        <v>_africa</v>
      </c>
      <c r="C926" t="str">
        <f t="shared" si="37"/>
        <v>q11COL2_hidden_africa</v>
      </c>
    </row>
    <row r="927" spans="1:3" x14ac:dyDescent="0.2">
      <c r="A927" s="2" t="s">
        <v>385</v>
      </c>
      <c r="B927" t="str">
        <f t="shared" si="38"/>
        <v>_africa</v>
      </c>
      <c r="C927" t="str">
        <f t="shared" si="37"/>
        <v>q11COL3_hidden_africa</v>
      </c>
    </row>
    <row r="928" spans="1:3" x14ac:dyDescent="0.2">
      <c r="A928" s="2" t="s">
        <v>386</v>
      </c>
      <c r="B928" t="str">
        <f t="shared" si="38"/>
        <v>_africa</v>
      </c>
      <c r="C928" t="str">
        <f t="shared" si="37"/>
        <v>q11COL4_hidden_africa</v>
      </c>
    </row>
    <row r="929" spans="1:3" x14ac:dyDescent="0.2">
      <c r="A929" s="2" t="s">
        <v>387</v>
      </c>
      <c r="B929" t="str">
        <f t="shared" si="38"/>
        <v>_africa</v>
      </c>
      <c r="C929" t="str">
        <f t="shared" si="37"/>
        <v>q11COL5_hidden_africa</v>
      </c>
    </row>
    <row r="930" spans="1:3" x14ac:dyDescent="0.2">
      <c r="A930" s="2" t="s">
        <v>388</v>
      </c>
      <c r="B930" t="str">
        <f t="shared" si="38"/>
        <v>_africa</v>
      </c>
      <c r="C930" t="str">
        <f t="shared" si="37"/>
        <v>q11COL6_hidden_africa</v>
      </c>
    </row>
    <row r="931" spans="1:3" x14ac:dyDescent="0.2">
      <c r="A931" s="2" t="s">
        <v>389</v>
      </c>
      <c r="B931" t="str">
        <f t="shared" si="38"/>
        <v>_africa</v>
      </c>
      <c r="C931" t="str">
        <f t="shared" si="37"/>
        <v>q11GRANDTotal_hidden_africa</v>
      </c>
    </row>
  </sheetData>
  <autoFilter ref="A1:A931" xr:uid="{348C5D03-F6E1-45AD-9922-B7A083EB9E1D}"/>
  <pageMargins left="0.7" right="0.7" top="0.75" bottom="0.75" header="0.3" footer="0.3"/>
  <customProperties>
    <customPr name="layoutContexts" r:id="rId1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90ECF-AF64-43A7-84C1-2D03C8E81A37}">
  <dimension ref="A1:A930"/>
  <sheetViews>
    <sheetView topLeftCell="A61" workbookViewId="0">
      <selection sqref="A1:A930"/>
    </sheetView>
  </sheetViews>
  <sheetFormatPr defaultRowHeight="12.7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3</v>
      </c>
    </row>
    <row r="7" spans="1:1" x14ac:dyDescent="0.2">
      <c r="A7" t="s">
        <v>5</v>
      </c>
    </row>
    <row r="8" spans="1:1" x14ac:dyDescent="0.2">
      <c r="A8" t="s">
        <v>3</v>
      </c>
    </row>
    <row r="9" spans="1:1" x14ac:dyDescent="0.2">
      <c r="A9" t="s">
        <v>6</v>
      </c>
    </row>
    <row r="10" spans="1:1" x14ac:dyDescent="0.2">
      <c r="A10" t="s">
        <v>3</v>
      </c>
    </row>
    <row r="11" spans="1:1" x14ac:dyDescent="0.2">
      <c r="A11" t="s">
        <v>7</v>
      </c>
    </row>
    <row r="12" spans="1:1" x14ac:dyDescent="0.2">
      <c r="A12" t="s">
        <v>3</v>
      </c>
    </row>
    <row r="13" spans="1:1" x14ac:dyDescent="0.2">
      <c r="A13" t="s">
        <v>8</v>
      </c>
    </row>
    <row r="14" spans="1:1" x14ac:dyDescent="0.2">
      <c r="A14" t="s">
        <v>3</v>
      </c>
    </row>
    <row r="15" spans="1:1" x14ac:dyDescent="0.2">
      <c r="A15" t="s">
        <v>9</v>
      </c>
    </row>
    <row r="16" spans="1:1" x14ac:dyDescent="0.2">
      <c r="A16" t="s">
        <v>10</v>
      </c>
    </row>
    <row r="17" spans="1:1" x14ac:dyDescent="0.2">
      <c r="A17" t="s">
        <v>11</v>
      </c>
    </row>
    <row r="18" spans="1:1" x14ac:dyDescent="0.2">
      <c r="A18" t="s">
        <v>12</v>
      </c>
    </row>
    <row r="19" spans="1:1" x14ac:dyDescent="0.2">
      <c r="A19" t="s">
        <v>13</v>
      </c>
    </row>
    <row r="20" spans="1:1" x14ac:dyDescent="0.2">
      <c r="A20" t="s">
        <v>14</v>
      </c>
    </row>
    <row r="21" spans="1:1" x14ac:dyDescent="0.2">
      <c r="A21" t="s">
        <v>15</v>
      </c>
    </row>
    <row r="22" spans="1:1" x14ac:dyDescent="0.2">
      <c r="A22" t="s">
        <v>16</v>
      </c>
    </row>
    <row r="23" spans="1:1" x14ac:dyDescent="0.2">
      <c r="A23" t="s">
        <v>17</v>
      </c>
    </row>
    <row r="24" spans="1:1" x14ac:dyDescent="0.2">
      <c r="A24" t="s">
        <v>18</v>
      </c>
    </row>
    <row r="25" spans="1:1" x14ac:dyDescent="0.2">
      <c r="A25" t="s">
        <v>19</v>
      </c>
    </row>
    <row r="26" spans="1:1" x14ac:dyDescent="0.2">
      <c r="A26" t="s">
        <v>20</v>
      </c>
    </row>
    <row r="27" spans="1:1" x14ac:dyDescent="0.2">
      <c r="A27" t="s">
        <v>21</v>
      </c>
    </row>
    <row r="28" spans="1:1" x14ac:dyDescent="0.2">
      <c r="A28" t="s">
        <v>22</v>
      </c>
    </row>
    <row r="29" spans="1:1" x14ac:dyDescent="0.2">
      <c r="A29" t="s">
        <v>23</v>
      </c>
    </row>
    <row r="30" spans="1:1" x14ac:dyDescent="0.2">
      <c r="A30" t="s">
        <v>24</v>
      </c>
    </row>
    <row r="31" spans="1:1" x14ac:dyDescent="0.2">
      <c r="A31" t="s">
        <v>25</v>
      </c>
    </row>
    <row r="32" spans="1:1" x14ac:dyDescent="0.2">
      <c r="A32" t="s">
        <v>26</v>
      </c>
    </row>
    <row r="33" spans="1:1" x14ac:dyDescent="0.2">
      <c r="A33" t="s">
        <v>27</v>
      </c>
    </row>
    <row r="34" spans="1:1" x14ac:dyDescent="0.2">
      <c r="A34" t="s">
        <v>28</v>
      </c>
    </row>
    <row r="35" spans="1:1" x14ac:dyDescent="0.2">
      <c r="A35" t="s">
        <v>29</v>
      </c>
    </row>
    <row r="36" spans="1:1" x14ac:dyDescent="0.2">
      <c r="A36" t="s">
        <v>30</v>
      </c>
    </row>
    <row r="37" spans="1:1" x14ac:dyDescent="0.2">
      <c r="A37" t="s">
        <v>31</v>
      </c>
    </row>
    <row r="38" spans="1:1" x14ac:dyDescent="0.2">
      <c r="A38" t="s">
        <v>32</v>
      </c>
    </row>
    <row r="39" spans="1:1" x14ac:dyDescent="0.2">
      <c r="A39" t="s">
        <v>33</v>
      </c>
    </row>
    <row r="40" spans="1:1" x14ac:dyDescent="0.2">
      <c r="A40" t="s">
        <v>34</v>
      </c>
    </row>
    <row r="41" spans="1:1" x14ac:dyDescent="0.2">
      <c r="A41" t="s">
        <v>35</v>
      </c>
    </row>
    <row r="42" spans="1:1" x14ac:dyDescent="0.2">
      <c r="A42" t="s">
        <v>36</v>
      </c>
    </row>
    <row r="43" spans="1:1" x14ac:dyDescent="0.2">
      <c r="A43" t="s">
        <v>37</v>
      </c>
    </row>
    <row r="44" spans="1:1" x14ac:dyDescent="0.2">
      <c r="A44" t="s">
        <v>38</v>
      </c>
    </row>
    <row r="45" spans="1:1" x14ac:dyDescent="0.2">
      <c r="A45" t="s">
        <v>39</v>
      </c>
    </row>
    <row r="46" spans="1:1" x14ac:dyDescent="0.2">
      <c r="A46" t="s">
        <v>40</v>
      </c>
    </row>
    <row r="47" spans="1:1" x14ac:dyDescent="0.2">
      <c r="A47" t="s">
        <v>41</v>
      </c>
    </row>
    <row r="48" spans="1:1" x14ac:dyDescent="0.2">
      <c r="A48" t="s">
        <v>42</v>
      </c>
    </row>
    <row r="49" spans="1:1" x14ac:dyDescent="0.2">
      <c r="A49" t="s">
        <v>43</v>
      </c>
    </row>
    <row r="50" spans="1:1" x14ac:dyDescent="0.2">
      <c r="A50" t="s">
        <v>44</v>
      </c>
    </row>
    <row r="51" spans="1:1" x14ac:dyDescent="0.2">
      <c r="A51" t="s">
        <v>45</v>
      </c>
    </row>
    <row r="52" spans="1:1" x14ac:dyDescent="0.2">
      <c r="A52" t="s">
        <v>46</v>
      </c>
    </row>
    <row r="53" spans="1:1" x14ac:dyDescent="0.2">
      <c r="A53" t="s">
        <v>47</v>
      </c>
    </row>
    <row r="54" spans="1:1" x14ac:dyDescent="0.2">
      <c r="A54" t="s">
        <v>48</v>
      </c>
    </row>
    <row r="55" spans="1:1" x14ac:dyDescent="0.2">
      <c r="A55" t="s">
        <v>49</v>
      </c>
    </row>
    <row r="56" spans="1:1" x14ac:dyDescent="0.2">
      <c r="A56" t="s">
        <v>50</v>
      </c>
    </row>
    <row r="57" spans="1:1" x14ac:dyDescent="0.2">
      <c r="A57" t="s">
        <v>51</v>
      </c>
    </row>
    <row r="58" spans="1:1" x14ac:dyDescent="0.2">
      <c r="A58" t="s">
        <v>52</v>
      </c>
    </row>
    <row r="59" spans="1:1" x14ac:dyDescent="0.2">
      <c r="A59" t="s">
        <v>53</v>
      </c>
    </row>
    <row r="60" spans="1:1" x14ac:dyDescent="0.2">
      <c r="A60" t="s">
        <v>54</v>
      </c>
    </row>
    <row r="61" spans="1:1" x14ac:dyDescent="0.2">
      <c r="A61" t="s">
        <v>55</v>
      </c>
    </row>
    <row r="62" spans="1:1" x14ac:dyDescent="0.2">
      <c r="A62" t="s">
        <v>56</v>
      </c>
    </row>
    <row r="63" spans="1:1" x14ac:dyDescent="0.2">
      <c r="A63" t="s">
        <v>57</v>
      </c>
    </row>
    <row r="64" spans="1:1" x14ac:dyDescent="0.2">
      <c r="A64" t="s">
        <v>58</v>
      </c>
    </row>
    <row r="65" spans="1:1" x14ac:dyDescent="0.2">
      <c r="A65" t="s">
        <v>59</v>
      </c>
    </row>
    <row r="66" spans="1:1" x14ac:dyDescent="0.2">
      <c r="A66" t="s">
        <v>60</v>
      </c>
    </row>
    <row r="67" spans="1:1" x14ac:dyDescent="0.2">
      <c r="A67" t="s">
        <v>61</v>
      </c>
    </row>
    <row r="68" spans="1:1" x14ac:dyDescent="0.2">
      <c r="A68" t="s">
        <v>62</v>
      </c>
    </row>
    <row r="69" spans="1:1" x14ac:dyDescent="0.2">
      <c r="A69" t="s">
        <v>63</v>
      </c>
    </row>
    <row r="70" spans="1:1" x14ac:dyDescent="0.2">
      <c r="A70" t="s">
        <v>64</v>
      </c>
    </row>
    <row r="71" spans="1:1" x14ac:dyDescent="0.2">
      <c r="A71" t="s">
        <v>65</v>
      </c>
    </row>
    <row r="72" spans="1:1" x14ac:dyDescent="0.2">
      <c r="A72" t="s">
        <v>66</v>
      </c>
    </row>
    <row r="73" spans="1:1" x14ac:dyDescent="0.2">
      <c r="A73" t="s">
        <v>67</v>
      </c>
    </row>
    <row r="74" spans="1:1" x14ac:dyDescent="0.2">
      <c r="A74" t="s">
        <v>68</v>
      </c>
    </row>
    <row r="75" spans="1:1" x14ac:dyDescent="0.2">
      <c r="A75" t="s">
        <v>69</v>
      </c>
    </row>
    <row r="76" spans="1:1" x14ac:dyDescent="0.2">
      <c r="A76" t="s">
        <v>70</v>
      </c>
    </row>
    <row r="77" spans="1:1" x14ac:dyDescent="0.2">
      <c r="A77" t="s">
        <v>71</v>
      </c>
    </row>
    <row r="78" spans="1:1" x14ac:dyDescent="0.2">
      <c r="A78" t="s">
        <v>72</v>
      </c>
    </row>
    <row r="79" spans="1:1" x14ac:dyDescent="0.2">
      <c r="A79" t="s">
        <v>73</v>
      </c>
    </row>
    <row r="80" spans="1:1" x14ac:dyDescent="0.2">
      <c r="A80" t="s">
        <v>74</v>
      </c>
    </row>
    <row r="81" spans="1:1" x14ac:dyDescent="0.2">
      <c r="A81" t="s">
        <v>75</v>
      </c>
    </row>
    <row r="82" spans="1:1" x14ac:dyDescent="0.2">
      <c r="A82" t="s">
        <v>76</v>
      </c>
    </row>
    <row r="83" spans="1:1" x14ac:dyDescent="0.2">
      <c r="A83" t="s">
        <v>77</v>
      </c>
    </row>
    <row r="84" spans="1:1" x14ac:dyDescent="0.2">
      <c r="A84" t="s">
        <v>78</v>
      </c>
    </row>
    <row r="85" spans="1:1" x14ac:dyDescent="0.2">
      <c r="A85" t="s">
        <v>79</v>
      </c>
    </row>
    <row r="86" spans="1:1" x14ac:dyDescent="0.2">
      <c r="A86" t="s">
        <v>80</v>
      </c>
    </row>
    <row r="87" spans="1:1" x14ac:dyDescent="0.2">
      <c r="A87" t="s">
        <v>81</v>
      </c>
    </row>
    <row r="88" spans="1:1" x14ac:dyDescent="0.2">
      <c r="A88" t="s">
        <v>82</v>
      </c>
    </row>
    <row r="89" spans="1:1" x14ac:dyDescent="0.2">
      <c r="A89" t="s">
        <v>83</v>
      </c>
    </row>
    <row r="90" spans="1:1" x14ac:dyDescent="0.2">
      <c r="A90" t="s">
        <v>84</v>
      </c>
    </row>
    <row r="91" spans="1:1" x14ac:dyDescent="0.2">
      <c r="A91" t="s">
        <v>85</v>
      </c>
    </row>
    <row r="92" spans="1:1" x14ac:dyDescent="0.2">
      <c r="A92" t="s">
        <v>86</v>
      </c>
    </row>
    <row r="93" spans="1:1" x14ac:dyDescent="0.2">
      <c r="A93" t="s">
        <v>87</v>
      </c>
    </row>
    <row r="94" spans="1:1" x14ac:dyDescent="0.2">
      <c r="A94" t="s">
        <v>88</v>
      </c>
    </row>
    <row r="95" spans="1:1" x14ac:dyDescent="0.2">
      <c r="A95" t="s">
        <v>89</v>
      </c>
    </row>
    <row r="96" spans="1:1" x14ac:dyDescent="0.2">
      <c r="A96" t="s">
        <v>90</v>
      </c>
    </row>
    <row r="97" spans="1:1" x14ac:dyDescent="0.2">
      <c r="A97" t="s">
        <v>91</v>
      </c>
    </row>
    <row r="98" spans="1:1" x14ac:dyDescent="0.2">
      <c r="A98" t="s">
        <v>92</v>
      </c>
    </row>
    <row r="99" spans="1:1" x14ac:dyDescent="0.2">
      <c r="A99" t="s">
        <v>93</v>
      </c>
    </row>
    <row r="100" spans="1:1" x14ac:dyDescent="0.2">
      <c r="A100" t="s">
        <v>94</v>
      </c>
    </row>
    <row r="101" spans="1:1" x14ac:dyDescent="0.2">
      <c r="A101" t="s">
        <v>95</v>
      </c>
    </row>
    <row r="102" spans="1:1" x14ac:dyDescent="0.2">
      <c r="A102" t="s">
        <v>96</v>
      </c>
    </row>
    <row r="103" spans="1:1" x14ac:dyDescent="0.2">
      <c r="A103" t="s">
        <v>97</v>
      </c>
    </row>
    <row r="104" spans="1:1" x14ac:dyDescent="0.2">
      <c r="A104" t="s">
        <v>98</v>
      </c>
    </row>
    <row r="105" spans="1:1" x14ac:dyDescent="0.2">
      <c r="A105" t="s">
        <v>99</v>
      </c>
    </row>
    <row r="106" spans="1:1" x14ac:dyDescent="0.2">
      <c r="A106" t="s">
        <v>100</v>
      </c>
    </row>
    <row r="107" spans="1:1" x14ac:dyDescent="0.2">
      <c r="A107" t="s">
        <v>101</v>
      </c>
    </row>
    <row r="108" spans="1:1" x14ac:dyDescent="0.2">
      <c r="A108" t="s">
        <v>102</v>
      </c>
    </row>
    <row r="109" spans="1:1" x14ac:dyDescent="0.2">
      <c r="A109" t="s">
        <v>103</v>
      </c>
    </row>
    <row r="110" spans="1:1" x14ac:dyDescent="0.2">
      <c r="A110" t="s">
        <v>104</v>
      </c>
    </row>
    <row r="111" spans="1:1" x14ac:dyDescent="0.2">
      <c r="A111" t="s">
        <v>105</v>
      </c>
    </row>
    <row r="112" spans="1:1" x14ac:dyDescent="0.2">
      <c r="A112" t="s">
        <v>106</v>
      </c>
    </row>
    <row r="113" spans="1:1" x14ac:dyDescent="0.2">
      <c r="A113" t="s">
        <v>107</v>
      </c>
    </row>
    <row r="114" spans="1:1" x14ac:dyDescent="0.2">
      <c r="A114" t="s">
        <v>108</v>
      </c>
    </row>
    <row r="115" spans="1:1" x14ac:dyDescent="0.2">
      <c r="A115" t="s">
        <v>109</v>
      </c>
    </row>
    <row r="116" spans="1:1" x14ac:dyDescent="0.2">
      <c r="A116" t="s">
        <v>110</v>
      </c>
    </row>
    <row r="117" spans="1:1" x14ac:dyDescent="0.2">
      <c r="A117" t="s">
        <v>111</v>
      </c>
    </row>
    <row r="118" spans="1:1" x14ac:dyDescent="0.2">
      <c r="A118" t="s">
        <v>112</v>
      </c>
    </row>
    <row r="119" spans="1:1" x14ac:dyDescent="0.2">
      <c r="A119" t="s">
        <v>113</v>
      </c>
    </row>
    <row r="120" spans="1:1" x14ac:dyDescent="0.2">
      <c r="A120" t="s">
        <v>114</v>
      </c>
    </row>
    <row r="121" spans="1:1" x14ac:dyDescent="0.2">
      <c r="A121" t="s">
        <v>115</v>
      </c>
    </row>
    <row r="122" spans="1:1" x14ac:dyDescent="0.2">
      <c r="A122" t="s">
        <v>116</v>
      </c>
    </row>
    <row r="123" spans="1:1" x14ac:dyDescent="0.2">
      <c r="A123" t="s">
        <v>117</v>
      </c>
    </row>
    <row r="124" spans="1:1" x14ac:dyDescent="0.2">
      <c r="A124" t="s">
        <v>118</v>
      </c>
    </row>
    <row r="125" spans="1:1" x14ac:dyDescent="0.2">
      <c r="A125" t="s">
        <v>119</v>
      </c>
    </row>
    <row r="126" spans="1:1" x14ac:dyDescent="0.2">
      <c r="A126" t="s">
        <v>120</v>
      </c>
    </row>
    <row r="127" spans="1:1" x14ac:dyDescent="0.2">
      <c r="A127" t="s">
        <v>121</v>
      </c>
    </row>
    <row r="128" spans="1:1" x14ac:dyDescent="0.2">
      <c r="A128" t="s">
        <v>122</v>
      </c>
    </row>
    <row r="129" spans="1:1" x14ac:dyDescent="0.2">
      <c r="A129" t="s">
        <v>123</v>
      </c>
    </row>
    <row r="130" spans="1:1" x14ac:dyDescent="0.2">
      <c r="A130" t="s">
        <v>124</v>
      </c>
    </row>
    <row r="131" spans="1:1" x14ac:dyDescent="0.2">
      <c r="A131" t="s">
        <v>125</v>
      </c>
    </row>
    <row r="132" spans="1:1" x14ac:dyDescent="0.2">
      <c r="A132" t="s">
        <v>126</v>
      </c>
    </row>
    <row r="133" spans="1:1" x14ac:dyDescent="0.2">
      <c r="A133" t="s">
        <v>127</v>
      </c>
    </row>
    <row r="134" spans="1:1" x14ac:dyDescent="0.2">
      <c r="A134" t="s">
        <v>128</v>
      </c>
    </row>
    <row r="135" spans="1:1" x14ac:dyDescent="0.2">
      <c r="A135" t="s">
        <v>129</v>
      </c>
    </row>
    <row r="136" spans="1:1" x14ac:dyDescent="0.2">
      <c r="A136" t="s">
        <v>130</v>
      </c>
    </row>
    <row r="137" spans="1:1" x14ac:dyDescent="0.2">
      <c r="A137" t="s">
        <v>131</v>
      </c>
    </row>
    <row r="138" spans="1:1" x14ac:dyDescent="0.2">
      <c r="A138" t="s">
        <v>132</v>
      </c>
    </row>
    <row r="139" spans="1:1" x14ac:dyDescent="0.2">
      <c r="A139" t="s">
        <v>133</v>
      </c>
    </row>
    <row r="140" spans="1:1" x14ac:dyDescent="0.2">
      <c r="A140" t="s">
        <v>134</v>
      </c>
    </row>
    <row r="141" spans="1:1" x14ac:dyDescent="0.2">
      <c r="A141" t="s">
        <v>135</v>
      </c>
    </row>
    <row r="142" spans="1:1" x14ac:dyDescent="0.2">
      <c r="A142" t="s">
        <v>136</v>
      </c>
    </row>
    <row r="143" spans="1:1" x14ac:dyDescent="0.2">
      <c r="A143" t="s">
        <v>137</v>
      </c>
    </row>
    <row r="144" spans="1:1" x14ac:dyDescent="0.2">
      <c r="A144" t="s">
        <v>138</v>
      </c>
    </row>
    <row r="145" spans="1:1" x14ac:dyDescent="0.2">
      <c r="A145" t="s">
        <v>139</v>
      </c>
    </row>
    <row r="146" spans="1:1" x14ac:dyDescent="0.2">
      <c r="A146" t="s">
        <v>140</v>
      </c>
    </row>
    <row r="147" spans="1:1" x14ac:dyDescent="0.2">
      <c r="A147" t="s">
        <v>141</v>
      </c>
    </row>
    <row r="148" spans="1:1" x14ac:dyDescent="0.2">
      <c r="A148" t="s">
        <v>142</v>
      </c>
    </row>
    <row r="149" spans="1:1" x14ac:dyDescent="0.2">
      <c r="A149" t="s">
        <v>143</v>
      </c>
    </row>
    <row r="150" spans="1:1" x14ac:dyDescent="0.2">
      <c r="A150" t="s">
        <v>144</v>
      </c>
    </row>
    <row r="151" spans="1:1" x14ac:dyDescent="0.2">
      <c r="A151" t="s">
        <v>145</v>
      </c>
    </row>
    <row r="152" spans="1:1" x14ac:dyDescent="0.2">
      <c r="A152" t="s">
        <v>146</v>
      </c>
    </row>
    <row r="153" spans="1:1" x14ac:dyDescent="0.2">
      <c r="A153" t="s">
        <v>147</v>
      </c>
    </row>
    <row r="154" spans="1:1" x14ac:dyDescent="0.2">
      <c r="A154" t="s">
        <v>148</v>
      </c>
    </row>
    <row r="155" spans="1:1" x14ac:dyDescent="0.2">
      <c r="A155" t="s">
        <v>149</v>
      </c>
    </row>
    <row r="156" spans="1:1" x14ac:dyDescent="0.2">
      <c r="A156" t="s">
        <v>150</v>
      </c>
    </row>
    <row r="157" spans="1:1" x14ac:dyDescent="0.2">
      <c r="A157" t="s">
        <v>151</v>
      </c>
    </row>
    <row r="158" spans="1:1" x14ac:dyDescent="0.2">
      <c r="A158" t="s">
        <v>152</v>
      </c>
    </row>
    <row r="159" spans="1:1" x14ac:dyDescent="0.2">
      <c r="A159" t="s">
        <v>153</v>
      </c>
    </row>
    <row r="160" spans="1:1" x14ac:dyDescent="0.2">
      <c r="A160" t="s">
        <v>154</v>
      </c>
    </row>
    <row r="161" spans="1:1" x14ac:dyDescent="0.2">
      <c r="A161" t="s">
        <v>155</v>
      </c>
    </row>
    <row r="162" spans="1:1" x14ac:dyDescent="0.2">
      <c r="A162" t="s">
        <v>156</v>
      </c>
    </row>
    <row r="163" spans="1:1" x14ac:dyDescent="0.2">
      <c r="A163" t="s">
        <v>157</v>
      </c>
    </row>
    <row r="164" spans="1:1" x14ac:dyDescent="0.2">
      <c r="A164" t="s">
        <v>158</v>
      </c>
    </row>
    <row r="165" spans="1:1" x14ac:dyDescent="0.2">
      <c r="A165" t="s">
        <v>159</v>
      </c>
    </row>
    <row r="166" spans="1:1" x14ac:dyDescent="0.2">
      <c r="A166" t="s">
        <v>160</v>
      </c>
    </row>
    <row r="167" spans="1:1" x14ac:dyDescent="0.2">
      <c r="A167" t="s">
        <v>161</v>
      </c>
    </row>
    <row r="168" spans="1:1" x14ac:dyDescent="0.2">
      <c r="A168" t="s">
        <v>162</v>
      </c>
    </row>
    <row r="169" spans="1:1" x14ac:dyDescent="0.2">
      <c r="A169" t="s">
        <v>163</v>
      </c>
    </row>
    <row r="170" spans="1:1" x14ac:dyDescent="0.2">
      <c r="A170" t="s">
        <v>164</v>
      </c>
    </row>
    <row r="171" spans="1:1" x14ac:dyDescent="0.2">
      <c r="A171" t="s">
        <v>165</v>
      </c>
    </row>
    <row r="172" spans="1:1" x14ac:dyDescent="0.2">
      <c r="A172" t="s">
        <v>166</v>
      </c>
    </row>
    <row r="173" spans="1:1" x14ac:dyDescent="0.2">
      <c r="A173" t="s">
        <v>167</v>
      </c>
    </row>
    <row r="174" spans="1:1" x14ac:dyDescent="0.2">
      <c r="A174" t="s">
        <v>168</v>
      </c>
    </row>
    <row r="175" spans="1:1" x14ac:dyDescent="0.2">
      <c r="A175" t="s">
        <v>169</v>
      </c>
    </row>
    <row r="176" spans="1:1" x14ac:dyDescent="0.2">
      <c r="A176" t="s">
        <v>170</v>
      </c>
    </row>
    <row r="177" spans="1:1" x14ac:dyDescent="0.2">
      <c r="A177" t="s">
        <v>171</v>
      </c>
    </row>
    <row r="178" spans="1:1" x14ac:dyDescent="0.2">
      <c r="A178" t="s">
        <v>172</v>
      </c>
    </row>
    <row r="179" spans="1:1" x14ac:dyDescent="0.2">
      <c r="A179" t="s">
        <v>173</v>
      </c>
    </row>
    <row r="180" spans="1:1" x14ac:dyDescent="0.2">
      <c r="A180" t="s">
        <v>174</v>
      </c>
    </row>
    <row r="181" spans="1:1" x14ac:dyDescent="0.2">
      <c r="A181" t="s">
        <v>175</v>
      </c>
    </row>
    <row r="182" spans="1:1" x14ac:dyDescent="0.2">
      <c r="A182" t="s">
        <v>176</v>
      </c>
    </row>
    <row r="183" spans="1:1" x14ac:dyDescent="0.2">
      <c r="A183" t="s">
        <v>177</v>
      </c>
    </row>
    <row r="184" spans="1:1" x14ac:dyDescent="0.2">
      <c r="A184" t="s">
        <v>178</v>
      </c>
    </row>
    <row r="185" spans="1:1" x14ac:dyDescent="0.2">
      <c r="A185" t="s">
        <v>179</v>
      </c>
    </row>
    <row r="186" spans="1:1" x14ac:dyDescent="0.2">
      <c r="A186" t="s">
        <v>180</v>
      </c>
    </row>
    <row r="187" spans="1:1" x14ac:dyDescent="0.2">
      <c r="A187" t="s">
        <v>181</v>
      </c>
    </row>
    <row r="188" spans="1:1" x14ac:dyDescent="0.2">
      <c r="A188" t="s">
        <v>182</v>
      </c>
    </row>
    <row r="189" spans="1:1" x14ac:dyDescent="0.2">
      <c r="A189" t="s">
        <v>183</v>
      </c>
    </row>
    <row r="190" spans="1:1" x14ac:dyDescent="0.2">
      <c r="A190" t="s">
        <v>184</v>
      </c>
    </row>
    <row r="191" spans="1:1" x14ac:dyDescent="0.2">
      <c r="A191" t="s">
        <v>185</v>
      </c>
    </row>
    <row r="192" spans="1:1" x14ac:dyDescent="0.2">
      <c r="A192" t="s">
        <v>186</v>
      </c>
    </row>
    <row r="193" spans="1:1" x14ac:dyDescent="0.2">
      <c r="A193" t="s">
        <v>187</v>
      </c>
    </row>
    <row r="194" spans="1:1" x14ac:dyDescent="0.2">
      <c r="A194" t="s">
        <v>188</v>
      </c>
    </row>
    <row r="195" spans="1:1" x14ac:dyDescent="0.2">
      <c r="A195" t="s">
        <v>189</v>
      </c>
    </row>
    <row r="196" spans="1:1" x14ac:dyDescent="0.2">
      <c r="A196" t="s">
        <v>190</v>
      </c>
    </row>
    <row r="197" spans="1:1" x14ac:dyDescent="0.2">
      <c r="A197" t="s">
        <v>191</v>
      </c>
    </row>
    <row r="198" spans="1:1" x14ac:dyDescent="0.2">
      <c r="A198" t="s">
        <v>192</v>
      </c>
    </row>
    <row r="199" spans="1:1" x14ac:dyDescent="0.2">
      <c r="A199" t="s">
        <v>193</v>
      </c>
    </row>
    <row r="200" spans="1:1" x14ac:dyDescent="0.2">
      <c r="A200" t="s">
        <v>194</v>
      </c>
    </row>
    <row r="201" spans="1:1" x14ac:dyDescent="0.2">
      <c r="A201" t="s">
        <v>195</v>
      </c>
    </row>
    <row r="202" spans="1:1" x14ac:dyDescent="0.2">
      <c r="A202" t="s">
        <v>196</v>
      </c>
    </row>
    <row r="203" spans="1:1" x14ac:dyDescent="0.2">
      <c r="A203" t="s">
        <v>197</v>
      </c>
    </row>
    <row r="204" spans="1:1" x14ac:dyDescent="0.2">
      <c r="A204" t="s">
        <v>198</v>
      </c>
    </row>
    <row r="205" spans="1:1" x14ac:dyDescent="0.2">
      <c r="A205" t="s">
        <v>199</v>
      </c>
    </row>
    <row r="206" spans="1:1" x14ac:dyDescent="0.2">
      <c r="A206" t="s">
        <v>200</v>
      </c>
    </row>
    <row r="207" spans="1:1" x14ac:dyDescent="0.2">
      <c r="A207" t="s">
        <v>201</v>
      </c>
    </row>
    <row r="208" spans="1:1" x14ac:dyDescent="0.2">
      <c r="A208" t="s">
        <v>202</v>
      </c>
    </row>
    <row r="209" spans="1:1" x14ac:dyDescent="0.2">
      <c r="A209" t="s">
        <v>203</v>
      </c>
    </row>
    <row r="210" spans="1:1" x14ac:dyDescent="0.2">
      <c r="A210" t="s">
        <v>204</v>
      </c>
    </row>
    <row r="211" spans="1:1" x14ac:dyDescent="0.2">
      <c r="A211" t="s">
        <v>205</v>
      </c>
    </row>
    <row r="212" spans="1:1" x14ac:dyDescent="0.2">
      <c r="A212" t="s">
        <v>206</v>
      </c>
    </row>
    <row r="213" spans="1:1" x14ac:dyDescent="0.2">
      <c r="A213" t="s">
        <v>207</v>
      </c>
    </row>
    <row r="214" spans="1:1" x14ac:dyDescent="0.2">
      <c r="A214" t="s">
        <v>208</v>
      </c>
    </row>
    <row r="215" spans="1:1" x14ac:dyDescent="0.2">
      <c r="A215" t="s">
        <v>209</v>
      </c>
    </row>
    <row r="216" spans="1:1" x14ac:dyDescent="0.2">
      <c r="A216" t="s">
        <v>210</v>
      </c>
    </row>
    <row r="217" spans="1:1" x14ac:dyDescent="0.2">
      <c r="A217" t="s">
        <v>211</v>
      </c>
    </row>
    <row r="218" spans="1:1" x14ac:dyDescent="0.2">
      <c r="A218" t="s">
        <v>212</v>
      </c>
    </row>
    <row r="219" spans="1:1" x14ac:dyDescent="0.2">
      <c r="A219" t="s">
        <v>213</v>
      </c>
    </row>
    <row r="220" spans="1:1" x14ac:dyDescent="0.2">
      <c r="A220" t="s">
        <v>214</v>
      </c>
    </row>
    <row r="221" spans="1:1" x14ac:dyDescent="0.2">
      <c r="A221" t="s">
        <v>215</v>
      </c>
    </row>
    <row r="222" spans="1:1" x14ac:dyDescent="0.2">
      <c r="A222" t="s">
        <v>216</v>
      </c>
    </row>
    <row r="223" spans="1:1" x14ac:dyDescent="0.2">
      <c r="A223" t="s">
        <v>217</v>
      </c>
    </row>
    <row r="224" spans="1:1" x14ac:dyDescent="0.2">
      <c r="A224" t="s">
        <v>218</v>
      </c>
    </row>
    <row r="225" spans="1:1" x14ac:dyDescent="0.2">
      <c r="A225" t="s">
        <v>219</v>
      </c>
    </row>
    <row r="226" spans="1:1" x14ac:dyDescent="0.2">
      <c r="A226" t="s">
        <v>220</v>
      </c>
    </row>
    <row r="227" spans="1:1" x14ac:dyDescent="0.2">
      <c r="A227" t="s">
        <v>221</v>
      </c>
    </row>
    <row r="228" spans="1:1" x14ac:dyDescent="0.2">
      <c r="A228" t="s">
        <v>222</v>
      </c>
    </row>
    <row r="229" spans="1:1" x14ac:dyDescent="0.2">
      <c r="A229" t="s">
        <v>223</v>
      </c>
    </row>
    <row r="230" spans="1:1" x14ac:dyDescent="0.2">
      <c r="A230" t="s">
        <v>224</v>
      </c>
    </row>
    <row r="231" spans="1:1" x14ac:dyDescent="0.2">
      <c r="A231" t="s">
        <v>225</v>
      </c>
    </row>
    <row r="232" spans="1:1" x14ac:dyDescent="0.2">
      <c r="A232" t="s">
        <v>226</v>
      </c>
    </row>
    <row r="233" spans="1:1" x14ac:dyDescent="0.2">
      <c r="A233" t="s">
        <v>227</v>
      </c>
    </row>
    <row r="234" spans="1:1" x14ac:dyDescent="0.2">
      <c r="A234" t="s">
        <v>228</v>
      </c>
    </row>
    <row r="235" spans="1:1" x14ac:dyDescent="0.2">
      <c r="A235" t="s">
        <v>229</v>
      </c>
    </row>
    <row r="236" spans="1:1" x14ac:dyDescent="0.2">
      <c r="A236" t="s">
        <v>230</v>
      </c>
    </row>
    <row r="237" spans="1:1" x14ac:dyDescent="0.2">
      <c r="A237" t="s">
        <v>231</v>
      </c>
    </row>
    <row r="238" spans="1:1" x14ac:dyDescent="0.2">
      <c r="A238" t="s">
        <v>232</v>
      </c>
    </row>
    <row r="239" spans="1:1" x14ac:dyDescent="0.2">
      <c r="A239" t="s">
        <v>233</v>
      </c>
    </row>
    <row r="240" spans="1:1" x14ac:dyDescent="0.2">
      <c r="A240" t="s">
        <v>234</v>
      </c>
    </row>
    <row r="241" spans="1:1" x14ac:dyDescent="0.2">
      <c r="A241" t="s">
        <v>235</v>
      </c>
    </row>
    <row r="242" spans="1:1" x14ac:dyDescent="0.2">
      <c r="A242" t="s">
        <v>236</v>
      </c>
    </row>
    <row r="243" spans="1:1" x14ac:dyDescent="0.2">
      <c r="A243" t="s">
        <v>237</v>
      </c>
    </row>
    <row r="244" spans="1:1" x14ac:dyDescent="0.2">
      <c r="A244" t="s">
        <v>238</v>
      </c>
    </row>
    <row r="245" spans="1:1" x14ac:dyDescent="0.2">
      <c r="A245" t="s">
        <v>239</v>
      </c>
    </row>
    <row r="246" spans="1:1" x14ac:dyDescent="0.2">
      <c r="A246" t="s">
        <v>240</v>
      </c>
    </row>
    <row r="247" spans="1:1" x14ac:dyDescent="0.2">
      <c r="A247" t="s">
        <v>241</v>
      </c>
    </row>
    <row r="248" spans="1:1" x14ac:dyDescent="0.2">
      <c r="A248" t="s">
        <v>242</v>
      </c>
    </row>
    <row r="249" spans="1:1" x14ac:dyDescent="0.2">
      <c r="A249" t="s">
        <v>243</v>
      </c>
    </row>
    <row r="250" spans="1:1" x14ac:dyDescent="0.2">
      <c r="A250" t="s">
        <v>244</v>
      </c>
    </row>
    <row r="251" spans="1:1" x14ac:dyDescent="0.2">
      <c r="A251" t="s">
        <v>245</v>
      </c>
    </row>
    <row r="252" spans="1:1" x14ac:dyDescent="0.2">
      <c r="A252" t="s">
        <v>246</v>
      </c>
    </row>
    <row r="253" spans="1:1" x14ac:dyDescent="0.2">
      <c r="A253" t="s">
        <v>247</v>
      </c>
    </row>
    <row r="254" spans="1:1" x14ac:dyDescent="0.2">
      <c r="A254" t="s">
        <v>248</v>
      </c>
    </row>
    <row r="255" spans="1:1" x14ac:dyDescent="0.2">
      <c r="A255" t="s">
        <v>249</v>
      </c>
    </row>
    <row r="256" spans="1:1" x14ac:dyDescent="0.2">
      <c r="A256" t="s">
        <v>250</v>
      </c>
    </row>
    <row r="257" spans="1:1" x14ac:dyDescent="0.2">
      <c r="A257" t="s">
        <v>251</v>
      </c>
    </row>
    <row r="258" spans="1:1" x14ac:dyDescent="0.2">
      <c r="A258" t="s">
        <v>252</v>
      </c>
    </row>
    <row r="259" spans="1:1" x14ac:dyDescent="0.2">
      <c r="A259" t="s">
        <v>253</v>
      </c>
    </row>
    <row r="260" spans="1:1" x14ac:dyDescent="0.2">
      <c r="A260" t="s">
        <v>254</v>
      </c>
    </row>
    <row r="261" spans="1:1" x14ac:dyDescent="0.2">
      <c r="A261" t="s">
        <v>255</v>
      </c>
    </row>
    <row r="262" spans="1:1" x14ac:dyDescent="0.2">
      <c r="A262" t="s">
        <v>256</v>
      </c>
    </row>
    <row r="263" spans="1:1" x14ac:dyDescent="0.2">
      <c r="A263" t="s">
        <v>257</v>
      </c>
    </row>
    <row r="264" spans="1:1" x14ac:dyDescent="0.2">
      <c r="A264" t="s">
        <v>258</v>
      </c>
    </row>
    <row r="265" spans="1:1" x14ac:dyDescent="0.2">
      <c r="A265" t="s">
        <v>259</v>
      </c>
    </row>
    <row r="266" spans="1:1" x14ac:dyDescent="0.2">
      <c r="A266" t="s">
        <v>260</v>
      </c>
    </row>
    <row r="267" spans="1:1" x14ac:dyDescent="0.2">
      <c r="A267" t="s">
        <v>261</v>
      </c>
    </row>
    <row r="268" spans="1:1" x14ac:dyDescent="0.2">
      <c r="A268" t="s">
        <v>262</v>
      </c>
    </row>
    <row r="269" spans="1:1" x14ac:dyDescent="0.2">
      <c r="A269" t="s">
        <v>263</v>
      </c>
    </row>
    <row r="270" spans="1:1" x14ac:dyDescent="0.2">
      <c r="A270" t="s">
        <v>264</v>
      </c>
    </row>
    <row r="271" spans="1:1" x14ac:dyDescent="0.2">
      <c r="A271" t="s">
        <v>265</v>
      </c>
    </row>
    <row r="272" spans="1:1" x14ac:dyDescent="0.2">
      <c r="A272" t="s">
        <v>266</v>
      </c>
    </row>
    <row r="273" spans="1:1" x14ac:dyDescent="0.2">
      <c r="A273" t="s">
        <v>267</v>
      </c>
    </row>
    <row r="274" spans="1:1" x14ac:dyDescent="0.2">
      <c r="A274" t="s">
        <v>268</v>
      </c>
    </row>
    <row r="275" spans="1:1" x14ac:dyDescent="0.2">
      <c r="A275" t="s">
        <v>269</v>
      </c>
    </row>
    <row r="276" spans="1:1" x14ac:dyDescent="0.2">
      <c r="A276" t="s">
        <v>270</v>
      </c>
    </row>
    <row r="277" spans="1:1" x14ac:dyDescent="0.2">
      <c r="A277" t="s">
        <v>271</v>
      </c>
    </row>
    <row r="278" spans="1:1" x14ac:dyDescent="0.2">
      <c r="A278" t="s">
        <v>272</v>
      </c>
    </row>
    <row r="279" spans="1:1" x14ac:dyDescent="0.2">
      <c r="A279" t="s">
        <v>273</v>
      </c>
    </row>
    <row r="280" spans="1:1" x14ac:dyDescent="0.2">
      <c r="A280" t="s">
        <v>274</v>
      </c>
    </row>
    <row r="281" spans="1:1" x14ac:dyDescent="0.2">
      <c r="A281" t="s">
        <v>275</v>
      </c>
    </row>
    <row r="282" spans="1:1" x14ac:dyDescent="0.2">
      <c r="A282" t="s">
        <v>276</v>
      </c>
    </row>
    <row r="283" spans="1:1" x14ac:dyDescent="0.2">
      <c r="A283" t="s">
        <v>277</v>
      </c>
    </row>
    <row r="284" spans="1:1" x14ac:dyDescent="0.2">
      <c r="A284" t="s">
        <v>278</v>
      </c>
    </row>
    <row r="285" spans="1:1" x14ac:dyDescent="0.2">
      <c r="A285" t="s">
        <v>279</v>
      </c>
    </row>
    <row r="286" spans="1:1" x14ac:dyDescent="0.2">
      <c r="A286" t="s">
        <v>280</v>
      </c>
    </row>
    <row r="287" spans="1:1" x14ac:dyDescent="0.2">
      <c r="A287" t="s">
        <v>281</v>
      </c>
    </row>
    <row r="288" spans="1:1" x14ac:dyDescent="0.2">
      <c r="A288" t="s">
        <v>282</v>
      </c>
    </row>
    <row r="289" spans="1:1" x14ac:dyDescent="0.2">
      <c r="A289" t="s">
        <v>2094</v>
      </c>
    </row>
    <row r="290" spans="1:1" x14ac:dyDescent="0.2">
      <c r="A290" t="s">
        <v>2095</v>
      </c>
    </row>
    <row r="291" spans="1:1" x14ac:dyDescent="0.2">
      <c r="A291" t="s">
        <v>2096</v>
      </c>
    </row>
    <row r="292" spans="1:1" x14ac:dyDescent="0.2">
      <c r="A292" t="s">
        <v>2097</v>
      </c>
    </row>
    <row r="293" spans="1:1" x14ac:dyDescent="0.2">
      <c r="A293" t="s">
        <v>2098</v>
      </c>
    </row>
    <row r="294" spans="1:1" x14ac:dyDescent="0.2">
      <c r="A294" t="s">
        <v>2099</v>
      </c>
    </row>
    <row r="295" spans="1:1" x14ac:dyDescent="0.2">
      <c r="A295" t="s">
        <v>2100</v>
      </c>
    </row>
    <row r="296" spans="1:1" x14ac:dyDescent="0.2">
      <c r="A296" t="s">
        <v>2101</v>
      </c>
    </row>
    <row r="297" spans="1:1" x14ac:dyDescent="0.2">
      <c r="A297" t="s">
        <v>2102</v>
      </c>
    </row>
    <row r="298" spans="1:1" x14ac:dyDescent="0.2">
      <c r="A298" t="s">
        <v>2103</v>
      </c>
    </row>
    <row r="299" spans="1:1" x14ac:dyDescent="0.2">
      <c r="A299" t="s">
        <v>2104</v>
      </c>
    </row>
    <row r="300" spans="1:1" x14ac:dyDescent="0.2">
      <c r="A300" t="s">
        <v>2105</v>
      </c>
    </row>
    <row r="301" spans="1:1" x14ac:dyDescent="0.2">
      <c r="A301" t="s">
        <v>2106</v>
      </c>
    </row>
    <row r="302" spans="1:1" x14ac:dyDescent="0.2">
      <c r="A302" t="s">
        <v>2107</v>
      </c>
    </row>
    <row r="303" spans="1:1" x14ac:dyDescent="0.2">
      <c r="A303" t="s">
        <v>2108</v>
      </c>
    </row>
    <row r="304" spans="1:1" x14ac:dyDescent="0.2">
      <c r="A304" t="s">
        <v>2109</v>
      </c>
    </row>
    <row r="305" spans="1:1" x14ac:dyDescent="0.2">
      <c r="A305" t="s">
        <v>2110</v>
      </c>
    </row>
    <row r="306" spans="1:1" x14ac:dyDescent="0.2">
      <c r="A306" t="s">
        <v>2111</v>
      </c>
    </row>
    <row r="307" spans="1:1" x14ac:dyDescent="0.2">
      <c r="A307" t="s">
        <v>2112</v>
      </c>
    </row>
    <row r="308" spans="1:1" x14ac:dyDescent="0.2">
      <c r="A308" t="s">
        <v>2113</v>
      </c>
    </row>
    <row r="309" spans="1:1" x14ac:dyDescent="0.2">
      <c r="A309" t="s">
        <v>2114</v>
      </c>
    </row>
    <row r="310" spans="1:1" x14ac:dyDescent="0.2">
      <c r="A310" t="s">
        <v>2115</v>
      </c>
    </row>
    <row r="311" spans="1:1" x14ac:dyDescent="0.2">
      <c r="A311" t="s">
        <v>2116</v>
      </c>
    </row>
    <row r="312" spans="1:1" x14ac:dyDescent="0.2">
      <c r="A312" t="s">
        <v>2117</v>
      </c>
    </row>
    <row r="313" spans="1:1" x14ac:dyDescent="0.2">
      <c r="A313" t="s">
        <v>2118</v>
      </c>
    </row>
    <row r="314" spans="1:1" x14ac:dyDescent="0.2">
      <c r="A314" t="s">
        <v>2119</v>
      </c>
    </row>
    <row r="315" spans="1:1" x14ac:dyDescent="0.2">
      <c r="A315" t="s">
        <v>2120</v>
      </c>
    </row>
    <row r="316" spans="1:1" x14ac:dyDescent="0.2">
      <c r="A316" t="s">
        <v>2121</v>
      </c>
    </row>
    <row r="317" spans="1:1" x14ac:dyDescent="0.2">
      <c r="A317" t="s">
        <v>2122</v>
      </c>
    </row>
    <row r="318" spans="1:1" x14ac:dyDescent="0.2">
      <c r="A318" t="s">
        <v>2123</v>
      </c>
    </row>
    <row r="319" spans="1:1" x14ac:dyDescent="0.2">
      <c r="A319" t="s">
        <v>2124</v>
      </c>
    </row>
    <row r="320" spans="1:1" x14ac:dyDescent="0.2">
      <c r="A320" t="s">
        <v>2125</v>
      </c>
    </row>
    <row r="321" spans="1:1" x14ac:dyDescent="0.2">
      <c r="A321" t="s">
        <v>2126</v>
      </c>
    </row>
    <row r="322" spans="1:1" x14ac:dyDescent="0.2">
      <c r="A322" t="s">
        <v>2127</v>
      </c>
    </row>
    <row r="323" spans="1:1" x14ac:dyDescent="0.2">
      <c r="A323" t="s">
        <v>2128</v>
      </c>
    </row>
    <row r="324" spans="1:1" x14ac:dyDescent="0.2">
      <c r="A324" t="s">
        <v>2129</v>
      </c>
    </row>
    <row r="325" spans="1:1" x14ac:dyDescent="0.2">
      <c r="A325" t="s">
        <v>2130</v>
      </c>
    </row>
    <row r="326" spans="1:1" x14ac:dyDescent="0.2">
      <c r="A326" t="s">
        <v>2131</v>
      </c>
    </row>
    <row r="327" spans="1:1" x14ac:dyDescent="0.2">
      <c r="A327" t="s">
        <v>2132</v>
      </c>
    </row>
    <row r="328" spans="1:1" x14ac:dyDescent="0.2">
      <c r="A328" t="s">
        <v>2133</v>
      </c>
    </row>
    <row r="329" spans="1:1" x14ac:dyDescent="0.2">
      <c r="A329" t="s">
        <v>2134</v>
      </c>
    </row>
    <row r="330" spans="1:1" x14ac:dyDescent="0.2">
      <c r="A330" t="s">
        <v>2135</v>
      </c>
    </row>
    <row r="331" spans="1:1" x14ac:dyDescent="0.2">
      <c r="A331" t="s">
        <v>2136</v>
      </c>
    </row>
    <row r="332" spans="1:1" x14ac:dyDescent="0.2">
      <c r="A332" t="s">
        <v>2137</v>
      </c>
    </row>
    <row r="333" spans="1:1" x14ac:dyDescent="0.2">
      <c r="A333" t="s">
        <v>2138</v>
      </c>
    </row>
    <row r="334" spans="1:1" x14ac:dyDescent="0.2">
      <c r="A334" t="s">
        <v>2139</v>
      </c>
    </row>
    <row r="335" spans="1:1" x14ac:dyDescent="0.2">
      <c r="A335" t="s">
        <v>2140</v>
      </c>
    </row>
    <row r="336" spans="1:1" x14ac:dyDescent="0.2">
      <c r="A336" t="s">
        <v>2141</v>
      </c>
    </row>
    <row r="337" spans="1:1" x14ac:dyDescent="0.2">
      <c r="A337" t="s">
        <v>2142</v>
      </c>
    </row>
    <row r="338" spans="1:1" x14ac:dyDescent="0.2">
      <c r="A338" t="s">
        <v>2143</v>
      </c>
    </row>
    <row r="339" spans="1:1" x14ac:dyDescent="0.2">
      <c r="A339" t="s">
        <v>2144</v>
      </c>
    </row>
    <row r="340" spans="1:1" x14ac:dyDescent="0.2">
      <c r="A340" t="s">
        <v>2145</v>
      </c>
    </row>
    <row r="341" spans="1:1" x14ac:dyDescent="0.2">
      <c r="A341" t="s">
        <v>2146</v>
      </c>
    </row>
    <row r="342" spans="1:1" x14ac:dyDescent="0.2">
      <c r="A342" t="s">
        <v>2147</v>
      </c>
    </row>
    <row r="343" spans="1:1" x14ac:dyDescent="0.2">
      <c r="A343" t="s">
        <v>2148</v>
      </c>
    </row>
    <row r="344" spans="1:1" x14ac:dyDescent="0.2">
      <c r="A344" t="s">
        <v>2149</v>
      </c>
    </row>
    <row r="345" spans="1:1" x14ac:dyDescent="0.2">
      <c r="A345" t="s">
        <v>2150</v>
      </c>
    </row>
    <row r="346" spans="1:1" x14ac:dyDescent="0.2">
      <c r="A346" t="s">
        <v>2151</v>
      </c>
    </row>
    <row r="347" spans="1:1" x14ac:dyDescent="0.2">
      <c r="A347" t="s">
        <v>2152</v>
      </c>
    </row>
    <row r="348" spans="1:1" x14ac:dyDescent="0.2">
      <c r="A348" t="s">
        <v>2153</v>
      </c>
    </row>
    <row r="349" spans="1:1" x14ac:dyDescent="0.2">
      <c r="A349" t="s">
        <v>2154</v>
      </c>
    </row>
    <row r="350" spans="1:1" x14ac:dyDescent="0.2">
      <c r="A350" t="s">
        <v>2155</v>
      </c>
    </row>
    <row r="351" spans="1:1" x14ac:dyDescent="0.2">
      <c r="A351" t="s">
        <v>2156</v>
      </c>
    </row>
    <row r="352" spans="1:1" x14ac:dyDescent="0.2">
      <c r="A352" t="s">
        <v>2157</v>
      </c>
    </row>
    <row r="353" spans="1:1" x14ac:dyDescent="0.2">
      <c r="A353" t="s">
        <v>2158</v>
      </c>
    </row>
    <row r="354" spans="1:1" x14ac:dyDescent="0.2">
      <c r="A354" t="s">
        <v>2159</v>
      </c>
    </row>
    <row r="355" spans="1:1" x14ac:dyDescent="0.2">
      <c r="A355" t="s">
        <v>2160</v>
      </c>
    </row>
    <row r="356" spans="1:1" x14ac:dyDescent="0.2">
      <c r="A356" t="s">
        <v>2161</v>
      </c>
    </row>
    <row r="357" spans="1:1" x14ac:dyDescent="0.2">
      <c r="A357" t="s">
        <v>2162</v>
      </c>
    </row>
    <row r="358" spans="1:1" x14ac:dyDescent="0.2">
      <c r="A358" t="s">
        <v>2163</v>
      </c>
    </row>
    <row r="359" spans="1:1" x14ac:dyDescent="0.2">
      <c r="A359" t="s">
        <v>2164</v>
      </c>
    </row>
    <row r="360" spans="1:1" x14ac:dyDescent="0.2">
      <c r="A360" t="s">
        <v>2165</v>
      </c>
    </row>
    <row r="361" spans="1:1" x14ac:dyDescent="0.2">
      <c r="A361" t="s">
        <v>2166</v>
      </c>
    </row>
    <row r="362" spans="1:1" x14ac:dyDescent="0.2">
      <c r="A362" t="s">
        <v>2167</v>
      </c>
    </row>
    <row r="363" spans="1:1" x14ac:dyDescent="0.2">
      <c r="A363" t="s">
        <v>2168</v>
      </c>
    </row>
    <row r="364" spans="1:1" x14ac:dyDescent="0.2">
      <c r="A364" t="s">
        <v>2169</v>
      </c>
    </row>
    <row r="365" spans="1:1" x14ac:dyDescent="0.2">
      <c r="A365" t="s">
        <v>2170</v>
      </c>
    </row>
    <row r="366" spans="1:1" x14ac:dyDescent="0.2">
      <c r="A366" t="s">
        <v>2171</v>
      </c>
    </row>
    <row r="367" spans="1:1" x14ac:dyDescent="0.2">
      <c r="A367" t="s">
        <v>2172</v>
      </c>
    </row>
    <row r="368" spans="1:1" x14ac:dyDescent="0.2">
      <c r="A368" t="s">
        <v>2173</v>
      </c>
    </row>
    <row r="369" spans="1:1" x14ac:dyDescent="0.2">
      <c r="A369" t="s">
        <v>2174</v>
      </c>
    </row>
    <row r="370" spans="1:1" x14ac:dyDescent="0.2">
      <c r="A370" t="s">
        <v>2175</v>
      </c>
    </row>
    <row r="371" spans="1:1" x14ac:dyDescent="0.2">
      <c r="A371" t="s">
        <v>2176</v>
      </c>
    </row>
    <row r="372" spans="1:1" x14ac:dyDescent="0.2">
      <c r="A372" t="s">
        <v>2177</v>
      </c>
    </row>
    <row r="373" spans="1:1" x14ac:dyDescent="0.2">
      <c r="A373" t="s">
        <v>2178</v>
      </c>
    </row>
    <row r="374" spans="1:1" x14ac:dyDescent="0.2">
      <c r="A374" t="s">
        <v>2179</v>
      </c>
    </row>
    <row r="375" spans="1:1" x14ac:dyDescent="0.2">
      <c r="A375" t="s">
        <v>2180</v>
      </c>
    </row>
    <row r="376" spans="1:1" x14ac:dyDescent="0.2">
      <c r="A376" t="s">
        <v>2181</v>
      </c>
    </row>
    <row r="377" spans="1:1" x14ac:dyDescent="0.2">
      <c r="A377" t="s">
        <v>2182</v>
      </c>
    </row>
    <row r="378" spans="1:1" x14ac:dyDescent="0.2">
      <c r="A378" t="s">
        <v>2183</v>
      </c>
    </row>
    <row r="379" spans="1:1" x14ac:dyDescent="0.2">
      <c r="A379" t="s">
        <v>2184</v>
      </c>
    </row>
    <row r="380" spans="1:1" x14ac:dyDescent="0.2">
      <c r="A380" t="s">
        <v>2185</v>
      </c>
    </row>
    <row r="381" spans="1:1" x14ac:dyDescent="0.2">
      <c r="A381" t="s">
        <v>2186</v>
      </c>
    </row>
    <row r="382" spans="1:1" x14ac:dyDescent="0.2">
      <c r="A382" t="s">
        <v>2187</v>
      </c>
    </row>
    <row r="383" spans="1:1" x14ac:dyDescent="0.2">
      <c r="A383" t="s">
        <v>2188</v>
      </c>
    </row>
    <row r="384" spans="1:1" x14ac:dyDescent="0.2">
      <c r="A384" t="s">
        <v>2189</v>
      </c>
    </row>
    <row r="385" spans="1:1" x14ac:dyDescent="0.2">
      <c r="A385" t="s">
        <v>2190</v>
      </c>
    </row>
    <row r="386" spans="1:1" x14ac:dyDescent="0.2">
      <c r="A386" t="s">
        <v>2191</v>
      </c>
    </row>
    <row r="387" spans="1:1" x14ac:dyDescent="0.2">
      <c r="A387" t="s">
        <v>2192</v>
      </c>
    </row>
    <row r="388" spans="1:1" x14ac:dyDescent="0.2">
      <c r="A388" t="s">
        <v>2193</v>
      </c>
    </row>
    <row r="389" spans="1:1" x14ac:dyDescent="0.2">
      <c r="A389" t="s">
        <v>2194</v>
      </c>
    </row>
    <row r="390" spans="1:1" x14ac:dyDescent="0.2">
      <c r="A390" t="s">
        <v>2195</v>
      </c>
    </row>
    <row r="391" spans="1:1" x14ac:dyDescent="0.2">
      <c r="A391" t="s">
        <v>2196</v>
      </c>
    </row>
    <row r="392" spans="1:1" x14ac:dyDescent="0.2">
      <c r="A392" t="s">
        <v>2197</v>
      </c>
    </row>
    <row r="393" spans="1:1" x14ac:dyDescent="0.2">
      <c r="A393" t="s">
        <v>2198</v>
      </c>
    </row>
    <row r="394" spans="1:1" x14ac:dyDescent="0.2">
      <c r="A394" t="s">
        <v>2199</v>
      </c>
    </row>
    <row r="395" spans="1:1" x14ac:dyDescent="0.2">
      <c r="A395" t="s">
        <v>2200</v>
      </c>
    </row>
    <row r="396" spans="1:1" x14ac:dyDescent="0.2">
      <c r="A396" t="s">
        <v>2201</v>
      </c>
    </row>
    <row r="397" spans="1:1" x14ac:dyDescent="0.2">
      <c r="A397" t="s">
        <v>2202</v>
      </c>
    </row>
    <row r="398" spans="1:1" x14ac:dyDescent="0.2">
      <c r="A398" t="s">
        <v>2203</v>
      </c>
    </row>
    <row r="399" spans="1:1" x14ac:dyDescent="0.2">
      <c r="A399" t="s">
        <v>2204</v>
      </c>
    </row>
    <row r="400" spans="1:1" x14ac:dyDescent="0.2">
      <c r="A400" t="s">
        <v>2205</v>
      </c>
    </row>
    <row r="401" spans="1:1" x14ac:dyDescent="0.2">
      <c r="A401" t="s">
        <v>2206</v>
      </c>
    </row>
    <row r="402" spans="1:1" x14ac:dyDescent="0.2">
      <c r="A402" t="s">
        <v>2207</v>
      </c>
    </row>
    <row r="403" spans="1:1" x14ac:dyDescent="0.2">
      <c r="A403" t="s">
        <v>2208</v>
      </c>
    </row>
    <row r="404" spans="1:1" x14ac:dyDescent="0.2">
      <c r="A404" t="s">
        <v>2209</v>
      </c>
    </row>
    <row r="405" spans="1:1" x14ac:dyDescent="0.2">
      <c r="A405" t="s">
        <v>2210</v>
      </c>
    </row>
    <row r="406" spans="1:1" x14ac:dyDescent="0.2">
      <c r="A406" t="s">
        <v>2211</v>
      </c>
    </row>
    <row r="407" spans="1:1" x14ac:dyDescent="0.2">
      <c r="A407" t="s">
        <v>2212</v>
      </c>
    </row>
    <row r="408" spans="1:1" x14ac:dyDescent="0.2">
      <c r="A408" t="s">
        <v>2213</v>
      </c>
    </row>
    <row r="409" spans="1:1" x14ac:dyDescent="0.2">
      <c r="A409" t="s">
        <v>2214</v>
      </c>
    </row>
    <row r="410" spans="1:1" x14ac:dyDescent="0.2">
      <c r="A410" t="s">
        <v>2215</v>
      </c>
    </row>
    <row r="411" spans="1:1" x14ac:dyDescent="0.2">
      <c r="A411" t="s">
        <v>2216</v>
      </c>
    </row>
    <row r="412" spans="1:1" x14ac:dyDescent="0.2">
      <c r="A412" t="s">
        <v>2217</v>
      </c>
    </row>
    <row r="413" spans="1:1" x14ac:dyDescent="0.2">
      <c r="A413" t="s">
        <v>2218</v>
      </c>
    </row>
    <row r="414" spans="1:1" x14ac:dyDescent="0.2">
      <c r="A414" t="s">
        <v>2219</v>
      </c>
    </row>
    <row r="415" spans="1:1" x14ac:dyDescent="0.2">
      <c r="A415" t="s">
        <v>2220</v>
      </c>
    </row>
    <row r="416" spans="1:1" x14ac:dyDescent="0.2">
      <c r="A416" t="s">
        <v>2221</v>
      </c>
    </row>
    <row r="417" spans="1:1" x14ac:dyDescent="0.2">
      <c r="A417" t="s">
        <v>2222</v>
      </c>
    </row>
    <row r="418" spans="1:1" x14ac:dyDescent="0.2">
      <c r="A418" t="s">
        <v>2223</v>
      </c>
    </row>
    <row r="419" spans="1:1" x14ac:dyDescent="0.2">
      <c r="A419" t="s">
        <v>2224</v>
      </c>
    </row>
    <row r="420" spans="1:1" x14ac:dyDescent="0.2">
      <c r="A420" t="s">
        <v>2225</v>
      </c>
    </row>
    <row r="421" spans="1:1" x14ac:dyDescent="0.2">
      <c r="A421" t="s">
        <v>2226</v>
      </c>
    </row>
    <row r="422" spans="1:1" x14ac:dyDescent="0.2">
      <c r="A422" t="s">
        <v>2227</v>
      </c>
    </row>
    <row r="423" spans="1:1" x14ac:dyDescent="0.2">
      <c r="A423" t="s">
        <v>2228</v>
      </c>
    </row>
    <row r="424" spans="1:1" x14ac:dyDescent="0.2">
      <c r="A424" t="s">
        <v>2229</v>
      </c>
    </row>
    <row r="425" spans="1:1" x14ac:dyDescent="0.2">
      <c r="A425" t="s">
        <v>2230</v>
      </c>
    </row>
    <row r="426" spans="1:1" x14ac:dyDescent="0.2">
      <c r="A426" t="s">
        <v>2231</v>
      </c>
    </row>
    <row r="427" spans="1:1" x14ac:dyDescent="0.2">
      <c r="A427" t="s">
        <v>2232</v>
      </c>
    </row>
    <row r="428" spans="1:1" x14ac:dyDescent="0.2">
      <c r="A428" t="s">
        <v>2233</v>
      </c>
    </row>
    <row r="429" spans="1:1" x14ac:dyDescent="0.2">
      <c r="A429" t="s">
        <v>2234</v>
      </c>
    </row>
    <row r="430" spans="1:1" x14ac:dyDescent="0.2">
      <c r="A430" t="s">
        <v>2235</v>
      </c>
    </row>
    <row r="431" spans="1:1" x14ac:dyDescent="0.2">
      <c r="A431" t="s">
        <v>2236</v>
      </c>
    </row>
    <row r="432" spans="1:1" x14ac:dyDescent="0.2">
      <c r="A432" t="s">
        <v>2237</v>
      </c>
    </row>
    <row r="433" spans="1:1" x14ac:dyDescent="0.2">
      <c r="A433" t="s">
        <v>2238</v>
      </c>
    </row>
    <row r="434" spans="1:1" x14ac:dyDescent="0.2">
      <c r="A434" t="s">
        <v>2239</v>
      </c>
    </row>
    <row r="435" spans="1:1" x14ac:dyDescent="0.2">
      <c r="A435" t="s">
        <v>2240</v>
      </c>
    </row>
    <row r="436" spans="1:1" x14ac:dyDescent="0.2">
      <c r="A436" t="s">
        <v>2241</v>
      </c>
    </row>
    <row r="437" spans="1:1" x14ac:dyDescent="0.2">
      <c r="A437" t="s">
        <v>2242</v>
      </c>
    </row>
    <row r="438" spans="1:1" x14ac:dyDescent="0.2">
      <c r="A438" t="s">
        <v>2243</v>
      </c>
    </row>
    <row r="439" spans="1:1" x14ac:dyDescent="0.2">
      <c r="A439" t="s">
        <v>2244</v>
      </c>
    </row>
    <row r="440" spans="1:1" x14ac:dyDescent="0.2">
      <c r="A440" t="s">
        <v>2245</v>
      </c>
    </row>
    <row r="441" spans="1:1" x14ac:dyDescent="0.2">
      <c r="A441" t="s">
        <v>2246</v>
      </c>
    </row>
    <row r="442" spans="1:1" x14ac:dyDescent="0.2">
      <c r="A442" t="s">
        <v>2247</v>
      </c>
    </row>
    <row r="443" spans="1:1" x14ac:dyDescent="0.2">
      <c r="A443" t="s">
        <v>2248</v>
      </c>
    </row>
    <row r="444" spans="1:1" x14ac:dyDescent="0.2">
      <c r="A444" t="s">
        <v>2249</v>
      </c>
    </row>
    <row r="445" spans="1:1" x14ac:dyDescent="0.2">
      <c r="A445" t="s">
        <v>2250</v>
      </c>
    </row>
    <row r="446" spans="1:1" x14ac:dyDescent="0.2">
      <c r="A446" t="s">
        <v>2251</v>
      </c>
    </row>
    <row r="447" spans="1:1" x14ac:dyDescent="0.2">
      <c r="A447" t="s">
        <v>2252</v>
      </c>
    </row>
    <row r="448" spans="1:1" x14ac:dyDescent="0.2">
      <c r="A448" t="s">
        <v>2253</v>
      </c>
    </row>
    <row r="449" spans="1:1" x14ac:dyDescent="0.2">
      <c r="A449" t="s">
        <v>2254</v>
      </c>
    </row>
    <row r="450" spans="1:1" x14ac:dyDescent="0.2">
      <c r="A450" t="s">
        <v>2255</v>
      </c>
    </row>
    <row r="451" spans="1:1" x14ac:dyDescent="0.2">
      <c r="A451" t="s">
        <v>2256</v>
      </c>
    </row>
    <row r="452" spans="1:1" x14ac:dyDescent="0.2">
      <c r="A452" t="s">
        <v>2257</v>
      </c>
    </row>
    <row r="453" spans="1:1" x14ac:dyDescent="0.2">
      <c r="A453" t="s">
        <v>2258</v>
      </c>
    </row>
    <row r="454" spans="1:1" x14ac:dyDescent="0.2">
      <c r="A454" t="s">
        <v>2259</v>
      </c>
    </row>
    <row r="455" spans="1:1" x14ac:dyDescent="0.2">
      <c r="A455" t="s">
        <v>2260</v>
      </c>
    </row>
    <row r="456" spans="1:1" x14ac:dyDescent="0.2">
      <c r="A456" t="s">
        <v>2261</v>
      </c>
    </row>
    <row r="457" spans="1:1" x14ac:dyDescent="0.2">
      <c r="A457" t="s">
        <v>2262</v>
      </c>
    </row>
    <row r="458" spans="1:1" x14ac:dyDescent="0.2">
      <c r="A458" t="s">
        <v>2263</v>
      </c>
    </row>
    <row r="459" spans="1:1" x14ac:dyDescent="0.2">
      <c r="A459" t="s">
        <v>2264</v>
      </c>
    </row>
    <row r="460" spans="1:1" x14ac:dyDescent="0.2">
      <c r="A460" t="s">
        <v>2265</v>
      </c>
    </row>
    <row r="461" spans="1:1" x14ac:dyDescent="0.2">
      <c r="A461" t="s">
        <v>2266</v>
      </c>
    </row>
    <row r="462" spans="1:1" x14ac:dyDescent="0.2">
      <c r="A462" t="s">
        <v>2267</v>
      </c>
    </row>
    <row r="463" spans="1:1" x14ac:dyDescent="0.2">
      <c r="A463" t="s">
        <v>2268</v>
      </c>
    </row>
    <row r="464" spans="1:1" x14ac:dyDescent="0.2">
      <c r="A464" t="s">
        <v>2269</v>
      </c>
    </row>
    <row r="465" spans="1:1" x14ac:dyDescent="0.2">
      <c r="A465" t="s">
        <v>2270</v>
      </c>
    </row>
    <row r="466" spans="1:1" x14ac:dyDescent="0.2">
      <c r="A466" t="s">
        <v>2271</v>
      </c>
    </row>
    <row r="467" spans="1:1" x14ac:dyDescent="0.2">
      <c r="A467" t="s">
        <v>2272</v>
      </c>
    </row>
    <row r="468" spans="1:1" x14ac:dyDescent="0.2">
      <c r="A468" t="s">
        <v>2273</v>
      </c>
    </row>
    <row r="469" spans="1:1" x14ac:dyDescent="0.2">
      <c r="A469" t="s">
        <v>2274</v>
      </c>
    </row>
    <row r="470" spans="1:1" x14ac:dyDescent="0.2">
      <c r="A470" t="s">
        <v>2275</v>
      </c>
    </row>
    <row r="471" spans="1:1" x14ac:dyDescent="0.2">
      <c r="A471" t="s">
        <v>2276</v>
      </c>
    </row>
    <row r="472" spans="1:1" x14ac:dyDescent="0.2">
      <c r="A472" t="s">
        <v>2277</v>
      </c>
    </row>
    <row r="473" spans="1:1" x14ac:dyDescent="0.2">
      <c r="A473" t="s">
        <v>2278</v>
      </c>
    </row>
    <row r="474" spans="1:1" x14ac:dyDescent="0.2">
      <c r="A474" t="s">
        <v>2279</v>
      </c>
    </row>
    <row r="475" spans="1:1" x14ac:dyDescent="0.2">
      <c r="A475" t="s">
        <v>2280</v>
      </c>
    </row>
    <row r="476" spans="1:1" x14ac:dyDescent="0.2">
      <c r="A476" t="s">
        <v>2281</v>
      </c>
    </row>
    <row r="477" spans="1:1" x14ac:dyDescent="0.2">
      <c r="A477" t="s">
        <v>2282</v>
      </c>
    </row>
    <row r="478" spans="1:1" x14ac:dyDescent="0.2">
      <c r="A478" t="s">
        <v>2283</v>
      </c>
    </row>
    <row r="479" spans="1:1" x14ac:dyDescent="0.2">
      <c r="A479" t="s">
        <v>2284</v>
      </c>
    </row>
    <row r="480" spans="1:1" x14ac:dyDescent="0.2">
      <c r="A480" t="s">
        <v>2285</v>
      </c>
    </row>
    <row r="481" spans="1:1" x14ac:dyDescent="0.2">
      <c r="A481" t="s">
        <v>2286</v>
      </c>
    </row>
    <row r="482" spans="1:1" x14ac:dyDescent="0.2">
      <c r="A482" t="s">
        <v>2287</v>
      </c>
    </row>
    <row r="483" spans="1:1" x14ac:dyDescent="0.2">
      <c r="A483" t="s">
        <v>2288</v>
      </c>
    </row>
    <row r="484" spans="1:1" x14ac:dyDescent="0.2">
      <c r="A484" t="s">
        <v>2289</v>
      </c>
    </row>
    <row r="485" spans="1:1" x14ac:dyDescent="0.2">
      <c r="A485" t="s">
        <v>2290</v>
      </c>
    </row>
    <row r="486" spans="1:1" x14ac:dyDescent="0.2">
      <c r="A486" t="s">
        <v>2291</v>
      </c>
    </row>
    <row r="487" spans="1:1" x14ac:dyDescent="0.2">
      <c r="A487" t="s">
        <v>2292</v>
      </c>
    </row>
    <row r="488" spans="1:1" x14ac:dyDescent="0.2">
      <c r="A488" t="s">
        <v>2293</v>
      </c>
    </row>
    <row r="489" spans="1:1" x14ac:dyDescent="0.2">
      <c r="A489" t="s">
        <v>2294</v>
      </c>
    </row>
    <row r="490" spans="1:1" x14ac:dyDescent="0.2">
      <c r="A490" t="s">
        <v>2295</v>
      </c>
    </row>
    <row r="491" spans="1:1" x14ac:dyDescent="0.2">
      <c r="A491" t="s">
        <v>2296</v>
      </c>
    </row>
    <row r="492" spans="1:1" x14ac:dyDescent="0.2">
      <c r="A492" t="s">
        <v>2297</v>
      </c>
    </row>
    <row r="493" spans="1:1" x14ac:dyDescent="0.2">
      <c r="A493" t="s">
        <v>2298</v>
      </c>
    </row>
    <row r="494" spans="1:1" x14ac:dyDescent="0.2">
      <c r="A494" t="s">
        <v>2299</v>
      </c>
    </row>
    <row r="495" spans="1:1" x14ac:dyDescent="0.2">
      <c r="A495" t="s">
        <v>2300</v>
      </c>
    </row>
    <row r="496" spans="1:1" x14ac:dyDescent="0.2">
      <c r="A496" t="s">
        <v>2301</v>
      </c>
    </row>
    <row r="497" spans="1:1" x14ac:dyDescent="0.2">
      <c r="A497" t="s">
        <v>2302</v>
      </c>
    </row>
    <row r="498" spans="1:1" x14ac:dyDescent="0.2">
      <c r="A498" t="s">
        <v>2303</v>
      </c>
    </row>
    <row r="499" spans="1:1" x14ac:dyDescent="0.2">
      <c r="A499" t="s">
        <v>2304</v>
      </c>
    </row>
    <row r="500" spans="1:1" x14ac:dyDescent="0.2">
      <c r="A500" t="s">
        <v>2305</v>
      </c>
    </row>
    <row r="501" spans="1:1" x14ac:dyDescent="0.2">
      <c r="A501" t="s">
        <v>2306</v>
      </c>
    </row>
    <row r="502" spans="1:1" x14ac:dyDescent="0.2">
      <c r="A502" t="s">
        <v>2307</v>
      </c>
    </row>
    <row r="503" spans="1:1" x14ac:dyDescent="0.2">
      <c r="A503" t="s">
        <v>2308</v>
      </c>
    </row>
    <row r="504" spans="1:1" x14ac:dyDescent="0.2">
      <c r="A504" t="s">
        <v>2309</v>
      </c>
    </row>
    <row r="505" spans="1:1" x14ac:dyDescent="0.2">
      <c r="A505" t="s">
        <v>2310</v>
      </c>
    </row>
    <row r="506" spans="1:1" x14ac:dyDescent="0.2">
      <c r="A506" t="s">
        <v>2311</v>
      </c>
    </row>
    <row r="507" spans="1:1" x14ac:dyDescent="0.2">
      <c r="A507" t="s">
        <v>2312</v>
      </c>
    </row>
    <row r="508" spans="1:1" x14ac:dyDescent="0.2">
      <c r="A508" t="s">
        <v>2313</v>
      </c>
    </row>
    <row r="509" spans="1:1" x14ac:dyDescent="0.2">
      <c r="A509" t="s">
        <v>2314</v>
      </c>
    </row>
    <row r="510" spans="1:1" x14ac:dyDescent="0.2">
      <c r="A510" t="s">
        <v>2315</v>
      </c>
    </row>
    <row r="511" spans="1:1" x14ac:dyDescent="0.2">
      <c r="A511" t="s">
        <v>2316</v>
      </c>
    </row>
    <row r="512" spans="1:1" x14ac:dyDescent="0.2">
      <c r="A512" t="s">
        <v>2317</v>
      </c>
    </row>
    <row r="513" spans="1:1" x14ac:dyDescent="0.2">
      <c r="A513" t="s">
        <v>2318</v>
      </c>
    </row>
    <row r="514" spans="1:1" x14ac:dyDescent="0.2">
      <c r="A514" t="s">
        <v>2319</v>
      </c>
    </row>
    <row r="515" spans="1:1" x14ac:dyDescent="0.2">
      <c r="A515" t="s">
        <v>2320</v>
      </c>
    </row>
    <row r="516" spans="1:1" x14ac:dyDescent="0.2">
      <c r="A516" t="s">
        <v>2321</v>
      </c>
    </row>
    <row r="517" spans="1:1" x14ac:dyDescent="0.2">
      <c r="A517" t="s">
        <v>2322</v>
      </c>
    </row>
    <row r="518" spans="1:1" x14ac:dyDescent="0.2">
      <c r="A518" t="s">
        <v>2323</v>
      </c>
    </row>
    <row r="519" spans="1:1" x14ac:dyDescent="0.2">
      <c r="A519" t="s">
        <v>2324</v>
      </c>
    </row>
    <row r="520" spans="1:1" x14ac:dyDescent="0.2">
      <c r="A520" t="s">
        <v>2325</v>
      </c>
    </row>
    <row r="521" spans="1:1" x14ac:dyDescent="0.2">
      <c r="A521" t="s">
        <v>2326</v>
      </c>
    </row>
    <row r="522" spans="1:1" x14ac:dyDescent="0.2">
      <c r="A522" t="s">
        <v>2327</v>
      </c>
    </row>
    <row r="523" spans="1:1" x14ac:dyDescent="0.2">
      <c r="A523" t="s">
        <v>2328</v>
      </c>
    </row>
    <row r="524" spans="1:1" x14ac:dyDescent="0.2">
      <c r="A524" t="s">
        <v>2329</v>
      </c>
    </row>
    <row r="525" spans="1:1" x14ac:dyDescent="0.2">
      <c r="A525" t="s">
        <v>2330</v>
      </c>
    </row>
    <row r="526" spans="1:1" x14ac:dyDescent="0.2">
      <c r="A526" t="s">
        <v>2331</v>
      </c>
    </row>
    <row r="527" spans="1:1" x14ac:dyDescent="0.2">
      <c r="A527" t="s">
        <v>2332</v>
      </c>
    </row>
    <row r="528" spans="1:1" x14ac:dyDescent="0.2">
      <c r="A528" t="s">
        <v>2333</v>
      </c>
    </row>
    <row r="529" spans="1:1" x14ac:dyDescent="0.2">
      <c r="A529" t="s">
        <v>2334</v>
      </c>
    </row>
    <row r="530" spans="1:1" x14ac:dyDescent="0.2">
      <c r="A530" t="s">
        <v>2335</v>
      </c>
    </row>
    <row r="531" spans="1:1" x14ac:dyDescent="0.2">
      <c r="A531" t="s">
        <v>2336</v>
      </c>
    </row>
    <row r="532" spans="1:1" x14ac:dyDescent="0.2">
      <c r="A532" t="s">
        <v>2337</v>
      </c>
    </row>
    <row r="533" spans="1:1" x14ac:dyDescent="0.2">
      <c r="A533" t="s">
        <v>2338</v>
      </c>
    </row>
    <row r="534" spans="1:1" x14ac:dyDescent="0.2">
      <c r="A534" t="s">
        <v>2339</v>
      </c>
    </row>
    <row r="535" spans="1:1" x14ac:dyDescent="0.2">
      <c r="A535" t="s">
        <v>2340</v>
      </c>
    </row>
    <row r="536" spans="1:1" x14ac:dyDescent="0.2">
      <c r="A536" t="s">
        <v>2341</v>
      </c>
    </row>
    <row r="537" spans="1:1" x14ac:dyDescent="0.2">
      <c r="A537" t="s">
        <v>2342</v>
      </c>
    </row>
    <row r="538" spans="1:1" x14ac:dyDescent="0.2">
      <c r="A538" t="s">
        <v>2343</v>
      </c>
    </row>
    <row r="539" spans="1:1" x14ac:dyDescent="0.2">
      <c r="A539" t="s">
        <v>2344</v>
      </c>
    </row>
    <row r="540" spans="1:1" x14ac:dyDescent="0.2">
      <c r="A540" t="s">
        <v>2345</v>
      </c>
    </row>
    <row r="541" spans="1:1" x14ac:dyDescent="0.2">
      <c r="A541" t="s">
        <v>2346</v>
      </c>
    </row>
    <row r="542" spans="1:1" x14ac:dyDescent="0.2">
      <c r="A542" t="s">
        <v>2347</v>
      </c>
    </row>
    <row r="543" spans="1:1" x14ac:dyDescent="0.2">
      <c r="A543" t="s">
        <v>2348</v>
      </c>
    </row>
    <row r="544" spans="1:1" x14ac:dyDescent="0.2">
      <c r="A544" t="s">
        <v>2349</v>
      </c>
    </row>
    <row r="545" spans="1:1" x14ac:dyDescent="0.2">
      <c r="A545" t="s">
        <v>2350</v>
      </c>
    </row>
    <row r="546" spans="1:1" x14ac:dyDescent="0.2">
      <c r="A546" t="s">
        <v>2351</v>
      </c>
    </row>
    <row r="547" spans="1:1" x14ac:dyDescent="0.2">
      <c r="A547" t="s">
        <v>2352</v>
      </c>
    </row>
    <row r="548" spans="1:1" x14ac:dyDescent="0.2">
      <c r="A548" t="s">
        <v>2353</v>
      </c>
    </row>
    <row r="549" spans="1:1" x14ac:dyDescent="0.2">
      <c r="A549" t="s">
        <v>2354</v>
      </c>
    </row>
    <row r="550" spans="1:1" x14ac:dyDescent="0.2">
      <c r="A550" t="s">
        <v>2355</v>
      </c>
    </row>
    <row r="551" spans="1:1" x14ac:dyDescent="0.2">
      <c r="A551" t="s">
        <v>2356</v>
      </c>
    </row>
    <row r="552" spans="1:1" x14ac:dyDescent="0.2">
      <c r="A552" t="s">
        <v>2357</v>
      </c>
    </row>
    <row r="553" spans="1:1" x14ac:dyDescent="0.2">
      <c r="A553" t="s">
        <v>2358</v>
      </c>
    </row>
    <row r="554" spans="1:1" x14ac:dyDescent="0.2">
      <c r="A554" t="s">
        <v>2359</v>
      </c>
    </row>
    <row r="555" spans="1:1" x14ac:dyDescent="0.2">
      <c r="A555" t="s">
        <v>2360</v>
      </c>
    </row>
    <row r="556" spans="1:1" x14ac:dyDescent="0.2">
      <c r="A556" t="s">
        <v>2361</v>
      </c>
    </row>
    <row r="557" spans="1:1" x14ac:dyDescent="0.2">
      <c r="A557" t="s">
        <v>2362</v>
      </c>
    </row>
    <row r="558" spans="1:1" x14ac:dyDescent="0.2">
      <c r="A558" t="s">
        <v>2363</v>
      </c>
    </row>
    <row r="559" spans="1:1" x14ac:dyDescent="0.2">
      <c r="A559" t="s">
        <v>2364</v>
      </c>
    </row>
    <row r="560" spans="1:1" x14ac:dyDescent="0.2">
      <c r="A560" t="s">
        <v>2365</v>
      </c>
    </row>
    <row r="561" spans="1:1" x14ac:dyDescent="0.2">
      <c r="A561" t="s">
        <v>2366</v>
      </c>
    </row>
    <row r="562" spans="1:1" x14ac:dyDescent="0.2">
      <c r="A562" t="s">
        <v>2367</v>
      </c>
    </row>
    <row r="563" spans="1:1" x14ac:dyDescent="0.2">
      <c r="A563" t="s">
        <v>2368</v>
      </c>
    </row>
    <row r="564" spans="1:1" x14ac:dyDescent="0.2">
      <c r="A564" t="s">
        <v>2369</v>
      </c>
    </row>
    <row r="565" spans="1:1" x14ac:dyDescent="0.2">
      <c r="A565" t="s">
        <v>2370</v>
      </c>
    </row>
    <row r="566" spans="1:1" x14ac:dyDescent="0.2">
      <c r="A566" t="s">
        <v>2371</v>
      </c>
    </row>
    <row r="567" spans="1:1" x14ac:dyDescent="0.2">
      <c r="A567" t="s">
        <v>2372</v>
      </c>
    </row>
    <row r="568" spans="1:1" x14ac:dyDescent="0.2">
      <c r="A568" t="s">
        <v>2373</v>
      </c>
    </row>
    <row r="569" spans="1:1" x14ac:dyDescent="0.2">
      <c r="A569" t="s">
        <v>2374</v>
      </c>
    </row>
    <row r="570" spans="1:1" x14ac:dyDescent="0.2">
      <c r="A570" t="s">
        <v>2375</v>
      </c>
    </row>
    <row r="571" spans="1:1" x14ac:dyDescent="0.2">
      <c r="A571" t="s">
        <v>2376</v>
      </c>
    </row>
    <row r="572" spans="1:1" x14ac:dyDescent="0.2">
      <c r="A572" t="s">
        <v>2377</v>
      </c>
    </row>
    <row r="573" spans="1:1" x14ac:dyDescent="0.2">
      <c r="A573" t="s">
        <v>2378</v>
      </c>
    </row>
    <row r="574" spans="1:1" x14ac:dyDescent="0.2">
      <c r="A574" t="s">
        <v>2379</v>
      </c>
    </row>
    <row r="575" spans="1:1" x14ac:dyDescent="0.2">
      <c r="A575" t="s">
        <v>2380</v>
      </c>
    </row>
    <row r="576" spans="1:1" x14ac:dyDescent="0.2">
      <c r="A576" t="s">
        <v>2381</v>
      </c>
    </row>
    <row r="577" spans="1:1" x14ac:dyDescent="0.2">
      <c r="A577" t="s">
        <v>2382</v>
      </c>
    </row>
    <row r="578" spans="1:1" x14ac:dyDescent="0.2">
      <c r="A578" t="s">
        <v>2383</v>
      </c>
    </row>
    <row r="579" spans="1:1" x14ac:dyDescent="0.2">
      <c r="A579" t="s">
        <v>2384</v>
      </c>
    </row>
    <row r="580" spans="1:1" x14ac:dyDescent="0.2">
      <c r="A580" t="s">
        <v>2385</v>
      </c>
    </row>
    <row r="581" spans="1:1" x14ac:dyDescent="0.2">
      <c r="A581" t="s">
        <v>2386</v>
      </c>
    </row>
    <row r="582" spans="1:1" x14ac:dyDescent="0.2">
      <c r="A582" t="s">
        <v>2387</v>
      </c>
    </row>
    <row r="583" spans="1:1" x14ac:dyDescent="0.2">
      <c r="A583" t="s">
        <v>2388</v>
      </c>
    </row>
    <row r="584" spans="1:1" x14ac:dyDescent="0.2">
      <c r="A584" t="s">
        <v>2389</v>
      </c>
    </row>
    <row r="585" spans="1:1" x14ac:dyDescent="0.2">
      <c r="A585" t="s">
        <v>2390</v>
      </c>
    </row>
    <row r="586" spans="1:1" x14ac:dyDescent="0.2">
      <c r="A586" t="s">
        <v>2391</v>
      </c>
    </row>
    <row r="587" spans="1:1" x14ac:dyDescent="0.2">
      <c r="A587" t="s">
        <v>2392</v>
      </c>
    </row>
    <row r="588" spans="1:1" x14ac:dyDescent="0.2">
      <c r="A588" t="s">
        <v>2393</v>
      </c>
    </row>
    <row r="589" spans="1:1" x14ac:dyDescent="0.2">
      <c r="A589" t="s">
        <v>2394</v>
      </c>
    </row>
    <row r="590" spans="1:1" x14ac:dyDescent="0.2">
      <c r="A590" t="s">
        <v>2395</v>
      </c>
    </row>
    <row r="591" spans="1:1" x14ac:dyDescent="0.2">
      <c r="A591" t="s">
        <v>2396</v>
      </c>
    </row>
    <row r="592" spans="1:1" x14ac:dyDescent="0.2">
      <c r="A592" t="s">
        <v>2397</v>
      </c>
    </row>
    <row r="593" spans="1:1" x14ac:dyDescent="0.2">
      <c r="A593" t="s">
        <v>2398</v>
      </c>
    </row>
    <row r="594" spans="1:1" x14ac:dyDescent="0.2">
      <c r="A594" t="s">
        <v>2399</v>
      </c>
    </row>
    <row r="595" spans="1:1" x14ac:dyDescent="0.2">
      <c r="A595" t="s">
        <v>2400</v>
      </c>
    </row>
    <row r="596" spans="1:1" x14ac:dyDescent="0.2">
      <c r="A596" t="s">
        <v>2401</v>
      </c>
    </row>
    <row r="597" spans="1:1" x14ac:dyDescent="0.2">
      <c r="A597" t="s">
        <v>2402</v>
      </c>
    </row>
    <row r="598" spans="1:1" x14ac:dyDescent="0.2">
      <c r="A598" t="s">
        <v>2403</v>
      </c>
    </row>
    <row r="599" spans="1:1" x14ac:dyDescent="0.2">
      <c r="A599" t="s">
        <v>2404</v>
      </c>
    </row>
    <row r="600" spans="1:1" x14ac:dyDescent="0.2">
      <c r="A600" t="s">
        <v>2405</v>
      </c>
    </row>
    <row r="601" spans="1:1" x14ac:dyDescent="0.2">
      <c r="A601" t="s">
        <v>2406</v>
      </c>
    </row>
    <row r="602" spans="1:1" x14ac:dyDescent="0.2">
      <c r="A602" t="s">
        <v>2407</v>
      </c>
    </row>
    <row r="603" spans="1:1" x14ac:dyDescent="0.2">
      <c r="A603" t="s">
        <v>2408</v>
      </c>
    </row>
    <row r="604" spans="1:1" x14ac:dyDescent="0.2">
      <c r="A604" t="s">
        <v>2409</v>
      </c>
    </row>
    <row r="605" spans="1:1" x14ac:dyDescent="0.2">
      <c r="A605" t="s">
        <v>2410</v>
      </c>
    </row>
    <row r="606" spans="1:1" x14ac:dyDescent="0.2">
      <c r="A606" t="s">
        <v>2411</v>
      </c>
    </row>
    <row r="607" spans="1:1" x14ac:dyDescent="0.2">
      <c r="A607" t="s">
        <v>2412</v>
      </c>
    </row>
    <row r="608" spans="1:1" x14ac:dyDescent="0.2">
      <c r="A608" t="s">
        <v>2413</v>
      </c>
    </row>
    <row r="609" spans="1:1" x14ac:dyDescent="0.2">
      <c r="A609" t="s">
        <v>2414</v>
      </c>
    </row>
    <row r="610" spans="1:1" x14ac:dyDescent="0.2">
      <c r="A610" t="s">
        <v>2415</v>
      </c>
    </row>
    <row r="611" spans="1:1" x14ac:dyDescent="0.2">
      <c r="A611" t="s">
        <v>2416</v>
      </c>
    </row>
    <row r="612" spans="1:1" x14ac:dyDescent="0.2">
      <c r="A612" t="s">
        <v>2417</v>
      </c>
    </row>
    <row r="613" spans="1:1" x14ac:dyDescent="0.2">
      <c r="A613" t="s">
        <v>2418</v>
      </c>
    </row>
    <row r="614" spans="1:1" x14ac:dyDescent="0.2">
      <c r="A614" t="s">
        <v>2419</v>
      </c>
    </row>
    <row r="615" spans="1:1" x14ac:dyDescent="0.2">
      <c r="A615" t="s">
        <v>2420</v>
      </c>
    </row>
    <row r="616" spans="1:1" x14ac:dyDescent="0.2">
      <c r="A616" t="s">
        <v>2421</v>
      </c>
    </row>
    <row r="617" spans="1:1" x14ac:dyDescent="0.2">
      <c r="A617" t="s">
        <v>2422</v>
      </c>
    </row>
    <row r="618" spans="1:1" x14ac:dyDescent="0.2">
      <c r="A618" t="s">
        <v>2423</v>
      </c>
    </row>
    <row r="619" spans="1:1" x14ac:dyDescent="0.2">
      <c r="A619" t="s">
        <v>2424</v>
      </c>
    </row>
    <row r="620" spans="1:1" x14ac:dyDescent="0.2">
      <c r="A620" t="s">
        <v>2425</v>
      </c>
    </row>
    <row r="621" spans="1:1" x14ac:dyDescent="0.2">
      <c r="A621" t="s">
        <v>2426</v>
      </c>
    </row>
    <row r="622" spans="1:1" x14ac:dyDescent="0.2">
      <c r="A622" t="s">
        <v>2427</v>
      </c>
    </row>
    <row r="623" spans="1:1" x14ac:dyDescent="0.2">
      <c r="A623" t="s">
        <v>2428</v>
      </c>
    </row>
    <row r="624" spans="1:1" x14ac:dyDescent="0.2">
      <c r="A624" t="s">
        <v>2429</v>
      </c>
    </row>
    <row r="625" spans="1:1" x14ac:dyDescent="0.2">
      <c r="A625" t="s">
        <v>2430</v>
      </c>
    </row>
    <row r="626" spans="1:1" x14ac:dyDescent="0.2">
      <c r="A626" t="s">
        <v>2431</v>
      </c>
    </row>
    <row r="627" spans="1:1" x14ac:dyDescent="0.2">
      <c r="A627" t="s">
        <v>2432</v>
      </c>
    </row>
    <row r="628" spans="1:1" x14ac:dyDescent="0.2">
      <c r="A628" t="s">
        <v>2433</v>
      </c>
    </row>
    <row r="629" spans="1:1" x14ac:dyDescent="0.2">
      <c r="A629" t="s">
        <v>2434</v>
      </c>
    </row>
    <row r="630" spans="1:1" x14ac:dyDescent="0.2">
      <c r="A630" t="s">
        <v>2435</v>
      </c>
    </row>
    <row r="631" spans="1:1" x14ac:dyDescent="0.2">
      <c r="A631" t="s">
        <v>2436</v>
      </c>
    </row>
    <row r="632" spans="1:1" x14ac:dyDescent="0.2">
      <c r="A632" t="s">
        <v>2437</v>
      </c>
    </row>
    <row r="633" spans="1:1" x14ac:dyDescent="0.2">
      <c r="A633" t="s">
        <v>2438</v>
      </c>
    </row>
    <row r="634" spans="1:1" x14ac:dyDescent="0.2">
      <c r="A634" t="s">
        <v>2439</v>
      </c>
    </row>
    <row r="635" spans="1:1" x14ac:dyDescent="0.2">
      <c r="A635" t="s">
        <v>2440</v>
      </c>
    </row>
    <row r="636" spans="1:1" x14ac:dyDescent="0.2">
      <c r="A636" t="s">
        <v>2441</v>
      </c>
    </row>
    <row r="637" spans="1:1" x14ac:dyDescent="0.2">
      <c r="A637" t="s">
        <v>2442</v>
      </c>
    </row>
    <row r="638" spans="1:1" x14ac:dyDescent="0.2">
      <c r="A638" t="s">
        <v>2443</v>
      </c>
    </row>
    <row r="639" spans="1:1" x14ac:dyDescent="0.2">
      <c r="A639" t="s">
        <v>2444</v>
      </c>
    </row>
    <row r="640" spans="1:1" x14ac:dyDescent="0.2">
      <c r="A640" t="s">
        <v>2445</v>
      </c>
    </row>
    <row r="641" spans="1:1" x14ac:dyDescent="0.2">
      <c r="A641" t="s">
        <v>2446</v>
      </c>
    </row>
    <row r="642" spans="1:1" x14ac:dyDescent="0.2">
      <c r="A642" t="s">
        <v>2447</v>
      </c>
    </row>
    <row r="643" spans="1:1" x14ac:dyDescent="0.2">
      <c r="A643" t="s">
        <v>2448</v>
      </c>
    </row>
    <row r="644" spans="1:1" x14ac:dyDescent="0.2">
      <c r="A644" t="s">
        <v>2449</v>
      </c>
    </row>
    <row r="645" spans="1:1" x14ac:dyDescent="0.2">
      <c r="A645" t="s">
        <v>2450</v>
      </c>
    </row>
    <row r="646" spans="1:1" x14ac:dyDescent="0.2">
      <c r="A646" t="s">
        <v>2451</v>
      </c>
    </row>
    <row r="647" spans="1:1" x14ac:dyDescent="0.2">
      <c r="A647" t="s">
        <v>2452</v>
      </c>
    </row>
    <row r="648" spans="1:1" x14ac:dyDescent="0.2">
      <c r="A648" t="s">
        <v>2453</v>
      </c>
    </row>
    <row r="649" spans="1:1" x14ac:dyDescent="0.2">
      <c r="A649" t="s">
        <v>2454</v>
      </c>
    </row>
    <row r="650" spans="1:1" x14ac:dyDescent="0.2">
      <c r="A650" t="s">
        <v>2455</v>
      </c>
    </row>
    <row r="651" spans="1:1" x14ac:dyDescent="0.2">
      <c r="A651" t="s">
        <v>2456</v>
      </c>
    </row>
    <row r="652" spans="1:1" x14ac:dyDescent="0.2">
      <c r="A652" t="s">
        <v>2457</v>
      </c>
    </row>
    <row r="653" spans="1:1" x14ac:dyDescent="0.2">
      <c r="A653" t="s">
        <v>2458</v>
      </c>
    </row>
    <row r="654" spans="1:1" x14ac:dyDescent="0.2">
      <c r="A654" t="s">
        <v>2459</v>
      </c>
    </row>
    <row r="655" spans="1:1" x14ac:dyDescent="0.2">
      <c r="A655" t="s">
        <v>2460</v>
      </c>
    </row>
    <row r="656" spans="1:1" x14ac:dyDescent="0.2">
      <c r="A656" t="s">
        <v>2461</v>
      </c>
    </row>
    <row r="657" spans="1:1" x14ac:dyDescent="0.2">
      <c r="A657" t="s">
        <v>2462</v>
      </c>
    </row>
    <row r="658" spans="1:1" x14ac:dyDescent="0.2">
      <c r="A658" t="s">
        <v>2463</v>
      </c>
    </row>
    <row r="659" spans="1:1" x14ac:dyDescent="0.2">
      <c r="A659" t="s">
        <v>2464</v>
      </c>
    </row>
    <row r="660" spans="1:1" x14ac:dyDescent="0.2">
      <c r="A660" t="s">
        <v>2465</v>
      </c>
    </row>
    <row r="661" spans="1:1" x14ac:dyDescent="0.2">
      <c r="A661" t="s">
        <v>2466</v>
      </c>
    </row>
    <row r="662" spans="1:1" x14ac:dyDescent="0.2">
      <c r="A662" t="s">
        <v>2467</v>
      </c>
    </row>
    <row r="663" spans="1:1" x14ac:dyDescent="0.2">
      <c r="A663" t="s">
        <v>2468</v>
      </c>
    </row>
    <row r="664" spans="1:1" x14ac:dyDescent="0.2">
      <c r="A664" t="s">
        <v>2469</v>
      </c>
    </row>
    <row r="665" spans="1:1" x14ac:dyDescent="0.2">
      <c r="A665" t="s">
        <v>2470</v>
      </c>
    </row>
    <row r="666" spans="1:1" x14ac:dyDescent="0.2">
      <c r="A666" t="s">
        <v>2471</v>
      </c>
    </row>
    <row r="667" spans="1:1" x14ac:dyDescent="0.2">
      <c r="A667" t="s">
        <v>2472</v>
      </c>
    </row>
    <row r="668" spans="1:1" x14ac:dyDescent="0.2">
      <c r="A668" t="s">
        <v>2473</v>
      </c>
    </row>
    <row r="669" spans="1:1" x14ac:dyDescent="0.2">
      <c r="A669" t="s">
        <v>2474</v>
      </c>
    </row>
    <row r="670" spans="1:1" x14ac:dyDescent="0.2">
      <c r="A670" t="s">
        <v>2475</v>
      </c>
    </row>
    <row r="671" spans="1:1" x14ac:dyDescent="0.2">
      <c r="A671" t="s">
        <v>2476</v>
      </c>
    </row>
    <row r="672" spans="1:1" x14ac:dyDescent="0.2">
      <c r="A672" t="s">
        <v>2477</v>
      </c>
    </row>
    <row r="673" spans="1:1" x14ac:dyDescent="0.2">
      <c r="A673" t="s">
        <v>2478</v>
      </c>
    </row>
    <row r="674" spans="1:1" x14ac:dyDescent="0.2">
      <c r="A674" t="s">
        <v>2479</v>
      </c>
    </row>
    <row r="675" spans="1:1" x14ac:dyDescent="0.2">
      <c r="A675" t="s">
        <v>2480</v>
      </c>
    </row>
    <row r="676" spans="1:1" x14ac:dyDescent="0.2">
      <c r="A676" t="s">
        <v>2481</v>
      </c>
    </row>
    <row r="677" spans="1:1" x14ac:dyDescent="0.2">
      <c r="A677" t="s">
        <v>2482</v>
      </c>
    </row>
    <row r="678" spans="1:1" x14ac:dyDescent="0.2">
      <c r="A678" t="s">
        <v>2483</v>
      </c>
    </row>
    <row r="679" spans="1:1" x14ac:dyDescent="0.2">
      <c r="A679" t="s">
        <v>2484</v>
      </c>
    </row>
    <row r="680" spans="1:1" x14ac:dyDescent="0.2">
      <c r="A680" t="s">
        <v>2485</v>
      </c>
    </row>
    <row r="681" spans="1:1" x14ac:dyDescent="0.2">
      <c r="A681" t="s">
        <v>2486</v>
      </c>
    </row>
    <row r="682" spans="1:1" x14ac:dyDescent="0.2">
      <c r="A682" t="s">
        <v>2487</v>
      </c>
    </row>
    <row r="683" spans="1:1" x14ac:dyDescent="0.2">
      <c r="A683" t="s">
        <v>2488</v>
      </c>
    </row>
    <row r="684" spans="1:1" x14ac:dyDescent="0.2">
      <c r="A684" t="s">
        <v>2489</v>
      </c>
    </row>
    <row r="685" spans="1:1" x14ac:dyDescent="0.2">
      <c r="A685" t="s">
        <v>2490</v>
      </c>
    </row>
    <row r="686" spans="1:1" x14ac:dyDescent="0.2">
      <c r="A686" t="s">
        <v>2491</v>
      </c>
    </row>
    <row r="687" spans="1:1" x14ac:dyDescent="0.2">
      <c r="A687" t="s">
        <v>2492</v>
      </c>
    </row>
    <row r="688" spans="1:1" x14ac:dyDescent="0.2">
      <c r="A688" t="s">
        <v>2493</v>
      </c>
    </row>
    <row r="689" spans="1:1" x14ac:dyDescent="0.2">
      <c r="A689" t="s">
        <v>2494</v>
      </c>
    </row>
    <row r="690" spans="1:1" x14ac:dyDescent="0.2">
      <c r="A690" t="s">
        <v>2495</v>
      </c>
    </row>
    <row r="691" spans="1:1" x14ac:dyDescent="0.2">
      <c r="A691" t="s">
        <v>2496</v>
      </c>
    </row>
    <row r="692" spans="1:1" x14ac:dyDescent="0.2">
      <c r="A692" t="s">
        <v>2497</v>
      </c>
    </row>
    <row r="693" spans="1:1" x14ac:dyDescent="0.2">
      <c r="A693" t="s">
        <v>2498</v>
      </c>
    </row>
    <row r="694" spans="1:1" x14ac:dyDescent="0.2">
      <c r="A694" t="s">
        <v>2499</v>
      </c>
    </row>
    <row r="695" spans="1:1" x14ac:dyDescent="0.2">
      <c r="A695" t="s">
        <v>2500</v>
      </c>
    </row>
    <row r="696" spans="1:1" x14ac:dyDescent="0.2">
      <c r="A696" t="s">
        <v>2501</v>
      </c>
    </row>
    <row r="697" spans="1:1" x14ac:dyDescent="0.2">
      <c r="A697" t="s">
        <v>2502</v>
      </c>
    </row>
    <row r="698" spans="1:1" x14ac:dyDescent="0.2">
      <c r="A698" t="s">
        <v>2503</v>
      </c>
    </row>
    <row r="699" spans="1:1" x14ac:dyDescent="0.2">
      <c r="A699" t="s">
        <v>2504</v>
      </c>
    </row>
    <row r="700" spans="1:1" x14ac:dyDescent="0.2">
      <c r="A700" t="s">
        <v>2505</v>
      </c>
    </row>
    <row r="701" spans="1:1" x14ac:dyDescent="0.2">
      <c r="A701" t="s">
        <v>2506</v>
      </c>
    </row>
    <row r="702" spans="1:1" x14ac:dyDescent="0.2">
      <c r="A702" t="s">
        <v>2507</v>
      </c>
    </row>
    <row r="703" spans="1:1" x14ac:dyDescent="0.2">
      <c r="A703" t="s">
        <v>2508</v>
      </c>
    </row>
    <row r="704" spans="1:1" x14ac:dyDescent="0.2">
      <c r="A704" t="s">
        <v>2509</v>
      </c>
    </row>
    <row r="705" spans="1:1" x14ac:dyDescent="0.2">
      <c r="A705" t="s">
        <v>2510</v>
      </c>
    </row>
    <row r="706" spans="1:1" x14ac:dyDescent="0.2">
      <c r="A706" t="s">
        <v>2511</v>
      </c>
    </row>
    <row r="707" spans="1:1" x14ac:dyDescent="0.2">
      <c r="A707" t="s">
        <v>2512</v>
      </c>
    </row>
    <row r="708" spans="1:1" x14ac:dyDescent="0.2">
      <c r="A708" t="s">
        <v>2513</v>
      </c>
    </row>
    <row r="709" spans="1:1" x14ac:dyDescent="0.2">
      <c r="A709" t="s">
        <v>2514</v>
      </c>
    </row>
    <row r="710" spans="1:1" x14ac:dyDescent="0.2">
      <c r="A710" t="s">
        <v>2515</v>
      </c>
    </row>
    <row r="711" spans="1:1" x14ac:dyDescent="0.2">
      <c r="A711" t="s">
        <v>2516</v>
      </c>
    </row>
    <row r="712" spans="1:1" x14ac:dyDescent="0.2">
      <c r="A712" t="s">
        <v>2517</v>
      </c>
    </row>
    <row r="713" spans="1:1" x14ac:dyDescent="0.2">
      <c r="A713" t="s">
        <v>2518</v>
      </c>
    </row>
    <row r="714" spans="1:1" x14ac:dyDescent="0.2">
      <c r="A714" t="s">
        <v>2519</v>
      </c>
    </row>
    <row r="715" spans="1:1" x14ac:dyDescent="0.2">
      <c r="A715" t="s">
        <v>2520</v>
      </c>
    </row>
    <row r="716" spans="1:1" x14ac:dyDescent="0.2">
      <c r="A716" t="s">
        <v>2521</v>
      </c>
    </row>
    <row r="717" spans="1:1" x14ac:dyDescent="0.2">
      <c r="A717" t="s">
        <v>2522</v>
      </c>
    </row>
    <row r="718" spans="1:1" x14ac:dyDescent="0.2">
      <c r="A718" t="s">
        <v>2523</v>
      </c>
    </row>
    <row r="719" spans="1:1" x14ac:dyDescent="0.2">
      <c r="A719" t="s">
        <v>2524</v>
      </c>
    </row>
    <row r="720" spans="1:1" x14ac:dyDescent="0.2">
      <c r="A720" t="s">
        <v>2525</v>
      </c>
    </row>
    <row r="721" spans="1:1" x14ac:dyDescent="0.2">
      <c r="A721" t="s">
        <v>2526</v>
      </c>
    </row>
    <row r="722" spans="1:1" x14ac:dyDescent="0.2">
      <c r="A722" t="s">
        <v>2527</v>
      </c>
    </row>
    <row r="723" spans="1:1" x14ac:dyDescent="0.2">
      <c r="A723" t="s">
        <v>2528</v>
      </c>
    </row>
    <row r="724" spans="1:1" x14ac:dyDescent="0.2">
      <c r="A724" t="s">
        <v>2529</v>
      </c>
    </row>
    <row r="725" spans="1:1" x14ac:dyDescent="0.2">
      <c r="A725" t="s">
        <v>2530</v>
      </c>
    </row>
    <row r="726" spans="1:1" x14ac:dyDescent="0.2">
      <c r="A726" t="s">
        <v>2531</v>
      </c>
    </row>
    <row r="727" spans="1:1" x14ac:dyDescent="0.2">
      <c r="A727" t="s">
        <v>2532</v>
      </c>
    </row>
    <row r="728" spans="1:1" x14ac:dyDescent="0.2">
      <c r="A728" t="s">
        <v>2533</v>
      </c>
    </row>
    <row r="729" spans="1:1" x14ac:dyDescent="0.2">
      <c r="A729" t="s">
        <v>2534</v>
      </c>
    </row>
    <row r="730" spans="1:1" x14ac:dyDescent="0.2">
      <c r="A730" t="s">
        <v>2535</v>
      </c>
    </row>
    <row r="731" spans="1:1" x14ac:dyDescent="0.2">
      <c r="A731" t="s">
        <v>2536</v>
      </c>
    </row>
    <row r="732" spans="1:1" x14ac:dyDescent="0.2">
      <c r="A732" t="s">
        <v>2537</v>
      </c>
    </row>
    <row r="733" spans="1:1" x14ac:dyDescent="0.2">
      <c r="A733" t="s">
        <v>2538</v>
      </c>
    </row>
    <row r="734" spans="1:1" x14ac:dyDescent="0.2">
      <c r="A734" t="s">
        <v>2539</v>
      </c>
    </row>
    <row r="735" spans="1:1" x14ac:dyDescent="0.2">
      <c r="A735" t="s">
        <v>2540</v>
      </c>
    </row>
    <row r="736" spans="1:1" x14ac:dyDescent="0.2">
      <c r="A736" t="s">
        <v>2541</v>
      </c>
    </row>
    <row r="737" spans="1:1" x14ac:dyDescent="0.2">
      <c r="A737" t="s">
        <v>2542</v>
      </c>
    </row>
    <row r="738" spans="1:1" x14ac:dyDescent="0.2">
      <c r="A738" t="s">
        <v>2543</v>
      </c>
    </row>
    <row r="739" spans="1:1" x14ac:dyDescent="0.2">
      <c r="A739" t="s">
        <v>2544</v>
      </c>
    </row>
    <row r="740" spans="1:1" x14ac:dyDescent="0.2">
      <c r="A740" t="s">
        <v>2545</v>
      </c>
    </row>
    <row r="741" spans="1:1" x14ac:dyDescent="0.2">
      <c r="A741" t="s">
        <v>2546</v>
      </c>
    </row>
    <row r="742" spans="1:1" x14ac:dyDescent="0.2">
      <c r="A742" t="s">
        <v>2547</v>
      </c>
    </row>
    <row r="743" spans="1:1" x14ac:dyDescent="0.2">
      <c r="A743" t="s">
        <v>2548</v>
      </c>
    </row>
    <row r="744" spans="1:1" x14ac:dyDescent="0.2">
      <c r="A744" t="s">
        <v>2549</v>
      </c>
    </row>
    <row r="745" spans="1:1" x14ac:dyDescent="0.2">
      <c r="A745" t="s">
        <v>2550</v>
      </c>
    </row>
    <row r="746" spans="1:1" x14ac:dyDescent="0.2">
      <c r="A746" t="s">
        <v>2551</v>
      </c>
    </row>
    <row r="747" spans="1:1" x14ac:dyDescent="0.2">
      <c r="A747" t="s">
        <v>2552</v>
      </c>
    </row>
    <row r="748" spans="1:1" x14ac:dyDescent="0.2">
      <c r="A748" t="s">
        <v>2553</v>
      </c>
    </row>
    <row r="749" spans="1:1" x14ac:dyDescent="0.2">
      <c r="A749" t="s">
        <v>2554</v>
      </c>
    </row>
    <row r="750" spans="1:1" x14ac:dyDescent="0.2">
      <c r="A750" t="s">
        <v>2555</v>
      </c>
    </row>
    <row r="751" spans="1:1" x14ac:dyDescent="0.2">
      <c r="A751" t="s">
        <v>2556</v>
      </c>
    </row>
    <row r="752" spans="1:1" x14ac:dyDescent="0.2">
      <c r="A752" t="s">
        <v>2557</v>
      </c>
    </row>
    <row r="753" spans="1:1" x14ac:dyDescent="0.2">
      <c r="A753" t="s">
        <v>2558</v>
      </c>
    </row>
    <row r="754" spans="1:1" x14ac:dyDescent="0.2">
      <c r="A754" t="s">
        <v>2559</v>
      </c>
    </row>
    <row r="755" spans="1:1" x14ac:dyDescent="0.2">
      <c r="A755" t="s">
        <v>2560</v>
      </c>
    </row>
    <row r="756" spans="1:1" x14ac:dyDescent="0.2">
      <c r="A756" t="s">
        <v>2561</v>
      </c>
    </row>
    <row r="757" spans="1:1" x14ac:dyDescent="0.2">
      <c r="A757" t="s">
        <v>2562</v>
      </c>
    </row>
    <row r="758" spans="1:1" x14ac:dyDescent="0.2">
      <c r="A758" t="s">
        <v>2563</v>
      </c>
    </row>
    <row r="759" spans="1:1" x14ac:dyDescent="0.2">
      <c r="A759" t="s">
        <v>2564</v>
      </c>
    </row>
    <row r="760" spans="1:1" x14ac:dyDescent="0.2">
      <c r="A760" t="s">
        <v>2565</v>
      </c>
    </row>
    <row r="761" spans="1:1" x14ac:dyDescent="0.2">
      <c r="A761" t="s">
        <v>2566</v>
      </c>
    </row>
    <row r="762" spans="1:1" x14ac:dyDescent="0.2">
      <c r="A762" t="s">
        <v>2567</v>
      </c>
    </row>
    <row r="763" spans="1:1" x14ac:dyDescent="0.2">
      <c r="A763" t="s">
        <v>2568</v>
      </c>
    </row>
    <row r="764" spans="1:1" x14ac:dyDescent="0.2">
      <c r="A764" t="s">
        <v>2569</v>
      </c>
    </row>
    <row r="765" spans="1:1" x14ac:dyDescent="0.2">
      <c r="A765" t="s">
        <v>2570</v>
      </c>
    </row>
    <row r="766" spans="1:1" x14ac:dyDescent="0.2">
      <c r="A766" t="s">
        <v>2571</v>
      </c>
    </row>
    <row r="767" spans="1:1" x14ac:dyDescent="0.2">
      <c r="A767" t="s">
        <v>2572</v>
      </c>
    </row>
    <row r="768" spans="1:1" x14ac:dyDescent="0.2">
      <c r="A768" t="s">
        <v>2573</v>
      </c>
    </row>
    <row r="769" spans="1:1" x14ac:dyDescent="0.2">
      <c r="A769" t="s">
        <v>2574</v>
      </c>
    </row>
    <row r="770" spans="1:1" x14ac:dyDescent="0.2">
      <c r="A770" t="s">
        <v>2575</v>
      </c>
    </row>
    <row r="771" spans="1:1" x14ac:dyDescent="0.2">
      <c r="A771" t="s">
        <v>2576</v>
      </c>
    </row>
    <row r="772" spans="1:1" x14ac:dyDescent="0.2">
      <c r="A772" t="s">
        <v>2577</v>
      </c>
    </row>
    <row r="773" spans="1:1" x14ac:dyDescent="0.2">
      <c r="A773" t="s">
        <v>2578</v>
      </c>
    </row>
    <row r="774" spans="1:1" x14ac:dyDescent="0.2">
      <c r="A774" t="s">
        <v>2579</v>
      </c>
    </row>
    <row r="775" spans="1:1" x14ac:dyDescent="0.2">
      <c r="A775" t="s">
        <v>2580</v>
      </c>
    </row>
    <row r="776" spans="1:1" x14ac:dyDescent="0.2">
      <c r="A776" t="s">
        <v>2581</v>
      </c>
    </row>
    <row r="777" spans="1:1" x14ac:dyDescent="0.2">
      <c r="A777" t="s">
        <v>2582</v>
      </c>
    </row>
    <row r="778" spans="1:1" x14ac:dyDescent="0.2">
      <c r="A778" t="s">
        <v>2583</v>
      </c>
    </row>
    <row r="779" spans="1:1" x14ac:dyDescent="0.2">
      <c r="A779" t="s">
        <v>2584</v>
      </c>
    </row>
    <row r="780" spans="1:1" x14ac:dyDescent="0.2">
      <c r="A780" t="s">
        <v>2585</v>
      </c>
    </row>
    <row r="781" spans="1:1" x14ac:dyDescent="0.2">
      <c r="A781" t="s">
        <v>2586</v>
      </c>
    </row>
    <row r="782" spans="1:1" x14ac:dyDescent="0.2">
      <c r="A782" t="s">
        <v>2587</v>
      </c>
    </row>
    <row r="783" spans="1:1" x14ac:dyDescent="0.2">
      <c r="A783" t="s">
        <v>2588</v>
      </c>
    </row>
    <row r="784" spans="1:1" x14ac:dyDescent="0.2">
      <c r="A784" t="s">
        <v>2589</v>
      </c>
    </row>
    <row r="785" spans="1:1" x14ac:dyDescent="0.2">
      <c r="A785" t="s">
        <v>2590</v>
      </c>
    </row>
    <row r="786" spans="1:1" x14ac:dyDescent="0.2">
      <c r="A786" t="s">
        <v>2591</v>
      </c>
    </row>
    <row r="787" spans="1:1" x14ac:dyDescent="0.2">
      <c r="A787" t="s">
        <v>2592</v>
      </c>
    </row>
    <row r="788" spans="1:1" x14ac:dyDescent="0.2">
      <c r="A788" t="s">
        <v>2593</v>
      </c>
    </row>
    <row r="789" spans="1:1" x14ac:dyDescent="0.2">
      <c r="A789" t="s">
        <v>2594</v>
      </c>
    </row>
    <row r="790" spans="1:1" x14ac:dyDescent="0.2">
      <c r="A790" t="s">
        <v>2595</v>
      </c>
    </row>
    <row r="791" spans="1:1" x14ac:dyDescent="0.2">
      <c r="A791" t="s">
        <v>2596</v>
      </c>
    </row>
    <row r="792" spans="1:1" x14ac:dyDescent="0.2">
      <c r="A792" t="s">
        <v>2597</v>
      </c>
    </row>
    <row r="793" spans="1:1" x14ac:dyDescent="0.2">
      <c r="A793" t="s">
        <v>2598</v>
      </c>
    </row>
    <row r="794" spans="1:1" x14ac:dyDescent="0.2">
      <c r="A794" t="s">
        <v>2599</v>
      </c>
    </row>
    <row r="795" spans="1:1" x14ac:dyDescent="0.2">
      <c r="A795" t="s">
        <v>2600</v>
      </c>
    </row>
    <row r="796" spans="1:1" x14ac:dyDescent="0.2">
      <c r="A796" t="s">
        <v>2601</v>
      </c>
    </row>
    <row r="797" spans="1:1" x14ac:dyDescent="0.2">
      <c r="A797" t="s">
        <v>2602</v>
      </c>
    </row>
    <row r="798" spans="1:1" x14ac:dyDescent="0.2">
      <c r="A798" t="s">
        <v>2603</v>
      </c>
    </row>
    <row r="799" spans="1:1" x14ac:dyDescent="0.2">
      <c r="A799" t="s">
        <v>2604</v>
      </c>
    </row>
    <row r="800" spans="1:1" x14ac:dyDescent="0.2">
      <c r="A800" t="s">
        <v>2605</v>
      </c>
    </row>
    <row r="801" spans="1:1" x14ac:dyDescent="0.2">
      <c r="A801" t="s">
        <v>2606</v>
      </c>
    </row>
    <row r="802" spans="1:1" x14ac:dyDescent="0.2">
      <c r="A802" t="s">
        <v>2607</v>
      </c>
    </row>
    <row r="803" spans="1:1" x14ac:dyDescent="0.2">
      <c r="A803" t="s">
        <v>2608</v>
      </c>
    </row>
    <row r="804" spans="1:1" x14ac:dyDescent="0.2">
      <c r="A804" t="s">
        <v>2609</v>
      </c>
    </row>
    <row r="805" spans="1:1" x14ac:dyDescent="0.2">
      <c r="A805" t="s">
        <v>2610</v>
      </c>
    </row>
    <row r="806" spans="1:1" x14ac:dyDescent="0.2">
      <c r="A806" t="s">
        <v>2611</v>
      </c>
    </row>
    <row r="807" spans="1:1" x14ac:dyDescent="0.2">
      <c r="A807" t="s">
        <v>2612</v>
      </c>
    </row>
    <row r="808" spans="1:1" x14ac:dyDescent="0.2">
      <c r="A808" t="s">
        <v>2613</v>
      </c>
    </row>
    <row r="809" spans="1:1" x14ac:dyDescent="0.2">
      <c r="A809" t="s">
        <v>2614</v>
      </c>
    </row>
    <row r="810" spans="1:1" x14ac:dyDescent="0.2">
      <c r="A810" t="s">
        <v>2615</v>
      </c>
    </row>
    <row r="811" spans="1:1" x14ac:dyDescent="0.2">
      <c r="A811" t="s">
        <v>2616</v>
      </c>
    </row>
    <row r="812" spans="1:1" x14ac:dyDescent="0.2">
      <c r="A812" t="s">
        <v>2617</v>
      </c>
    </row>
    <row r="813" spans="1:1" x14ac:dyDescent="0.2">
      <c r="A813" t="s">
        <v>2618</v>
      </c>
    </row>
    <row r="814" spans="1:1" x14ac:dyDescent="0.2">
      <c r="A814" t="s">
        <v>2619</v>
      </c>
    </row>
    <row r="815" spans="1:1" x14ac:dyDescent="0.2">
      <c r="A815" t="s">
        <v>2620</v>
      </c>
    </row>
    <row r="816" spans="1:1" x14ac:dyDescent="0.2">
      <c r="A816" t="s">
        <v>2621</v>
      </c>
    </row>
    <row r="817" spans="1:1" x14ac:dyDescent="0.2">
      <c r="A817" t="s">
        <v>2622</v>
      </c>
    </row>
    <row r="818" spans="1:1" x14ac:dyDescent="0.2">
      <c r="A818" t="s">
        <v>2623</v>
      </c>
    </row>
    <row r="819" spans="1:1" x14ac:dyDescent="0.2">
      <c r="A819" t="s">
        <v>2624</v>
      </c>
    </row>
    <row r="820" spans="1:1" x14ac:dyDescent="0.2">
      <c r="A820" t="s">
        <v>2625</v>
      </c>
    </row>
    <row r="821" spans="1:1" x14ac:dyDescent="0.2">
      <c r="A821" t="s">
        <v>2626</v>
      </c>
    </row>
    <row r="822" spans="1:1" x14ac:dyDescent="0.2">
      <c r="A822" t="s">
        <v>2627</v>
      </c>
    </row>
    <row r="823" spans="1:1" x14ac:dyDescent="0.2">
      <c r="A823" t="s">
        <v>2628</v>
      </c>
    </row>
    <row r="824" spans="1:1" x14ac:dyDescent="0.2">
      <c r="A824" t="s">
        <v>2629</v>
      </c>
    </row>
    <row r="825" spans="1:1" x14ac:dyDescent="0.2">
      <c r="A825" t="s">
        <v>2630</v>
      </c>
    </row>
    <row r="826" spans="1:1" x14ac:dyDescent="0.2">
      <c r="A826" t="s">
        <v>2631</v>
      </c>
    </row>
    <row r="827" spans="1:1" x14ac:dyDescent="0.2">
      <c r="A827" t="s">
        <v>2632</v>
      </c>
    </row>
    <row r="828" spans="1:1" x14ac:dyDescent="0.2">
      <c r="A828" t="s">
        <v>2633</v>
      </c>
    </row>
    <row r="829" spans="1:1" x14ac:dyDescent="0.2">
      <c r="A829" t="s">
        <v>2634</v>
      </c>
    </row>
    <row r="830" spans="1:1" x14ac:dyDescent="0.2">
      <c r="A830" t="s">
        <v>2635</v>
      </c>
    </row>
    <row r="831" spans="1:1" x14ac:dyDescent="0.2">
      <c r="A831" t="s">
        <v>2636</v>
      </c>
    </row>
    <row r="832" spans="1:1" x14ac:dyDescent="0.2">
      <c r="A832" t="s">
        <v>2637</v>
      </c>
    </row>
    <row r="833" spans="1:1" x14ac:dyDescent="0.2">
      <c r="A833" t="s">
        <v>2638</v>
      </c>
    </row>
    <row r="834" spans="1:1" x14ac:dyDescent="0.2">
      <c r="A834" t="s">
        <v>2639</v>
      </c>
    </row>
    <row r="835" spans="1:1" x14ac:dyDescent="0.2">
      <c r="A835" t="s">
        <v>2640</v>
      </c>
    </row>
    <row r="836" spans="1:1" x14ac:dyDescent="0.2">
      <c r="A836" t="s">
        <v>2641</v>
      </c>
    </row>
    <row r="837" spans="1:1" x14ac:dyDescent="0.2">
      <c r="A837" t="s">
        <v>2642</v>
      </c>
    </row>
    <row r="838" spans="1:1" x14ac:dyDescent="0.2">
      <c r="A838" t="s">
        <v>2643</v>
      </c>
    </row>
    <row r="839" spans="1:1" x14ac:dyDescent="0.2">
      <c r="A839" t="s">
        <v>2644</v>
      </c>
    </row>
    <row r="840" spans="1:1" x14ac:dyDescent="0.2">
      <c r="A840" t="s">
        <v>2645</v>
      </c>
    </row>
    <row r="841" spans="1:1" x14ac:dyDescent="0.2">
      <c r="A841" t="s">
        <v>2646</v>
      </c>
    </row>
    <row r="842" spans="1:1" x14ac:dyDescent="0.2">
      <c r="A842" t="s">
        <v>2647</v>
      </c>
    </row>
    <row r="843" spans="1:1" x14ac:dyDescent="0.2">
      <c r="A843" t="s">
        <v>2648</v>
      </c>
    </row>
    <row r="844" spans="1:1" x14ac:dyDescent="0.2">
      <c r="A844" t="s">
        <v>2649</v>
      </c>
    </row>
    <row r="845" spans="1:1" x14ac:dyDescent="0.2">
      <c r="A845" t="s">
        <v>2650</v>
      </c>
    </row>
    <row r="846" spans="1:1" x14ac:dyDescent="0.2">
      <c r="A846" t="s">
        <v>2651</v>
      </c>
    </row>
    <row r="847" spans="1:1" x14ac:dyDescent="0.2">
      <c r="A847" t="s">
        <v>2652</v>
      </c>
    </row>
    <row r="848" spans="1:1" x14ac:dyDescent="0.2">
      <c r="A848" t="s">
        <v>2653</v>
      </c>
    </row>
    <row r="849" spans="1:1" x14ac:dyDescent="0.2">
      <c r="A849" t="s">
        <v>2654</v>
      </c>
    </row>
    <row r="850" spans="1:1" x14ac:dyDescent="0.2">
      <c r="A850" t="s">
        <v>2655</v>
      </c>
    </row>
    <row r="851" spans="1:1" x14ac:dyDescent="0.2">
      <c r="A851" t="s">
        <v>2656</v>
      </c>
    </row>
    <row r="852" spans="1:1" x14ac:dyDescent="0.2">
      <c r="A852" t="s">
        <v>2657</v>
      </c>
    </row>
    <row r="853" spans="1:1" x14ac:dyDescent="0.2">
      <c r="A853" t="s">
        <v>2658</v>
      </c>
    </row>
    <row r="854" spans="1:1" x14ac:dyDescent="0.2">
      <c r="A854" t="s">
        <v>2659</v>
      </c>
    </row>
    <row r="855" spans="1:1" x14ac:dyDescent="0.2">
      <c r="A855" t="s">
        <v>2660</v>
      </c>
    </row>
    <row r="856" spans="1:1" x14ac:dyDescent="0.2">
      <c r="A856" t="s">
        <v>2661</v>
      </c>
    </row>
    <row r="857" spans="1:1" x14ac:dyDescent="0.2">
      <c r="A857" t="s">
        <v>2662</v>
      </c>
    </row>
    <row r="858" spans="1:1" x14ac:dyDescent="0.2">
      <c r="A858" t="s">
        <v>2663</v>
      </c>
    </row>
    <row r="859" spans="1:1" x14ac:dyDescent="0.2">
      <c r="A859" t="s">
        <v>2664</v>
      </c>
    </row>
    <row r="860" spans="1:1" x14ac:dyDescent="0.2">
      <c r="A860" t="s">
        <v>2665</v>
      </c>
    </row>
    <row r="861" spans="1:1" x14ac:dyDescent="0.2">
      <c r="A861" t="s">
        <v>2666</v>
      </c>
    </row>
    <row r="862" spans="1:1" x14ac:dyDescent="0.2">
      <c r="A862" t="s">
        <v>2667</v>
      </c>
    </row>
    <row r="863" spans="1:1" x14ac:dyDescent="0.2">
      <c r="A863" t="s">
        <v>2668</v>
      </c>
    </row>
    <row r="864" spans="1:1" x14ac:dyDescent="0.2">
      <c r="A864" t="s">
        <v>2669</v>
      </c>
    </row>
    <row r="865" spans="1:1" x14ac:dyDescent="0.2">
      <c r="A865" t="s">
        <v>2670</v>
      </c>
    </row>
    <row r="866" spans="1:1" x14ac:dyDescent="0.2">
      <c r="A866" t="s">
        <v>2671</v>
      </c>
    </row>
    <row r="867" spans="1:1" x14ac:dyDescent="0.2">
      <c r="A867" t="s">
        <v>2672</v>
      </c>
    </row>
    <row r="868" spans="1:1" x14ac:dyDescent="0.2">
      <c r="A868" t="s">
        <v>2673</v>
      </c>
    </row>
    <row r="869" spans="1:1" x14ac:dyDescent="0.2">
      <c r="A869" t="s">
        <v>2674</v>
      </c>
    </row>
    <row r="870" spans="1:1" x14ac:dyDescent="0.2">
      <c r="A870" t="s">
        <v>2675</v>
      </c>
    </row>
    <row r="871" spans="1:1" x14ac:dyDescent="0.2">
      <c r="A871" t="s">
        <v>2676</v>
      </c>
    </row>
    <row r="872" spans="1:1" x14ac:dyDescent="0.2">
      <c r="A872" t="s">
        <v>2677</v>
      </c>
    </row>
    <row r="873" spans="1:1" x14ac:dyDescent="0.2">
      <c r="A873" t="s">
        <v>2678</v>
      </c>
    </row>
    <row r="874" spans="1:1" x14ac:dyDescent="0.2">
      <c r="A874" t="s">
        <v>2679</v>
      </c>
    </row>
    <row r="875" spans="1:1" x14ac:dyDescent="0.2">
      <c r="A875" t="s">
        <v>2680</v>
      </c>
    </row>
    <row r="876" spans="1:1" x14ac:dyDescent="0.2">
      <c r="A876" t="s">
        <v>2681</v>
      </c>
    </row>
    <row r="877" spans="1:1" x14ac:dyDescent="0.2">
      <c r="A877" t="s">
        <v>2682</v>
      </c>
    </row>
    <row r="878" spans="1:1" x14ac:dyDescent="0.2">
      <c r="A878" t="s">
        <v>2683</v>
      </c>
    </row>
    <row r="879" spans="1:1" x14ac:dyDescent="0.2">
      <c r="A879" t="s">
        <v>2684</v>
      </c>
    </row>
    <row r="880" spans="1:1" x14ac:dyDescent="0.2">
      <c r="A880" t="s">
        <v>2685</v>
      </c>
    </row>
    <row r="881" spans="1:1" x14ac:dyDescent="0.2">
      <c r="A881" t="s">
        <v>2686</v>
      </c>
    </row>
    <row r="882" spans="1:1" x14ac:dyDescent="0.2">
      <c r="A882" t="s">
        <v>2687</v>
      </c>
    </row>
    <row r="883" spans="1:1" x14ac:dyDescent="0.2">
      <c r="A883" t="s">
        <v>2688</v>
      </c>
    </row>
    <row r="884" spans="1:1" x14ac:dyDescent="0.2">
      <c r="A884" t="s">
        <v>2689</v>
      </c>
    </row>
    <row r="885" spans="1:1" x14ac:dyDescent="0.2">
      <c r="A885" t="s">
        <v>2690</v>
      </c>
    </row>
    <row r="886" spans="1:1" x14ac:dyDescent="0.2">
      <c r="A886" t="s">
        <v>2691</v>
      </c>
    </row>
    <row r="887" spans="1:1" x14ac:dyDescent="0.2">
      <c r="A887" t="s">
        <v>2692</v>
      </c>
    </row>
    <row r="888" spans="1:1" x14ac:dyDescent="0.2">
      <c r="A888" t="s">
        <v>2693</v>
      </c>
    </row>
    <row r="889" spans="1:1" x14ac:dyDescent="0.2">
      <c r="A889" t="s">
        <v>2694</v>
      </c>
    </row>
    <row r="890" spans="1:1" x14ac:dyDescent="0.2">
      <c r="A890" t="s">
        <v>2695</v>
      </c>
    </row>
    <row r="891" spans="1:1" x14ac:dyDescent="0.2">
      <c r="A891" t="s">
        <v>2696</v>
      </c>
    </row>
    <row r="892" spans="1:1" x14ac:dyDescent="0.2">
      <c r="A892" t="s">
        <v>2697</v>
      </c>
    </row>
    <row r="893" spans="1:1" x14ac:dyDescent="0.2">
      <c r="A893" t="s">
        <v>2698</v>
      </c>
    </row>
    <row r="894" spans="1:1" x14ac:dyDescent="0.2">
      <c r="A894" t="s">
        <v>2699</v>
      </c>
    </row>
    <row r="895" spans="1:1" x14ac:dyDescent="0.2">
      <c r="A895" t="s">
        <v>2700</v>
      </c>
    </row>
    <row r="896" spans="1:1" x14ac:dyDescent="0.2">
      <c r="A896" t="s">
        <v>2701</v>
      </c>
    </row>
    <row r="897" spans="1:1" x14ac:dyDescent="0.2">
      <c r="A897" t="s">
        <v>2702</v>
      </c>
    </row>
    <row r="898" spans="1:1" x14ac:dyDescent="0.2">
      <c r="A898" t="s">
        <v>2703</v>
      </c>
    </row>
    <row r="899" spans="1:1" x14ac:dyDescent="0.2">
      <c r="A899" t="s">
        <v>2704</v>
      </c>
    </row>
    <row r="900" spans="1:1" x14ac:dyDescent="0.2">
      <c r="A900" t="s">
        <v>2705</v>
      </c>
    </row>
    <row r="901" spans="1:1" x14ac:dyDescent="0.2">
      <c r="A901" t="s">
        <v>2706</v>
      </c>
    </row>
    <row r="902" spans="1:1" x14ac:dyDescent="0.2">
      <c r="A902" t="s">
        <v>2707</v>
      </c>
    </row>
    <row r="903" spans="1:1" x14ac:dyDescent="0.2">
      <c r="A903" t="s">
        <v>2708</v>
      </c>
    </row>
    <row r="904" spans="1:1" x14ac:dyDescent="0.2">
      <c r="A904" t="s">
        <v>2709</v>
      </c>
    </row>
    <row r="905" spans="1:1" x14ac:dyDescent="0.2">
      <c r="A905" t="s">
        <v>2710</v>
      </c>
    </row>
    <row r="906" spans="1:1" x14ac:dyDescent="0.2">
      <c r="A906" t="s">
        <v>2711</v>
      </c>
    </row>
    <row r="907" spans="1:1" x14ac:dyDescent="0.2">
      <c r="A907" t="s">
        <v>2712</v>
      </c>
    </row>
    <row r="908" spans="1:1" x14ac:dyDescent="0.2">
      <c r="A908" t="s">
        <v>2713</v>
      </c>
    </row>
    <row r="909" spans="1:1" x14ac:dyDescent="0.2">
      <c r="A909" t="s">
        <v>2714</v>
      </c>
    </row>
    <row r="910" spans="1:1" x14ac:dyDescent="0.2">
      <c r="A910" t="s">
        <v>2715</v>
      </c>
    </row>
    <row r="911" spans="1:1" x14ac:dyDescent="0.2">
      <c r="A911" t="s">
        <v>2716</v>
      </c>
    </row>
    <row r="912" spans="1:1" x14ac:dyDescent="0.2">
      <c r="A912" t="s">
        <v>2717</v>
      </c>
    </row>
    <row r="913" spans="1:1" x14ac:dyDescent="0.2">
      <c r="A913" t="s">
        <v>2718</v>
      </c>
    </row>
    <row r="914" spans="1:1" x14ac:dyDescent="0.2">
      <c r="A914" t="s">
        <v>2719</v>
      </c>
    </row>
    <row r="915" spans="1:1" x14ac:dyDescent="0.2">
      <c r="A915" t="s">
        <v>2720</v>
      </c>
    </row>
    <row r="916" spans="1:1" x14ac:dyDescent="0.2">
      <c r="A916" t="s">
        <v>2721</v>
      </c>
    </row>
    <row r="917" spans="1:1" x14ac:dyDescent="0.2">
      <c r="A917" t="s">
        <v>2722</v>
      </c>
    </row>
    <row r="918" spans="1:1" x14ac:dyDescent="0.2">
      <c r="A918" t="s">
        <v>2723</v>
      </c>
    </row>
    <row r="919" spans="1:1" x14ac:dyDescent="0.2">
      <c r="A919" t="s">
        <v>2724</v>
      </c>
    </row>
    <row r="920" spans="1:1" x14ac:dyDescent="0.2">
      <c r="A920" t="s">
        <v>2725</v>
      </c>
    </row>
    <row r="921" spans="1:1" x14ac:dyDescent="0.2">
      <c r="A921" t="s">
        <v>2726</v>
      </c>
    </row>
    <row r="922" spans="1:1" x14ac:dyDescent="0.2">
      <c r="A922" t="s">
        <v>2727</v>
      </c>
    </row>
    <row r="923" spans="1:1" x14ac:dyDescent="0.2">
      <c r="A923" t="s">
        <v>2728</v>
      </c>
    </row>
    <row r="924" spans="1:1" x14ac:dyDescent="0.2">
      <c r="A924" t="s">
        <v>2729</v>
      </c>
    </row>
    <row r="925" spans="1:1" x14ac:dyDescent="0.2">
      <c r="A925" t="s">
        <v>2730</v>
      </c>
    </row>
    <row r="926" spans="1:1" x14ac:dyDescent="0.2">
      <c r="A926" t="s">
        <v>2731</v>
      </c>
    </row>
    <row r="927" spans="1:1" x14ac:dyDescent="0.2">
      <c r="A927" t="s">
        <v>2732</v>
      </c>
    </row>
    <row r="928" spans="1:1" x14ac:dyDescent="0.2">
      <c r="A928" t="s">
        <v>2733</v>
      </c>
    </row>
    <row r="929" spans="1:1" x14ac:dyDescent="0.2">
      <c r="A929" t="s">
        <v>2734</v>
      </c>
    </row>
    <row r="930" spans="1:1" x14ac:dyDescent="0.2">
      <c r="A930" t="s">
        <v>2735</v>
      </c>
    </row>
  </sheetData>
  <pageMargins left="0.7" right="0.7" top="0.75" bottom="0.75" header="0.3" footer="0.3"/>
  <customProperties>
    <customPr name="layoutContexts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A840D-8E46-4CCB-9012-844BCF96B4AB}">
  <dimension ref="A1:A931"/>
  <sheetViews>
    <sheetView workbookViewId="0"/>
  </sheetViews>
  <sheetFormatPr defaultRowHeight="12.75" x14ac:dyDescent="0.2"/>
  <sheetData>
    <row r="1" spans="1:1" x14ac:dyDescent="0.2">
      <c r="A1" t="s">
        <v>3476</v>
      </c>
    </row>
    <row r="2" spans="1:1" x14ac:dyDescent="0.2">
      <c r="A2" t="s">
        <v>2629</v>
      </c>
    </row>
    <row r="3" spans="1:1" x14ac:dyDescent="0.2">
      <c r="A3" t="s">
        <v>133</v>
      </c>
    </row>
    <row r="4" spans="1:1" x14ac:dyDescent="0.2">
      <c r="A4" t="s">
        <v>134</v>
      </c>
    </row>
    <row r="5" spans="1:1" x14ac:dyDescent="0.2">
      <c r="A5" t="s">
        <v>135</v>
      </c>
    </row>
    <row r="6" spans="1:1" x14ac:dyDescent="0.2">
      <c r="A6" t="s">
        <v>136</v>
      </c>
    </row>
    <row r="7" spans="1:1" x14ac:dyDescent="0.2">
      <c r="A7" t="s">
        <v>137</v>
      </c>
    </row>
    <row r="8" spans="1:1" x14ac:dyDescent="0.2">
      <c r="A8" t="s">
        <v>138</v>
      </c>
    </row>
    <row r="9" spans="1:1" x14ac:dyDescent="0.2">
      <c r="A9" t="s">
        <v>139</v>
      </c>
    </row>
    <row r="10" spans="1:1" x14ac:dyDescent="0.2">
      <c r="A10" t="s">
        <v>140</v>
      </c>
    </row>
    <row r="11" spans="1:1" x14ac:dyDescent="0.2">
      <c r="A11" t="s">
        <v>141</v>
      </c>
    </row>
    <row r="12" spans="1:1" x14ac:dyDescent="0.2">
      <c r="A12" t="s">
        <v>142</v>
      </c>
    </row>
    <row r="13" spans="1:1" x14ac:dyDescent="0.2">
      <c r="A13" t="s">
        <v>143</v>
      </c>
    </row>
    <row r="14" spans="1:1" x14ac:dyDescent="0.2">
      <c r="A14" t="s">
        <v>144</v>
      </c>
    </row>
    <row r="15" spans="1:1" x14ac:dyDescent="0.2">
      <c r="A15" t="s">
        <v>145</v>
      </c>
    </row>
    <row r="16" spans="1:1" x14ac:dyDescent="0.2">
      <c r="A16" t="s">
        <v>146</v>
      </c>
    </row>
    <row r="17" spans="1:1" x14ac:dyDescent="0.2">
      <c r="A17" t="s">
        <v>147</v>
      </c>
    </row>
    <row r="18" spans="1:1" x14ac:dyDescent="0.2">
      <c r="A18" t="s">
        <v>148</v>
      </c>
    </row>
    <row r="19" spans="1:1" x14ac:dyDescent="0.2">
      <c r="A19" t="s">
        <v>149</v>
      </c>
    </row>
    <row r="20" spans="1:1" x14ac:dyDescent="0.2">
      <c r="A20" t="s">
        <v>150</v>
      </c>
    </row>
    <row r="21" spans="1:1" x14ac:dyDescent="0.2">
      <c r="A21" t="s">
        <v>151</v>
      </c>
    </row>
    <row r="22" spans="1:1" x14ac:dyDescent="0.2">
      <c r="A22" t="s">
        <v>152</v>
      </c>
    </row>
    <row r="23" spans="1:1" x14ac:dyDescent="0.2">
      <c r="A23" t="s">
        <v>153</v>
      </c>
    </row>
    <row r="24" spans="1:1" x14ac:dyDescent="0.2">
      <c r="A24" t="s">
        <v>154</v>
      </c>
    </row>
    <row r="25" spans="1:1" x14ac:dyDescent="0.2">
      <c r="A25" t="s">
        <v>155</v>
      </c>
    </row>
    <row r="26" spans="1:1" x14ac:dyDescent="0.2">
      <c r="A26" t="s">
        <v>156</v>
      </c>
    </row>
    <row r="27" spans="1:1" x14ac:dyDescent="0.2">
      <c r="A27" t="s">
        <v>157</v>
      </c>
    </row>
    <row r="28" spans="1:1" x14ac:dyDescent="0.2">
      <c r="A28" t="s">
        <v>158</v>
      </c>
    </row>
    <row r="29" spans="1:1" x14ac:dyDescent="0.2">
      <c r="A29" t="s">
        <v>159</v>
      </c>
    </row>
    <row r="30" spans="1:1" x14ac:dyDescent="0.2">
      <c r="A30" t="s">
        <v>160</v>
      </c>
    </row>
    <row r="31" spans="1:1" x14ac:dyDescent="0.2">
      <c r="A31" t="s">
        <v>161</v>
      </c>
    </row>
    <row r="32" spans="1:1" x14ac:dyDescent="0.2">
      <c r="A32" t="s">
        <v>162</v>
      </c>
    </row>
    <row r="33" spans="1:1" x14ac:dyDescent="0.2">
      <c r="A33" t="s">
        <v>163</v>
      </c>
    </row>
    <row r="34" spans="1:1" x14ac:dyDescent="0.2">
      <c r="A34" t="s">
        <v>164</v>
      </c>
    </row>
    <row r="35" spans="1:1" x14ac:dyDescent="0.2">
      <c r="A35" t="s">
        <v>165</v>
      </c>
    </row>
    <row r="36" spans="1:1" x14ac:dyDescent="0.2">
      <c r="A36" t="s">
        <v>166</v>
      </c>
    </row>
    <row r="37" spans="1:1" x14ac:dyDescent="0.2">
      <c r="A37" t="s">
        <v>167</v>
      </c>
    </row>
    <row r="38" spans="1:1" x14ac:dyDescent="0.2">
      <c r="A38" t="s">
        <v>168</v>
      </c>
    </row>
    <row r="39" spans="1:1" x14ac:dyDescent="0.2">
      <c r="A39" t="s">
        <v>2094</v>
      </c>
    </row>
    <row r="40" spans="1:1" x14ac:dyDescent="0.2">
      <c r="A40" t="s">
        <v>3477</v>
      </c>
    </row>
    <row r="41" spans="1:1" x14ac:dyDescent="0.2">
      <c r="A41" t="s">
        <v>3478</v>
      </c>
    </row>
    <row r="42" spans="1:1" x14ac:dyDescent="0.2">
      <c r="A42" t="s">
        <v>17</v>
      </c>
    </row>
    <row r="43" spans="1:1" x14ac:dyDescent="0.2">
      <c r="A43" t="s">
        <v>3490</v>
      </c>
    </row>
    <row r="44" spans="1:1" x14ac:dyDescent="0.2">
      <c r="A44" t="s">
        <v>3480</v>
      </c>
    </row>
    <row r="45" spans="1:1" x14ac:dyDescent="0.2">
      <c r="A45" t="s">
        <v>3482</v>
      </c>
    </row>
    <row r="46" spans="1:1" x14ac:dyDescent="0.2">
      <c r="A46" t="s">
        <v>3486</v>
      </c>
    </row>
    <row r="47" spans="1:1" x14ac:dyDescent="0.2">
      <c r="A47" t="s">
        <v>3484</v>
      </c>
    </row>
    <row r="48" spans="1:1" x14ac:dyDescent="0.2">
      <c r="A48" t="s">
        <v>3488</v>
      </c>
    </row>
    <row r="49" spans="1:1" x14ac:dyDescent="0.2">
      <c r="A49" t="s">
        <v>2201</v>
      </c>
    </row>
    <row r="50" spans="1:1" x14ac:dyDescent="0.2">
      <c r="A50" t="s">
        <v>2415</v>
      </c>
    </row>
    <row r="51" spans="1:1" x14ac:dyDescent="0.2">
      <c r="A51" t="s">
        <v>18</v>
      </c>
    </row>
    <row r="52" spans="1:1" x14ac:dyDescent="0.2">
      <c r="A52" t="s">
        <v>2308</v>
      </c>
    </row>
    <row r="53" spans="1:1" x14ac:dyDescent="0.2">
      <c r="A53" t="s">
        <v>28</v>
      </c>
    </row>
    <row r="54" spans="1:1" x14ac:dyDescent="0.2">
      <c r="A54" t="s">
        <v>2630</v>
      </c>
    </row>
    <row r="55" spans="1:1" x14ac:dyDescent="0.2">
      <c r="A55" t="s">
        <v>2095</v>
      </c>
    </row>
    <row r="56" spans="1:1" x14ac:dyDescent="0.2">
      <c r="A56" t="s">
        <v>2202</v>
      </c>
    </row>
    <row r="57" spans="1:1" x14ac:dyDescent="0.2">
      <c r="A57" t="s">
        <v>2416</v>
      </c>
    </row>
    <row r="58" spans="1:1" x14ac:dyDescent="0.2">
      <c r="A58" t="s">
        <v>2309</v>
      </c>
    </row>
    <row r="59" spans="1:1" x14ac:dyDescent="0.2">
      <c r="A59" t="s">
        <v>2523</v>
      </c>
    </row>
    <row r="60" spans="1:1" x14ac:dyDescent="0.2">
      <c r="A60" t="s">
        <v>2631</v>
      </c>
    </row>
    <row r="61" spans="1:1" x14ac:dyDescent="0.2">
      <c r="A61" t="s">
        <v>2096</v>
      </c>
    </row>
    <row r="62" spans="1:1" x14ac:dyDescent="0.2">
      <c r="A62" t="s">
        <v>2203</v>
      </c>
    </row>
    <row r="63" spans="1:1" x14ac:dyDescent="0.2">
      <c r="A63" t="s">
        <v>2417</v>
      </c>
    </row>
    <row r="64" spans="1:1" x14ac:dyDescent="0.2">
      <c r="A64" t="s">
        <v>2310</v>
      </c>
    </row>
    <row r="65" spans="1:1" x14ac:dyDescent="0.2">
      <c r="A65" t="s">
        <v>2524</v>
      </c>
    </row>
    <row r="66" spans="1:1" x14ac:dyDescent="0.2">
      <c r="A66" t="s">
        <v>2632</v>
      </c>
    </row>
    <row r="67" spans="1:1" x14ac:dyDescent="0.2">
      <c r="A67" t="s">
        <v>2097</v>
      </c>
    </row>
    <row r="68" spans="1:1" x14ac:dyDescent="0.2">
      <c r="A68" t="s">
        <v>2204</v>
      </c>
    </row>
    <row r="69" spans="1:1" x14ac:dyDescent="0.2">
      <c r="A69" t="s">
        <v>2418</v>
      </c>
    </row>
    <row r="70" spans="1:1" x14ac:dyDescent="0.2">
      <c r="A70" t="s">
        <v>2311</v>
      </c>
    </row>
    <row r="71" spans="1:1" x14ac:dyDescent="0.2">
      <c r="A71" t="s">
        <v>2525</v>
      </c>
    </row>
    <row r="72" spans="1:1" x14ac:dyDescent="0.2">
      <c r="A72" t="s">
        <v>2633</v>
      </c>
    </row>
    <row r="73" spans="1:1" x14ac:dyDescent="0.2">
      <c r="A73" t="s">
        <v>2098</v>
      </c>
    </row>
    <row r="74" spans="1:1" x14ac:dyDescent="0.2">
      <c r="A74" t="s">
        <v>2205</v>
      </c>
    </row>
    <row r="75" spans="1:1" x14ac:dyDescent="0.2">
      <c r="A75" t="s">
        <v>2419</v>
      </c>
    </row>
    <row r="76" spans="1:1" x14ac:dyDescent="0.2">
      <c r="A76" t="s">
        <v>2312</v>
      </c>
    </row>
    <row r="77" spans="1:1" x14ac:dyDescent="0.2">
      <c r="A77" t="s">
        <v>2526</v>
      </c>
    </row>
    <row r="78" spans="1:1" x14ac:dyDescent="0.2">
      <c r="A78" t="s">
        <v>2634</v>
      </c>
    </row>
    <row r="79" spans="1:1" x14ac:dyDescent="0.2">
      <c r="A79" t="s">
        <v>2099</v>
      </c>
    </row>
    <row r="80" spans="1:1" x14ac:dyDescent="0.2">
      <c r="A80" t="s">
        <v>2206</v>
      </c>
    </row>
    <row r="81" spans="1:1" x14ac:dyDescent="0.2">
      <c r="A81" t="s">
        <v>2420</v>
      </c>
    </row>
    <row r="82" spans="1:1" x14ac:dyDescent="0.2">
      <c r="A82" t="s">
        <v>2313</v>
      </c>
    </row>
    <row r="83" spans="1:1" x14ac:dyDescent="0.2">
      <c r="A83" t="s">
        <v>2527</v>
      </c>
    </row>
    <row r="84" spans="1:1" x14ac:dyDescent="0.2">
      <c r="A84" t="s">
        <v>2635</v>
      </c>
    </row>
    <row r="85" spans="1:1" x14ac:dyDescent="0.2">
      <c r="A85" t="s">
        <v>2100</v>
      </c>
    </row>
    <row r="86" spans="1:1" x14ac:dyDescent="0.2">
      <c r="A86" t="s">
        <v>2207</v>
      </c>
    </row>
    <row r="87" spans="1:1" x14ac:dyDescent="0.2">
      <c r="A87" t="s">
        <v>2421</v>
      </c>
    </row>
    <row r="88" spans="1:1" x14ac:dyDescent="0.2">
      <c r="A88" t="s">
        <v>2314</v>
      </c>
    </row>
    <row r="89" spans="1:1" x14ac:dyDescent="0.2">
      <c r="A89" t="s">
        <v>2528</v>
      </c>
    </row>
    <row r="90" spans="1:1" x14ac:dyDescent="0.2">
      <c r="A90" t="s">
        <v>2637</v>
      </c>
    </row>
    <row r="91" spans="1:1" x14ac:dyDescent="0.2">
      <c r="A91" t="s">
        <v>2102</v>
      </c>
    </row>
    <row r="92" spans="1:1" x14ac:dyDescent="0.2">
      <c r="A92" t="s">
        <v>2209</v>
      </c>
    </row>
    <row r="93" spans="1:1" x14ac:dyDescent="0.2">
      <c r="A93" t="s">
        <v>2423</v>
      </c>
    </row>
    <row r="94" spans="1:1" x14ac:dyDescent="0.2">
      <c r="A94" t="s">
        <v>2316</v>
      </c>
    </row>
    <row r="95" spans="1:1" x14ac:dyDescent="0.2">
      <c r="A95" t="s">
        <v>2530</v>
      </c>
    </row>
    <row r="96" spans="1:1" x14ac:dyDescent="0.2">
      <c r="A96" t="s">
        <v>2638</v>
      </c>
    </row>
    <row r="97" spans="1:1" x14ac:dyDescent="0.2">
      <c r="A97" t="s">
        <v>2103</v>
      </c>
    </row>
    <row r="98" spans="1:1" x14ac:dyDescent="0.2">
      <c r="A98" t="s">
        <v>2210</v>
      </c>
    </row>
    <row r="99" spans="1:1" x14ac:dyDescent="0.2">
      <c r="A99" t="s">
        <v>2424</v>
      </c>
    </row>
    <row r="100" spans="1:1" x14ac:dyDescent="0.2">
      <c r="A100" t="s">
        <v>2317</v>
      </c>
    </row>
    <row r="101" spans="1:1" x14ac:dyDescent="0.2">
      <c r="A101" t="s">
        <v>2531</v>
      </c>
    </row>
    <row r="102" spans="1:1" x14ac:dyDescent="0.2">
      <c r="A102" t="s">
        <v>2639</v>
      </c>
    </row>
    <row r="103" spans="1:1" x14ac:dyDescent="0.2">
      <c r="A103" t="s">
        <v>2104</v>
      </c>
    </row>
    <row r="104" spans="1:1" x14ac:dyDescent="0.2">
      <c r="A104" t="s">
        <v>2211</v>
      </c>
    </row>
    <row r="105" spans="1:1" x14ac:dyDescent="0.2">
      <c r="A105" t="s">
        <v>2425</v>
      </c>
    </row>
    <row r="106" spans="1:1" x14ac:dyDescent="0.2">
      <c r="A106" t="s">
        <v>2318</v>
      </c>
    </row>
    <row r="107" spans="1:1" x14ac:dyDescent="0.2">
      <c r="A107" t="s">
        <v>2532</v>
      </c>
    </row>
    <row r="108" spans="1:1" x14ac:dyDescent="0.2">
      <c r="A108" t="s">
        <v>2640</v>
      </c>
    </row>
    <row r="109" spans="1:1" x14ac:dyDescent="0.2">
      <c r="A109" t="s">
        <v>2105</v>
      </c>
    </row>
    <row r="110" spans="1:1" x14ac:dyDescent="0.2">
      <c r="A110" t="s">
        <v>2212</v>
      </c>
    </row>
    <row r="111" spans="1:1" x14ac:dyDescent="0.2">
      <c r="A111" t="s">
        <v>2426</v>
      </c>
    </row>
    <row r="112" spans="1:1" x14ac:dyDescent="0.2">
      <c r="A112" t="s">
        <v>2319</v>
      </c>
    </row>
    <row r="113" spans="1:1" x14ac:dyDescent="0.2">
      <c r="A113" t="s">
        <v>2533</v>
      </c>
    </row>
    <row r="114" spans="1:1" x14ac:dyDescent="0.2">
      <c r="A114" t="s">
        <v>2641</v>
      </c>
    </row>
    <row r="115" spans="1:1" x14ac:dyDescent="0.2">
      <c r="A115" t="s">
        <v>2106</v>
      </c>
    </row>
    <row r="116" spans="1:1" x14ac:dyDescent="0.2">
      <c r="A116" t="s">
        <v>2213</v>
      </c>
    </row>
    <row r="117" spans="1:1" x14ac:dyDescent="0.2">
      <c r="A117" t="s">
        <v>2427</v>
      </c>
    </row>
    <row r="118" spans="1:1" x14ac:dyDescent="0.2">
      <c r="A118" t="s">
        <v>2320</v>
      </c>
    </row>
    <row r="119" spans="1:1" x14ac:dyDescent="0.2">
      <c r="A119" t="s">
        <v>2534</v>
      </c>
    </row>
    <row r="120" spans="1:1" x14ac:dyDescent="0.2">
      <c r="A120" t="s">
        <v>2642</v>
      </c>
    </row>
    <row r="121" spans="1:1" x14ac:dyDescent="0.2">
      <c r="A121" t="s">
        <v>2107</v>
      </c>
    </row>
    <row r="122" spans="1:1" x14ac:dyDescent="0.2">
      <c r="A122" t="s">
        <v>2214</v>
      </c>
    </row>
    <row r="123" spans="1:1" x14ac:dyDescent="0.2">
      <c r="A123" t="s">
        <v>2428</v>
      </c>
    </row>
    <row r="124" spans="1:1" x14ac:dyDescent="0.2">
      <c r="A124" t="s">
        <v>2321</v>
      </c>
    </row>
    <row r="125" spans="1:1" x14ac:dyDescent="0.2">
      <c r="A125" t="s">
        <v>2535</v>
      </c>
    </row>
    <row r="126" spans="1:1" x14ac:dyDescent="0.2">
      <c r="A126" t="s">
        <v>2644</v>
      </c>
    </row>
    <row r="127" spans="1:1" x14ac:dyDescent="0.2">
      <c r="A127" t="s">
        <v>2109</v>
      </c>
    </row>
    <row r="128" spans="1:1" x14ac:dyDescent="0.2">
      <c r="A128" t="s">
        <v>2216</v>
      </c>
    </row>
    <row r="129" spans="1:1" x14ac:dyDescent="0.2">
      <c r="A129" t="s">
        <v>2430</v>
      </c>
    </row>
    <row r="130" spans="1:1" x14ac:dyDescent="0.2">
      <c r="A130" t="s">
        <v>2323</v>
      </c>
    </row>
    <row r="131" spans="1:1" x14ac:dyDescent="0.2">
      <c r="A131" t="s">
        <v>2537</v>
      </c>
    </row>
    <row r="132" spans="1:1" x14ac:dyDescent="0.2">
      <c r="A132" t="s">
        <v>2645</v>
      </c>
    </row>
    <row r="133" spans="1:1" x14ac:dyDescent="0.2">
      <c r="A133" t="s">
        <v>2110</v>
      </c>
    </row>
    <row r="134" spans="1:1" x14ac:dyDescent="0.2">
      <c r="A134" t="s">
        <v>2217</v>
      </c>
    </row>
    <row r="135" spans="1:1" x14ac:dyDescent="0.2">
      <c r="A135" t="s">
        <v>2431</v>
      </c>
    </row>
    <row r="136" spans="1:1" x14ac:dyDescent="0.2">
      <c r="A136" t="s">
        <v>2324</v>
      </c>
    </row>
    <row r="137" spans="1:1" x14ac:dyDescent="0.2">
      <c r="A137" t="s">
        <v>2538</v>
      </c>
    </row>
    <row r="138" spans="1:1" x14ac:dyDescent="0.2">
      <c r="A138" t="s">
        <v>2646</v>
      </c>
    </row>
    <row r="139" spans="1:1" x14ac:dyDescent="0.2">
      <c r="A139" t="s">
        <v>2111</v>
      </c>
    </row>
    <row r="140" spans="1:1" x14ac:dyDescent="0.2">
      <c r="A140" t="s">
        <v>2218</v>
      </c>
    </row>
    <row r="141" spans="1:1" x14ac:dyDescent="0.2">
      <c r="A141" t="s">
        <v>2432</v>
      </c>
    </row>
    <row r="142" spans="1:1" x14ac:dyDescent="0.2">
      <c r="A142" t="s">
        <v>2325</v>
      </c>
    </row>
    <row r="143" spans="1:1" x14ac:dyDescent="0.2">
      <c r="A143" t="s">
        <v>2539</v>
      </c>
    </row>
    <row r="144" spans="1:1" x14ac:dyDescent="0.2">
      <c r="A144" t="s">
        <v>2647</v>
      </c>
    </row>
    <row r="145" spans="1:1" x14ac:dyDescent="0.2">
      <c r="A145" t="s">
        <v>2112</v>
      </c>
    </row>
    <row r="146" spans="1:1" x14ac:dyDescent="0.2">
      <c r="A146" t="s">
        <v>2219</v>
      </c>
    </row>
    <row r="147" spans="1:1" x14ac:dyDescent="0.2">
      <c r="A147" t="s">
        <v>2433</v>
      </c>
    </row>
    <row r="148" spans="1:1" x14ac:dyDescent="0.2">
      <c r="A148" t="s">
        <v>2326</v>
      </c>
    </row>
    <row r="149" spans="1:1" x14ac:dyDescent="0.2">
      <c r="A149" t="s">
        <v>2540</v>
      </c>
    </row>
    <row r="150" spans="1:1" x14ac:dyDescent="0.2">
      <c r="A150" t="s">
        <v>2648</v>
      </c>
    </row>
    <row r="151" spans="1:1" x14ac:dyDescent="0.2">
      <c r="A151" t="s">
        <v>2113</v>
      </c>
    </row>
    <row r="152" spans="1:1" x14ac:dyDescent="0.2">
      <c r="A152" t="s">
        <v>2220</v>
      </c>
    </row>
    <row r="153" spans="1:1" x14ac:dyDescent="0.2">
      <c r="A153" t="s">
        <v>2434</v>
      </c>
    </row>
    <row r="154" spans="1:1" x14ac:dyDescent="0.2">
      <c r="A154" t="s">
        <v>2327</v>
      </c>
    </row>
    <row r="155" spans="1:1" x14ac:dyDescent="0.2">
      <c r="A155" t="s">
        <v>2541</v>
      </c>
    </row>
    <row r="156" spans="1:1" x14ac:dyDescent="0.2">
      <c r="A156" t="s">
        <v>2649</v>
      </c>
    </row>
    <row r="157" spans="1:1" x14ac:dyDescent="0.2">
      <c r="A157" t="s">
        <v>2114</v>
      </c>
    </row>
    <row r="158" spans="1:1" x14ac:dyDescent="0.2">
      <c r="A158" t="s">
        <v>2221</v>
      </c>
    </row>
    <row r="159" spans="1:1" x14ac:dyDescent="0.2">
      <c r="A159" t="s">
        <v>2435</v>
      </c>
    </row>
    <row r="160" spans="1:1" x14ac:dyDescent="0.2">
      <c r="A160" t="s">
        <v>2328</v>
      </c>
    </row>
    <row r="161" spans="1:1" x14ac:dyDescent="0.2">
      <c r="A161" t="s">
        <v>2542</v>
      </c>
    </row>
    <row r="162" spans="1:1" x14ac:dyDescent="0.2">
      <c r="A162" t="s">
        <v>2651</v>
      </c>
    </row>
    <row r="163" spans="1:1" x14ac:dyDescent="0.2">
      <c r="A163" t="s">
        <v>2116</v>
      </c>
    </row>
    <row r="164" spans="1:1" x14ac:dyDescent="0.2">
      <c r="A164" t="s">
        <v>2223</v>
      </c>
    </row>
    <row r="165" spans="1:1" x14ac:dyDescent="0.2">
      <c r="A165" t="s">
        <v>2437</v>
      </c>
    </row>
    <row r="166" spans="1:1" x14ac:dyDescent="0.2">
      <c r="A166" t="s">
        <v>2330</v>
      </c>
    </row>
    <row r="167" spans="1:1" x14ac:dyDescent="0.2">
      <c r="A167" t="s">
        <v>2544</v>
      </c>
    </row>
    <row r="168" spans="1:1" x14ac:dyDescent="0.2">
      <c r="A168" t="s">
        <v>2652</v>
      </c>
    </row>
    <row r="169" spans="1:1" x14ac:dyDescent="0.2">
      <c r="A169" t="s">
        <v>2117</v>
      </c>
    </row>
    <row r="170" spans="1:1" x14ac:dyDescent="0.2">
      <c r="A170" t="s">
        <v>2224</v>
      </c>
    </row>
    <row r="171" spans="1:1" x14ac:dyDescent="0.2">
      <c r="A171" t="s">
        <v>2438</v>
      </c>
    </row>
    <row r="172" spans="1:1" x14ac:dyDescent="0.2">
      <c r="A172" t="s">
        <v>2331</v>
      </c>
    </row>
    <row r="173" spans="1:1" x14ac:dyDescent="0.2">
      <c r="A173" t="s">
        <v>2545</v>
      </c>
    </row>
    <row r="174" spans="1:1" x14ac:dyDescent="0.2">
      <c r="A174" t="s">
        <v>2653</v>
      </c>
    </row>
    <row r="175" spans="1:1" x14ac:dyDescent="0.2">
      <c r="A175" t="s">
        <v>2118</v>
      </c>
    </row>
    <row r="176" spans="1:1" x14ac:dyDescent="0.2">
      <c r="A176" t="s">
        <v>2225</v>
      </c>
    </row>
    <row r="177" spans="1:1" x14ac:dyDescent="0.2">
      <c r="A177" t="s">
        <v>2439</v>
      </c>
    </row>
    <row r="178" spans="1:1" x14ac:dyDescent="0.2">
      <c r="A178" t="s">
        <v>2332</v>
      </c>
    </row>
    <row r="179" spans="1:1" x14ac:dyDescent="0.2">
      <c r="A179" t="s">
        <v>2546</v>
      </c>
    </row>
    <row r="180" spans="1:1" x14ac:dyDescent="0.2">
      <c r="A180" t="s">
        <v>2654</v>
      </c>
    </row>
    <row r="181" spans="1:1" x14ac:dyDescent="0.2">
      <c r="A181" t="s">
        <v>2119</v>
      </c>
    </row>
    <row r="182" spans="1:1" x14ac:dyDescent="0.2">
      <c r="A182" t="s">
        <v>2226</v>
      </c>
    </row>
    <row r="183" spans="1:1" x14ac:dyDescent="0.2">
      <c r="A183" t="s">
        <v>2440</v>
      </c>
    </row>
    <row r="184" spans="1:1" x14ac:dyDescent="0.2">
      <c r="A184" t="s">
        <v>2333</v>
      </c>
    </row>
    <row r="185" spans="1:1" x14ac:dyDescent="0.2">
      <c r="A185" t="s">
        <v>2547</v>
      </c>
    </row>
    <row r="186" spans="1:1" x14ac:dyDescent="0.2">
      <c r="A186" t="s">
        <v>2655</v>
      </c>
    </row>
    <row r="187" spans="1:1" x14ac:dyDescent="0.2">
      <c r="A187" t="s">
        <v>2120</v>
      </c>
    </row>
    <row r="188" spans="1:1" x14ac:dyDescent="0.2">
      <c r="A188" t="s">
        <v>2227</v>
      </c>
    </row>
    <row r="189" spans="1:1" x14ac:dyDescent="0.2">
      <c r="A189" t="s">
        <v>2441</v>
      </c>
    </row>
    <row r="190" spans="1:1" x14ac:dyDescent="0.2">
      <c r="A190" t="s">
        <v>2334</v>
      </c>
    </row>
    <row r="191" spans="1:1" x14ac:dyDescent="0.2">
      <c r="A191" t="s">
        <v>2548</v>
      </c>
    </row>
    <row r="192" spans="1:1" x14ac:dyDescent="0.2">
      <c r="A192" t="s">
        <v>2656</v>
      </c>
    </row>
    <row r="193" spans="1:1" x14ac:dyDescent="0.2">
      <c r="A193" t="s">
        <v>2121</v>
      </c>
    </row>
    <row r="194" spans="1:1" x14ac:dyDescent="0.2">
      <c r="A194" t="s">
        <v>2228</v>
      </c>
    </row>
    <row r="195" spans="1:1" x14ac:dyDescent="0.2">
      <c r="A195" t="s">
        <v>2442</v>
      </c>
    </row>
    <row r="196" spans="1:1" x14ac:dyDescent="0.2">
      <c r="A196" t="s">
        <v>2335</v>
      </c>
    </row>
    <row r="197" spans="1:1" x14ac:dyDescent="0.2">
      <c r="A197" t="s">
        <v>2549</v>
      </c>
    </row>
    <row r="198" spans="1:1" x14ac:dyDescent="0.2">
      <c r="A198" t="s">
        <v>2658</v>
      </c>
    </row>
    <row r="199" spans="1:1" x14ac:dyDescent="0.2">
      <c r="A199" t="s">
        <v>2123</v>
      </c>
    </row>
    <row r="200" spans="1:1" x14ac:dyDescent="0.2">
      <c r="A200" t="s">
        <v>2230</v>
      </c>
    </row>
    <row r="201" spans="1:1" x14ac:dyDescent="0.2">
      <c r="A201" t="s">
        <v>2444</v>
      </c>
    </row>
    <row r="202" spans="1:1" x14ac:dyDescent="0.2">
      <c r="A202" t="s">
        <v>2337</v>
      </c>
    </row>
    <row r="203" spans="1:1" x14ac:dyDescent="0.2">
      <c r="A203" t="s">
        <v>2551</v>
      </c>
    </row>
    <row r="204" spans="1:1" x14ac:dyDescent="0.2">
      <c r="A204" t="s">
        <v>2659</v>
      </c>
    </row>
    <row r="205" spans="1:1" x14ac:dyDescent="0.2">
      <c r="A205" t="s">
        <v>2124</v>
      </c>
    </row>
    <row r="206" spans="1:1" x14ac:dyDescent="0.2">
      <c r="A206" t="s">
        <v>2231</v>
      </c>
    </row>
    <row r="207" spans="1:1" x14ac:dyDescent="0.2">
      <c r="A207" t="s">
        <v>2445</v>
      </c>
    </row>
    <row r="208" spans="1:1" x14ac:dyDescent="0.2">
      <c r="A208" t="s">
        <v>2338</v>
      </c>
    </row>
    <row r="209" spans="1:1" x14ac:dyDescent="0.2">
      <c r="A209" t="s">
        <v>2552</v>
      </c>
    </row>
    <row r="210" spans="1:1" x14ac:dyDescent="0.2">
      <c r="A210" t="s">
        <v>2660</v>
      </c>
    </row>
    <row r="211" spans="1:1" x14ac:dyDescent="0.2">
      <c r="A211" t="s">
        <v>2125</v>
      </c>
    </row>
    <row r="212" spans="1:1" x14ac:dyDescent="0.2">
      <c r="A212" t="s">
        <v>2232</v>
      </c>
    </row>
    <row r="213" spans="1:1" x14ac:dyDescent="0.2">
      <c r="A213" t="s">
        <v>2446</v>
      </c>
    </row>
    <row r="214" spans="1:1" x14ac:dyDescent="0.2">
      <c r="A214" t="s">
        <v>2339</v>
      </c>
    </row>
    <row r="215" spans="1:1" x14ac:dyDescent="0.2">
      <c r="A215" t="s">
        <v>2553</v>
      </c>
    </row>
    <row r="216" spans="1:1" x14ac:dyDescent="0.2">
      <c r="A216" t="s">
        <v>2661</v>
      </c>
    </row>
    <row r="217" spans="1:1" x14ac:dyDescent="0.2">
      <c r="A217" t="s">
        <v>2126</v>
      </c>
    </row>
    <row r="218" spans="1:1" x14ac:dyDescent="0.2">
      <c r="A218" t="s">
        <v>2233</v>
      </c>
    </row>
    <row r="219" spans="1:1" x14ac:dyDescent="0.2">
      <c r="A219" t="s">
        <v>2447</v>
      </c>
    </row>
    <row r="220" spans="1:1" x14ac:dyDescent="0.2">
      <c r="A220" t="s">
        <v>2340</v>
      </c>
    </row>
    <row r="221" spans="1:1" x14ac:dyDescent="0.2">
      <c r="A221" t="s">
        <v>2554</v>
      </c>
    </row>
    <row r="222" spans="1:1" x14ac:dyDescent="0.2">
      <c r="A222" t="s">
        <v>2662</v>
      </c>
    </row>
    <row r="223" spans="1:1" x14ac:dyDescent="0.2">
      <c r="A223" t="s">
        <v>2127</v>
      </c>
    </row>
    <row r="224" spans="1:1" x14ac:dyDescent="0.2">
      <c r="A224" t="s">
        <v>2234</v>
      </c>
    </row>
    <row r="225" spans="1:1" x14ac:dyDescent="0.2">
      <c r="A225" t="s">
        <v>2448</v>
      </c>
    </row>
    <row r="226" spans="1:1" x14ac:dyDescent="0.2">
      <c r="A226" t="s">
        <v>2341</v>
      </c>
    </row>
    <row r="227" spans="1:1" x14ac:dyDescent="0.2">
      <c r="A227" t="s">
        <v>2555</v>
      </c>
    </row>
    <row r="228" spans="1:1" x14ac:dyDescent="0.2">
      <c r="A228" t="s">
        <v>2663</v>
      </c>
    </row>
    <row r="229" spans="1:1" x14ac:dyDescent="0.2">
      <c r="A229" t="s">
        <v>2128</v>
      </c>
    </row>
    <row r="230" spans="1:1" x14ac:dyDescent="0.2">
      <c r="A230" t="s">
        <v>2235</v>
      </c>
    </row>
    <row r="231" spans="1:1" x14ac:dyDescent="0.2">
      <c r="A231" t="s">
        <v>2449</v>
      </c>
    </row>
    <row r="232" spans="1:1" x14ac:dyDescent="0.2">
      <c r="A232" t="s">
        <v>2342</v>
      </c>
    </row>
    <row r="233" spans="1:1" x14ac:dyDescent="0.2">
      <c r="A233" t="s">
        <v>2556</v>
      </c>
    </row>
    <row r="234" spans="1:1" x14ac:dyDescent="0.2">
      <c r="A234" t="s">
        <v>2665</v>
      </c>
    </row>
    <row r="235" spans="1:1" x14ac:dyDescent="0.2">
      <c r="A235" t="s">
        <v>2130</v>
      </c>
    </row>
    <row r="236" spans="1:1" x14ac:dyDescent="0.2">
      <c r="A236" t="s">
        <v>2237</v>
      </c>
    </row>
    <row r="237" spans="1:1" x14ac:dyDescent="0.2">
      <c r="A237" t="s">
        <v>2451</v>
      </c>
    </row>
    <row r="238" spans="1:1" x14ac:dyDescent="0.2">
      <c r="A238" t="s">
        <v>2344</v>
      </c>
    </row>
    <row r="239" spans="1:1" x14ac:dyDescent="0.2">
      <c r="A239" t="s">
        <v>2558</v>
      </c>
    </row>
    <row r="240" spans="1:1" x14ac:dyDescent="0.2">
      <c r="A240" t="s">
        <v>2666</v>
      </c>
    </row>
    <row r="241" spans="1:1" x14ac:dyDescent="0.2">
      <c r="A241" t="s">
        <v>2131</v>
      </c>
    </row>
    <row r="242" spans="1:1" x14ac:dyDescent="0.2">
      <c r="A242" t="s">
        <v>2238</v>
      </c>
    </row>
    <row r="243" spans="1:1" x14ac:dyDescent="0.2">
      <c r="A243" t="s">
        <v>2452</v>
      </c>
    </row>
    <row r="244" spans="1:1" x14ac:dyDescent="0.2">
      <c r="A244" t="s">
        <v>2345</v>
      </c>
    </row>
    <row r="245" spans="1:1" x14ac:dyDescent="0.2">
      <c r="A245" t="s">
        <v>2559</v>
      </c>
    </row>
    <row r="246" spans="1:1" x14ac:dyDescent="0.2">
      <c r="A246" t="s">
        <v>2667</v>
      </c>
    </row>
    <row r="247" spans="1:1" x14ac:dyDescent="0.2">
      <c r="A247" t="s">
        <v>2132</v>
      </c>
    </row>
    <row r="248" spans="1:1" x14ac:dyDescent="0.2">
      <c r="A248" t="s">
        <v>2239</v>
      </c>
    </row>
    <row r="249" spans="1:1" x14ac:dyDescent="0.2">
      <c r="A249" t="s">
        <v>2453</v>
      </c>
    </row>
    <row r="250" spans="1:1" x14ac:dyDescent="0.2">
      <c r="A250" t="s">
        <v>2346</v>
      </c>
    </row>
    <row r="251" spans="1:1" x14ac:dyDescent="0.2">
      <c r="A251" t="s">
        <v>2560</v>
      </c>
    </row>
    <row r="252" spans="1:1" x14ac:dyDescent="0.2">
      <c r="A252" t="s">
        <v>2668</v>
      </c>
    </row>
    <row r="253" spans="1:1" x14ac:dyDescent="0.2">
      <c r="A253" t="s">
        <v>2133</v>
      </c>
    </row>
    <row r="254" spans="1:1" x14ac:dyDescent="0.2">
      <c r="A254" t="s">
        <v>2240</v>
      </c>
    </row>
    <row r="255" spans="1:1" x14ac:dyDescent="0.2">
      <c r="A255" t="s">
        <v>2454</v>
      </c>
    </row>
    <row r="256" spans="1:1" x14ac:dyDescent="0.2">
      <c r="A256" t="s">
        <v>2347</v>
      </c>
    </row>
    <row r="257" spans="1:1" x14ac:dyDescent="0.2">
      <c r="A257" t="s">
        <v>2561</v>
      </c>
    </row>
    <row r="258" spans="1:1" x14ac:dyDescent="0.2">
      <c r="A258" t="s">
        <v>2669</v>
      </c>
    </row>
    <row r="259" spans="1:1" x14ac:dyDescent="0.2">
      <c r="A259" t="s">
        <v>2134</v>
      </c>
    </row>
    <row r="260" spans="1:1" x14ac:dyDescent="0.2">
      <c r="A260" t="s">
        <v>2241</v>
      </c>
    </row>
    <row r="261" spans="1:1" x14ac:dyDescent="0.2">
      <c r="A261" t="s">
        <v>2455</v>
      </c>
    </row>
    <row r="262" spans="1:1" x14ac:dyDescent="0.2">
      <c r="A262" t="s">
        <v>2348</v>
      </c>
    </row>
    <row r="263" spans="1:1" x14ac:dyDescent="0.2">
      <c r="A263" t="s">
        <v>2562</v>
      </c>
    </row>
    <row r="264" spans="1:1" x14ac:dyDescent="0.2">
      <c r="A264" t="s">
        <v>2670</v>
      </c>
    </row>
    <row r="265" spans="1:1" x14ac:dyDescent="0.2">
      <c r="A265" t="s">
        <v>2135</v>
      </c>
    </row>
    <row r="266" spans="1:1" x14ac:dyDescent="0.2">
      <c r="A266" t="s">
        <v>2242</v>
      </c>
    </row>
    <row r="267" spans="1:1" x14ac:dyDescent="0.2">
      <c r="A267" t="s">
        <v>2456</v>
      </c>
    </row>
    <row r="268" spans="1:1" x14ac:dyDescent="0.2">
      <c r="A268" t="s">
        <v>2349</v>
      </c>
    </row>
    <row r="269" spans="1:1" x14ac:dyDescent="0.2">
      <c r="A269" t="s">
        <v>2563</v>
      </c>
    </row>
    <row r="270" spans="1:1" x14ac:dyDescent="0.2">
      <c r="A270" t="s">
        <v>2672</v>
      </c>
    </row>
    <row r="271" spans="1:1" x14ac:dyDescent="0.2">
      <c r="A271" t="s">
        <v>2137</v>
      </c>
    </row>
    <row r="272" spans="1:1" x14ac:dyDescent="0.2">
      <c r="A272" t="s">
        <v>2244</v>
      </c>
    </row>
    <row r="273" spans="1:1" x14ac:dyDescent="0.2">
      <c r="A273" t="s">
        <v>2458</v>
      </c>
    </row>
    <row r="274" spans="1:1" x14ac:dyDescent="0.2">
      <c r="A274" t="s">
        <v>2351</v>
      </c>
    </row>
    <row r="275" spans="1:1" x14ac:dyDescent="0.2">
      <c r="A275" t="s">
        <v>2565</v>
      </c>
    </row>
    <row r="276" spans="1:1" x14ac:dyDescent="0.2">
      <c r="A276" t="s">
        <v>2673</v>
      </c>
    </row>
    <row r="277" spans="1:1" x14ac:dyDescent="0.2">
      <c r="A277" t="s">
        <v>2138</v>
      </c>
    </row>
    <row r="278" spans="1:1" x14ac:dyDescent="0.2">
      <c r="A278" t="s">
        <v>2245</v>
      </c>
    </row>
    <row r="279" spans="1:1" x14ac:dyDescent="0.2">
      <c r="A279" t="s">
        <v>2459</v>
      </c>
    </row>
    <row r="280" spans="1:1" x14ac:dyDescent="0.2">
      <c r="A280" t="s">
        <v>2352</v>
      </c>
    </row>
    <row r="281" spans="1:1" x14ac:dyDescent="0.2">
      <c r="A281" t="s">
        <v>2566</v>
      </c>
    </row>
    <row r="282" spans="1:1" x14ac:dyDescent="0.2">
      <c r="A282" t="s">
        <v>2674</v>
      </c>
    </row>
    <row r="283" spans="1:1" x14ac:dyDescent="0.2">
      <c r="A283" t="s">
        <v>2139</v>
      </c>
    </row>
    <row r="284" spans="1:1" x14ac:dyDescent="0.2">
      <c r="A284" t="s">
        <v>2246</v>
      </c>
    </row>
    <row r="285" spans="1:1" x14ac:dyDescent="0.2">
      <c r="A285" t="s">
        <v>2460</v>
      </c>
    </row>
    <row r="286" spans="1:1" x14ac:dyDescent="0.2">
      <c r="A286" t="s">
        <v>2353</v>
      </c>
    </row>
    <row r="287" spans="1:1" x14ac:dyDescent="0.2">
      <c r="A287" t="s">
        <v>2567</v>
      </c>
    </row>
    <row r="288" spans="1:1" x14ac:dyDescent="0.2">
      <c r="A288" t="s">
        <v>2675</v>
      </c>
    </row>
    <row r="289" spans="1:1" x14ac:dyDescent="0.2">
      <c r="A289" t="s">
        <v>2140</v>
      </c>
    </row>
    <row r="290" spans="1:1" x14ac:dyDescent="0.2">
      <c r="A290" t="s">
        <v>2247</v>
      </c>
    </row>
    <row r="291" spans="1:1" x14ac:dyDescent="0.2">
      <c r="A291" t="s">
        <v>2461</v>
      </c>
    </row>
    <row r="292" spans="1:1" x14ac:dyDescent="0.2">
      <c r="A292" t="s">
        <v>2354</v>
      </c>
    </row>
    <row r="293" spans="1:1" x14ac:dyDescent="0.2">
      <c r="A293" t="s">
        <v>2568</v>
      </c>
    </row>
    <row r="294" spans="1:1" x14ac:dyDescent="0.2">
      <c r="A294" t="s">
        <v>2676</v>
      </c>
    </row>
    <row r="295" spans="1:1" x14ac:dyDescent="0.2">
      <c r="A295" t="s">
        <v>2141</v>
      </c>
    </row>
    <row r="296" spans="1:1" x14ac:dyDescent="0.2">
      <c r="A296" t="s">
        <v>2248</v>
      </c>
    </row>
    <row r="297" spans="1:1" x14ac:dyDescent="0.2">
      <c r="A297" t="s">
        <v>2462</v>
      </c>
    </row>
    <row r="298" spans="1:1" x14ac:dyDescent="0.2">
      <c r="A298" t="s">
        <v>2355</v>
      </c>
    </row>
    <row r="299" spans="1:1" x14ac:dyDescent="0.2">
      <c r="A299" t="s">
        <v>2569</v>
      </c>
    </row>
    <row r="300" spans="1:1" x14ac:dyDescent="0.2">
      <c r="A300" t="s">
        <v>2677</v>
      </c>
    </row>
    <row r="301" spans="1:1" x14ac:dyDescent="0.2">
      <c r="A301" t="s">
        <v>2142</v>
      </c>
    </row>
    <row r="302" spans="1:1" x14ac:dyDescent="0.2">
      <c r="A302" t="s">
        <v>2249</v>
      </c>
    </row>
    <row r="303" spans="1:1" x14ac:dyDescent="0.2">
      <c r="A303" t="s">
        <v>2463</v>
      </c>
    </row>
    <row r="304" spans="1:1" x14ac:dyDescent="0.2">
      <c r="A304" t="s">
        <v>2356</v>
      </c>
    </row>
    <row r="305" spans="1:1" x14ac:dyDescent="0.2">
      <c r="A305" t="s">
        <v>2570</v>
      </c>
    </row>
    <row r="306" spans="1:1" x14ac:dyDescent="0.2">
      <c r="A306" t="s">
        <v>2680</v>
      </c>
    </row>
    <row r="307" spans="1:1" x14ac:dyDescent="0.2">
      <c r="A307" t="s">
        <v>2145</v>
      </c>
    </row>
    <row r="308" spans="1:1" x14ac:dyDescent="0.2">
      <c r="A308" t="s">
        <v>2252</v>
      </c>
    </row>
    <row r="309" spans="1:1" x14ac:dyDescent="0.2">
      <c r="A309" t="s">
        <v>2466</v>
      </c>
    </row>
    <row r="310" spans="1:1" x14ac:dyDescent="0.2">
      <c r="A310" t="s">
        <v>2359</v>
      </c>
    </row>
    <row r="311" spans="1:1" x14ac:dyDescent="0.2">
      <c r="A311" t="s">
        <v>2573</v>
      </c>
    </row>
    <row r="312" spans="1:1" x14ac:dyDescent="0.2">
      <c r="A312" t="s">
        <v>2681</v>
      </c>
    </row>
    <row r="313" spans="1:1" x14ac:dyDescent="0.2">
      <c r="A313" t="s">
        <v>2146</v>
      </c>
    </row>
    <row r="314" spans="1:1" x14ac:dyDescent="0.2">
      <c r="A314" t="s">
        <v>2253</v>
      </c>
    </row>
    <row r="315" spans="1:1" x14ac:dyDescent="0.2">
      <c r="A315" t="s">
        <v>2467</v>
      </c>
    </row>
    <row r="316" spans="1:1" x14ac:dyDescent="0.2">
      <c r="A316" t="s">
        <v>2360</v>
      </c>
    </row>
    <row r="317" spans="1:1" x14ac:dyDescent="0.2">
      <c r="A317" t="s">
        <v>2574</v>
      </c>
    </row>
    <row r="318" spans="1:1" x14ac:dyDescent="0.2">
      <c r="A318" t="s">
        <v>2682</v>
      </c>
    </row>
    <row r="319" spans="1:1" x14ac:dyDescent="0.2">
      <c r="A319" t="s">
        <v>2147</v>
      </c>
    </row>
    <row r="320" spans="1:1" x14ac:dyDescent="0.2">
      <c r="A320" t="s">
        <v>2254</v>
      </c>
    </row>
    <row r="321" spans="1:1" x14ac:dyDescent="0.2">
      <c r="A321" t="s">
        <v>2468</v>
      </c>
    </row>
    <row r="322" spans="1:1" x14ac:dyDescent="0.2">
      <c r="A322" t="s">
        <v>2361</v>
      </c>
    </row>
    <row r="323" spans="1:1" x14ac:dyDescent="0.2">
      <c r="A323" t="s">
        <v>2575</v>
      </c>
    </row>
    <row r="324" spans="1:1" x14ac:dyDescent="0.2">
      <c r="A324" t="s">
        <v>2683</v>
      </c>
    </row>
    <row r="325" spans="1:1" x14ac:dyDescent="0.2">
      <c r="A325" t="s">
        <v>2148</v>
      </c>
    </row>
    <row r="326" spans="1:1" x14ac:dyDescent="0.2">
      <c r="A326" t="s">
        <v>2255</v>
      </c>
    </row>
    <row r="327" spans="1:1" x14ac:dyDescent="0.2">
      <c r="A327" t="s">
        <v>2469</v>
      </c>
    </row>
    <row r="328" spans="1:1" x14ac:dyDescent="0.2">
      <c r="A328" t="s">
        <v>2362</v>
      </c>
    </row>
    <row r="329" spans="1:1" x14ac:dyDescent="0.2">
      <c r="A329" t="s">
        <v>2576</v>
      </c>
    </row>
    <row r="330" spans="1:1" x14ac:dyDescent="0.2">
      <c r="A330" t="s">
        <v>2684</v>
      </c>
    </row>
    <row r="331" spans="1:1" x14ac:dyDescent="0.2">
      <c r="A331" t="s">
        <v>2149</v>
      </c>
    </row>
    <row r="332" spans="1:1" x14ac:dyDescent="0.2">
      <c r="A332" t="s">
        <v>2256</v>
      </c>
    </row>
    <row r="333" spans="1:1" x14ac:dyDescent="0.2">
      <c r="A333" t="s">
        <v>2470</v>
      </c>
    </row>
    <row r="334" spans="1:1" x14ac:dyDescent="0.2">
      <c r="A334" t="s">
        <v>2363</v>
      </c>
    </row>
    <row r="335" spans="1:1" x14ac:dyDescent="0.2">
      <c r="A335" t="s">
        <v>2577</v>
      </c>
    </row>
    <row r="336" spans="1:1" x14ac:dyDescent="0.2">
      <c r="A336" t="s">
        <v>2685</v>
      </c>
    </row>
    <row r="337" spans="1:1" x14ac:dyDescent="0.2">
      <c r="A337" t="s">
        <v>2150</v>
      </c>
    </row>
    <row r="338" spans="1:1" x14ac:dyDescent="0.2">
      <c r="A338" t="s">
        <v>2257</v>
      </c>
    </row>
    <row r="339" spans="1:1" x14ac:dyDescent="0.2">
      <c r="A339" t="s">
        <v>2471</v>
      </c>
    </row>
    <row r="340" spans="1:1" x14ac:dyDescent="0.2">
      <c r="A340" t="s">
        <v>2364</v>
      </c>
    </row>
    <row r="341" spans="1:1" x14ac:dyDescent="0.2">
      <c r="A341" t="s">
        <v>2578</v>
      </c>
    </row>
    <row r="342" spans="1:1" x14ac:dyDescent="0.2">
      <c r="A342" t="s">
        <v>2687</v>
      </c>
    </row>
    <row r="343" spans="1:1" x14ac:dyDescent="0.2">
      <c r="A343" t="s">
        <v>2152</v>
      </c>
    </row>
    <row r="344" spans="1:1" x14ac:dyDescent="0.2">
      <c r="A344" t="s">
        <v>2259</v>
      </c>
    </row>
    <row r="345" spans="1:1" x14ac:dyDescent="0.2">
      <c r="A345" t="s">
        <v>2473</v>
      </c>
    </row>
    <row r="346" spans="1:1" x14ac:dyDescent="0.2">
      <c r="A346" t="s">
        <v>2366</v>
      </c>
    </row>
    <row r="347" spans="1:1" x14ac:dyDescent="0.2">
      <c r="A347" t="s">
        <v>2580</v>
      </c>
    </row>
    <row r="348" spans="1:1" x14ac:dyDescent="0.2">
      <c r="A348" t="s">
        <v>2688</v>
      </c>
    </row>
    <row r="349" spans="1:1" x14ac:dyDescent="0.2">
      <c r="A349" t="s">
        <v>2153</v>
      </c>
    </row>
    <row r="350" spans="1:1" x14ac:dyDescent="0.2">
      <c r="A350" t="s">
        <v>2260</v>
      </c>
    </row>
    <row r="351" spans="1:1" x14ac:dyDescent="0.2">
      <c r="A351" t="s">
        <v>2474</v>
      </c>
    </row>
    <row r="352" spans="1:1" x14ac:dyDescent="0.2">
      <c r="A352" t="s">
        <v>2367</v>
      </c>
    </row>
    <row r="353" spans="1:1" x14ac:dyDescent="0.2">
      <c r="A353" t="s">
        <v>2581</v>
      </c>
    </row>
    <row r="354" spans="1:1" x14ac:dyDescent="0.2">
      <c r="A354" t="s">
        <v>2689</v>
      </c>
    </row>
    <row r="355" spans="1:1" x14ac:dyDescent="0.2">
      <c r="A355" t="s">
        <v>2154</v>
      </c>
    </row>
    <row r="356" spans="1:1" x14ac:dyDescent="0.2">
      <c r="A356" t="s">
        <v>2261</v>
      </c>
    </row>
    <row r="357" spans="1:1" x14ac:dyDescent="0.2">
      <c r="A357" t="s">
        <v>2475</v>
      </c>
    </row>
    <row r="358" spans="1:1" x14ac:dyDescent="0.2">
      <c r="A358" t="s">
        <v>2368</v>
      </c>
    </row>
    <row r="359" spans="1:1" x14ac:dyDescent="0.2">
      <c r="A359" t="s">
        <v>2582</v>
      </c>
    </row>
    <row r="360" spans="1:1" x14ac:dyDescent="0.2">
      <c r="A360" t="s">
        <v>2690</v>
      </c>
    </row>
    <row r="361" spans="1:1" x14ac:dyDescent="0.2">
      <c r="A361" t="s">
        <v>2155</v>
      </c>
    </row>
    <row r="362" spans="1:1" x14ac:dyDescent="0.2">
      <c r="A362" t="s">
        <v>2262</v>
      </c>
    </row>
    <row r="363" spans="1:1" x14ac:dyDescent="0.2">
      <c r="A363" t="s">
        <v>2476</v>
      </c>
    </row>
    <row r="364" spans="1:1" x14ac:dyDescent="0.2">
      <c r="A364" t="s">
        <v>2369</v>
      </c>
    </row>
    <row r="365" spans="1:1" x14ac:dyDescent="0.2">
      <c r="A365" t="s">
        <v>2583</v>
      </c>
    </row>
    <row r="366" spans="1:1" x14ac:dyDescent="0.2">
      <c r="A366" t="s">
        <v>2691</v>
      </c>
    </row>
    <row r="367" spans="1:1" x14ac:dyDescent="0.2">
      <c r="A367" t="s">
        <v>2156</v>
      </c>
    </row>
    <row r="368" spans="1:1" x14ac:dyDescent="0.2">
      <c r="A368" t="s">
        <v>2263</v>
      </c>
    </row>
    <row r="369" spans="1:1" x14ac:dyDescent="0.2">
      <c r="A369" t="s">
        <v>2477</v>
      </c>
    </row>
    <row r="370" spans="1:1" x14ac:dyDescent="0.2">
      <c r="A370" t="s">
        <v>2370</v>
      </c>
    </row>
    <row r="371" spans="1:1" x14ac:dyDescent="0.2">
      <c r="A371" t="s">
        <v>2584</v>
      </c>
    </row>
    <row r="372" spans="1:1" x14ac:dyDescent="0.2">
      <c r="A372" t="s">
        <v>2692</v>
      </c>
    </row>
    <row r="373" spans="1:1" x14ac:dyDescent="0.2">
      <c r="A373" t="s">
        <v>2157</v>
      </c>
    </row>
    <row r="374" spans="1:1" x14ac:dyDescent="0.2">
      <c r="A374" t="s">
        <v>2264</v>
      </c>
    </row>
    <row r="375" spans="1:1" x14ac:dyDescent="0.2">
      <c r="A375" t="s">
        <v>2478</v>
      </c>
    </row>
    <row r="376" spans="1:1" x14ac:dyDescent="0.2">
      <c r="A376" t="s">
        <v>2371</v>
      </c>
    </row>
    <row r="377" spans="1:1" x14ac:dyDescent="0.2">
      <c r="A377" t="s">
        <v>2585</v>
      </c>
    </row>
    <row r="378" spans="1:1" x14ac:dyDescent="0.2">
      <c r="A378" t="s">
        <v>2693</v>
      </c>
    </row>
    <row r="379" spans="1:1" x14ac:dyDescent="0.2">
      <c r="A379" t="s">
        <v>2158</v>
      </c>
    </row>
    <row r="380" spans="1:1" x14ac:dyDescent="0.2">
      <c r="A380" t="s">
        <v>2265</v>
      </c>
    </row>
    <row r="381" spans="1:1" x14ac:dyDescent="0.2">
      <c r="A381" t="s">
        <v>2479</v>
      </c>
    </row>
    <row r="382" spans="1:1" x14ac:dyDescent="0.2">
      <c r="A382" t="s">
        <v>2372</v>
      </c>
    </row>
    <row r="383" spans="1:1" x14ac:dyDescent="0.2">
      <c r="A383" t="s">
        <v>2586</v>
      </c>
    </row>
    <row r="384" spans="1:1" x14ac:dyDescent="0.2">
      <c r="A384" t="s">
        <v>2679</v>
      </c>
    </row>
    <row r="385" spans="1:1" x14ac:dyDescent="0.2">
      <c r="A385" t="s">
        <v>2144</v>
      </c>
    </row>
    <row r="386" spans="1:1" x14ac:dyDescent="0.2">
      <c r="A386" t="s">
        <v>2251</v>
      </c>
    </row>
    <row r="387" spans="1:1" x14ac:dyDescent="0.2">
      <c r="A387" t="s">
        <v>2465</v>
      </c>
    </row>
    <row r="388" spans="1:1" x14ac:dyDescent="0.2">
      <c r="A388" t="s">
        <v>2358</v>
      </c>
    </row>
    <row r="389" spans="1:1" x14ac:dyDescent="0.2">
      <c r="A389" t="s">
        <v>2572</v>
      </c>
    </row>
    <row r="390" spans="1:1" x14ac:dyDescent="0.2">
      <c r="A390" t="s">
        <v>2636</v>
      </c>
    </row>
    <row r="391" spans="1:1" x14ac:dyDescent="0.2">
      <c r="A391" t="s">
        <v>2101</v>
      </c>
    </row>
    <row r="392" spans="1:1" x14ac:dyDescent="0.2">
      <c r="A392" t="s">
        <v>2208</v>
      </c>
    </row>
    <row r="393" spans="1:1" x14ac:dyDescent="0.2">
      <c r="A393" t="s">
        <v>2422</v>
      </c>
    </row>
    <row r="394" spans="1:1" x14ac:dyDescent="0.2">
      <c r="A394" t="s">
        <v>2315</v>
      </c>
    </row>
    <row r="395" spans="1:1" x14ac:dyDescent="0.2">
      <c r="A395" t="s">
        <v>2529</v>
      </c>
    </row>
    <row r="396" spans="1:1" x14ac:dyDescent="0.2">
      <c r="A396" t="s">
        <v>2643</v>
      </c>
    </row>
    <row r="397" spans="1:1" x14ac:dyDescent="0.2">
      <c r="A397" t="s">
        <v>2108</v>
      </c>
    </row>
    <row r="398" spans="1:1" x14ac:dyDescent="0.2">
      <c r="A398" t="s">
        <v>2215</v>
      </c>
    </row>
    <row r="399" spans="1:1" x14ac:dyDescent="0.2">
      <c r="A399" t="s">
        <v>2429</v>
      </c>
    </row>
    <row r="400" spans="1:1" x14ac:dyDescent="0.2">
      <c r="A400" t="s">
        <v>2322</v>
      </c>
    </row>
    <row r="401" spans="1:1" x14ac:dyDescent="0.2">
      <c r="A401" t="s">
        <v>2536</v>
      </c>
    </row>
    <row r="402" spans="1:1" x14ac:dyDescent="0.2">
      <c r="A402" t="s">
        <v>2650</v>
      </c>
    </row>
    <row r="403" spans="1:1" x14ac:dyDescent="0.2">
      <c r="A403" t="s">
        <v>2115</v>
      </c>
    </row>
    <row r="404" spans="1:1" x14ac:dyDescent="0.2">
      <c r="A404" t="s">
        <v>2222</v>
      </c>
    </row>
    <row r="405" spans="1:1" x14ac:dyDescent="0.2">
      <c r="A405" t="s">
        <v>2436</v>
      </c>
    </row>
    <row r="406" spans="1:1" x14ac:dyDescent="0.2">
      <c r="A406" t="s">
        <v>2329</v>
      </c>
    </row>
    <row r="407" spans="1:1" x14ac:dyDescent="0.2">
      <c r="A407" t="s">
        <v>2543</v>
      </c>
    </row>
    <row r="408" spans="1:1" x14ac:dyDescent="0.2">
      <c r="A408" t="s">
        <v>2657</v>
      </c>
    </row>
    <row r="409" spans="1:1" x14ac:dyDescent="0.2">
      <c r="A409" t="s">
        <v>2122</v>
      </c>
    </row>
    <row r="410" spans="1:1" x14ac:dyDescent="0.2">
      <c r="A410" t="s">
        <v>2229</v>
      </c>
    </row>
    <row r="411" spans="1:1" x14ac:dyDescent="0.2">
      <c r="A411" t="s">
        <v>2443</v>
      </c>
    </row>
    <row r="412" spans="1:1" x14ac:dyDescent="0.2">
      <c r="A412" t="s">
        <v>2336</v>
      </c>
    </row>
    <row r="413" spans="1:1" x14ac:dyDescent="0.2">
      <c r="A413" t="s">
        <v>2550</v>
      </c>
    </row>
    <row r="414" spans="1:1" x14ac:dyDescent="0.2">
      <c r="A414" t="s">
        <v>2664</v>
      </c>
    </row>
    <row r="415" spans="1:1" x14ac:dyDescent="0.2">
      <c r="A415" t="s">
        <v>2129</v>
      </c>
    </row>
    <row r="416" spans="1:1" x14ac:dyDescent="0.2">
      <c r="A416" t="s">
        <v>2236</v>
      </c>
    </row>
    <row r="417" spans="1:1" x14ac:dyDescent="0.2">
      <c r="A417" t="s">
        <v>2450</v>
      </c>
    </row>
    <row r="418" spans="1:1" x14ac:dyDescent="0.2">
      <c r="A418" t="s">
        <v>2343</v>
      </c>
    </row>
    <row r="419" spans="1:1" x14ac:dyDescent="0.2">
      <c r="A419" t="s">
        <v>2557</v>
      </c>
    </row>
    <row r="420" spans="1:1" x14ac:dyDescent="0.2">
      <c r="A420" t="s">
        <v>2671</v>
      </c>
    </row>
    <row r="421" spans="1:1" x14ac:dyDescent="0.2">
      <c r="A421" t="s">
        <v>2136</v>
      </c>
    </row>
    <row r="422" spans="1:1" x14ac:dyDescent="0.2">
      <c r="A422" t="s">
        <v>2243</v>
      </c>
    </row>
    <row r="423" spans="1:1" x14ac:dyDescent="0.2">
      <c r="A423" t="s">
        <v>2457</v>
      </c>
    </row>
    <row r="424" spans="1:1" x14ac:dyDescent="0.2">
      <c r="A424" t="s">
        <v>2350</v>
      </c>
    </row>
    <row r="425" spans="1:1" x14ac:dyDescent="0.2">
      <c r="A425" t="s">
        <v>2564</v>
      </c>
    </row>
    <row r="426" spans="1:1" x14ac:dyDescent="0.2">
      <c r="A426" t="s">
        <v>2678</v>
      </c>
    </row>
    <row r="427" spans="1:1" x14ac:dyDescent="0.2">
      <c r="A427" t="s">
        <v>2143</v>
      </c>
    </row>
    <row r="428" spans="1:1" x14ac:dyDescent="0.2">
      <c r="A428" t="s">
        <v>2250</v>
      </c>
    </row>
    <row r="429" spans="1:1" x14ac:dyDescent="0.2">
      <c r="A429" t="s">
        <v>2464</v>
      </c>
    </row>
    <row r="430" spans="1:1" x14ac:dyDescent="0.2">
      <c r="A430" t="s">
        <v>2357</v>
      </c>
    </row>
    <row r="431" spans="1:1" x14ac:dyDescent="0.2">
      <c r="A431" t="s">
        <v>2571</v>
      </c>
    </row>
    <row r="432" spans="1:1" x14ac:dyDescent="0.2">
      <c r="A432" t="s">
        <v>2686</v>
      </c>
    </row>
    <row r="433" spans="1:1" x14ac:dyDescent="0.2">
      <c r="A433" t="s">
        <v>2151</v>
      </c>
    </row>
    <row r="434" spans="1:1" x14ac:dyDescent="0.2">
      <c r="A434" t="s">
        <v>2258</v>
      </c>
    </row>
    <row r="435" spans="1:1" x14ac:dyDescent="0.2">
      <c r="A435" t="s">
        <v>2472</v>
      </c>
    </row>
    <row r="436" spans="1:1" x14ac:dyDescent="0.2">
      <c r="A436" t="s">
        <v>2365</v>
      </c>
    </row>
    <row r="437" spans="1:1" x14ac:dyDescent="0.2">
      <c r="A437" t="s">
        <v>2579</v>
      </c>
    </row>
    <row r="438" spans="1:1" x14ac:dyDescent="0.2">
      <c r="A438" t="s">
        <v>2694</v>
      </c>
    </row>
    <row r="439" spans="1:1" x14ac:dyDescent="0.2">
      <c r="A439" t="s">
        <v>2159</v>
      </c>
    </row>
    <row r="440" spans="1:1" x14ac:dyDescent="0.2">
      <c r="A440" t="s">
        <v>2266</v>
      </c>
    </row>
    <row r="441" spans="1:1" x14ac:dyDescent="0.2">
      <c r="A441" t="s">
        <v>2480</v>
      </c>
    </row>
    <row r="442" spans="1:1" x14ac:dyDescent="0.2">
      <c r="A442" t="s">
        <v>2373</v>
      </c>
    </row>
    <row r="443" spans="1:1" x14ac:dyDescent="0.2">
      <c r="A443" t="s">
        <v>2587</v>
      </c>
    </row>
    <row r="444" spans="1:1" x14ac:dyDescent="0.2">
      <c r="A444" t="s">
        <v>2695</v>
      </c>
    </row>
    <row r="445" spans="1:1" x14ac:dyDescent="0.2">
      <c r="A445" t="s">
        <v>2160</v>
      </c>
    </row>
    <row r="446" spans="1:1" x14ac:dyDescent="0.2">
      <c r="A446" t="s">
        <v>2267</v>
      </c>
    </row>
    <row r="447" spans="1:1" x14ac:dyDescent="0.2">
      <c r="A447" t="s">
        <v>2481</v>
      </c>
    </row>
    <row r="448" spans="1:1" x14ac:dyDescent="0.2">
      <c r="A448" t="s">
        <v>2374</v>
      </c>
    </row>
    <row r="449" spans="1:1" x14ac:dyDescent="0.2">
      <c r="A449" t="s">
        <v>2588</v>
      </c>
    </row>
    <row r="450" spans="1:1" x14ac:dyDescent="0.2">
      <c r="A450" t="s">
        <v>2696</v>
      </c>
    </row>
    <row r="451" spans="1:1" x14ac:dyDescent="0.2">
      <c r="A451" t="s">
        <v>2161</v>
      </c>
    </row>
    <row r="452" spans="1:1" x14ac:dyDescent="0.2">
      <c r="A452" t="s">
        <v>2268</v>
      </c>
    </row>
    <row r="453" spans="1:1" x14ac:dyDescent="0.2">
      <c r="A453" t="s">
        <v>2482</v>
      </c>
    </row>
    <row r="454" spans="1:1" x14ac:dyDescent="0.2">
      <c r="A454" t="s">
        <v>2375</v>
      </c>
    </row>
    <row r="455" spans="1:1" x14ac:dyDescent="0.2">
      <c r="A455" t="s">
        <v>2589</v>
      </c>
    </row>
    <row r="456" spans="1:1" x14ac:dyDescent="0.2">
      <c r="A456" t="s">
        <v>2697</v>
      </c>
    </row>
    <row r="457" spans="1:1" x14ac:dyDescent="0.2">
      <c r="A457" t="s">
        <v>2162</v>
      </c>
    </row>
    <row r="458" spans="1:1" x14ac:dyDescent="0.2">
      <c r="A458" t="s">
        <v>2269</v>
      </c>
    </row>
    <row r="459" spans="1:1" x14ac:dyDescent="0.2">
      <c r="A459" t="s">
        <v>2483</v>
      </c>
    </row>
    <row r="460" spans="1:1" x14ac:dyDescent="0.2">
      <c r="A460" t="s">
        <v>2376</v>
      </c>
    </row>
    <row r="461" spans="1:1" x14ac:dyDescent="0.2">
      <c r="A461" t="s">
        <v>2590</v>
      </c>
    </row>
    <row r="462" spans="1:1" x14ac:dyDescent="0.2">
      <c r="A462" t="s">
        <v>2698</v>
      </c>
    </row>
    <row r="463" spans="1:1" x14ac:dyDescent="0.2">
      <c r="A463" t="s">
        <v>2163</v>
      </c>
    </row>
    <row r="464" spans="1:1" x14ac:dyDescent="0.2">
      <c r="A464" t="s">
        <v>2270</v>
      </c>
    </row>
    <row r="465" spans="1:1" x14ac:dyDescent="0.2">
      <c r="A465" t="s">
        <v>2484</v>
      </c>
    </row>
    <row r="466" spans="1:1" x14ac:dyDescent="0.2">
      <c r="A466" t="s">
        <v>2377</v>
      </c>
    </row>
    <row r="467" spans="1:1" x14ac:dyDescent="0.2">
      <c r="A467" t="s">
        <v>2591</v>
      </c>
    </row>
    <row r="468" spans="1:1" x14ac:dyDescent="0.2">
      <c r="A468" t="s">
        <v>2699</v>
      </c>
    </row>
    <row r="469" spans="1:1" x14ac:dyDescent="0.2">
      <c r="A469" t="s">
        <v>2164</v>
      </c>
    </row>
    <row r="470" spans="1:1" x14ac:dyDescent="0.2">
      <c r="A470" t="s">
        <v>2271</v>
      </c>
    </row>
    <row r="471" spans="1:1" x14ac:dyDescent="0.2">
      <c r="A471" t="s">
        <v>2485</v>
      </c>
    </row>
    <row r="472" spans="1:1" x14ac:dyDescent="0.2">
      <c r="A472" t="s">
        <v>2378</v>
      </c>
    </row>
    <row r="473" spans="1:1" x14ac:dyDescent="0.2">
      <c r="A473" t="s">
        <v>2592</v>
      </c>
    </row>
    <row r="474" spans="1:1" x14ac:dyDescent="0.2">
      <c r="A474" t="s">
        <v>2701</v>
      </c>
    </row>
    <row r="475" spans="1:1" x14ac:dyDescent="0.2">
      <c r="A475" t="s">
        <v>2166</v>
      </c>
    </row>
    <row r="476" spans="1:1" x14ac:dyDescent="0.2">
      <c r="A476" t="s">
        <v>2273</v>
      </c>
    </row>
    <row r="477" spans="1:1" x14ac:dyDescent="0.2">
      <c r="A477" t="s">
        <v>2487</v>
      </c>
    </row>
    <row r="478" spans="1:1" x14ac:dyDescent="0.2">
      <c r="A478" t="s">
        <v>2380</v>
      </c>
    </row>
    <row r="479" spans="1:1" x14ac:dyDescent="0.2">
      <c r="A479" t="s">
        <v>2594</v>
      </c>
    </row>
    <row r="480" spans="1:1" x14ac:dyDescent="0.2">
      <c r="A480" t="s">
        <v>2702</v>
      </c>
    </row>
    <row r="481" spans="1:1" x14ac:dyDescent="0.2">
      <c r="A481" t="s">
        <v>2167</v>
      </c>
    </row>
    <row r="482" spans="1:1" x14ac:dyDescent="0.2">
      <c r="A482" t="s">
        <v>2274</v>
      </c>
    </row>
    <row r="483" spans="1:1" x14ac:dyDescent="0.2">
      <c r="A483" t="s">
        <v>2488</v>
      </c>
    </row>
    <row r="484" spans="1:1" x14ac:dyDescent="0.2">
      <c r="A484" t="s">
        <v>2381</v>
      </c>
    </row>
    <row r="485" spans="1:1" x14ac:dyDescent="0.2">
      <c r="A485" t="s">
        <v>2595</v>
      </c>
    </row>
    <row r="486" spans="1:1" x14ac:dyDescent="0.2">
      <c r="A486" t="s">
        <v>2703</v>
      </c>
    </row>
    <row r="487" spans="1:1" x14ac:dyDescent="0.2">
      <c r="A487" t="s">
        <v>2168</v>
      </c>
    </row>
    <row r="488" spans="1:1" x14ac:dyDescent="0.2">
      <c r="A488" t="s">
        <v>2275</v>
      </c>
    </row>
    <row r="489" spans="1:1" x14ac:dyDescent="0.2">
      <c r="A489" t="s">
        <v>2489</v>
      </c>
    </row>
    <row r="490" spans="1:1" x14ac:dyDescent="0.2">
      <c r="A490" t="s">
        <v>2382</v>
      </c>
    </row>
    <row r="491" spans="1:1" x14ac:dyDescent="0.2">
      <c r="A491" t="s">
        <v>2596</v>
      </c>
    </row>
    <row r="492" spans="1:1" x14ac:dyDescent="0.2">
      <c r="A492" t="s">
        <v>2704</v>
      </c>
    </row>
    <row r="493" spans="1:1" x14ac:dyDescent="0.2">
      <c r="A493" t="s">
        <v>2169</v>
      </c>
    </row>
    <row r="494" spans="1:1" x14ac:dyDescent="0.2">
      <c r="A494" t="s">
        <v>2276</v>
      </c>
    </row>
    <row r="495" spans="1:1" x14ac:dyDescent="0.2">
      <c r="A495" t="s">
        <v>2490</v>
      </c>
    </row>
    <row r="496" spans="1:1" x14ac:dyDescent="0.2">
      <c r="A496" t="s">
        <v>2383</v>
      </c>
    </row>
    <row r="497" spans="1:1" x14ac:dyDescent="0.2">
      <c r="A497" t="s">
        <v>2597</v>
      </c>
    </row>
    <row r="498" spans="1:1" x14ac:dyDescent="0.2">
      <c r="A498" t="s">
        <v>2705</v>
      </c>
    </row>
    <row r="499" spans="1:1" x14ac:dyDescent="0.2">
      <c r="A499" t="s">
        <v>2170</v>
      </c>
    </row>
    <row r="500" spans="1:1" x14ac:dyDescent="0.2">
      <c r="A500" t="s">
        <v>2277</v>
      </c>
    </row>
    <row r="501" spans="1:1" x14ac:dyDescent="0.2">
      <c r="A501" t="s">
        <v>2491</v>
      </c>
    </row>
    <row r="502" spans="1:1" x14ac:dyDescent="0.2">
      <c r="A502" t="s">
        <v>2384</v>
      </c>
    </row>
    <row r="503" spans="1:1" x14ac:dyDescent="0.2">
      <c r="A503" t="s">
        <v>2598</v>
      </c>
    </row>
    <row r="504" spans="1:1" x14ac:dyDescent="0.2">
      <c r="A504" t="s">
        <v>2706</v>
      </c>
    </row>
    <row r="505" spans="1:1" x14ac:dyDescent="0.2">
      <c r="A505" t="s">
        <v>2171</v>
      </c>
    </row>
    <row r="506" spans="1:1" x14ac:dyDescent="0.2">
      <c r="A506" t="s">
        <v>2278</v>
      </c>
    </row>
    <row r="507" spans="1:1" x14ac:dyDescent="0.2">
      <c r="A507" t="s">
        <v>2492</v>
      </c>
    </row>
    <row r="508" spans="1:1" x14ac:dyDescent="0.2">
      <c r="A508" t="s">
        <v>2385</v>
      </c>
    </row>
    <row r="509" spans="1:1" x14ac:dyDescent="0.2">
      <c r="A509" t="s">
        <v>2599</v>
      </c>
    </row>
    <row r="510" spans="1:1" x14ac:dyDescent="0.2">
      <c r="A510" t="s">
        <v>2708</v>
      </c>
    </row>
    <row r="511" spans="1:1" x14ac:dyDescent="0.2">
      <c r="A511" t="s">
        <v>2173</v>
      </c>
    </row>
    <row r="512" spans="1:1" x14ac:dyDescent="0.2">
      <c r="A512" t="s">
        <v>2280</v>
      </c>
    </row>
    <row r="513" spans="1:1" x14ac:dyDescent="0.2">
      <c r="A513" t="s">
        <v>2494</v>
      </c>
    </row>
    <row r="514" spans="1:1" x14ac:dyDescent="0.2">
      <c r="A514" t="s">
        <v>2387</v>
      </c>
    </row>
    <row r="515" spans="1:1" x14ac:dyDescent="0.2">
      <c r="A515" t="s">
        <v>2601</v>
      </c>
    </row>
    <row r="516" spans="1:1" x14ac:dyDescent="0.2">
      <c r="A516" t="s">
        <v>2709</v>
      </c>
    </row>
    <row r="517" spans="1:1" x14ac:dyDescent="0.2">
      <c r="A517" t="s">
        <v>2174</v>
      </c>
    </row>
    <row r="518" spans="1:1" x14ac:dyDescent="0.2">
      <c r="A518" t="s">
        <v>2281</v>
      </c>
    </row>
    <row r="519" spans="1:1" x14ac:dyDescent="0.2">
      <c r="A519" t="s">
        <v>2495</v>
      </c>
    </row>
    <row r="520" spans="1:1" x14ac:dyDescent="0.2">
      <c r="A520" t="s">
        <v>2388</v>
      </c>
    </row>
    <row r="521" spans="1:1" x14ac:dyDescent="0.2">
      <c r="A521" t="s">
        <v>2602</v>
      </c>
    </row>
    <row r="522" spans="1:1" x14ac:dyDescent="0.2">
      <c r="A522" t="s">
        <v>2710</v>
      </c>
    </row>
    <row r="523" spans="1:1" x14ac:dyDescent="0.2">
      <c r="A523" t="s">
        <v>2175</v>
      </c>
    </row>
    <row r="524" spans="1:1" x14ac:dyDescent="0.2">
      <c r="A524" t="s">
        <v>2282</v>
      </c>
    </row>
    <row r="525" spans="1:1" x14ac:dyDescent="0.2">
      <c r="A525" t="s">
        <v>2496</v>
      </c>
    </row>
    <row r="526" spans="1:1" x14ac:dyDescent="0.2">
      <c r="A526" t="s">
        <v>2389</v>
      </c>
    </row>
    <row r="527" spans="1:1" x14ac:dyDescent="0.2">
      <c r="A527" t="s">
        <v>2603</v>
      </c>
    </row>
    <row r="528" spans="1:1" x14ac:dyDescent="0.2">
      <c r="A528" t="s">
        <v>2711</v>
      </c>
    </row>
    <row r="529" spans="1:1" x14ac:dyDescent="0.2">
      <c r="A529" t="s">
        <v>2176</v>
      </c>
    </row>
    <row r="530" spans="1:1" x14ac:dyDescent="0.2">
      <c r="A530" t="s">
        <v>2283</v>
      </c>
    </row>
    <row r="531" spans="1:1" x14ac:dyDescent="0.2">
      <c r="A531" t="s">
        <v>2497</v>
      </c>
    </row>
    <row r="532" spans="1:1" x14ac:dyDescent="0.2">
      <c r="A532" t="s">
        <v>2390</v>
      </c>
    </row>
    <row r="533" spans="1:1" x14ac:dyDescent="0.2">
      <c r="A533" t="s">
        <v>2604</v>
      </c>
    </row>
    <row r="534" spans="1:1" x14ac:dyDescent="0.2">
      <c r="A534" t="s">
        <v>2712</v>
      </c>
    </row>
    <row r="535" spans="1:1" x14ac:dyDescent="0.2">
      <c r="A535" t="s">
        <v>2177</v>
      </c>
    </row>
    <row r="536" spans="1:1" x14ac:dyDescent="0.2">
      <c r="A536" t="s">
        <v>2284</v>
      </c>
    </row>
    <row r="537" spans="1:1" x14ac:dyDescent="0.2">
      <c r="A537" t="s">
        <v>2498</v>
      </c>
    </row>
    <row r="538" spans="1:1" x14ac:dyDescent="0.2">
      <c r="A538" t="s">
        <v>2391</v>
      </c>
    </row>
    <row r="539" spans="1:1" x14ac:dyDescent="0.2">
      <c r="A539" t="s">
        <v>2605</v>
      </c>
    </row>
    <row r="540" spans="1:1" x14ac:dyDescent="0.2">
      <c r="A540" t="s">
        <v>2713</v>
      </c>
    </row>
    <row r="541" spans="1:1" x14ac:dyDescent="0.2">
      <c r="A541" t="s">
        <v>2178</v>
      </c>
    </row>
    <row r="542" spans="1:1" x14ac:dyDescent="0.2">
      <c r="A542" t="s">
        <v>2285</v>
      </c>
    </row>
    <row r="543" spans="1:1" x14ac:dyDescent="0.2">
      <c r="A543" t="s">
        <v>2499</v>
      </c>
    </row>
    <row r="544" spans="1:1" x14ac:dyDescent="0.2">
      <c r="A544" t="s">
        <v>2392</v>
      </c>
    </row>
    <row r="545" spans="1:1" x14ac:dyDescent="0.2">
      <c r="A545" t="s">
        <v>2606</v>
      </c>
    </row>
    <row r="546" spans="1:1" x14ac:dyDescent="0.2">
      <c r="A546" t="s">
        <v>2715</v>
      </c>
    </row>
    <row r="547" spans="1:1" x14ac:dyDescent="0.2">
      <c r="A547" t="s">
        <v>2180</v>
      </c>
    </row>
    <row r="548" spans="1:1" x14ac:dyDescent="0.2">
      <c r="A548" t="s">
        <v>2287</v>
      </c>
    </row>
    <row r="549" spans="1:1" x14ac:dyDescent="0.2">
      <c r="A549" t="s">
        <v>2501</v>
      </c>
    </row>
    <row r="550" spans="1:1" x14ac:dyDescent="0.2">
      <c r="A550" t="s">
        <v>2394</v>
      </c>
    </row>
    <row r="551" spans="1:1" x14ac:dyDescent="0.2">
      <c r="A551" t="s">
        <v>2608</v>
      </c>
    </row>
    <row r="552" spans="1:1" x14ac:dyDescent="0.2">
      <c r="A552" t="s">
        <v>2716</v>
      </c>
    </row>
    <row r="553" spans="1:1" x14ac:dyDescent="0.2">
      <c r="A553" t="s">
        <v>2181</v>
      </c>
    </row>
    <row r="554" spans="1:1" x14ac:dyDescent="0.2">
      <c r="A554" t="s">
        <v>2288</v>
      </c>
    </row>
    <row r="555" spans="1:1" x14ac:dyDescent="0.2">
      <c r="A555" t="s">
        <v>2502</v>
      </c>
    </row>
    <row r="556" spans="1:1" x14ac:dyDescent="0.2">
      <c r="A556" t="s">
        <v>2395</v>
      </c>
    </row>
    <row r="557" spans="1:1" x14ac:dyDescent="0.2">
      <c r="A557" t="s">
        <v>2609</v>
      </c>
    </row>
    <row r="558" spans="1:1" x14ac:dyDescent="0.2">
      <c r="A558" t="s">
        <v>2717</v>
      </c>
    </row>
    <row r="559" spans="1:1" x14ac:dyDescent="0.2">
      <c r="A559" t="s">
        <v>2182</v>
      </c>
    </row>
    <row r="560" spans="1:1" x14ac:dyDescent="0.2">
      <c r="A560" t="s">
        <v>2289</v>
      </c>
    </row>
    <row r="561" spans="1:1" x14ac:dyDescent="0.2">
      <c r="A561" t="s">
        <v>2503</v>
      </c>
    </row>
    <row r="562" spans="1:1" x14ac:dyDescent="0.2">
      <c r="A562" t="s">
        <v>2396</v>
      </c>
    </row>
    <row r="563" spans="1:1" x14ac:dyDescent="0.2">
      <c r="A563" t="s">
        <v>2610</v>
      </c>
    </row>
    <row r="564" spans="1:1" x14ac:dyDescent="0.2">
      <c r="A564" t="s">
        <v>2718</v>
      </c>
    </row>
    <row r="565" spans="1:1" x14ac:dyDescent="0.2">
      <c r="A565" t="s">
        <v>2183</v>
      </c>
    </row>
    <row r="566" spans="1:1" x14ac:dyDescent="0.2">
      <c r="A566" t="s">
        <v>2290</v>
      </c>
    </row>
    <row r="567" spans="1:1" x14ac:dyDescent="0.2">
      <c r="A567" t="s">
        <v>2504</v>
      </c>
    </row>
    <row r="568" spans="1:1" x14ac:dyDescent="0.2">
      <c r="A568" t="s">
        <v>2397</v>
      </c>
    </row>
    <row r="569" spans="1:1" x14ac:dyDescent="0.2">
      <c r="A569" t="s">
        <v>2611</v>
      </c>
    </row>
    <row r="570" spans="1:1" x14ac:dyDescent="0.2">
      <c r="A570" t="s">
        <v>2719</v>
      </c>
    </row>
    <row r="571" spans="1:1" x14ac:dyDescent="0.2">
      <c r="A571" t="s">
        <v>2184</v>
      </c>
    </row>
    <row r="572" spans="1:1" x14ac:dyDescent="0.2">
      <c r="A572" t="s">
        <v>2291</v>
      </c>
    </row>
    <row r="573" spans="1:1" x14ac:dyDescent="0.2">
      <c r="A573" t="s">
        <v>2505</v>
      </c>
    </row>
    <row r="574" spans="1:1" x14ac:dyDescent="0.2">
      <c r="A574" t="s">
        <v>2398</v>
      </c>
    </row>
    <row r="575" spans="1:1" x14ac:dyDescent="0.2">
      <c r="A575" t="s">
        <v>2612</v>
      </c>
    </row>
    <row r="576" spans="1:1" x14ac:dyDescent="0.2">
      <c r="A576" t="s">
        <v>2720</v>
      </c>
    </row>
    <row r="577" spans="1:1" x14ac:dyDescent="0.2">
      <c r="A577" t="s">
        <v>2185</v>
      </c>
    </row>
    <row r="578" spans="1:1" x14ac:dyDescent="0.2">
      <c r="A578" t="s">
        <v>2292</v>
      </c>
    </row>
    <row r="579" spans="1:1" x14ac:dyDescent="0.2">
      <c r="A579" t="s">
        <v>2506</v>
      </c>
    </row>
    <row r="580" spans="1:1" x14ac:dyDescent="0.2">
      <c r="A580" t="s">
        <v>2399</v>
      </c>
    </row>
    <row r="581" spans="1:1" x14ac:dyDescent="0.2">
      <c r="A581" t="s">
        <v>2613</v>
      </c>
    </row>
    <row r="582" spans="1:1" x14ac:dyDescent="0.2">
      <c r="A582" t="s">
        <v>2722</v>
      </c>
    </row>
    <row r="583" spans="1:1" x14ac:dyDescent="0.2">
      <c r="A583" t="s">
        <v>2187</v>
      </c>
    </row>
    <row r="584" spans="1:1" x14ac:dyDescent="0.2">
      <c r="A584" t="s">
        <v>2294</v>
      </c>
    </row>
    <row r="585" spans="1:1" x14ac:dyDescent="0.2">
      <c r="A585" t="s">
        <v>2508</v>
      </c>
    </row>
    <row r="586" spans="1:1" x14ac:dyDescent="0.2">
      <c r="A586" t="s">
        <v>2401</v>
      </c>
    </row>
    <row r="587" spans="1:1" x14ac:dyDescent="0.2">
      <c r="A587" t="s">
        <v>2615</v>
      </c>
    </row>
    <row r="588" spans="1:1" x14ac:dyDescent="0.2">
      <c r="A588" t="s">
        <v>2723</v>
      </c>
    </row>
    <row r="589" spans="1:1" x14ac:dyDescent="0.2">
      <c r="A589" t="s">
        <v>2188</v>
      </c>
    </row>
    <row r="590" spans="1:1" x14ac:dyDescent="0.2">
      <c r="A590" t="s">
        <v>2295</v>
      </c>
    </row>
    <row r="591" spans="1:1" x14ac:dyDescent="0.2">
      <c r="A591" t="s">
        <v>2509</v>
      </c>
    </row>
    <row r="592" spans="1:1" x14ac:dyDescent="0.2">
      <c r="A592" t="s">
        <v>2402</v>
      </c>
    </row>
    <row r="593" spans="1:1" x14ac:dyDescent="0.2">
      <c r="A593" t="s">
        <v>2616</v>
      </c>
    </row>
    <row r="594" spans="1:1" x14ac:dyDescent="0.2">
      <c r="A594" t="s">
        <v>2724</v>
      </c>
    </row>
    <row r="595" spans="1:1" x14ac:dyDescent="0.2">
      <c r="A595" t="s">
        <v>2189</v>
      </c>
    </row>
    <row r="596" spans="1:1" x14ac:dyDescent="0.2">
      <c r="A596" t="s">
        <v>2296</v>
      </c>
    </row>
    <row r="597" spans="1:1" x14ac:dyDescent="0.2">
      <c r="A597" t="s">
        <v>2510</v>
      </c>
    </row>
    <row r="598" spans="1:1" x14ac:dyDescent="0.2">
      <c r="A598" t="s">
        <v>2403</v>
      </c>
    </row>
    <row r="599" spans="1:1" x14ac:dyDescent="0.2">
      <c r="A599" t="s">
        <v>2617</v>
      </c>
    </row>
    <row r="600" spans="1:1" x14ac:dyDescent="0.2">
      <c r="A600" t="s">
        <v>2725</v>
      </c>
    </row>
    <row r="601" spans="1:1" x14ac:dyDescent="0.2">
      <c r="A601" t="s">
        <v>2190</v>
      </c>
    </row>
    <row r="602" spans="1:1" x14ac:dyDescent="0.2">
      <c r="A602" t="s">
        <v>2297</v>
      </c>
    </row>
    <row r="603" spans="1:1" x14ac:dyDescent="0.2">
      <c r="A603" t="s">
        <v>2511</v>
      </c>
    </row>
    <row r="604" spans="1:1" x14ac:dyDescent="0.2">
      <c r="A604" t="s">
        <v>2404</v>
      </c>
    </row>
    <row r="605" spans="1:1" x14ac:dyDescent="0.2">
      <c r="A605" t="s">
        <v>2618</v>
      </c>
    </row>
    <row r="606" spans="1:1" x14ac:dyDescent="0.2">
      <c r="A606" t="s">
        <v>2726</v>
      </c>
    </row>
    <row r="607" spans="1:1" x14ac:dyDescent="0.2">
      <c r="A607" t="s">
        <v>2191</v>
      </c>
    </row>
    <row r="608" spans="1:1" x14ac:dyDescent="0.2">
      <c r="A608" t="s">
        <v>2298</v>
      </c>
    </row>
    <row r="609" spans="1:1" x14ac:dyDescent="0.2">
      <c r="A609" t="s">
        <v>2512</v>
      </c>
    </row>
    <row r="610" spans="1:1" x14ac:dyDescent="0.2">
      <c r="A610" t="s">
        <v>2405</v>
      </c>
    </row>
    <row r="611" spans="1:1" x14ac:dyDescent="0.2">
      <c r="A611" t="s">
        <v>2619</v>
      </c>
    </row>
    <row r="612" spans="1:1" x14ac:dyDescent="0.2">
      <c r="A612" t="s">
        <v>2727</v>
      </c>
    </row>
    <row r="613" spans="1:1" x14ac:dyDescent="0.2">
      <c r="A613" t="s">
        <v>2192</v>
      </c>
    </row>
    <row r="614" spans="1:1" x14ac:dyDescent="0.2">
      <c r="A614" t="s">
        <v>2299</v>
      </c>
    </row>
    <row r="615" spans="1:1" x14ac:dyDescent="0.2">
      <c r="A615" t="s">
        <v>2513</v>
      </c>
    </row>
    <row r="616" spans="1:1" x14ac:dyDescent="0.2">
      <c r="A616" t="s">
        <v>2406</v>
      </c>
    </row>
    <row r="617" spans="1:1" x14ac:dyDescent="0.2">
      <c r="A617" t="s">
        <v>2620</v>
      </c>
    </row>
    <row r="618" spans="1:1" x14ac:dyDescent="0.2">
      <c r="A618" t="s">
        <v>2729</v>
      </c>
    </row>
    <row r="619" spans="1:1" x14ac:dyDescent="0.2">
      <c r="A619" t="s">
        <v>2194</v>
      </c>
    </row>
    <row r="620" spans="1:1" x14ac:dyDescent="0.2">
      <c r="A620" t="s">
        <v>2301</v>
      </c>
    </row>
    <row r="621" spans="1:1" x14ac:dyDescent="0.2">
      <c r="A621" t="s">
        <v>2515</v>
      </c>
    </row>
    <row r="622" spans="1:1" x14ac:dyDescent="0.2">
      <c r="A622" t="s">
        <v>2408</v>
      </c>
    </row>
    <row r="623" spans="1:1" x14ac:dyDescent="0.2">
      <c r="A623" t="s">
        <v>2622</v>
      </c>
    </row>
    <row r="624" spans="1:1" x14ac:dyDescent="0.2">
      <c r="A624" t="s">
        <v>2730</v>
      </c>
    </row>
    <row r="625" spans="1:1" x14ac:dyDescent="0.2">
      <c r="A625" t="s">
        <v>2195</v>
      </c>
    </row>
    <row r="626" spans="1:1" x14ac:dyDescent="0.2">
      <c r="A626" t="s">
        <v>2302</v>
      </c>
    </row>
    <row r="627" spans="1:1" x14ac:dyDescent="0.2">
      <c r="A627" t="s">
        <v>2516</v>
      </c>
    </row>
    <row r="628" spans="1:1" x14ac:dyDescent="0.2">
      <c r="A628" t="s">
        <v>2409</v>
      </c>
    </row>
    <row r="629" spans="1:1" x14ac:dyDescent="0.2">
      <c r="A629" t="s">
        <v>2623</v>
      </c>
    </row>
    <row r="630" spans="1:1" x14ac:dyDescent="0.2">
      <c r="A630" t="s">
        <v>2731</v>
      </c>
    </row>
    <row r="631" spans="1:1" x14ac:dyDescent="0.2">
      <c r="A631" t="s">
        <v>2196</v>
      </c>
    </row>
    <row r="632" spans="1:1" x14ac:dyDescent="0.2">
      <c r="A632" t="s">
        <v>2303</v>
      </c>
    </row>
    <row r="633" spans="1:1" x14ac:dyDescent="0.2">
      <c r="A633" t="s">
        <v>2517</v>
      </c>
    </row>
    <row r="634" spans="1:1" x14ac:dyDescent="0.2">
      <c r="A634" t="s">
        <v>2410</v>
      </c>
    </row>
    <row r="635" spans="1:1" x14ac:dyDescent="0.2">
      <c r="A635" t="s">
        <v>2624</v>
      </c>
    </row>
    <row r="636" spans="1:1" x14ac:dyDescent="0.2">
      <c r="A636" t="s">
        <v>2732</v>
      </c>
    </row>
    <row r="637" spans="1:1" x14ac:dyDescent="0.2">
      <c r="A637" t="s">
        <v>2197</v>
      </c>
    </row>
    <row r="638" spans="1:1" x14ac:dyDescent="0.2">
      <c r="A638" t="s">
        <v>2304</v>
      </c>
    </row>
    <row r="639" spans="1:1" x14ac:dyDescent="0.2">
      <c r="A639" t="s">
        <v>2518</v>
      </c>
    </row>
    <row r="640" spans="1:1" x14ac:dyDescent="0.2">
      <c r="A640" t="s">
        <v>2411</v>
      </c>
    </row>
    <row r="641" spans="1:1" x14ac:dyDescent="0.2">
      <c r="A641" t="s">
        <v>2625</v>
      </c>
    </row>
    <row r="642" spans="1:1" x14ac:dyDescent="0.2">
      <c r="A642" t="s">
        <v>2733</v>
      </c>
    </row>
    <row r="643" spans="1:1" x14ac:dyDescent="0.2">
      <c r="A643" t="s">
        <v>2198</v>
      </c>
    </row>
    <row r="644" spans="1:1" x14ac:dyDescent="0.2">
      <c r="A644" t="s">
        <v>2305</v>
      </c>
    </row>
    <row r="645" spans="1:1" x14ac:dyDescent="0.2">
      <c r="A645" t="s">
        <v>2519</v>
      </c>
    </row>
    <row r="646" spans="1:1" x14ac:dyDescent="0.2">
      <c r="A646" t="s">
        <v>2412</v>
      </c>
    </row>
    <row r="647" spans="1:1" x14ac:dyDescent="0.2">
      <c r="A647" t="s">
        <v>2626</v>
      </c>
    </row>
    <row r="648" spans="1:1" x14ac:dyDescent="0.2">
      <c r="A648" t="s">
        <v>2734</v>
      </c>
    </row>
    <row r="649" spans="1:1" x14ac:dyDescent="0.2">
      <c r="A649" t="s">
        <v>2199</v>
      </c>
    </row>
    <row r="650" spans="1:1" x14ac:dyDescent="0.2">
      <c r="A650" t="s">
        <v>2306</v>
      </c>
    </row>
    <row r="651" spans="1:1" x14ac:dyDescent="0.2">
      <c r="A651" t="s">
        <v>2520</v>
      </c>
    </row>
    <row r="652" spans="1:1" x14ac:dyDescent="0.2">
      <c r="A652" t="s">
        <v>2413</v>
      </c>
    </row>
    <row r="653" spans="1:1" x14ac:dyDescent="0.2">
      <c r="A653" t="s">
        <v>2627</v>
      </c>
    </row>
    <row r="654" spans="1:1" x14ac:dyDescent="0.2">
      <c r="A654" t="s">
        <v>2735</v>
      </c>
    </row>
    <row r="655" spans="1:1" x14ac:dyDescent="0.2">
      <c r="A655" t="s">
        <v>2200</v>
      </c>
    </row>
    <row r="656" spans="1:1" x14ac:dyDescent="0.2">
      <c r="A656" t="s">
        <v>2307</v>
      </c>
    </row>
    <row r="657" spans="1:1" x14ac:dyDescent="0.2">
      <c r="A657" t="s">
        <v>2521</v>
      </c>
    </row>
    <row r="658" spans="1:1" x14ac:dyDescent="0.2">
      <c r="A658" t="s">
        <v>2414</v>
      </c>
    </row>
    <row r="659" spans="1:1" x14ac:dyDescent="0.2">
      <c r="A659" t="s">
        <v>2628</v>
      </c>
    </row>
    <row r="660" spans="1:1" x14ac:dyDescent="0.2">
      <c r="A660" t="s">
        <v>2700</v>
      </c>
    </row>
    <row r="661" spans="1:1" x14ac:dyDescent="0.2">
      <c r="A661" t="s">
        <v>2165</v>
      </c>
    </row>
    <row r="662" spans="1:1" x14ac:dyDescent="0.2">
      <c r="A662" t="s">
        <v>2272</v>
      </c>
    </row>
    <row r="663" spans="1:1" x14ac:dyDescent="0.2">
      <c r="A663" t="s">
        <v>2486</v>
      </c>
    </row>
    <row r="664" spans="1:1" x14ac:dyDescent="0.2">
      <c r="A664" t="s">
        <v>2379</v>
      </c>
    </row>
    <row r="665" spans="1:1" x14ac:dyDescent="0.2">
      <c r="A665" t="s">
        <v>2593</v>
      </c>
    </row>
    <row r="666" spans="1:1" x14ac:dyDescent="0.2">
      <c r="A666" t="s">
        <v>2707</v>
      </c>
    </row>
    <row r="667" spans="1:1" x14ac:dyDescent="0.2">
      <c r="A667" t="s">
        <v>2172</v>
      </c>
    </row>
    <row r="668" spans="1:1" x14ac:dyDescent="0.2">
      <c r="A668" t="s">
        <v>2279</v>
      </c>
    </row>
    <row r="669" spans="1:1" x14ac:dyDescent="0.2">
      <c r="A669" t="s">
        <v>2493</v>
      </c>
    </row>
    <row r="670" spans="1:1" x14ac:dyDescent="0.2">
      <c r="A670" t="s">
        <v>2386</v>
      </c>
    </row>
    <row r="671" spans="1:1" x14ac:dyDescent="0.2">
      <c r="A671" t="s">
        <v>2600</v>
      </c>
    </row>
    <row r="672" spans="1:1" x14ac:dyDescent="0.2">
      <c r="A672" t="s">
        <v>2714</v>
      </c>
    </row>
    <row r="673" spans="1:1" x14ac:dyDescent="0.2">
      <c r="A673" t="s">
        <v>2179</v>
      </c>
    </row>
    <row r="674" spans="1:1" x14ac:dyDescent="0.2">
      <c r="A674" t="s">
        <v>2286</v>
      </c>
    </row>
    <row r="675" spans="1:1" x14ac:dyDescent="0.2">
      <c r="A675" t="s">
        <v>2500</v>
      </c>
    </row>
    <row r="676" spans="1:1" x14ac:dyDescent="0.2">
      <c r="A676" t="s">
        <v>2393</v>
      </c>
    </row>
    <row r="677" spans="1:1" x14ac:dyDescent="0.2">
      <c r="A677" t="s">
        <v>2607</v>
      </c>
    </row>
    <row r="678" spans="1:1" x14ac:dyDescent="0.2">
      <c r="A678" t="s">
        <v>2721</v>
      </c>
    </row>
    <row r="679" spans="1:1" x14ac:dyDescent="0.2">
      <c r="A679" t="s">
        <v>2186</v>
      </c>
    </row>
    <row r="680" spans="1:1" x14ac:dyDescent="0.2">
      <c r="A680" t="s">
        <v>2293</v>
      </c>
    </row>
    <row r="681" spans="1:1" x14ac:dyDescent="0.2">
      <c r="A681" t="s">
        <v>2507</v>
      </c>
    </row>
    <row r="682" spans="1:1" x14ac:dyDescent="0.2">
      <c r="A682" t="s">
        <v>2400</v>
      </c>
    </row>
    <row r="683" spans="1:1" x14ac:dyDescent="0.2">
      <c r="A683" t="s">
        <v>2614</v>
      </c>
    </row>
    <row r="684" spans="1:1" x14ac:dyDescent="0.2">
      <c r="A684" t="s">
        <v>2728</v>
      </c>
    </row>
    <row r="685" spans="1:1" x14ac:dyDescent="0.2">
      <c r="A685" t="s">
        <v>2193</v>
      </c>
    </row>
    <row r="686" spans="1:1" x14ac:dyDescent="0.2">
      <c r="A686" t="s">
        <v>2300</v>
      </c>
    </row>
    <row r="687" spans="1:1" x14ac:dyDescent="0.2">
      <c r="A687" t="s">
        <v>2514</v>
      </c>
    </row>
    <row r="688" spans="1:1" x14ac:dyDescent="0.2">
      <c r="A688" t="s">
        <v>2407</v>
      </c>
    </row>
    <row r="689" spans="1:1" x14ac:dyDescent="0.2">
      <c r="A689" t="s">
        <v>2621</v>
      </c>
    </row>
    <row r="690" spans="1:1" x14ac:dyDescent="0.2">
      <c r="A690" t="s">
        <v>29</v>
      </c>
    </row>
    <row r="691" spans="1:1" x14ac:dyDescent="0.2">
      <c r="A691" t="s">
        <v>30</v>
      </c>
    </row>
    <row r="692" spans="1:1" x14ac:dyDescent="0.2">
      <c r="A692" t="s">
        <v>35</v>
      </c>
    </row>
    <row r="693" spans="1:1" x14ac:dyDescent="0.2">
      <c r="A693" t="s">
        <v>36</v>
      </c>
    </row>
    <row r="694" spans="1:1" x14ac:dyDescent="0.2">
      <c r="A694" t="s">
        <v>37</v>
      </c>
    </row>
    <row r="695" spans="1:1" x14ac:dyDescent="0.2">
      <c r="A695" t="s">
        <v>38</v>
      </c>
    </row>
    <row r="696" spans="1:1" x14ac:dyDescent="0.2">
      <c r="A696" t="s">
        <v>39</v>
      </c>
    </row>
    <row r="697" spans="1:1" x14ac:dyDescent="0.2">
      <c r="A697" t="s">
        <v>40</v>
      </c>
    </row>
    <row r="698" spans="1:1" x14ac:dyDescent="0.2">
      <c r="A698" t="s">
        <v>42</v>
      </c>
    </row>
    <row r="699" spans="1:1" x14ac:dyDescent="0.2">
      <c r="A699" t="s">
        <v>43</v>
      </c>
    </row>
    <row r="700" spans="1:1" x14ac:dyDescent="0.2">
      <c r="A700" t="s">
        <v>44</v>
      </c>
    </row>
    <row r="701" spans="1:1" x14ac:dyDescent="0.2">
      <c r="A701" t="s">
        <v>45</v>
      </c>
    </row>
    <row r="702" spans="1:1" x14ac:dyDescent="0.2">
      <c r="A702" t="s">
        <v>46</v>
      </c>
    </row>
    <row r="703" spans="1:1" x14ac:dyDescent="0.2">
      <c r="A703" t="s">
        <v>47</v>
      </c>
    </row>
    <row r="704" spans="1:1" x14ac:dyDescent="0.2">
      <c r="A704" t="s">
        <v>49</v>
      </c>
    </row>
    <row r="705" spans="1:1" x14ac:dyDescent="0.2">
      <c r="A705" t="s">
        <v>50</v>
      </c>
    </row>
    <row r="706" spans="1:1" x14ac:dyDescent="0.2">
      <c r="A706" t="s">
        <v>51</v>
      </c>
    </row>
    <row r="707" spans="1:1" x14ac:dyDescent="0.2">
      <c r="A707" t="s">
        <v>52</v>
      </c>
    </row>
    <row r="708" spans="1:1" x14ac:dyDescent="0.2">
      <c r="A708" t="s">
        <v>53</v>
      </c>
    </row>
    <row r="709" spans="1:1" x14ac:dyDescent="0.2">
      <c r="A709" t="s">
        <v>54</v>
      </c>
    </row>
    <row r="710" spans="1:1" x14ac:dyDescent="0.2">
      <c r="A710" t="s">
        <v>56</v>
      </c>
    </row>
    <row r="711" spans="1:1" x14ac:dyDescent="0.2">
      <c r="A711" t="s">
        <v>57</v>
      </c>
    </row>
    <row r="712" spans="1:1" x14ac:dyDescent="0.2">
      <c r="A712" t="s">
        <v>58</v>
      </c>
    </row>
    <row r="713" spans="1:1" x14ac:dyDescent="0.2">
      <c r="A713" t="s">
        <v>59</v>
      </c>
    </row>
    <row r="714" spans="1:1" x14ac:dyDescent="0.2">
      <c r="A714" t="s">
        <v>60</v>
      </c>
    </row>
    <row r="715" spans="1:1" x14ac:dyDescent="0.2">
      <c r="A715" t="s">
        <v>61</v>
      </c>
    </row>
    <row r="716" spans="1:1" x14ac:dyDescent="0.2">
      <c r="A716" t="s">
        <v>63</v>
      </c>
    </row>
    <row r="717" spans="1:1" x14ac:dyDescent="0.2">
      <c r="A717" t="s">
        <v>64</v>
      </c>
    </row>
    <row r="718" spans="1:1" x14ac:dyDescent="0.2">
      <c r="A718" t="s">
        <v>65</v>
      </c>
    </row>
    <row r="719" spans="1:1" x14ac:dyDescent="0.2">
      <c r="A719" t="s">
        <v>66</v>
      </c>
    </row>
    <row r="720" spans="1:1" x14ac:dyDescent="0.2">
      <c r="A720" t="s">
        <v>67</v>
      </c>
    </row>
    <row r="721" spans="1:1" x14ac:dyDescent="0.2">
      <c r="A721" t="s">
        <v>68</v>
      </c>
    </row>
    <row r="722" spans="1:1" x14ac:dyDescent="0.2">
      <c r="A722" t="s">
        <v>70</v>
      </c>
    </row>
    <row r="723" spans="1:1" x14ac:dyDescent="0.2">
      <c r="A723" t="s">
        <v>71</v>
      </c>
    </row>
    <row r="724" spans="1:1" x14ac:dyDescent="0.2">
      <c r="A724" t="s">
        <v>72</v>
      </c>
    </row>
    <row r="725" spans="1:1" x14ac:dyDescent="0.2">
      <c r="A725" t="s">
        <v>73</v>
      </c>
    </row>
    <row r="726" spans="1:1" x14ac:dyDescent="0.2">
      <c r="A726" t="s">
        <v>74</v>
      </c>
    </row>
    <row r="727" spans="1:1" x14ac:dyDescent="0.2">
      <c r="A727" t="s">
        <v>75</v>
      </c>
    </row>
    <row r="728" spans="1:1" x14ac:dyDescent="0.2">
      <c r="A728" t="s">
        <v>32</v>
      </c>
    </row>
    <row r="729" spans="1:1" x14ac:dyDescent="0.2">
      <c r="A729" t="s">
        <v>31</v>
      </c>
    </row>
    <row r="730" spans="1:1" x14ac:dyDescent="0.2">
      <c r="A730" t="s">
        <v>34</v>
      </c>
    </row>
    <row r="731" spans="1:1" x14ac:dyDescent="0.2">
      <c r="A731" t="s">
        <v>33</v>
      </c>
    </row>
    <row r="732" spans="1:1" x14ac:dyDescent="0.2">
      <c r="A732" t="s">
        <v>77</v>
      </c>
    </row>
    <row r="733" spans="1:1" x14ac:dyDescent="0.2">
      <c r="A733" t="s">
        <v>78</v>
      </c>
    </row>
    <row r="734" spans="1:1" x14ac:dyDescent="0.2">
      <c r="A734" t="s">
        <v>79</v>
      </c>
    </row>
    <row r="735" spans="1:1" x14ac:dyDescent="0.2">
      <c r="A735" t="s">
        <v>80</v>
      </c>
    </row>
    <row r="736" spans="1:1" x14ac:dyDescent="0.2">
      <c r="A736" t="s">
        <v>81</v>
      </c>
    </row>
    <row r="737" spans="1:1" x14ac:dyDescent="0.2">
      <c r="A737" t="s">
        <v>82</v>
      </c>
    </row>
    <row r="738" spans="1:1" x14ac:dyDescent="0.2">
      <c r="A738" t="s">
        <v>83</v>
      </c>
    </row>
    <row r="739" spans="1:1" x14ac:dyDescent="0.2">
      <c r="A739" t="s">
        <v>41</v>
      </c>
    </row>
    <row r="740" spans="1:1" x14ac:dyDescent="0.2">
      <c r="A740" t="s">
        <v>48</v>
      </c>
    </row>
    <row r="741" spans="1:1" x14ac:dyDescent="0.2">
      <c r="A741" t="s">
        <v>55</v>
      </c>
    </row>
    <row r="742" spans="1:1" x14ac:dyDescent="0.2">
      <c r="A742" t="s">
        <v>62</v>
      </c>
    </row>
    <row r="743" spans="1:1" x14ac:dyDescent="0.2">
      <c r="A743" t="s">
        <v>69</v>
      </c>
    </row>
    <row r="744" spans="1:1" x14ac:dyDescent="0.2">
      <c r="A744" t="s">
        <v>76</v>
      </c>
    </row>
    <row r="745" spans="1:1" x14ac:dyDescent="0.2">
      <c r="A745" t="s">
        <v>84</v>
      </c>
    </row>
    <row r="746" spans="1:1" x14ac:dyDescent="0.2">
      <c r="A746" t="s">
        <v>85</v>
      </c>
    </row>
    <row r="747" spans="1:1" x14ac:dyDescent="0.2">
      <c r="A747" t="s">
        <v>86</v>
      </c>
    </row>
    <row r="748" spans="1:1" x14ac:dyDescent="0.2">
      <c r="A748" t="s">
        <v>87</v>
      </c>
    </row>
    <row r="749" spans="1:1" x14ac:dyDescent="0.2">
      <c r="A749" t="s">
        <v>88</v>
      </c>
    </row>
    <row r="750" spans="1:1" x14ac:dyDescent="0.2">
      <c r="A750" t="s">
        <v>89</v>
      </c>
    </row>
    <row r="751" spans="1:1" x14ac:dyDescent="0.2">
      <c r="A751" t="s">
        <v>91</v>
      </c>
    </row>
    <row r="752" spans="1:1" x14ac:dyDescent="0.2">
      <c r="A752" t="s">
        <v>92</v>
      </c>
    </row>
    <row r="753" spans="1:1" x14ac:dyDescent="0.2">
      <c r="A753" t="s">
        <v>93</v>
      </c>
    </row>
    <row r="754" spans="1:1" x14ac:dyDescent="0.2">
      <c r="A754" t="s">
        <v>94</v>
      </c>
    </row>
    <row r="755" spans="1:1" x14ac:dyDescent="0.2">
      <c r="A755" t="s">
        <v>95</v>
      </c>
    </row>
    <row r="756" spans="1:1" x14ac:dyDescent="0.2">
      <c r="A756" t="s">
        <v>96</v>
      </c>
    </row>
    <row r="757" spans="1:1" x14ac:dyDescent="0.2">
      <c r="A757" t="s">
        <v>98</v>
      </c>
    </row>
    <row r="758" spans="1:1" x14ac:dyDescent="0.2">
      <c r="A758" t="s">
        <v>99</v>
      </c>
    </row>
    <row r="759" spans="1:1" x14ac:dyDescent="0.2">
      <c r="A759" t="s">
        <v>100</v>
      </c>
    </row>
    <row r="760" spans="1:1" x14ac:dyDescent="0.2">
      <c r="A760" t="s">
        <v>101</v>
      </c>
    </row>
    <row r="761" spans="1:1" x14ac:dyDescent="0.2">
      <c r="A761" t="s">
        <v>102</v>
      </c>
    </row>
    <row r="762" spans="1:1" x14ac:dyDescent="0.2">
      <c r="A762" t="s">
        <v>103</v>
      </c>
    </row>
    <row r="763" spans="1:1" x14ac:dyDescent="0.2">
      <c r="A763" t="s">
        <v>105</v>
      </c>
    </row>
    <row r="764" spans="1:1" x14ac:dyDescent="0.2">
      <c r="A764" t="s">
        <v>106</v>
      </c>
    </row>
    <row r="765" spans="1:1" x14ac:dyDescent="0.2">
      <c r="A765" t="s">
        <v>107</v>
      </c>
    </row>
    <row r="766" spans="1:1" x14ac:dyDescent="0.2">
      <c r="A766" t="s">
        <v>108</v>
      </c>
    </row>
    <row r="767" spans="1:1" x14ac:dyDescent="0.2">
      <c r="A767" t="s">
        <v>109</v>
      </c>
    </row>
    <row r="768" spans="1:1" x14ac:dyDescent="0.2">
      <c r="A768" t="s">
        <v>110</v>
      </c>
    </row>
    <row r="769" spans="1:1" x14ac:dyDescent="0.2">
      <c r="A769" t="s">
        <v>112</v>
      </c>
    </row>
    <row r="770" spans="1:1" x14ac:dyDescent="0.2">
      <c r="A770" t="s">
        <v>113</v>
      </c>
    </row>
    <row r="771" spans="1:1" x14ac:dyDescent="0.2">
      <c r="A771" t="s">
        <v>114</v>
      </c>
    </row>
    <row r="772" spans="1:1" x14ac:dyDescent="0.2">
      <c r="A772" t="s">
        <v>115</v>
      </c>
    </row>
    <row r="773" spans="1:1" x14ac:dyDescent="0.2">
      <c r="A773" t="s">
        <v>116</v>
      </c>
    </row>
    <row r="774" spans="1:1" x14ac:dyDescent="0.2">
      <c r="A774" t="s">
        <v>117</v>
      </c>
    </row>
    <row r="775" spans="1:1" x14ac:dyDescent="0.2">
      <c r="A775" t="s">
        <v>119</v>
      </c>
    </row>
    <row r="776" spans="1:1" x14ac:dyDescent="0.2">
      <c r="A776" t="s">
        <v>120</v>
      </c>
    </row>
    <row r="777" spans="1:1" x14ac:dyDescent="0.2">
      <c r="A777" t="s">
        <v>121</v>
      </c>
    </row>
    <row r="778" spans="1:1" x14ac:dyDescent="0.2">
      <c r="A778" t="s">
        <v>122</v>
      </c>
    </row>
    <row r="779" spans="1:1" x14ac:dyDescent="0.2">
      <c r="A779" t="s">
        <v>123</v>
      </c>
    </row>
    <row r="780" spans="1:1" x14ac:dyDescent="0.2">
      <c r="A780" t="s">
        <v>124</v>
      </c>
    </row>
    <row r="781" spans="1:1" x14ac:dyDescent="0.2">
      <c r="A781" t="s">
        <v>126</v>
      </c>
    </row>
    <row r="782" spans="1:1" x14ac:dyDescent="0.2">
      <c r="A782" t="s">
        <v>127</v>
      </c>
    </row>
    <row r="783" spans="1:1" x14ac:dyDescent="0.2">
      <c r="A783" t="s">
        <v>128</v>
      </c>
    </row>
    <row r="784" spans="1:1" x14ac:dyDescent="0.2">
      <c r="A784" t="s">
        <v>129</v>
      </c>
    </row>
    <row r="785" spans="1:1" x14ac:dyDescent="0.2">
      <c r="A785" t="s">
        <v>130</v>
      </c>
    </row>
    <row r="786" spans="1:1" x14ac:dyDescent="0.2">
      <c r="A786" t="s">
        <v>131</v>
      </c>
    </row>
    <row r="787" spans="1:1" x14ac:dyDescent="0.2">
      <c r="A787" t="s">
        <v>132</v>
      </c>
    </row>
    <row r="788" spans="1:1" x14ac:dyDescent="0.2">
      <c r="A788" t="s">
        <v>90</v>
      </c>
    </row>
    <row r="789" spans="1:1" x14ac:dyDescent="0.2">
      <c r="A789" t="s">
        <v>97</v>
      </c>
    </row>
    <row r="790" spans="1:1" x14ac:dyDescent="0.2">
      <c r="A790" t="s">
        <v>104</v>
      </c>
    </row>
    <row r="791" spans="1:1" x14ac:dyDescent="0.2">
      <c r="A791" t="s">
        <v>111</v>
      </c>
    </row>
    <row r="792" spans="1:1" x14ac:dyDescent="0.2">
      <c r="A792" t="s">
        <v>118</v>
      </c>
    </row>
    <row r="793" spans="1:1" x14ac:dyDescent="0.2">
      <c r="A793" t="s">
        <v>125</v>
      </c>
    </row>
    <row r="794" spans="1:1" x14ac:dyDescent="0.2">
      <c r="A794" t="s">
        <v>169</v>
      </c>
    </row>
    <row r="795" spans="1:1" x14ac:dyDescent="0.2">
      <c r="A795" t="s">
        <v>170</v>
      </c>
    </row>
    <row r="796" spans="1:1" x14ac:dyDescent="0.2">
      <c r="A796" t="s">
        <v>171</v>
      </c>
    </row>
    <row r="797" spans="1:1" x14ac:dyDescent="0.2">
      <c r="A797" t="s">
        <v>172</v>
      </c>
    </row>
    <row r="798" spans="1:1" x14ac:dyDescent="0.2">
      <c r="A798" t="s">
        <v>173</v>
      </c>
    </row>
    <row r="799" spans="1:1" x14ac:dyDescent="0.2">
      <c r="A799" t="s">
        <v>174</v>
      </c>
    </row>
    <row r="800" spans="1:1" x14ac:dyDescent="0.2">
      <c r="A800" t="s">
        <v>176</v>
      </c>
    </row>
    <row r="801" spans="1:1" x14ac:dyDescent="0.2">
      <c r="A801" t="s">
        <v>177</v>
      </c>
    </row>
    <row r="802" spans="1:1" x14ac:dyDescent="0.2">
      <c r="A802" t="s">
        <v>178</v>
      </c>
    </row>
    <row r="803" spans="1:1" x14ac:dyDescent="0.2">
      <c r="A803" t="s">
        <v>179</v>
      </c>
    </row>
    <row r="804" spans="1:1" x14ac:dyDescent="0.2">
      <c r="A804" t="s">
        <v>180</v>
      </c>
    </row>
    <row r="805" spans="1:1" x14ac:dyDescent="0.2">
      <c r="A805" t="s">
        <v>181</v>
      </c>
    </row>
    <row r="806" spans="1:1" x14ac:dyDescent="0.2">
      <c r="A806" t="s">
        <v>183</v>
      </c>
    </row>
    <row r="807" spans="1:1" x14ac:dyDescent="0.2">
      <c r="A807" t="s">
        <v>184</v>
      </c>
    </row>
    <row r="808" spans="1:1" x14ac:dyDescent="0.2">
      <c r="A808" t="s">
        <v>185</v>
      </c>
    </row>
    <row r="809" spans="1:1" x14ac:dyDescent="0.2">
      <c r="A809" t="s">
        <v>186</v>
      </c>
    </row>
    <row r="810" spans="1:1" x14ac:dyDescent="0.2">
      <c r="A810" t="s">
        <v>187</v>
      </c>
    </row>
    <row r="811" spans="1:1" x14ac:dyDescent="0.2">
      <c r="A811" t="s">
        <v>188</v>
      </c>
    </row>
    <row r="812" spans="1:1" x14ac:dyDescent="0.2">
      <c r="A812" t="s">
        <v>190</v>
      </c>
    </row>
    <row r="813" spans="1:1" x14ac:dyDescent="0.2">
      <c r="A813" t="s">
        <v>191</v>
      </c>
    </row>
    <row r="814" spans="1:1" x14ac:dyDescent="0.2">
      <c r="A814" t="s">
        <v>192</v>
      </c>
    </row>
    <row r="815" spans="1:1" x14ac:dyDescent="0.2">
      <c r="A815" t="s">
        <v>193</v>
      </c>
    </row>
    <row r="816" spans="1:1" x14ac:dyDescent="0.2">
      <c r="A816" t="s">
        <v>194</v>
      </c>
    </row>
    <row r="817" spans="1:1" x14ac:dyDescent="0.2">
      <c r="A817" t="s">
        <v>195</v>
      </c>
    </row>
    <row r="818" spans="1:1" x14ac:dyDescent="0.2">
      <c r="A818" t="s">
        <v>197</v>
      </c>
    </row>
    <row r="819" spans="1:1" x14ac:dyDescent="0.2">
      <c r="A819" t="s">
        <v>198</v>
      </c>
    </row>
    <row r="820" spans="1:1" x14ac:dyDescent="0.2">
      <c r="A820" t="s">
        <v>199</v>
      </c>
    </row>
    <row r="821" spans="1:1" x14ac:dyDescent="0.2">
      <c r="A821" t="s">
        <v>200</v>
      </c>
    </row>
    <row r="822" spans="1:1" x14ac:dyDescent="0.2">
      <c r="A822" t="s">
        <v>201</v>
      </c>
    </row>
    <row r="823" spans="1:1" x14ac:dyDescent="0.2">
      <c r="A823" t="s">
        <v>202</v>
      </c>
    </row>
    <row r="824" spans="1:1" x14ac:dyDescent="0.2">
      <c r="A824" t="s">
        <v>204</v>
      </c>
    </row>
    <row r="825" spans="1:1" x14ac:dyDescent="0.2">
      <c r="A825" t="s">
        <v>205</v>
      </c>
    </row>
    <row r="826" spans="1:1" x14ac:dyDescent="0.2">
      <c r="A826" t="s">
        <v>206</v>
      </c>
    </row>
    <row r="827" spans="1:1" x14ac:dyDescent="0.2">
      <c r="A827" t="s">
        <v>207</v>
      </c>
    </row>
    <row r="828" spans="1:1" x14ac:dyDescent="0.2">
      <c r="A828" t="s">
        <v>208</v>
      </c>
    </row>
    <row r="829" spans="1:1" x14ac:dyDescent="0.2">
      <c r="A829" t="s">
        <v>209</v>
      </c>
    </row>
    <row r="830" spans="1:1" x14ac:dyDescent="0.2">
      <c r="A830" t="s">
        <v>211</v>
      </c>
    </row>
    <row r="831" spans="1:1" x14ac:dyDescent="0.2">
      <c r="A831" t="s">
        <v>212</v>
      </c>
    </row>
    <row r="832" spans="1:1" x14ac:dyDescent="0.2">
      <c r="A832" t="s">
        <v>213</v>
      </c>
    </row>
    <row r="833" spans="1:1" x14ac:dyDescent="0.2">
      <c r="A833" t="s">
        <v>214</v>
      </c>
    </row>
    <row r="834" spans="1:1" x14ac:dyDescent="0.2">
      <c r="A834" t="s">
        <v>215</v>
      </c>
    </row>
    <row r="835" spans="1:1" x14ac:dyDescent="0.2">
      <c r="A835" t="s">
        <v>216</v>
      </c>
    </row>
    <row r="836" spans="1:1" x14ac:dyDescent="0.2">
      <c r="A836" t="s">
        <v>219</v>
      </c>
    </row>
    <row r="837" spans="1:1" x14ac:dyDescent="0.2">
      <c r="A837" t="s">
        <v>220</v>
      </c>
    </row>
    <row r="838" spans="1:1" x14ac:dyDescent="0.2">
      <c r="A838" t="s">
        <v>221</v>
      </c>
    </row>
    <row r="839" spans="1:1" x14ac:dyDescent="0.2">
      <c r="A839" t="s">
        <v>222</v>
      </c>
    </row>
    <row r="840" spans="1:1" x14ac:dyDescent="0.2">
      <c r="A840" t="s">
        <v>223</v>
      </c>
    </row>
    <row r="841" spans="1:1" x14ac:dyDescent="0.2">
      <c r="A841" t="s">
        <v>224</v>
      </c>
    </row>
    <row r="842" spans="1:1" x14ac:dyDescent="0.2">
      <c r="A842" t="s">
        <v>226</v>
      </c>
    </row>
    <row r="843" spans="1:1" x14ac:dyDescent="0.2">
      <c r="A843" t="s">
        <v>227</v>
      </c>
    </row>
    <row r="844" spans="1:1" x14ac:dyDescent="0.2">
      <c r="A844" t="s">
        <v>228</v>
      </c>
    </row>
    <row r="845" spans="1:1" x14ac:dyDescent="0.2">
      <c r="A845" t="s">
        <v>229</v>
      </c>
    </row>
    <row r="846" spans="1:1" x14ac:dyDescent="0.2">
      <c r="A846" t="s">
        <v>230</v>
      </c>
    </row>
    <row r="847" spans="1:1" x14ac:dyDescent="0.2">
      <c r="A847" t="s">
        <v>231</v>
      </c>
    </row>
    <row r="848" spans="1:1" x14ac:dyDescent="0.2">
      <c r="A848" t="s">
        <v>232</v>
      </c>
    </row>
    <row r="849" spans="1:1" x14ac:dyDescent="0.2">
      <c r="A849" t="s">
        <v>218</v>
      </c>
    </row>
    <row r="850" spans="1:1" x14ac:dyDescent="0.2">
      <c r="A850" t="s">
        <v>175</v>
      </c>
    </row>
    <row r="851" spans="1:1" x14ac:dyDescent="0.2">
      <c r="A851" t="s">
        <v>182</v>
      </c>
    </row>
    <row r="852" spans="1:1" x14ac:dyDescent="0.2">
      <c r="A852" t="s">
        <v>189</v>
      </c>
    </row>
    <row r="853" spans="1:1" x14ac:dyDescent="0.2">
      <c r="A853" t="s">
        <v>196</v>
      </c>
    </row>
    <row r="854" spans="1:1" x14ac:dyDescent="0.2">
      <c r="A854" t="s">
        <v>203</v>
      </c>
    </row>
    <row r="855" spans="1:1" x14ac:dyDescent="0.2">
      <c r="A855" t="s">
        <v>210</v>
      </c>
    </row>
    <row r="856" spans="1:1" x14ac:dyDescent="0.2">
      <c r="A856" t="s">
        <v>217</v>
      </c>
    </row>
    <row r="857" spans="1:1" x14ac:dyDescent="0.2">
      <c r="A857" t="s">
        <v>225</v>
      </c>
    </row>
    <row r="858" spans="1:1" x14ac:dyDescent="0.2">
      <c r="A858" t="s">
        <v>233</v>
      </c>
    </row>
    <row r="859" spans="1:1" x14ac:dyDescent="0.2">
      <c r="A859" t="s">
        <v>234</v>
      </c>
    </row>
    <row r="860" spans="1:1" x14ac:dyDescent="0.2">
      <c r="A860" t="s">
        <v>235</v>
      </c>
    </row>
    <row r="861" spans="1:1" x14ac:dyDescent="0.2">
      <c r="A861" t="s">
        <v>236</v>
      </c>
    </row>
    <row r="862" spans="1:1" x14ac:dyDescent="0.2">
      <c r="A862" t="s">
        <v>237</v>
      </c>
    </row>
    <row r="863" spans="1:1" x14ac:dyDescent="0.2">
      <c r="A863" t="s">
        <v>238</v>
      </c>
    </row>
    <row r="864" spans="1:1" x14ac:dyDescent="0.2">
      <c r="A864" t="s">
        <v>240</v>
      </c>
    </row>
    <row r="865" spans="1:1" x14ac:dyDescent="0.2">
      <c r="A865" t="s">
        <v>241</v>
      </c>
    </row>
    <row r="866" spans="1:1" x14ac:dyDescent="0.2">
      <c r="A866" t="s">
        <v>242</v>
      </c>
    </row>
    <row r="867" spans="1:1" x14ac:dyDescent="0.2">
      <c r="A867" t="s">
        <v>243</v>
      </c>
    </row>
    <row r="868" spans="1:1" x14ac:dyDescent="0.2">
      <c r="A868" t="s">
        <v>244</v>
      </c>
    </row>
    <row r="869" spans="1:1" x14ac:dyDescent="0.2">
      <c r="A869" t="s">
        <v>245</v>
      </c>
    </row>
    <row r="870" spans="1:1" x14ac:dyDescent="0.2">
      <c r="A870" t="s">
        <v>247</v>
      </c>
    </row>
    <row r="871" spans="1:1" x14ac:dyDescent="0.2">
      <c r="A871" t="s">
        <v>248</v>
      </c>
    </row>
    <row r="872" spans="1:1" x14ac:dyDescent="0.2">
      <c r="A872" t="s">
        <v>249</v>
      </c>
    </row>
    <row r="873" spans="1:1" x14ac:dyDescent="0.2">
      <c r="A873" t="s">
        <v>250</v>
      </c>
    </row>
    <row r="874" spans="1:1" x14ac:dyDescent="0.2">
      <c r="A874" t="s">
        <v>251</v>
      </c>
    </row>
    <row r="875" spans="1:1" x14ac:dyDescent="0.2">
      <c r="A875" t="s">
        <v>252</v>
      </c>
    </row>
    <row r="876" spans="1:1" x14ac:dyDescent="0.2">
      <c r="A876" t="s">
        <v>254</v>
      </c>
    </row>
    <row r="877" spans="1:1" x14ac:dyDescent="0.2">
      <c r="A877" t="s">
        <v>255</v>
      </c>
    </row>
    <row r="878" spans="1:1" x14ac:dyDescent="0.2">
      <c r="A878" t="s">
        <v>256</v>
      </c>
    </row>
    <row r="879" spans="1:1" x14ac:dyDescent="0.2">
      <c r="A879" t="s">
        <v>257</v>
      </c>
    </row>
    <row r="880" spans="1:1" x14ac:dyDescent="0.2">
      <c r="A880" t="s">
        <v>258</v>
      </c>
    </row>
    <row r="881" spans="1:1" x14ac:dyDescent="0.2">
      <c r="A881" t="s">
        <v>259</v>
      </c>
    </row>
    <row r="882" spans="1:1" x14ac:dyDescent="0.2">
      <c r="A882" t="s">
        <v>261</v>
      </c>
    </row>
    <row r="883" spans="1:1" x14ac:dyDescent="0.2">
      <c r="A883" t="s">
        <v>262</v>
      </c>
    </row>
    <row r="884" spans="1:1" x14ac:dyDescent="0.2">
      <c r="A884" t="s">
        <v>263</v>
      </c>
    </row>
    <row r="885" spans="1:1" x14ac:dyDescent="0.2">
      <c r="A885" t="s">
        <v>264</v>
      </c>
    </row>
    <row r="886" spans="1:1" x14ac:dyDescent="0.2">
      <c r="A886" t="s">
        <v>265</v>
      </c>
    </row>
    <row r="887" spans="1:1" x14ac:dyDescent="0.2">
      <c r="A887" t="s">
        <v>266</v>
      </c>
    </row>
    <row r="888" spans="1:1" x14ac:dyDescent="0.2">
      <c r="A888" t="s">
        <v>268</v>
      </c>
    </row>
    <row r="889" spans="1:1" x14ac:dyDescent="0.2">
      <c r="A889" t="s">
        <v>269</v>
      </c>
    </row>
    <row r="890" spans="1:1" x14ac:dyDescent="0.2">
      <c r="A890" t="s">
        <v>270</v>
      </c>
    </row>
    <row r="891" spans="1:1" x14ac:dyDescent="0.2">
      <c r="A891" t="s">
        <v>271</v>
      </c>
    </row>
    <row r="892" spans="1:1" x14ac:dyDescent="0.2">
      <c r="A892" t="s">
        <v>272</v>
      </c>
    </row>
    <row r="893" spans="1:1" x14ac:dyDescent="0.2">
      <c r="A893" t="s">
        <v>273</v>
      </c>
    </row>
    <row r="894" spans="1:1" x14ac:dyDescent="0.2">
      <c r="A894" t="s">
        <v>274</v>
      </c>
    </row>
    <row r="895" spans="1:1" x14ac:dyDescent="0.2">
      <c r="A895" t="s">
        <v>239</v>
      </c>
    </row>
    <row r="896" spans="1:1" x14ac:dyDescent="0.2">
      <c r="A896" t="s">
        <v>246</v>
      </c>
    </row>
    <row r="897" spans="1:1" x14ac:dyDescent="0.2">
      <c r="A897" t="s">
        <v>253</v>
      </c>
    </row>
    <row r="898" spans="1:1" x14ac:dyDescent="0.2">
      <c r="A898" t="s">
        <v>260</v>
      </c>
    </row>
    <row r="899" spans="1:1" x14ac:dyDescent="0.2">
      <c r="A899" t="s">
        <v>267</v>
      </c>
    </row>
    <row r="900" spans="1:1" x14ac:dyDescent="0.2">
      <c r="A900" t="s">
        <v>275</v>
      </c>
    </row>
    <row r="901" spans="1:1" x14ac:dyDescent="0.2">
      <c r="A901" t="s">
        <v>276</v>
      </c>
    </row>
    <row r="902" spans="1:1" x14ac:dyDescent="0.2">
      <c r="A902" t="s">
        <v>277</v>
      </c>
    </row>
    <row r="903" spans="1:1" x14ac:dyDescent="0.2">
      <c r="A903" t="s">
        <v>279</v>
      </c>
    </row>
    <row r="904" spans="1:1" x14ac:dyDescent="0.2">
      <c r="A904" t="s">
        <v>278</v>
      </c>
    </row>
    <row r="905" spans="1:1" x14ac:dyDescent="0.2">
      <c r="A905" t="s">
        <v>280</v>
      </c>
    </row>
    <row r="906" spans="1:1" x14ac:dyDescent="0.2">
      <c r="A906" t="s">
        <v>281</v>
      </c>
    </row>
    <row r="907" spans="1:1" x14ac:dyDescent="0.2">
      <c r="A907" t="s">
        <v>282</v>
      </c>
    </row>
    <row r="908" spans="1:1" x14ac:dyDescent="0.2">
      <c r="A908" t="s">
        <v>21</v>
      </c>
    </row>
    <row r="909" spans="1:1" x14ac:dyDescent="0.2">
      <c r="A909" t="s">
        <v>25</v>
      </c>
    </row>
    <row r="910" spans="1:1" x14ac:dyDescent="0.2">
      <c r="A910" t="s">
        <v>26</v>
      </c>
    </row>
    <row r="911" spans="1:1" x14ac:dyDescent="0.2">
      <c r="A911" t="s">
        <v>27</v>
      </c>
    </row>
    <row r="912" spans="1:1" x14ac:dyDescent="0.2">
      <c r="A912" t="s">
        <v>23</v>
      </c>
    </row>
    <row r="913" spans="1:1" x14ac:dyDescent="0.2">
      <c r="A913" t="s">
        <v>22</v>
      </c>
    </row>
    <row r="914" spans="1:1" x14ac:dyDescent="0.2">
      <c r="A914" t="s">
        <v>20</v>
      </c>
    </row>
    <row r="915" spans="1:1" x14ac:dyDescent="0.2">
      <c r="A915" t="s">
        <v>24</v>
      </c>
    </row>
    <row r="916" spans="1:1" x14ac:dyDescent="0.2">
      <c r="A916" t="s">
        <v>16</v>
      </c>
    </row>
    <row r="917" spans="1:1" x14ac:dyDescent="0.2">
      <c r="A917" t="s">
        <v>3479</v>
      </c>
    </row>
    <row r="918" spans="1:1" x14ac:dyDescent="0.2">
      <c r="A918" t="s">
        <v>3481</v>
      </c>
    </row>
    <row r="919" spans="1:1" x14ac:dyDescent="0.2">
      <c r="A919" t="s">
        <v>3483</v>
      </c>
    </row>
    <row r="920" spans="1:1" x14ac:dyDescent="0.2">
      <c r="A920" t="s">
        <v>3485</v>
      </c>
    </row>
    <row r="921" spans="1:1" x14ac:dyDescent="0.2">
      <c r="A921" t="s">
        <v>3487</v>
      </c>
    </row>
    <row r="922" spans="1:1" x14ac:dyDescent="0.2">
      <c r="A922" t="s">
        <v>3489</v>
      </c>
    </row>
    <row r="923" spans="1:1" x14ac:dyDescent="0.2">
      <c r="A923" t="s">
        <v>15</v>
      </c>
    </row>
    <row r="924" spans="1:1" x14ac:dyDescent="0.2">
      <c r="A924" t="s">
        <v>11</v>
      </c>
    </row>
    <row r="925" spans="1:1" x14ac:dyDescent="0.2">
      <c r="A925" t="s">
        <v>10</v>
      </c>
    </row>
    <row r="926" spans="1:1" x14ac:dyDescent="0.2">
      <c r="A926" t="s">
        <v>13</v>
      </c>
    </row>
    <row r="927" spans="1:1" x14ac:dyDescent="0.2">
      <c r="A927" t="s">
        <v>12</v>
      </c>
    </row>
    <row r="928" spans="1:1" x14ac:dyDescent="0.2">
      <c r="A928" t="s">
        <v>14</v>
      </c>
    </row>
    <row r="929" spans="1:1" x14ac:dyDescent="0.2">
      <c r="A929" t="s">
        <v>2522</v>
      </c>
    </row>
    <row r="930" spans="1:1" x14ac:dyDescent="0.2">
      <c r="A930" t="s">
        <v>0</v>
      </c>
    </row>
    <row r="931" spans="1:1" x14ac:dyDescent="0.2">
      <c r="A931" t="s">
        <v>19</v>
      </c>
    </row>
  </sheetData>
  <autoFilter ref="A1:A931" xr:uid="{9325115E-A146-4A68-93EE-A8033504300F}">
    <sortState xmlns:xlrd2="http://schemas.microsoft.com/office/spreadsheetml/2017/richdata2" ref="A2:A931">
      <sortCondition ref="A1:A931"/>
    </sortState>
  </autoFilter>
  <pageMargins left="0.7" right="0.7" top="0.75" bottom="0.75" header="0.3" footer="0.3"/>
  <customProperties>
    <customPr name="layoutContexts" r:id="rId1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5B472-D2CD-479F-B47A-2C9F7D2C51A2}">
  <dimension ref="A1:AIT1"/>
  <sheetViews>
    <sheetView workbookViewId="0">
      <selection activeCell="AIT1" sqref="A1:AIT1"/>
    </sheetView>
  </sheetViews>
  <sheetFormatPr defaultRowHeight="12.75" x14ac:dyDescent="0.2"/>
  <sheetData>
    <row r="1" spans="1:9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3</v>
      </c>
      <c r="I1" t="s">
        <v>6</v>
      </c>
      <c r="J1" t="s">
        <v>3</v>
      </c>
      <c r="K1" t="s">
        <v>7</v>
      </c>
      <c r="L1" t="s">
        <v>3</v>
      </c>
      <c r="M1" t="s">
        <v>8</v>
      </c>
      <c r="N1" t="s">
        <v>3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  <c r="DC1" t="s">
        <v>101</v>
      </c>
      <c r="DD1" t="s">
        <v>102</v>
      </c>
      <c r="DE1" t="s">
        <v>103</v>
      </c>
      <c r="DF1" t="s">
        <v>104</v>
      </c>
      <c r="DG1" t="s">
        <v>105</v>
      </c>
      <c r="DH1" t="s">
        <v>106</v>
      </c>
      <c r="DI1" t="s">
        <v>107</v>
      </c>
      <c r="DJ1" t="s">
        <v>108</v>
      </c>
      <c r="DK1" t="s">
        <v>109</v>
      </c>
      <c r="DL1" t="s">
        <v>110</v>
      </c>
      <c r="DM1" t="s">
        <v>111</v>
      </c>
      <c r="DN1" t="s">
        <v>112</v>
      </c>
      <c r="DO1" t="s">
        <v>113</v>
      </c>
      <c r="DP1" t="s">
        <v>114</v>
      </c>
      <c r="DQ1" t="s">
        <v>115</v>
      </c>
      <c r="DR1" t="s">
        <v>116</v>
      </c>
      <c r="DS1" t="s">
        <v>117</v>
      </c>
      <c r="DT1" t="s">
        <v>118</v>
      </c>
      <c r="DU1" t="s">
        <v>119</v>
      </c>
      <c r="DV1" t="s">
        <v>120</v>
      </c>
      <c r="DW1" t="s">
        <v>121</v>
      </c>
      <c r="DX1" t="s">
        <v>122</v>
      </c>
      <c r="DY1" t="s">
        <v>123</v>
      </c>
      <c r="DZ1" t="s">
        <v>124</v>
      </c>
      <c r="EA1" t="s">
        <v>125</v>
      </c>
      <c r="EB1" t="s">
        <v>126</v>
      </c>
      <c r="EC1" t="s">
        <v>127</v>
      </c>
      <c r="ED1" t="s">
        <v>128</v>
      </c>
      <c r="EE1" t="s">
        <v>129</v>
      </c>
      <c r="EF1" t="s">
        <v>130</v>
      </c>
      <c r="EG1" t="s">
        <v>131</v>
      </c>
      <c r="EH1" t="s">
        <v>132</v>
      </c>
      <c r="EI1" t="s">
        <v>133</v>
      </c>
      <c r="EJ1" t="s">
        <v>134</v>
      </c>
      <c r="EK1" t="s">
        <v>135</v>
      </c>
      <c r="EL1" t="s">
        <v>136</v>
      </c>
      <c r="EM1" t="s">
        <v>137</v>
      </c>
      <c r="EN1" t="s">
        <v>138</v>
      </c>
      <c r="EO1" t="s">
        <v>139</v>
      </c>
      <c r="EP1" t="s">
        <v>140</v>
      </c>
      <c r="EQ1" t="s">
        <v>141</v>
      </c>
      <c r="ER1" t="s">
        <v>142</v>
      </c>
      <c r="ES1" t="s">
        <v>143</v>
      </c>
      <c r="ET1" t="s">
        <v>144</v>
      </c>
      <c r="EU1" t="s">
        <v>145</v>
      </c>
      <c r="EV1" t="s">
        <v>146</v>
      </c>
      <c r="EW1" t="s">
        <v>147</v>
      </c>
      <c r="EX1" t="s">
        <v>148</v>
      </c>
      <c r="EY1" t="s">
        <v>149</v>
      </c>
      <c r="EZ1" t="s">
        <v>150</v>
      </c>
      <c r="FA1" t="s">
        <v>151</v>
      </c>
      <c r="FB1" t="s">
        <v>152</v>
      </c>
      <c r="FC1" t="s">
        <v>153</v>
      </c>
      <c r="FD1" t="s">
        <v>154</v>
      </c>
      <c r="FE1" t="s">
        <v>155</v>
      </c>
      <c r="FF1" t="s">
        <v>156</v>
      </c>
      <c r="FG1" t="s">
        <v>157</v>
      </c>
      <c r="FH1" t="s">
        <v>158</v>
      </c>
      <c r="FI1" t="s">
        <v>159</v>
      </c>
      <c r="FJ1" t="s">
        <v>160</v>
      </c>
      <c r="FK1" t="s">
        <v>161</v>
      </c>
      <c r="FL1" t="s">
        <v>162</v>
      </c>
      <c r="FM1" t="s">
        <v>163</v>
      </c>
      <c r="FN1" t="s">
        <v>164</v>
      </c>
      <c r="FO1" t="s">
        <v>165</v>
      </c>
      <c r="FP1" t="s">
        <v>166</v>
      </c>
      <c r="FQ1" t="s">
        <v>167</v>
      </c>
      <c r="FR1" t="s">
        <v>168</v>
      </c>
      <c r="FS1" t="s">
        <v>169</v>
      </c>
      <c r="FT1" t="s">
        <v>170</v>
      </c>
      <c r="FU1" t="s">
        <v>171</v>
      </c>
      <c r="FV1" t="s">
        <v>172</v>
      </c>
      <c r="FW1" t="s">
        <v>173</v>
      </c>
      <c r="FX1" t="s">
        <v>174</v>
      </c>
      <c r="FY1" t="s">
        <v>175</v>
      </c>
      <c r="FZ1" t="s">
        <v>176</v>
      </c>
      <c r="GA1" t="s">
        <v>177</v>
      </c>
      <c r="GB1" t="s">
        <v>178</v>
      </c>
      <c r="GC1" t="s">
        <v>179</v>
      </c>
      <c r="GD1" t="s">
        <v>180</v>
      </c>
      <c r="GE1" t="s">
        <v>181</v>
      </c>
      <c r="GF1" t="s">
        <v>182</v>
      </c>
      <c r="GG1" t="s">
        <v>183</v>
      </c>
      <c r="GH1" t="s">
        <v>184</v>
      </c>
      <c r="GI1" t="s">
        <v>185</v>
      </c>
      <c r="GJ1" t="s">
        <v>186</v>
      </c>
      <c r="GK1" t="s">
        <v>187</v>
      </c>
      <c r="GL1" t="s">
        <v>188</v>
      </c>
      <c r="GM1" t="s">
        <v>189</v>
      </c>
      <c r="GN1" t="s">
        <v>190</v>
      </c>
      <c r="GO1" t="s">
        <v>191</v>
      </c>
      <c r="GP1" t="s">
        <v>192</v>
      </c>
      <c r="GQ1" t="s">
        <v>193</v>
      </c>
      <c r="GR1" t="s">
        <v>194</v>
      </c>
      <c r="GS1" t="s">
        <v>195</v>
      </c>
      <c r="GT1" t="s">
        <v>196</v>
      </c>
      <c r="GU1" t="s">
        <v>197</v>
      </c>
      <c r="GV1" t="s">
        <v>198</v>
      </c>
      <c r="GW1" t="s">
        <v>199</v>
      </c>
      <c r="GX1" t="s">
        <v>200</v>
      </c>
      <c r="GY1" t="s">
        <v>201</v>
      </c>
      <c r="GZ1" t="s">
        <v>202</v>
      </c>
      <c r="HA1" t="s">
        <v>203</v>
      </c>
      <c r="HB1" t="s">
        <v>204</v>
      </c>
      <c r="HC1" t="s">
        <v>205</v>
      </c>
      <c r="HD1" t="s">
        <v>206</v>
      </c>
      <c r="HE1" t="s">
        <v>207</v>
      </c>
      <c r="HF1" t="s">
        <v>208</v>
      </c>
      <c r="HG1" t="s">
        <v>209</v>
      </c>
      <c r="HH1" t="s">
        <v>210</v>
      </c>
      <c r="HI1" t="s">
        <v>211</v>
      </c>
      <c r="HJ1" t="s">
        <v>212</v>
      </c>
      <c r="HK1" t="s">
        <v>213</v>
      </c>
      <c r="HL1" t="s">
        <v>214</v>
      </c>
      <c r="HM1" t="s">
        <v>215</v>
      </c>
      <c r="HN1" t="s">
        <v>216</v>
      </c>
      <c r="HO1" t="s">
        <v>217</v>
      </c>
      <c r="HP1" t="s">
        <v>218</v>
      </c>
      <c r="HQ1" t="s">
        <v>219</v>
      </c>
      <c r="HR1" t="s">
        <v>220</v>
      </c>
      <c r="HS1" t="s">
        <v>221</v>
      </c>
      <c r="HT1" t="s">
        <v>222</v>
      </c>
      <c r="HU1" t="s">
        <v>223</v>
      </c>
      <c r="HV1" t="s">
        <v>224</v>
      </c>
      <c r="HW1" t="s">
        <v>225</v>
      </c>
      <c r="HX1" t="s">
        <v>226</v>
      </c>
      <c r="HY1" t="s">
        <v>227</v>
      </c>
      <c r="HZ1" t="s">
        <v>228</v>
      </c>
      <c r="IA1" t="s">
        <v>229</v>
      </c>
      <c r="IB1" t="s">
        <v>230</v>
      </c>
      <c r="IC1" t="s">
        <v>231</v>
      </c>
      <c r="ID1" t="s">
        <v>232</v>
      </c>
      <c r="IE1" t="s">
        <v>233</v>
      </c>
      <c r="IF1" t="s">
        <v>234</v>
      </c>
      <c r="IG1" t="s">
        <v>235</v>
      </c>
      <c r="IH1" t="s">
        <v>236</v>
      </c>
      <c r="II1" t="s">
        <v>237</v>
      </c>
      <c r="IJ1" t="s">
        <v>238</v>
      </c>
      <c r="IK1" t="s">
        <v>239</v>
      </c>
      <c r="IL1" t="s">
        <v>240</v>
      </c>
      <c r="IM1" t="s">
        <v>241</v>
      </c>
      <c r="IN1" t="s">
        <v>242</v>
      </c>
      <c r="IO1" t="s">
        <v>243</v>
      </c>
      <c r="IP1" t="s">
        <v>244</v>
      </c>
      <c r="IQ1" t="s">
        <v>245</v>
      </c>
      <c r="IR1" t="s">
        <v>246</v>
      </c>
      <c r="IS1" t="s">
        <v>247</v>
      </c>
      <c r="IT1" t="s">
        <v>248</v>
      </c>
      <c r="IU1" t="s">
        <v>249</v>
      </c>
      <c r="IV1" t="s">
        <v>250</v>
      </c>
      <c r="IW1" t="s">
        <v>251</v>
      </c>
      <c r="IX1" t="s">
        <v>252</v>
      </c>
      <c r="IY1" t="s">
        <v>253</v>
      </c>
      <c r="IZ1" t="s">
        <v>254</v>
      </c>
      <c r="JA1" t="s">
        <v>255</v>
      </c>
      <c r="JB1" t="s">
        <v>256</v>
      </c>
      <c r="JC1" t="s">
        <v>257</v>
      </c>
      <c r="JD1" t="s">
        <v>258</v>
      </c>
      <c r="JE1" t="s">
        <v>259</v>
      </c>
      <c r="JF1" t="s">
        <v>260</v>
      </c>
      <c r="JG1" t="s">
        <v>261</v>
      </c>
      <c r="JH1" t="s">
        <v>262</v>
      </c>
      <c r="JI1" t="s">
        <v>263</v>
      </c>
      <c r="JJ1" t="s">
        <v>264</v>
      </c>
      <c r="JK1" t="s">
        <v>265</v>
      </c>
      <c r="JL1" t="s">
        <v>266</v>
      </c>
      <c r="JM1" t="s">
        <v>267</v>
      </c>
      <c r="JN1" t="s">
        <v>268</v>
      </c>
      <c r="JO1" t="s">
        <v>269</v>
      </c>
      <c r="JP1" t="s">
        <v>270</v>
      </c>
      <c r="JQ1" t="s">
        <v>271</v>
      </c>
      <c r="JR1" t="s">
        <v>272</v>
      </c>
      <c r="JS1" t="s">
        <v>273</v>
      </c>
      <c r="JT1" t="s">
        <v>274</v>
      </c>
      <c r="JU1" t="s">
        <v>275</v>
      </c>
      <c r="JV1" t="s">
        <v>276</v>
      </c>
      <c r="JW1" t="s">
        <v>277</v>
      </c>
      <c r="JX1" t="s">
        <v>278</v>
      </c>
      <c r="JY1" t="s">
        <v>279</v>
      </c>
      <c r="JZ1" t="s">
        <v>280</v>
      </c>
      <c r="KA1" t="s">
        <v>281</v>
      </c>
      <c r="KB1" t="s">
        <v>282</v>
      </c>
      <c r="KC1" t="s">
        <v>2094</v>
      </c>
      <c r="KD1" t="s">
        <v>2095</v>
      </c>
      <c r="KE1" t="s">
        <v>2096</v>
      </c>
      <c r="KF1" t="s">
        <v>2097</v>
      </c>
      <c r="KG1" t="s">
        <v>2098</v>
      </c>
      <c r="KH1" t="s">
        <v>2099</v>
      </c>
      <c r="KI1" t="s">
        <v>2100</v>
      </c>
      <c r="KJ1" t="s">
        <v>2101</v>
      </c>
      <c r="KK1" t="s">
        <v>2102</v>
      </c>
      <c r="KL1" t="s">
        <v>2103</v>
      </c>
      <c r="KM1" t="s">
        <v>2104</v>
      </c>
      <c r="KN1" t="s">
        <v>2105</v>
      </c>
      <c r="KO1" t="s">
        <v>2106</v>
      </c>
      <c r="KP1" t="s">
        <v>2107</v>
      </c>
      <c r="KQ1" t="s">
        <v>2108</v>
      </c>
      <c r="KR1" t="s">
        <v>2109</v>
      </c>
      <c r="KS1" t="s">
        <v>2110</v>
      </c>
      <c r="KT1" t="s">
        <v>2111</v>
      </c>
      <c r="KU1" t="s">
        <v>2112</v>
      </c>
      <c r="KV1" t="s">
        <v>2113</v>
      </c>
      <c r="KW1" t="s">
        <v>2114</v>
      </c>
      <c r="KX1" t="s">
        <v>2115</v>
      </c>
      <c r="KY1" t="s">
        <v>2116</v>
      </c>
      <c r="KZ1" t="s">
        <v>2117</v>
      </c>
      <c r="LA1" t="s">
        <v>2118</v>
      </c>
      <c r="LB1" t="s">
        <v>2119</v>
      </c>
      <c r="LC1" t="s">
        <v>2120</v>
      </c>
      <c r="LD1" t="s">
        <v>2121</v>
      </c>
      <c r="LE1" t="s">
        <v>2122</v>
      </c>
      <c r="LF1" t="s">
        <v>2123</v>
      </c>
      <c r="LG1" t="s">
        <v>2124</v>
      </c>
      <c r="LH1" t="s">
        <v>2125</v>
      </c>
      <c r="LI1" t="s">
        <v>2126</v>
      </c>
      <c r="LJ1" t="s">
        <v>2127</v>
      </c>
      <c r="LK1" t="s">
        <v>2128</v>
      </c>
      <c r="LL1" t="s">
        <v>2129</v>
      </c>
      <c r="LM1" t="s">
        <v>2130</v>
      </c>
      <c r="LN1" t="s">
        <v>2131</v>
      </c>
      <c r="LO1" t="s">
        <v>2132</v>
      </c>
      <c r="LP1" t="s">
        <v>2133</v>
      </c>
      <c r="LQ1" t="s">
        <v>2134</v>
      </c>
      <c r="LR1" t="s">
        <v>2135</v>
      </c>
      <c r="LS1" t="s">
        <v>2136</v>
      </c>
      <c r="LT1" t="s">
        <v>2137</v>
      </c>
      <c r="LU1" t="s">
        <v>2138</v>
      </c>
      <c r="LV1" t="s">
        <v>2139</v>
      </c>
      <c r="LW1" t="s">
        <v>2140</v>
      </c>
      <c r="LX1" t="s">
        <v>2141</v>
      </c>
      <c r="LY1" t="s">
        <v>2142</v>
      </c>
      <c r="LZ1" t="s">
        <v>2143</v>
      </c>
      <c r="MA1" t="s">
        <v>2144</v>
      </c>
      <c r="MB1" t="s">
        <v>2145</v>
      </c>
      <c r="MC1" t="s">
        <v>2146</v>
      </c>
      <c r="MD1" t="s">
        <v>2147</v>
      </c>
      <c r="ME1" t="s">
        <v>2148</v>
      </c>
      <c r="MF1" t="s">
        <v>2149</v>
      </c>
      <c r="MG1" t="s">
        <v>2150</v>
      </c>
      <c r="MH1" t="s">
        <v>2151</v>
      </c>
      <c r="MI1" t="s">
        <v>2152</v>
      </c>
      <c r="MJ1" t="s">
        <v>2153</v>
      </c>
      <c r="MK1" t="s">
        <v>2154</v>
      </c>
      <c r="ML1" t="s">
        <v>2155</v>
      </c>
      <c r="MM1" t="s">
        <v>2156</v>
      </c>
      <c r="MN1" t="s">
        <v>2157</v>
      </c>
      <c r="MO1" t="s">
        <v>2158</v>
      </c>
      <c r="MP1" t="s">
        <v>2159</v>
      </c>
      <c r="MQ1" t="s">
        <v>2160</v>
      </c>
      <c r="MR1" t="s">
        <v>2161</v>
      </c>
      <c r="MS1" t="s">
        <v>2162</v>
      </c>
      <c r="MT1" t="s">
        <v>2163</v>
      </c>
      <c r="MU1" t="s">
        <v>2164</v>
      </c>
      <c r="MV1" t="s">
        <v>2165</v>
      </c>
      <c r="MW1" t="s">
        <v>2166</v>
      </c>
      <c r="MX1" t="s">
        <v>2167</v>
      </c>
      <c r="MY1" t="s">
        <v>2168</v>
      </c>
      <c r="MZ1" t="s">
        <v>2169</v>
      </c>
      <c r="NA1" t="s">
        <v>2170</v>
      </c>
      <c r="NB1" t="s">
        <v>2171</v>
      </c>
      <c r="NC1" t="s">
        <v>2172</v>
      </c>
      <c r="ND1" t="s">
        <v>2173</v>
      </c>
      <c r="NE1" t="s">
        <v>2174</v>
      </c>
      <c r="NF1" t="s">
        <v>2175</v>
      </c>
      <c r="NG1" t="s">
        <v>2176</v>
      </c>
      <c r="NH1" t="s">
        <v>2177</v>
      </c>
      <c r="NI1" t="s">
        <v>2178</v>
      </c>
      <c r="NJ1" t="s">
        <v>2179</v>
      </c>
      <c r="NK1" t="s">
        <v>2180</v>
      </c>
      <c r="NL1" t="s">
        <v>2181</v>
      </c>
      <c r="NM1" t="s">
        <v>2182</v>
      </c>
      <c r="NN1" t="s">
        <v>2183</v>
      </c>
      <c r="NO1" t="s">
        <v>2184</v>
      </c>
      <c r="NP1" t="s">
        <v>2185</v>
      </c>
      <c r="NQ1" t="s">
        <v>2186</v>
      </c>
      <c r="NR1" t="s">
        <v>2187</v>
      </c>
      <c r="NS1" t="s">
        <v>2188</v>
      </c>
      <c r="NT1" t="s">
        <v>2189</v>
      </c>
      <c r="NU1" t="s">
        <v>2190</v>
      </c>
      <c r="NV1" t="s">
        <v>2191</v>
      </c>
      <c r="NW1" t="s">
        <v>2192</v>
      </c>
      <c r="NX1" t="s">
        <v>2193</v>
      </c>
      <c r="NY1" t="s">
        <v>2194</v>
      </c>
      <c r="NZ1" t="s">
        <v>2195</v>
      </c>
      <c r="OA1" t="s">
        <v>2196</v>
      </c>
      <c r="OB1" t="s">
        <v>2197</v>
      </c>
      <c r="OC1" t="s">
        <v>2198</v>
      </c>
      <c r="OD1" t="s">
        <v>2199</v>
      </c>
      <c r="OE1" t="s">
        <v>2200</v>
      </c>
      <c r="OF1" t="s">
        <v>2201</v>
      </c>
      <c r="OG1" t="s">
        <v>2202</v>
      </c>
      <c r="OH1" t="s">
        <v>2203</v>
      </c>
      <c r="OI1" t="s">
        <v>2204</v>
      </c>
      <c r="OJ1" t="s">
        <v>2205</v>
      </c>
      <c r="OK1" t="s">
        <v>2206</v>
      </c>
      <c r="OL1" t="s">
        <v>2207</v>
      </c>
      <c r="OM1" t="s">
        <v>2208</v>
      </c>
      <c r="ON1" t="s">
        <v>2209</v>
      </c>
      <c r="OO1" t="s">
        <v>2210</v>
      </c>
      <c r="OP1" t="s">
        <v>2211</v>
      </c>
      <c r="OQ1" t="s">
        <v>2212</v>
      </c>
      <c r="OR1" t="s">
        <v>2213</v>
      </c>
      <c r="OS1" t="s">
        <v>2214</v>
      </c>
      <c r="OT1" t="s">
        <v>2215</v>
      </c>
      <c r="OU1" t="s">
        <v>2216</v>
      </c>
      <c r="OV1" t="s">
        <v>2217</v>
      </c>
      <c r="OW1" t="s">
        <v>2218</v>
      </c>
      <c r="OX1" t="s">
        <v>2219</v>
      </c>
      <c r="OY1" t="s">
        <v>2220</v>
      </c>
      <c r="OZ1" t="s">
        <v>2221</v>
      </c>
      <c r="PA1" t="s">
        <v>2222</v>
      </c>
      <c r="PB1" t="s">
        <v>2223</v>
      </c>
      <c r="PC1" t="s">
        <v>2224</v>
      </c>
      <c r="PD1" t="s">
        <v>2225</v>
      </c>
      <c r="PE1" t="s">
        <v>2226</v>
      </c>
      <c r="PF1" t="s">
        <v>2227</v>
      </c>
      <c r="PG1" t="s">
        <v>2228</v>
      </c>
      <c r="PH1" t="s">
        <v>2229</v>
      </c>
      <c r="PI1" t="s">
        <v>2230</v>
      </c>
      <c r="PJ1" t="s">
        <v>2231</v>
      </c>
      <c r="PK1" t="s">
        <v>2232</v>
      </c>
      <c r="PL1" t="s">
        <v>2233</v>
      </c>
      <c r="PM1" t="s">
        <v>2234</v>
      </c>
      <c r="PN1" t="s">
        <v>2235</v>
      </c>
      <c r="PO1" t="s">
        <v>2236</v>
      </c>
      <c r="PP1" t="s">
        <v>2237</v>
      </c>
      <c r="PQ1" t="s">
        <v>2238</v>
      </c>
      <c r="PR1" t="s">
        <v>2239</v>
      </c>
      <c r="PS1" t="s">
        <v>2240</v>
      </c>
      <c r="PT1" t="s">
        <v>2241</v>
      </c>
      <c r="PU1" t="s">
        <v>2242</v>
      </c>
      <c r="PV1" t="s">
        <v>2243</v>
      </c>
      <c r="PW1" t="s">
        <v>2244</v>
      </c>
      <c r="PX1" t="s">
        <v>2245</v>
      </c>
      <c r="PY1" t="s">
        <v>2246</v>
      </c>
      <c r="PZ1" t="s">
        <v>2247</v>
      </c>
      <c r="QA1" t="s">
        <v>2248</v>
      </c>
      <c r="QB1" t="s">
        <v>2249</v>
      </c>
      <c r="QC1" t="s">
        <v>2250</v>
      </c>
      <c r="QD1" t="s">
        <v>2251</v>
      </c>
      <c r="QE1" t="s">
        <v>2252</v>
      </c>
      <c r="QF1" t="s">
        <v>2253</v>
      </c>
      <c r="QG1" t="s">
        <v>2254</v>
      </c>
      <c r="QH1" t="s">
        <v>2255</v>
      </c>
      <c r="QI1" t="s">
        <v>2256</v>
      </c>
      <c r="QJ1" t="s">
        <v>2257</v>
      </c>
      <c r="QK1" t="s">
        <v>2258</v>
      </c>
      <c r="QL1" t="s">
        <v>2259</v>
      </c>
      <c r="QM1" t="s">
        <v>2260</v>
      </c>
      <c r="QN1" t="s">
        <v>2261</v>
      </c>
      <c r="QO1" t="s">
        <v>2262</v>
      </c>
      <c r="QP1" t="s">
        <v>2263</v>
      </c>
      <c r="QQ1" t="s">
        <v>2264</v>
      </c>
      <c r="QR1" t="s">
        <v>2265</v>
      </c>
      <c r="QS1" t="s">
        <v>2266</v>
      </c>
      <c r="QT1" t="s">
        <v>2267</v>
      </c>
      <c r="QU1" t="s">
        <v>2268</v>
      </c>
      <c r="QV1" t="s">
        <v>2269</v>
      </c>
      <c r="QW1" t="s">
        <v>2270</v>
      </c>
      <c r="QX1" t="s">
        <v>2271</v>
      </c>
      <c r="QY1" t="s">
        <v>2272</v>
      </c>
      <c r="QZ1" t="s">
        <v>2273</v>
      </c>
      <c r="RA1" t="s">
        <v>2274</v>
      </c>
      <c r="RB1" t="s">
        <v>2275</v>
      </c>
      <c r="RC1" t="s">
        <v>2276</v>
      </c>
      <c r="RD1" t="s">
        <v>2277</v>
      </c>
      <c r="RE1" t="s">
        <v>2278</v>
      </c>
      <c r="RF1" t="s">
        <v>2279</v>
      </c>
      <c r="RG1" t="s">
        <v>2280</v>
      </c>
      <c r="RH1" t="s">
        <v>2281</v>
      </c>
      <c r="RI1" t="s">
        <v>2282</v>
      </c>
      <c r="RJ1" t="s">
        <v>2283</v>
      </c>
      <c r="RK1" t="s">
        <v>2284</v>
      </c>
      <c r="RL1" t="s">
        <v>2285</v>
      </c>
      <c r="RM1" t="s">
        <v>2286</v>
      </c>
      <c r="RN1" t="s">
        <v>2287</v>
      </c>
      <c r="RO1" t="s">
        <v>2288</v>
      </c>
      <c r="RP1" t="s">
        <v>2289</v>
      </c>
      <c r="RQ1" t="s">
        <v>2290</v>
      </c>
      <c r="RR1" t="s">
        <v>2291</v>
      </c>
      <c r="RS1" t="s">
        <v>2292</v>
      </c>
      <c r="RT1" t="s">
        <v>2293</v>
      </c>
      <c r="RU1" t="s">
        <v>2294</v>
      </c>
      <c r="RV1" t="s">
        <v>2295</v>
      </c>
      <c r="RW1" t="s">
        <v>2296</v>
      </c>
      <c r="RX1" t="s">
        <v>2297</v>
      </c>
      <c r="RY1" t="s">
        <v>2298</v>
      </c>
      <c r="RZ1" t="s">
        <v>2299</v>
      </c>
      <c r="SA1" t="s">
        <v>2300</v>
      </c>
      <c r="SB1" t="s">
        <v>2301</v>
      </c>
      <c r="SC1" t="s">
        <v>2302</v>
      </c>
      <c r="SD1" t="s">
        <v>2303</v>
      </c>
      <c r="SE1" t="s">
        <v>2304</v>
      </c>
      <c r="SF1" t="s">
        <v>2305</v>
      </c>
      <c r="SG1" t="s">
        <v>2306</v>
      </c>
      <c r="SH1" t="s">
        <v>2307</v>
      </c>
      <c r="SI1" t="s">
        <v>2308</v>
      </c>
      <c r="SJ1" t="s">
        <v>2309</v>
      </c>
      <c r="SK1" t="s">
        <v>2310</v>
      </c>
      <c r="SL1" t="s">
        <v>2311</v>
      </c>
      <c r="SM1" t="s">
        <v>2312</v>
      </c>
      <c r="SN1" t="s">
        <v>2313</v>
      </c>
      <c r="SO1" t="s">
        <v>2314</v>
      </c>
      <c r="SP1" t="s">
        <v>2315</v>
      </c>
      <c r="SQ1" t="s">
        <v>2316</v>
      </c>
      <c r="SR1" t="s">
        <v>2317</v>
      </c>
      <c r="SS1" t="s">
        <v>2318</v>
      </c>
      <c r="ST1" t="s">
        <v>2319</v>
      </c>
      <c r="SU1" t="s">
        <v>2320</v>
      </c>
      <c r="SV1" t="s">
        <v>2321</v>
      </c>
      <c r="SW1" t="s">
        <v>2322</v>
      </c>
      <c r="SX1" t="s">
        <v>2323</v>
      </c>
      <c r="SY1" t="s">
        <v>2324</v>
      </c>
      <c r="SZ1" t="s">
        <v>2325</v>
      </c>
      <c r="TA1" t="s">
        <v>2326</v>
      </c>
      <c r="TB1" t="s">
        <v>2327</v>
      </c>
      <c r="TC1" t="s">
        <v>2328</v>
      </c>
      <c r="TD1" t="s">
        <v>2329</v>
      </c>
      <c r="TE1" t="s">
        <v>2330</v>
      </c>
      <c r="TF1" t="s">
        <v>2331</v>
      </c>
      <c r="TG1" t="s">
        <v>2332</v>
      </c>
      <c r="TH1" t="s">
        <v>2333</v>
      </c>
      <c r="TI1" t="s">
        <v>2334</v>
      </c>
      <c r="TJ1" t="s">
        <v>2335</v>
      </c>
      <c r="TK1" t="s">
        <v>2336</v>
      </c>
      <c r="TL1" t="s">
        <v>2337</v>
      </c>
      <c r="TM1" t="s">
        <v>2338</v>
      </c>
      <c r="TN1" t="s">
        <v>2339</v>
      </c>
      <c r="TO1" t="s">
        <v>2340</v>
      </c>
      <c r="TP1" t="s">
        <v>2341</v>
      </c>
      <c r="TQ1" t="s">
        <v>2342</v>
      </c>
      <c r="TR1" t="s">
        <v>2343</v>
      </c>
      <c r="TS1" t="s">
        <v>2344</v>
      </c>
      <c r="TT1" t="s">
        <v>2345</v>
      </c>
      <c r="TU1" t="s">
        <v>2346</v>
      </c>
      <c r="TV1" t="s">
        <v>2347</v>
      </c>
      <c r="TW1" t="s">
        <v>2348</v>
      </c>
      <c r="TX1" t="s">
        <v>2349</v>
      </c>
      <c r="TY1" t="s">
        <v>2350</v>
      </c>
      <c r="TZ1" t="s">
        <v>2351</v>
      </c>
      <c r="UA1" t="s">
        <v>2352</v>
      </c>
      <c r="UB1" t="s">
        <v>2353</v>
      </c>
      <c r="UC1" t="s">
        <v>2354</v>
      </c>
      <c r="UD1" t="s">
        <v>2355</v>
      </c>
      <c r="UE1" t="s">
        <v>2356</v>
      </c>
      <c r="UF1" t="s">
        <v>2357</v>
      </c>
      <c r="UG1" t="s">
        <v>2358</v>
      </c>
      <c r="UH1" t="s">
        <v>2359</v>
      </c>
      <c r="UI1" t="s">
        <v>2360</v>
      </c>
      <c r="UJ1" t="s">
        <v>2361</v>
      </c>
      <c r="UK1" t="s">
        <v>2362</v>
      </c>
      <c r="UL1" t="s">
        <v>2363</v>
      </c>
      <c r="UM1" t="s">
        <v>2364</v>
      </c>
      <c r="UN1" t="s">
        <v>2365</v>
      </c>
      <c r="UO1" t="s">
        <v>2366</v>
      </c>
      <c r="UP1" t="s">
        <v>2367</v>
      </c>
      <c r="UQ1" t="s">
        <v>2368</v>
      </c>
      <c r="UR1" t="s">
        <v>2369</v>
      </c>
      <c r="US1" t="s">
        <v>2370</v>
      </c>
      <c r="UT1" t="s">
        <v>2371</v>
      </c>
      <c r="UU1" t="s">
        <v>2372</v>
      </c>
      <c r="UV1" t="s">
        <v>2373</v>
      </c>
      <c r="UW1" t="s">
        <v>2374</v>
      </c>
      <c r="UX1" t="s">
        <v>2375</v>
      </c>
      <c r="UY1" t="s">
        <v>2376</v>
      </c>
      <c r="UZ1" t="s">
        <v>2377</v>
      </c>
      <c r="VA1" t="s">
        <v>2378</v>
      </c>
      <c r="VB1" t="s">
        <v>2379</v>
      </c>
      <c r="VC1" t="s">
        <v>2380</v>
      </c>
      <c r="VD1" t="s">
        <v>2381</v>
      </c>
      <c r="VE1" t="s">
        <v>2382</v>
      </c>
      <c r="VF1" t="s">
        <v>2383</v>
      </c>
      <c r="VG1" t="s">
        <v>2384</v>
      </c>
      <c r="VH1" t="s">
        <v>2385</v>
      </c>
      <c r="VI1" t="s">
        <v>2386</v>
      </c>
      <c r="VJ1" t="s">
        <v>2387</v>
      </c>
      <c r="VK1" t="s">
        <v>2388</v>
      </c>
      <c r="VL1" t="s">
        <v>2389</v>
      </c>
      <c r="VM1" t="s">
        <v>2390</v>
      </c>
      <c r="VN1" t="s">
        <v>2391</v>
      </c>
      <c r="VO1" t="s">
        <v>2392</v>
      </c>
      <c r="VP1" t="s">
        <v>2393</v>
      </c>
      <c r="VQ1" t="s">
        <v>2394</v>
      </c>
      <c r="VR1" t="s">
        <v>2395</v>
      </c>
      <c r="VS1" t="s">
        <v>2396</v>
      </c>
      <c r="VT1" t="s">
        <v>2397</v>
      </c>
      <c r="VU1" t="s">
        <v>2398</v>
      </c>
      <c r="VV1" t="s">
        <v>2399</v>
      </c>
      <c r="VW1" t="s">
        <v>2400</v>
      </c>
      <c r="VX1" t="s">
        <v>2401</v>
      </c>
      <c r="VY1" t="s">
        <v>2402</v>
      </c>
      <c r="VZ1" t="s">
        <v>2403</v>
      </c>
      <c r="WA1" t="s">
        <v>2404</v>
      </c>
      <c r="WB1" t="s">
        <v>2405</v>
      </c>
      <c r="WC1" t="s">
        <v>2406</v>
      </c>
      <c r="WD1" t="s">
        <v>2407</v>
      </c>
      <c r="WE1" t="s">
        <v>2408</v>
      </c>
      <c r="WF1" t="s">
        <v>2409</v>
      </c>
      <c r="WG1" t="s">
        <v>2410</v>
      </c>
      <c r="WH1" t="s">
        <v>2411</v>
      </c>
      <c r="WI1" t="s">
        <v>2412</v>
      </c>
      <c r="WJ1" t="s">
        <v>2413</v>
      </c>
      <c r="WK1" t="s">
        <v>2414</v>
      </c>
      <c r="WL1" t="s">
        <v>2415</v>
      </c>
      <c r="WM1" t="s">
        <v>2416</v>
      </c>
      <c r="WN1" t="s">
        <v>2417</v>
      </c>
      <c r="WO1" t="s">
        <v>2418</v>
      </c>
      <c r="WP1" t="s">
        <v>2419</v>
      </c>
      <c r="WQ1" t="s">
        <v>2420</v>
      </c>
      <c r="WR1" t="s">
        <v>2421</v>
      </c>
      <c r="WS1" t="s">
        <v>2422</v>
      </c>
      <c r="WT1" t="s">
        <v>2423</v>
      </c>
      <c r="WU1" t="s">
        <v>2424</v>
      </c>
      <c r="WV1" t="s">
        <v>2425</v>
      </c>
      <c r="WW1" t="s">
        <v>2426</v>
      </c>
      <c r="WX1" t="s">
        <v>2427</v>
      </c>
      <c r="WY1" t="s">
        <v>2428</v>
      </c>
      <c r="WZ1" t="s">
        <v>2429</v>
      </c>
      <c r="XA1" t="s">
        <v>2430</v>
      </c>
      <c r="XB1" t="s">
        <v>2431</v>
      </c>
      <c r="XC1" t="s">
        <v>2432</v>
      </c>
      <c r="XD1" t="s">
        <v>2433</v>
      </c>
      <c r="XE1" t="s">
        <v>2434</v>
      </c>
      <c r="XF1" t="s">
        <v>2435</v>
      </c>
      <c r="XG1" t="s">
        <v>2436</v>
      </c>
      <c r="XH1" t="s">
        <v>2437</v>
      </c>
      <c r="XI1" t="s">
        <v>2438</v>
      </c>
      <c r="XJ1" t="s">
        <v>2439</v>
      </c>
      <c r="XK1" t="s">
        <v>2440</v>
      </c>
      <c r="XL1" t="s">
        <v>2441</v>
      </c>
      <c r="XM1" t="s">
        <v>2442</v>
      </c>
      <c r="XN1" t="s">
        <v>2443</v>
      </c>
      <c r="XO1" t="s">
        <v>2444</v>
      </c>
      <c r="XP1" t="s">
        <v>2445</v>
      </c>
      <c r="XQ1" t="s">
        <v>2446</v>
      </c>
      <c r="XR1" t="s">
        <v>2447</v>
      </c>
      <c r="XS1" t="s">
        <v>2448</v>
      </c>
      <c r="XT1" t="s">
        <v>2449</v>
      </c>
      <c r="XU1" t="s">
        <v>2450</v>
      </c>
      <c r="XV1" t="s">
        <v>2451</v>
      </c>
      <c r="XW1" t="s">
        <v>2452</v>
      </c>
      <c r="XX1" t="s">
        <v>2453</v>
      </c>
      <c r="XY1" t="s">
        <v>2454</v>
      </c>
      <c r="XZ1" t="s">
        <v>2455</v>
      </c>
      <c r="YA1" t="s">
        <v>2456</v>
      </c>
      <c r="YB1" t="s">
        <v>2457</v>
      </c>
      <c r="YC1" t="s">
        <v>2458</v>
      </c>
      <c r="YD1" t="s">
        <v>2459</v>
      </c>
      <c r="YE1" t="s">
        <v>2460</v>
      </c>
      <c r="YF1" t="s">
        <v>2461</v>
      </c>
      <c r="YG1" t="s">
        <v>2462</v>
      </c>
      <c r="YH1" t="s">
        <v>2463</v>
      </c>
      <c r="YI1" t="s">
        <v>2464</v>
      </c>
      <c r="YJ1" t="s">
        <v>2465</v>
      </c>
      <c r="YK1" t="s">
        <v>2466</v>
      </c>
      <c r="YL1" t="s">
        <v>2467</v>
      </c>
      <c r="YM1" t="s">
        <v>2468</v>
      </c>
      <c r="YN1" t="s">
        <v>2469</v>
      </c>
      <c r="YO1" t="s">
        <v>2470</v>
      </c>
      <c r="YP1" t="s">
        <v>2471</v>
      </c>
      <c r="YQ1" t="s">
        <v>2472</v>
      </c>
      <c r="YR1" t="s">
        <v>2473</v>
      </c>
      <c r="YS1" t="s">
        <v>2474</v>
      </c>
      <c r="YT1" t="s">
        <v>2475</v>
      </c>
      <c r="YU1" t="s">
        <v>2476</v>
      </c>
      <c r="YV1" t="s">
        <v>2477</v>
      </c>
      <c r="YW1" t="s">
        <v>2478</v>
      </c>
      <c r="YX1" t="s">
        <v>2479</v>
      </c>
      <c r="YY1" t="s">
        <v>2480</v>
      </c>
      <c r="YZ1" t="s">
        <v>2481</v>
      </c>
      <c r="ZA1" t="s">
        <v>2482</v>
      </c>
      <c r="ZB1" t="s">
        <v>2483</v>
      </c>
      <c r="ZC1" t="s">
        <v>2484</v>
      </c>
      <c r="ZD1" t="s">
        <v>2485</v>
      </c>
      <c r="ZE1" t="s">
        <v>2486</v>
      </c>
      <c r="ZF1" t="s">
        <v>2487</v>
      </c>
      <c r="ZG1" t="s">
        <v>2488</v>
      </c>
      <c r="ZH1" t="s">
        <v>2489</v>
      </c>
      <c r="ZI1" t="s">
        <v>2490</v>
      </c>
      <c r="ZJ1" t="s">
        <v>2491</v>
      </c>
      <c r="ZK1" t="s">
        <v>2492</v>
      </c>
      <c r="ZL1" t="s">
        <v>2493</v>
      </c>
      <c r="ZM1" t="s">
        <v>2494</v>
      </c>
      <c r="ZN1" t="s">
        <v>2495</v>
      </c>
      <c r="ZO1" t="s">
        <v>2496</v>
      </c>
      <c r="ZP1" t="s">
        <v>2497</v>
      </c>
      <c r="ZQ1" t="s">
        <v>2498</v>
      </c>
      <c r="ZR1" t="s">
        <v>2499</v>
      </c>
      <c r="ZS1" t="s">
        <v>2500</v>
      </c>
      <c r="ZT1" t="s">
        <v>2501</v>
      </c>
      <c r="ZU1" t="s">
        <v>2502</v>
      </c>
      <c r="ZV1" t="s">
        <v>2503</v>
      </c>
      <c r="ZW1" t="s">
        <v>2504</v>
      </c>
      <c r="ZX1" t="s">
        <v>2505</v>
      </c>
      <c r="ZY1" t="s">
        <v>2506</v>
      </c>
      <c r="ZZ1" t="s">
        <v>2507</v>
      </c>
      <c r="AAA1" t="s">
        <v>2508</v>
      </c>
      <c r="AAB1" t="s">
        <v>2509</v>
      </c>
      <c r="AAC1" t="s">
        <v>2510</v>
      </c>
      <c r="AAD1" t="s">
        <v>2511</v>
      </c>
      <c r="AAE1" t="s">
        <v>2512</v>
      </c>
      <c r="AAF1" t="s">
        <v>2513</v>
      </c>
      <c r="AAG1" t="s">
        <v>2514</v>
      </c>
      <c r="AAH1" t="s">
        <v>2515</v>
      </c>
      <c r="AAI1" t="s">
        <v>2516</v>
      </c>
      <c r="AAJ1" t="s">
        <v>2517</v>
      </c>
      <c r="AAK1" t="s">
        <v>2518</v>
      </c>
      <c r="AAL1" t="s">
        <v>2519</v>
      </c>
      <c r="AAM1" t="s">
        <v>2520</v>
      </c>
      <c r="AAN1" t="s">
        <v>2521</v>
      </c>
      <c r="AAO1" t="s">
        <v>2522</v>
      </c>
      <c r="AAP1" t="s">
        <v>2523</v>
      </c>
      <c r="AAQ1" t="s">
        <v>2524</v>
      </c>
      <c r="AAR1" t="s">
        <v>2525</v>
      </c>
      <c r="AAS1" t="s">
        <v>2526</v>
      </c>
      <c r="AAT1" t="s">
        <v>2527</v>
      </c>
      <c r="AAU1" t="s">
        <v>2528</v>
      </c>
      <c r="AAV1" t="s">
        <v>2529</v>
      </c>
      <c r="AAW1" t="s">
        <v>2530</v>
      </c>
      <c r="AAX1" t="s">
        <v>2531</v>
      </c>
      <c r="AAY1" t="s">
        <v>2532</v>
      </c>
      <c r="AAZ1" t="s">
        <v>2533</v>
      </c>
      <c r="ABA1" t="s">
        <v>2534</v>
      </c>
      <c r="ABB1" t="s">
        <v>2535</v>
      </c>
      <c r="ABC1" t="s">
        <v>2536</v>
      </c>
      <c r="ABD1" t="s">
        <v>2537</v>
      </c>
      <c r="ABE1" t="s">
        <v>2538</v>
      </c>
      <c r="ABF1" t="s">
        <v>2539</v>
      </c>
      <c r="ABG1" t="s">
        <v>2540</v>
      </c>
      <c r="ABH1" t="s">
        <v>2541</v>
      </c>
      <c r="ABI1" t="s">
        <v>2542</v>
      </c>
      <c r="ABJ1" t="s">
        <v>2543</v>
      </c>
      <c r="ABK1" t="s">
        <v>2544</v>
      </c>
      <c r="ABL1" t="s">
        <v>2545</v>
      </c>
      <c r="ABM1" t="s">
        <v>2546</v>
      </c>
      <c r="ABN1" t="s">
        <v>2547</v>
      </c>
      <c r="ABO1" t="s">
        <v>2548</v>
      </c>
      <c r="ABP1" t="s">
        <v>2549</v>
      </c>
      <c r="ABQ1" t="s">
        <v>2550</v>
      </c>
      <c r="ABR1" t="s">
        <v>2551</v>
      </c>
      <c r="ABS1" t="s">
        <v>2552</v>
      </c>
      <c r="ABT1" t="s">
        <v>2553</v>
      </c>
      <c r="ABU1" t="s">
        <v>2554</v>
      </c>
      <c r="ABV1" t="s">
        <v>2555</v>
      </c>
      <c r="ABW1" t="s">
        <v>2556</v>
      </c>
      <c r="ABX1" t="s">
        <v>2557</v>
      </c>
      <c r="ABY1" t="s">
        <v>2558</v>
      </c>
      <c r="ABZ1" t="s">
        <v>2559</v>
      </c>
      <c r="ACA1" t="s">
        <v>2560</v>
      </c>
      <c r="ACB1" t="s">
        <v>2561</v>
      </c>
      <c r="ACC1" t="s">
        <v>2562</v>
      </c>
      <c r="ACD1" t="s">
        <v>2563</v>
      </c>
      <c r="ACE1" t="s">
        <v>2564</v>
      </c>
      <c r="ACF1" t="s">
        <v>2565</v>
      </c>
      <c r="ACG1" t="s">
        <v>2566</v>
      </c>
      <c r="ACH1" t="s">
        <v>2567</v>
      </c>
      <c r="ACI1" t="s">
        <v>2568</v>
      </c>
      <c r="ACJ1" t="s">
        <v>2569</v>
      </c>
      <c r="ACK1" t="s">
        <v>2570</v>
      </c>
      <c r="ACL1" t="s">
        <v>2571</v>
      </c>
      <c r="ACM1" t="s">
        <v>2572</v>
      </c>
      <c r="ACN1" t="s">
        <v>2573</v>
      </c>
      <c r="ACO1" t="s">
        <v>2574</v>
      </c>
      <c r="ACP1" t="s">
        <v>2575</v>
      </c>
      <c r="ACQ1" t="s">
        <v>2576</v>
      </c>
      <c r="ACR1" t="s">
        <v>2577</v>
      </c>
      <c r="ACS1" t="s">
        <v>2578</v>
      </c>
      <c r="ACT1" t="s">
        <v>2579</v>
      </c>
      <c r="ACU1" t="s">
        <v>2580</v>
      </c>
      <c r="ACV1" t="s">
        <v>2581</v>
      </c>
      <c r="ACW1" t="s">
        <v>2582</v>
      </c>
      <c r="ACX1" t="s">
        <v>2583</v>
      </c>
      <c r="ACY1" t="s">
        <v>2584</v>
      </c>
      <c r="ACZ1" t="s">
        <v>2585</v>
      </c>
      <c r="ADA1" t="s">
        <v>2586</v>
      </c>
      <c r="ADB1" t="s">
        <v>2587</v>
      </c>
      <c r="ADC1" t="s">
        <v>2588</v>
      </c>
      <c r="ADD1" t="s">
        <v>2589</v>
      </c>
      <c r="ADE1" t="s">
        <v>2590</v>
      </c>
      <c r="ADF1" t="s">
        <v>2591</v>
      </c>
      <c r="ADG1" t="s">
        <v>2592</v>
      </c>
      <c r="ADH1" t="s">
        <v>2593</v>
      </c>
      <c r="ADI1" t="s">
        <v>2594</v>
      </c>
      <c r="ADJ1" t="s">
        <v>2595</v>
      </c>
      <c r="ADK1" t="s">
        <v>2596</v>
      </c>
      <c r="ADL1" t="s">
        <v>2597</v>
      </c>
      <c r="ADM1" t="s">
        <v>2598</v>
      </c>
      <c r="ADN1" t="s">
        <v>2599</v>
      </c>
      <c r="ADO1" t="s">
        <v>2600</v>
      </c>
      <c r="ADP1" t="s">
        <v>2601</v>
      </c>
      <c r="ADQ1" t="s">
        <v>2602</v>
      </c>
      <c r="ADR1" t="s">
        <v>2603</v>
      </c>
      <c r="ADS1" t="s">
        <v>2604</v>
      </c>
      <c r="ADT1" t="s">
        <v>2605</v>
      </c>
      <c r="ADU1" t="s">
        <v>2606</v>
      </c>
      <c r="ADV1" t="s">
        <v>2607</v>
      </c>
      <c r="ADW1" t="s">
        <v>2608</v>
      </c>
      <c r="ADX1" t="s">
        <v>2609</v>
      </c>
      <c r="ADY1" t="s">
        <v>2610</v>
      </c>
      <c r="ADZ1" t="s">
        <v>2611</v>
      </c>
      <c r="AEA1" t="s">
        <v>2612</v>
      </c>
      <c r="AEB1" t="s">
        <v>2613</v>
      </c>
      <c r="AEC1" t="s">
        <v>2614</v>
      </c>
      <c r="AED1" t="s">
        <v>2615</v>
      </c>
      <c r="AEE1" t="s">
        <v>2616</v>
      </c>
      <c r="AEF1" t="s">
        <v>2617</v>
      </c>
      <c r="AEG1" t="s">
        <v>2618</v>
      </c>
      <c r="AEH1" t="s">
        <v>2619</v>
      </c>
      <c r="AEI1" t="s">
        <v>2620</v>
      </c>
      <c r="AEJ1" t="s">
        <v>2621</v>
      </c>
      <c r="AEK1" t="s">
        <v>2622</v>
      </c>
      <c r="AEL1" t="s">
        <v>2623</v>
      </c>
      <c r="AEM1" t="s">
        <v>2624</v>
      </c>
      <c r="AEN1" t="s">
        <v>2625</v>
      </c>
      <c r="AEO1" t="s">
        <v>2626</v>
      </c>
      <c r="AEP1" t="s">
        <v>2627</v>
      </c>
      <c r="AEQ1" t="s">
        <v>2628</v>
      </c>
      <c r="AER1" t="s">
        <v>2629</v>
      </c>
      <c r="AES1" t="s">
        <v>2630</v>
      </c>
      <c r="AET1" t="s">
        <v>2631</v>
      </c>
      <c r="AEU1" t="s">
        <v>2632</v>
      </c>
      <c r="AEV1" t="s">
        <v>2633</v>
      </c>
      <c r="AEW1" t="s">
        <v>2634</v>
      </c>
      <c r="AEX1" t="s">
        <v>2635</v>
      </c>
      <c r="AEY1" t="s">
        <v>2636</v>
      </c>
      <c r="AEZ1" t="s">
        <v>2637</v>
      </c>
      <c r="AFA1" t="s">
        <v>2638</v>
      </c>
      <c r="AFB1" t="s">
        <v>2639</v>
      </c>
      <c r="AFC1" t="s">
        <v>2640</v>
      </c>
      <c r="AFD1" t="s">
        <v>2641</v>
      </c>
      <c r="AFE1" t="s">
        <v>2642</v>
      </c>
      <c r="AFF1" t="s">
        <v>2643</v>
      </c>
      <c r="AFG1" t="s">
        <v>2644</v>
      </c>
      <c r="AFH1" t="s">
        <v>2645</v>
      </c>
      <c r="AFI1" t="s">
        <v>2646</v>
      </c>
      <c r="AFJ1" t="s">
        <v>2647</v>
      </c>
      <c r="AFK1" t="s">
        <v>2648</v>
      </c>
      <c r="AFL1" t="s">
        <v>2649</v>
      </c>
      <c r="AFM1" t="s">
        <v>2650</v>
      </c>
      <c r="AFN1" t="s">
        <v>2651</v>
      </c>
      <c r="AFO1" t="s">
        <v>2652</v>
      </c>
      <c r="AFP1" t="s">
        <v>2653</v>
      </c>
      <c r="AFQ1" t="s">
        <v>2654</v>
      </c>
      <c r="AFR1" t="s">
        <v>2655</v>
      </c>
      <c r="AFS1" t="s">
        <v>2656</v>
      </c>
      <c r="AFT1" t="s">
        <v>2657</v>
      </c>
      <c r="AFU1" t="s">
        <v>2658</v>
      </c>
      <c r="AFV1" t="s">
        <v>2659</v>
      </c>
      <c r="AFW1" t="s">
        <v>2660</v>
      </c>
      <c r="AFX1" t="s">
        <v>2661</v>
      </c>
      <c r="AFY1" t="s">
        <v>2662</v>
      </c>
      <c r="AFZ1" t="s">
        <v>2663</v>
      </c>
      <c r="AGA1" t="s">
        <v>2664</v>
      </c>
      <c r="AGB1" t="s">
        <v>2665</v>
      </c>
      <c r="AGC1" t="s">
        <v>2666</v>
      </c>
      <c r="AGD1" t="s">
        <v>2667</v>
      </c>
      <c r="AGE1" t="s">
        <v>2668</v>
      </c>
      <c r="AGF1" t="s">
        <v>2669</v>
      </c>
      <c r="AGG1" t="s">
        <v>2670</v>
      </c>
      <c r="AGH1" t="s">
        <v>2671</v>
      </c>
      <c r="AGI1" t="s">
        <v>2672</v>
      </c>
      <c r="AGJ1" t="s">
        <v>2673</v>
      </c>
      <c r="AGK1" t="s">
        <v>2674</v>
      </c>
      <c r="AGL1" t="s">
        <v>2675</v>
      </c>
      <c r="AGM1" t="s">
        <v>2676</v>
      </c>
      <c r="AGN1" t="s">
        <v>2677</v>
      </c>
      <c r="AGO1" t="s">
        <v>2678</v>
      </c>
      <c r="AGP1" t="s">
        <v>2679</v>
      </c>
      <c r="AGQ1" t="s">
        <v>2680</v>
      </c>
      <c r="AGR1" t="s">
        <v>2681</v>
      </c>
      <c r="AGS1" t="s">
        <v>2682</v>
      </c>
      <c r="AGT1" t="s">
        <v>2683</v>
      </c>
      <c r="AGU1" t="s">
        <v>2684</v>
      </c>
      <c r="AGV1" t="s">
        <v>2685</v>
      </c>
      <c r="AGW1" t="s">
        <v>2686</v>
      </c>
      <c r="AGX1" t="s">
        <v>2687</v>
      </c>
      <c r="AGY1" t="s">
        <v>2688</v>
      </c>
      <c r="AGZ1" t="s">
        <v>2689</v>
      </c>
      <c r="AHA1" t="s">
        <v>2690</v>
      </c>
      <c r="AHB1" t="s">
        <v>2691</v>
      </c>
      <c r="AHC1" t="s">
        <v>2692</v>
      </c>
      <c r="AHD1" t="s">
        <v>2693</v>
      </c>
      <c r="AHE1" t="s">
        <v>2694</v>
      </c>
      <c r="AHF1" t="s">
        <v>2695</v>
      </c>
      <c r="AHG1" t="s">
        <v>2696</v>
      </c>
      <c r="AHH1" t="s">
        <v>2697</v>
      </c>
      <c r="AHI1" t="s">
        <v>2698</v>
      </c>
      <c r="AHJ1" t="s">
        <v>2699</v>
      </c>
      <c r="AHK1" t="s">
        <v>2700</v>
      </c>
      <c r="AHL1" t="s">
        <v>2701</v>
      </c>
      <c r="AHM1" t="s">
        <v>2702</v>
      </c>
      <c r="AHN1" t="s">
        <v>2703</v>
      </c>
      <c r="AHO1" t="s">
        <v>2704</v>
      </c>
      <c r="AHP1" t="s">
        <v>2705</v>
      </c>
      <c r="AHQ1" t="s">
        <v>2706</v>
      </c>
      <c r="AHR1" t="s">
        <v>2707</v>
      </c>
      <c r="AHS1" t="s">
        <v>2708</v>
      </c>
      <c r="AHT1" t="s">
        <v>2709</v>
      </c>
      <c r="AHU1" t="s">
        <v>2710</v>
      </c>
      <c r="AHV1" t="s">
        <v>2711</v>
      </c>
      <c r="AHW1" t="s">
        <v>2712</v>
      </c>
      <c r="AHX1" t="s">
        <v>2713</v>
      </c>
      <c r="AHY1" t="s">
        <v>2714</v>
      </c>
      <c r="AHZ1" t="s">
        <v>2715</v>
      </c>
      <c r="AIA1" t="s">
        <v>2716</v>
      </c>
      <c r="AIB1" t="s">
        <v>2717</v>
      </c>
      <c r="AIC1" t="s">
        <v>2718</v>
      </c>
      <c r="AID1" t="s">
        <v>2719</v>
      </c>
      <c r="AIE1" t="s">
        <v>2720</v>
      </c>
      <c r="AIF1" t="s">
        <v>2721</v>
      </c>
      <c r="AIG1" t="s">
        <v>2722</v>
      </c>
      <c r="AIH1" t="s">
        <v>2723</v>
      </c>
      <c r="AII1" t="s">
        <v>2724</v>
      </c>
      <c r="AIJ1" t="s">
        <v>2725</v>
      </c>
      <c r="AIK1" t="s">
        <v>2726</v>
      </c>
      <c r="AIL1" t="s">
        <v>2727</v>
      </c>
      <c r="AIM1" t="s">
        <v>2728</v>
      </c>
      <c r="AIN1" t="s">
        <v>2729</v>
      </c>
      <c r="AIO1" t="s">
        <v>2730</v>
      </c>
      <c r="AIP1" t="s">
        <v>2731</v>
      </c>
      <c r="AIQ1" t="s">
        <v>2732</v>
      </c>
      <c r="AIR1" t="s">
        <v>2733</v>
      </c>
      <c r="AIS1" t="s">
        <v>2734</v>
      </c>
      <c r="AIT1" t="s">
        <v>2735</v>
      </c>
    </row>
  </sheetData>
  <pageMargins left="0.7" right="0.7" top="0.75" bottom="0.75" header="0.3" footer="0.3"/>
  <customProperties>
    <customPr name="layoutContexts" r:id="rId1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2BB6A-EE45-402F-A2EF-DB4DF48B006D}">
  <dimension ref="A1:A931"/>
  <sheetViews>
    <sheetView topLeftCell="A133" workbookViewId="0"/>
  </sheetViews>
  <sheetFormatPr defaultRowHeight="12.75" x14ac:dyDescent="0.2"/>
  <sheetData>
    <row r="1" spans="1:1" x14ac:dyDescent="0.2">
      <c r="A1" t="s">
        <v>3476</v>
      </c>
    </row>
    <row r="2" spans="1:1" x14ac:dyDescent="0.2">
      <c r="A2" t="s">
        <v>2629</v>
      </c>
    </row>
    <row r="3" spans="1:1" x14ac:dyDescent="0.2">
      <c r="A3" t="s">
        <v>133</v>
      </c>
    </row>
    <row r="4" spans="1:1" x14ac:dyDescent="0.2">
      <c r="A4" t="s">
        <v>134</v>
      </c>
    </row>
    <row r="5" spans="1:1" x14ac:dyDescent="0.2">
      <c r="A5" t="s">
        <v>135</v>
      </c>
    </row>
    <row r="6" spans="1:1" x14ac:dyDescent="0.2">
      <c r="A6" t="s">
        <v>136</v>
      </c>
    </row>
    <row r="7" spans="1:1" x14ac:dyDescent="0.2">
      <c r="A7" t="s">
        <v>137</v>
      </c>
    </row>
    <row r="8" spans="1:1" x14ac:dyDescent="0.2">
      <c r="A8" t="s">
        <v>138</v>
      </c>
    </row>
    <row r="9" spans="1:1" x14ac:dyDescent="0.2">
      <c r="A9" t="s">
        <v>139</v>
      </c>
    </row>
    <row r="10" spans="1:1" x14ac:dyDescent="0.2">
      <c r="A10" t="s">
        <v>140</v>
      </c>
    </row>
    <row r="11" spans="1:1" x14ac:dyDescent="0.2">
      <c r="A11" t="s">
        <v>141</v>
      </c>
    </row>
    <row r="12" spans="1:1" x14ac:dyDescent="0.2">
      <c r="A12" t="s">
        <v>142</v>
      </c>
    </row>
    <row r="13" spans="1:1" x14ac:dyDescent="0.2">
      <c r="A13" t="s">
        <v>143</v>
      </c>
    </row>
    <row r="14" spans="1:1" x14ac:dyDescent="0.2">
      <c r="A14" t="s">
        <v>144</v>
      </c>
    </row>
    <row r="15" spans="1:1" x14ac:dyDescent="0.2">
      <c r="A15" t="s">
        <v>145</v>
      </c>
    </row>
    <row r="16" spans="1:1" x14ac:dyDescent="0.2">
      <c r="A16" t="s">
        <v>146</v>
      </c>
    </row>
    <row r="17" spans="1:1" x14ac:dyDescent="0.2">
      <c r="A17" t="s">
        <v>147</v>
      </c>
    </row>
    <row r="18" spans="1:1" x14ac:dyDescent="0.2">
      <c r="A18" t="s">
        <v>148</v>
      </c>
    </row>
    <row r="19" spans="1:1" x14ac:dyDescent="0.2">
      <c r="A19" t="s">
        <v>149</v>
      </c>
    </row>
    <row r="20" spans="1:1" x14ac:dyDescent="0.2">
      <c r="A20" t="s">
        <v>150</v>
      </c>
    </row>
    <row r="21" spans="1:1" x14ac:dyDescent="0.2">
      <c r="A21" t="s">
        <v>151</v>
      </c>
    </row>
    <row r="22" spans="1:1" x14ac:dyDescent="0.2">
      <c r="A22" t="s">
        <v>152</v>
      </c>
    </row>
    <row r="23" spans="1:1" x14ac:dyDescent="0.2">
      <c r="A23" t="s">
        <v>153</v>
      </c>
    </row>
    <row r="24" spans="1:1" x14ac:dyDescent="0.2">
      <c r="A24" t="s">
        <v>154</v>
      </c>
    </row>
    <row r="25" spans="1:1" x14ac:dyDescent="0.2">
      <c r="A25" t="s">
        <v>155</v>
      </c>
    </row>
    <row r="26" spans="1:1" x14ac:dyDescent="0.2">
      <c r="A26" t="s">
        <v>156</v>
      </c>
    </row>
    <row r="27" spans="1:1" x14ac:dyDescent="0.2">
      <c r="A27" t="s">
        <v>157</v>
      </c>
    </row>
    <row r="28" spans="1:1" x14ac:dyDescent="0.2">
      <c r="A28" t="s">
        <v>158</v>
      </c>
    </row>
    <row r="29" spans="1:1" x14ac:dyDescent="0.2">
      <c r="A29" t="s">
        <v>159</v>
      </c>
    </row>
    <row r="30" spans="1:1" x14ac:dyDescent="0.2">
      <c r="A30" t="s">
        <v>160</v>
      </c>
    </row>
    <row r="31" spans="1:1" x14ac:dyDescent="0.2">
      <c r="A31" t="s">
        <v>161</v>
      </c>
    </row>
    <row r="32" spans="1:1" x14ac:dyDescent="0.2">
      <c r="A32" t="s">
        <v>162</v>
      </c>
    </row>
    <row r="33" spans="1:1" x14ac:dyDescent="0.2">
      <c r="A33" t="s">
        <v>163</v>
      </c>
    </row>
    <row r="34" spans="1:1" x14ac:dyDescent="0.2">
      <c r="A34" t="s">
        <v>164</v>
      </c>
    </row>
    <row r="35" spans="1:1" x14ac:dyDescent="0.2">
      <c r="A35" t="s">
        <v>165</v>
      </c>
    </row>
    <row r="36" spans="1:1" x14ac:dyDescent="0.2">
      <c r="A36" t="s">
        <v>166</v>
      </c>
    </row>
    <row r="37" spans="1:1" x14ac:dyDescent="0.2">
      <c r="A37" t="s">
        <v>167</v>
      </c>
    </row>
    <row r="38" spans="1:1" x14ac:dyDescent="0.2">
      <c r="A38" t="s">
        <v>168</v>
      </c>
    </row>
    <row r="39" spans="1:1" x14ac:dyDescent="0.2">
      <c r="A39" t="s">
        <v>3491</v>
      </c>
    </row>
    <row r="40" spans="1:1" x14ac:dyDescent="0.2">
      <c r="A40" t="s">
        <v>3477</v>
      </c>
    </row>
    <row r="41" spans="1:1" x14ac:dyDescent="0.2">
      <c r="A41" t="s">
        <v>3478</v>
      </c>
    </row>
    <row r="42" spans="1:1" x14ac:dyDescent="0.2">
      <c r="A42" t="s">
        <v>17</v>
      </c>
    </row>
    <row r="43" spans="1:1" x14ac:dyDescent="0.2">
      <c r="A43" t="s">
        <v>3490</v>
      </c>
    </row>
    <row r="44" spans="1:1" x14ac:dyDescent="0.2">
      <c r="A44" t="s">
        <v>3480</v>
      </c>
    </row>
    <row r="45" spans="1:1" x14ac:dyDescent="0.2">
      <c r="A45" t="s">
        <v>3482</v>
      </c>
    </row>
    <row r="46" spans="1:1" x14ac:dyDescent="0.2">
      <c r="A46" t="s">
        <v>3486</v>
      </c>
    </row>
    <row r="47" spans="1:1" x14ac:dyDescent="0.2">
      <c r="A47" t="s">
        <v>3484</v>
      </c>
    </row>
    <row r="48" spans="1:1" x14ac:dyDescent="0.2">
      <c r="A48" t="s">
        <v>3488</v>
      </c>
    </row>
    <row r="49" spans="1:1" x14ac:dyDescent="0.2">
      <c r="A49" t="s">
        <v>2201</v>
      </c>
    </row>
    <row r="50" spans="1:1" x14ac:dyDescent="0.2">
      <c r="A50" t="s">
        <v>2415</v>
      </c>
    </row>
    <row r="51" spans="1:1" x14ac:dyDescent="0.2">
      <c r="A51" t="s">
        <v>18</v>
      </c>
    </row>
    <row r="52" spans="1:1" x14ac:dyDescent="0.2">
      <c r="A52" t="s">
        <v>3492</v>
      </c>
    </row>
    <row r="53" spans="1:1" x14ac:dyDescent="0.2">
      <c r="A53" t="s">
        <v>28</v>
      </c>
    </row>
    <row r="54" spans="1:1" x14ac:dyDescent="0.2">
      <c r="A54" t="s">
        <v>2630</v>
      </c>
    </row>
    <row r="55" spans="1:1" x14ac:dyDescent="0.2">
      <c r="A55" t="s">
        <v>2095</v>
      </c>
    </row>
    <row r="56" spans="1:1" x14ac:dyDescent="0.2">
      <c r="A56" t="s">
        <v>2202</v>
      </c>
    </row>
    <row r="57" spans="1:1" x14ac:dyDescent="0.2">
      <c r="A57" t="s">
        <v>2416</v>
      </c>
    </row>
    <row r="58" spans="1:1" x14ac:dyDescent="0.2">
      <c r="A58" t="s">
        <v>2309</v>
      </c>
    </row>
    <row r="59" spans="1:1" x14ac:dyDescent="0.2">
      <c r="A59" t="s">
        <v>2523</v>
      </c>
    </row>
    <row r="60" spans="1:1" x14ac:dyDescent="0.2">
      <c r="A60" t="s">
        <v>2631</v>
      </c>
    </row>
    <row r="61" spans="1:1" x14ac:dyDescent="0.2">
      <c r="A61" t="s">
        <v>2096</v>
      </c>
    </row>
    <row r="62" spans="1:1" x14ac:dyDescent="0.2">
      <c r="A62" t="s">
        <v>2203</v>
      </c>
    </row>
    <row r="63" spans="1:1" x14ac:dyDescent="0.2">
      <c r="A63" t="s">
        <v>2417</v>
      </c>
    </row>
    <row r="64" spans="1:1" x14ac:dyDescent="0.2">
      <c r="A64" t="s">
        <v>2310</v>
      </c>
    </row>
    <row r="65" spans="1:1" x14ac:dyDescent="0.2">
      <c r="A65" t="s">
        <v>2524</v>
      </c>
    </row>
    <row r="66" spans="1:1" x14ac:dyDescent="0.2">
      <c r="A66" t="s">
        <v>2632</v>
      </c>
    </row>
    <row r="67" spans="1:1" x14ac:dyDescent="0.2">
      <c r="A67" t="s">
        <v>2097</v>
      </c>
    </row>
    <row r="68" spans="1:1" x14ac:dyDescent="0.2">
      <c r="A68" t="s">
        <v>2204</v>
      </c>
    </row>
    <row r="69" spans="1:1" x14ac:dyDescent="0.2">
      <c r="A69" t="s">
        <v>2418</v>
      </c>
    </row>
    <row r="70" spans="1:1" x14ac:dyDescent="0.2">
      <c r="A70" t="s">
        <v>2311</v>
      </c>
    </row>
    <row r="71" spans="1:1" x14ac:dyDescent="0.2">
      <c r="A71" t="s">
        <v>2525</v>
      </c>
    </row>
    <row r="72" spans="1:1" x14ac:dyDescent="0.2">
      <c r="A72" t="s">
        <v>2633</v>
      </c>
    </row>
    <row r="73" spans="1:1" x14ac:dyDescent="0.2">
      <c r="A73" t="s">
        <v>2098</v>
      </c>
    </row>
    <row r="74" spans="1:1" x14ac:dyDescent="0.2">
      <c r="A74" t="s">
        <v>2205</v>
      </c>
    </row>
    <row r="75" spans="1:1" x14ac:dyDescent="0.2">
      <c r="A75" t="s">
        <v>2419</v>
      </c>
    </row>
    <row r="76" spans="1:1" x14ac:dyDescent="0.2">
      <c r="A76" t="s">
        <v>2312</v>
      </c>
    </row>
    <row r="77" spans="1:1" x14ac:dyDescent="0.2">
      <c r="A77" t="s">
        <v>2526</v>
      </c>
    </row>
    <row r="78" spans="1:1" x14ac:dyDescent="0.2">
      <c r="A78" t="s">
        <v>2634</v>
      </c>
    </row>
    <row r="79" spans="1:1" x14ac:dyDescent="0.2">
      <c r="A79" t="s">
        <v>2099</v>
      </c>
    </row>
    <row r="80" spans="1:1" x14ac:dyDescent="0.2">
      <c r="A80" t="s">
        <v>2206</v>
      </c>
    </row>
    <row r="81" spans="1:1" x14ac:dyDescent="0.2">
      <c r="A81" t="s">
        <v>2420</v>
      </c>
    </row>
    <row r="82" spans="1:1" x14ac:dyDescent="0.2">
      <c r="A82" t="s">
        <v>2313</v>
      </c>
    </row>
    <row r="83" spans="1:1" x14ac:dyDescent="0.2">
      <c r="A83" t="s">
        <v>2527</v>
      </c>
    </row>
    <row r="84" spans="1:1" x14ac:dyDescent="0.2">
      <c r="A84" t="s">
        <v>2635</v>
      </c>
    </row>
    <row r="85" spans="1:1" x14ac:dyDescent="0.2">
      <c r="A85" t="s">
        <v>2100</v>
      </c>
    </row>
    <row r="86" spans="1:1" x14ac:dyDescent="0.2">
      <c r="A86" t="s">
        <v>2207</v>
      </c>
    </row>
    <row r="87" spans="1:1" x14ac:dyDescent="0.2">
      <c r="A87" t="s">
        <v>2421</v>
      </c>
    </row>
    <row r="88" spans="1:1" x14ac:dyDescent="0.2">
      <c r="A88" t="s">
        <v>2314</v>
      </c>
    </row>
    <row r="89" spans="1:1" x14ac:dyDescent="0.2">
      <c r="A89" t="s">
        <v>2528</v>
      </c>
    </row>
    <row r="90" spans="1:1" x14ac:dyDescent="0.2">
      <c r="A90" t="s">
        <v>2637</v>
      </c>
    </row>
    <row r="91" spans="1:1" x14ac:dyDescent="0.2">
      <c r="A91" t="s">
        <v>2102</v>
      </c>
    </row>
    <row r="92" spans="1:1" x14ac:dyDescent="0.2">
      <c r="A92" t="s">
        <v>2209</v>
      </c>
    </row>
    <row r="93" spans="1:1" x14ac:dyDescent="0.2">
      <c r="A93" t="s">
        <v>2423</v>
      </c>
    </row>
    <row r="94" spans="1:1" x14ac:dyDescent="0.2">
      <c r="A94" t="s">
        <v>2316</v>
      </c>
    </row>
    <row r="95" spans="1:1" x14ac:dyDescent="0.2">
      <c r="A95" t="s">
        <v>2530</v>
      </c>
    </row>
    <row r="96" spans="1:1" x14ac:dyDescent="0.2">
      <c r="A96" t="s">
        <v>2638</v>
      </c>
    </row>
    <row r="97" spans="1:1" x14ac:dyDescent="0.2">
      <c r="A97" t="s">
        <v>2103</v>
      </c>
    </row>
    <row r="98" spans="1:1" x14ac:dyDescent="0.2">
      <c r="A98" t="s">
        <v>2210</v>
      </c>
    </row>
    <row r="99" spans="1:1" x14ac:dyDescent="0.2">
      <c r="A99" t="s">
        <v>2424</v>
      </c>
    </row>
    <row r="100" spans="1:1" x14ac:dyDescent="0.2">
      <c r="A100" t="s">
        <v>2317</v>
      </c>
    </row>
    <row r="101" spans="1:1" x14ac:dyDescent="0.2">
      <c r="A101" t="s">
        <v>2531</v>
      </c>
    </row>
    <row r="102" spans="1:1" x14ac:dyDescent="0.2">
      <c r="A102" t="s">
        <v>2639</v>
      </c>
    </row>
    <row r="103" spans="1:1" x14ac:dyDescent="0.2">
      <c r="A103" t="s">
        <v>2104</v>
      </c>
    </row>
    <row r="104" spans="1:1" x14ac:dyDescent="0.2">
      <c r="A104" t="s">
        <v>2211</v>
      </c>
    </row>
    <row r="105" spans="1:1" x14ac:dyDescent="0.2">
      <c r="A105" t="s">
        <v>2425</v>
      </c>
    </row>
    <row r="106" spans="1:1" x14ac:dyDescent="0.2">
      <c r="A106" t="s">
        <v>2318</v>
      </c>
    </row>
    <row r="107" spans="1:1" x14ac:dyDescent="0.2">
      <c r="A107" t="s">
        <v>2532</v>
      </c>
    </row>
    <row r="108" spans="1:1" x14ac:dyDescent="0.2">
      <c r="A108" t="s">
        <v>2640</v>
      </c>
    </row>
    <row r="109" spans="1:1" x14ac:dyDescent="0.2">
      <c r="A109" t="s">
        <v>2105</v>
      </c>
    </row>
    <row r="110" spans="1:1" x14ac:dyDescent="0.2">
      <c r="A110" t="s">
        <v>2212</v>
      </c>
    </row>
    <row r="111" spans="1:1" x14ac:dyDescent="0.2">
      <c r="A111" t="s">
        <v>2426</v>
      </c>
    </row>
    <row r="112" spans="1:1" x14ac:dyDescent="0.2">
      <c r="A112" t="s">
        <v>2319</v>
      </c>
    </row>
    <row r="113" spans="1:1" x14ac:dyDescent="0.2">
      <c r="A113" t="s">
        <v>2533</v>
      </c>
    </row>
    <row r="114" spans="1:1" x14ac:dyDescent="0.2">
      <c r="A114" t="s">
        <v>2641</v>
      </c>
    </row>
    <row r="115" spans="1:1" x14ac:dyDescent="0.2">
      <c r="A115" t="s">
        <v>2106</v>
      </c>
    </row>
    <row r="116" spans="1:1" x14ac:dyDescent="0.2">
      <c r="A116" t="s">
        <v>2213</v>
      </c>
    </row>
    <row r="117" spans="1:1" x14ac:dyDescent="0.2">
      <c r="A117" t="s">
        <v>2427</v>
      </c>
    </row>
    <row r="118" spans="1:1" x14ac:dyDescent="0.2">
      <c r="A118" t="s">
        <v>2320</v>
      </c>
    </row>
    <row r="119" spans="1:1" x14ac:dyDescent="0.2">
      <c r="A119" t="s">
        <v>2534</v>
      </c>
    </row>
    <row r="120" spans="1:1" x14ac:dyDescent="0.2">
      <c r="A120" t="s">
        <v>2642</v>
      </c>
    </row>
    <row r="121" spans="1:1" x14ac:dyDescent="0.2">
      <c r="A121" t="s">
        <v>2107</v>
      </c>
    </row>
    <row r="122" spans="1:1" x14ac:dyDescent="0.2">
      <c r="A122" t="s">
        <v>2214</v>
      </c>
    </row>
    <row r="123" spans="1:1" x14ac:dyDescent="0.2">
      <c r="A123" t="s">
        <v>2428</v>
      </c>
    </row>
    <row r="124" spans="1:1" x14ac:dyDescent="0.2">
      <c r="A124" t="s">
        <v>2321</v>
      </c>
    </row>
    <row r="125" spans="1:1" x14ac:dyDescent="0.2">
      <c r="A125" t="s">
        <v>2535</v>
      </c>
    </row>
    <row r="126" spans="1:1" x14ac:dyDescent="0.2">
      <c r="A126" t="s">
        <v>2644</v>
      </c>
    </row>
    <row r="127" spans="1:1" x14ac:dyDescent="0.2">
      <c r="A127" t="s">
        <v>2109</v>
      </c>
    </row>
    <row r="128" spans="1:1" x14ac:dyDescent="0.2">
      <c r="A128" t="s">
        <v>2216</v>
      </c>
    </row>
    <row r="129" spans="1:1" x14ac:dyDescent="0.2">
      <c r="A129" t="s">
        <v>2430</v>
      </c>
    </row>
    <row r="130" spans="1:1" x14ac:dyDescent="0.2">
      <c r="A130" t="s">
        <v>2323</v>
      </c>
    </row>
    <row r="131" spans="1:1" x14ac:dyDescent="0.2">
      <c r="A131" t="s">
        <v>2537</v>
      </c>
    </row>
    <row r="132" spans="1:1" x14ac:dyDescent="0.2">
      <c r="A132" t="s">
        <v>2645</v>
      </c>
    </row>
    <row r="133" spans="1:1" x14ac:dyDescent="0.2">
      <c r="A133" t="s">
        <v>2110</v>
      </c>
    </row>
    <row r="134" spans="1:1" x14ac:dyDescent="0.2">
      <c r="A134" t="s">
        <v>2217</v>
      </c>
    </row>
    <row r="135" spans="1:1" x14ac:dyDescent="0.2">
      <c r="A135" t="s">
        <v>2431</v>
      </c>
    </row>
    <row r="136" spans="1:1" x14ac:dyDescent="0.2">
      <c r="A136" t="s">
        <v>2324</v>
      </c>
    </row>
    <row r="137" spans="1:1" x14ac:dyDescent="0.2">
      <c r="A137" t="s">
        <v>2538</v>
      </c>
    </row>
    <row r="138" spans="1:1" x14ac:dyDescent="0.2">
      <c r="A138" t="s">
        <v>2646</v>
      </c>
    </row>
    <row r="139" spans="1:1" x14ac:dyDescent="0.2">
      <c r="A139" t="s">
        <v>2111</v>
      </c>
    </row>
    <row r="140" spans="1:1" x14ac:dyDescent="0.2">
      <c r="A140" t="s">
        <v>2218</v>
      </c>
    </row>
    <row r="141" spans="1:1" x14ac:dyDescent="0.2">
      <c r="A141" t="s">
        <v>2432</v>
      </c>
    </row>
    <row r="142" spans="1:1" x14ac:dyDescent="0.2">
      <c r="A142" t="s">
        <v>2325</v>
      </c>
    </row>
    <row r="143" spans="1:1" x14ac:dyDescent="0.2">
      <c r="A143" t="s">
        <v>2539</v>
      </c>
    </row>
    <row r="144" spans="1:1" x14ac:dyDescent="0.2">
      <c r="A144" t="s">
        <v>2647</v>
      </c>
    </row>
    <row r="145" spans="1:1" x14ac:dyDescent="0.2">
      <c r="A145" t="s">
        <v>2112</v>
      </c>
    </row>
    <row r="146" spans="1:1" x14ac:dyDescent="0.2">
      <c r="A146" t="s">
        <v>2219</v>
      </c>
    </row>
    <row r="147" spans="1:1" x14ac:dyDescent="0.2">
      <c r="A147" t="s">
        <v>2433</v>
      </c>
    </row>
    <row r="148" spans="1:1" x14ac:dyDescent="0.2">
      <c r="A148" t="s">
        <v>2326</v>
      </c>
    </row>
    <row r="149" spans="1:1" x14ac:dyDescent="0.2">
      <c r="A149" t="s">
        <v>2540</v>
      </c>
    </row>
    <row r="150" spans="1:1" x14ac:dyDescent="0.2">
      <c r="A150" t="s">
        <v>2648</v>
      </c>
    </row>
    <row r="151" spans="1:1" x14ac:dyDescent="0.2">
      <c r="A151" t="s">
        <v>2113</v>
      </c>
    </row>
    <row r="152" spans="1:1" x14ac:dyDescent="0.2">
      <c r="A152" t="s">
        <v>2220</v>
      </c>
    </row>
    <row r="153" spans="1:1" x14ac:dyDescent="0.2">
      <c r="A153" t="s">
        <v>2434</v>
      </c>
    </row>
    <row r="154" spans="1:1" x14ac:dyDescent="0.2">
      <c r="A154" t="s">
        <v>2327</v>
      </c>
    </row>
    <row r="155" spans="1:1" x14ac:dyDescent="0.2">
      <c r="A155" t="s">
        <v>2541</v>
      </c>
    </row>
    <row r="156" spans="1:1" x14ac:dyDescent="0.2">
      <c r="A156" t="s">
        <v>2649</v>
      </c>
    </row>
    <row r="157" spans="1:1" x14ac:dyDescent="0.2">
      <c r="A157" t="s">
        <v>2114</v>
      </c>
    </row>
    <row r="158" spans="1:1" x14ac:dyDescent="0.2">
      <c r="A158" t="s">
        <v>2221</v>
      </c>
    </row>
    <row r="159" spans="1:1" x14ac:dyDescent="0.2">
      <c r="A159" t="s">
        <v>2435</v>
      </c>
    </row>
    <row r="160" spans="1:1" x14ac:dyDescent="0.2">
      <c r="A160" t="s">
        <v>2328</v>
      </c>
    </row>
    <row r="161" spans="1:1" x14ac:dyDescent="0.2">
      <c r="A161" t="s">
        <v>2542</v>
      </c>
    </row>
    <row r="162" spans="1:1" x14ac:dyDescent="0.2">
      <c r="A162" t="s">
        <v>2651</v>
      </c>
    </row>
    <row r="163" spans="1:1" x14ac:dyDescent="0.2">
      <c r="A163" t="s">
        <v>2116</v>
      </c>
    </row>
    <row r="164" spans="1:1" x14ac:dyDescent="0.2">
      <c r="A164" t="s">
        <v>2223</v>
      </c>
    </row>
    <row r="165" spans="1:1" x14ac:dyDescent="0.2">
      <c r="A165" t="s">
        <v>2437</v>
      </c>
    </row>
    <row r="166" spans="1:1" x14ac:dyDescent="0.2">
      <c r="A166" t="s">
        <v>2330</v>
      </c>
    </row>
    <row r="167" spans="1:1" x14ac:dyDescent="0.2">
      <c r="A167" t="s">
        <v>2544</v>
      </c>
    </row>
    <row r="168" spans="1:1" x14ac:dyDescent="0.2">
      <c r="A168" t="s">
        <v>2652</v>
      </c>
    </row>
    <row r="169" spans="1:1" x14ac:dyDescent="0.2">
      <c r="A169" t="s">
        <v>2117</v>
      </c>
    </row>
    <row r="170" spans="1:1" x14ac:dyDescent="0.2">
      <c r="A170" t="s">
        <v>2224</v>
      </c>
    </row>
    <row r="171" spans="1:1" x14ac:dyDescent="0.2">
      <c r="A171" t="s">
        <v>2438</v>
      </c>
    </row>
    <row r="172" spans="1:1" x14ac:dyDescent="0.2">
      <c r="A172" t="s">
        <v>2331</v>
      </c>
    </row>
    <row r="173" spans="1:1" x14ac:dyDescent="0.2">
      <c r="A173" t="s">
        <v>2545</v>
      </c>
    </row>
    <row r="174" spans="1:1" x14ac:dyDescent="0.2">
      <c r="A174" t="s">
        <v>2653</v>
      </c>
    </row>
    <row r="175" spans="1:1" x14ac:dyDescent="0.2">
      <c r="A175" t="s">
        <v>2118</v>
      </c>
    </row>
    <row r="176" spans="1:1" x14ac:dyDescent="0.2">
      <c r="A176" t="s">
        <v>2225</v>
      </c>
    </row>
    <row r="177" spans="1:1" x14ac:dyDescent="0.2">
      <c r="A177" t="s">
        <v>2439</v>
      </c>
    </row>
    <row r="178" spans="1:1" x14ac:dyDescent="0.2">
      <c r="A178" t="s">
        <v>2332</v>
      </c>
    </row>
    <row r="179" spans="1:1" x14ac:dyDescent="0.2">
      <c r="A179" t="s">
        <v>2546</v>
      </c>
    </row>
    <row r="180" spans="1:1" x14ac:dyDescent="0.2">
      <c r="A180" t="s">
        <v>2654</v>
      </c>
    </row>
    <row r="181" spans="1:1" x14ac:dyDescent="0.2">
      <c r="A181" t="s">
        <v>2119</v>
      </c>
    </row>
    <row r="182" spans="1:1" x14ac:dyDescent="0.2">
      <c r="A182" t="s">
        <v>2226</v>
      </c>
    </row>
    <row r="183" spans="1:1" x14ac:dyDescent="0.2">
      <c r="A183" t="s">
        <v>2440</v>
      </c>
    </row>
    <row r="184" spans="1:1" x14ac:dyDescent="0.2">
      <c r="A184" t="s">
        <v>2333</v>
      </c>
    </row>
    <row r="185" spans="1:1" x14ac:dyDescent="0.2">
      <c r="A185" t="s">
        <v>2547</v>
      </c>
    </row>
    <row r="186" spans="1:1" x14ac:dyDescent="0.2">
      <c r="A186" t="s">
        <v>2655</v>
      </c>
    </row>
    <row r="187" spans="1:1" x14ac:dyDescent="0.2">
      <c r="A187" t="s">
        <v>2120</v>
      </c>
    </row>
    <row r="188" spans="1:1" x14ac:dyDescent="0.2">
      <c r="A188" t="s">
        <v>2227</v>
      </c>
    </row>
    <row r="189" spans="1:1" x14ac:dyDescent="0.2">
      <c r="A189" t="s">
        <v>2441</v>
      </c>
    </row>
    <row r="190" spans="1:1" x14ac:dyDescent="0.2">
      <c r="A190" t="s">
        <v>2334</v>
      </c>
    </row>
    <row r="191" spans="1:1" x14ac:dyDescent="0.2">
      <c r="A191" t="s">
        <v>2548</v>
      </c>
    </row>
    <row r="192" spans="1:1" x14ac:dyDescent="0.2">
      <c r="A192" t="s">
        <v>2656</v>
      </c>
    </row>
    <row r="193" spans="1:1" x14ac:dyDescent="0.2">
      <c r="A193" t="s">
        <v>2121</v>
      </c>
    </row>
    <row r="194" spans="1:1" x14ac:dyDescent="0.2">
      <c r="A194" t="s">
        <v>2228</v>
      </c>
    </row>
    <row r="195" spans="1:1" x14ac:dyDescent="0.2">
      <c r="A195" t="s">
        <v>2442</v>
      </c>
    </row>
    <row r="196" spans="1:1" x14ac:dyDescent="0.2">
      <c r="A196" t="s">
        <v>2335</v>
      </c>
    </row>
    <row r="197" spans="1:1" x14ac:dyDescent="0.2">
      <c r="A197" t="s">
        <v>2549</v>
      </c>
    </row>
    <row r="198" spans="1:1" x14ac:dyDescent="0.2">
      <c r="A198" t="s">
        <v>2658</v>
      </c>
    </row>
    <row r="199" spans="1:1" x14ac:dyDescent="0.2">
      <c r="A199" t="s">
        <v>2123</v>
      </c>
    </row>
    <row r="200" spans="1:1" x14ac:dyDescent="0.2">
      <c r="A200" t="s">
        <v>2230</v>
      </c>
    </row>
    <row r="201" spans="1:1" x14ac:dyDescent="0.2">
      <c r="A201" t="s">
        <v>2444</v>
      </c>
    </row>
    <row r="202" spans="1:1" x14ac:dyDescent="0.2">
      <c r="A202" t="s">
        <v>2337</v>
      </c>
    </row>
    <row r="203" spans="1:1" x14ac:dyDescent="0.2">
      <c r="A203" t="s">
        <v>2551</v>
      </c>
    </row>
    <row r="204" spans="1:1" x14ac:dyDescent="0.2">
      <c r="A204" t="s">
        <v>2659</v>
      </c>
    </row>
    <row r="205" spans="1:1" x14ac:dyDescent="0.2">
      <c r="A205" t="s">
        <v>2124</v>
      </c>
    </row>
    <row r="206" spans="1:1" x14ac:dyDescent="0.2">
      <c r="A206" t="s">
        <v>2231</v>
      </c>
    </row>
    <row r="207" spans="1:1" x14ac:dyDescent="0.2">
      <c r="A207" t="s">
        <v>2445</v>
      </c>
    </row>
    <row r="208" spans="1:1" x14ac:dyDescent="0.2">
      <c r="A208" t="s">
        <v>2338</v>
      </c>
    </row>
    <row r="209" spans="1:1" x14ac:dyDescent="0.2">
      <c r="A209" t="s">
        <v>2552</v>
      </c>
    </row>
    <row r="210" spans="1:1" x14ac:dyDescent="0.2">
      <c r="A210" t="s">
        <v>2660</v>
      </c>
    </row>
    <row r="211" spans="1:1" x14ac:dyDescent="0.2">
      <c r="A211" t="s">
        <v>2125</v>
      </c>
    </row>
    <row r="212" spans="1:1" x14ac:dyDescent="0.2">
      <c r="A212" t="s">
        <v>2232</v>
      </c>
    </row>
    <row r="213" spans="1:1" x14ac:dyDescent="0.2">
      <c r="A213" t="s">
        <v>2446</v>
      </c>
    </row>
    <row r="214" spans="1:1" x14ac:dyDescent="0.2">
      <c r="A214" t="s">
        <v>2339</v>
      </c>
    </row>
    <row r="215" spans="1:1" x14ac:dyDescent="0.2">
      <c r="A215" t="s">
        <v>2553</v>
      </c>
    </row>
    <row r="216" spans="1:1" x14ac:dyDescent="0.2">
      <c r="A216" t="s">
        <v>2661</v>
      </c>
    </row>
    <row r="217" spans="1:1" x14ac:dyDescent="0.2">
      <c r="A217" t="s">
        <v>2126</v>
      </c>
    </row>
    <row r="218" spans="1:1" x14ac:dyDescent="0.2">
      <c r="A218" t="s">
        <v>2233</v>
      </c>
    </row>
    <row r="219" spans="1:1" x14ac:dyDescent="0.2">
      <c r="A219" t="s">
        <v>2447</v>
      </c>
    </row>
    <row r="220" spans="1:1" x14ac:dyDescent="0.2">
      <c r="A220" t="s">
        <v>2340</v>
      </c>
    </row>
    <row r="221" spans="1:1" x14ac:dyDescent="0.2">
      <c r="A221" t="s">
        <v>2554</v>
      </c>
    </row>
    <row r="222" spans="1:1" x14ac:dyDescent="0.2">
      <c r="A222" t="s">
        <v>2662</v>
      </c>
    </row>
    <row r="223" spans="1:1" x14ac:dyDescent="0.2">
      <c r="A223" t="s">
        <v>2127</v>
      </c>
    </row>
    <row r="224" spans="1:1" x14ac:dyDescent="0.2">
      <c r="A224" t="s">
        <v>2234</v>
      </c>
    </row>
    <row r="225" spans="1:1" x14ac:dyDescent="0.2">
      <c r="A225" t="s">
        <v>2448</v>
      </c>
    </row>
    <row r="226" spans="1:1" x14ac:dyDescent="0.2">
      <c r="A226" t="s">
        <v>2341</v>
      </c>
    </row>
    <row r="227" spans="1:1" x14ac:dyDescent="0.2">
      <c r="A227" t="s">
        <v>2555</v>
      </c>
    </row>
    <row r="228" spans="1:1" x14ac:dyDescent="0.2">
      <c r="A228" t="s">
        <v>2663</v>
      </c>
    </row>
    <row r="229" spans="1:1" x14ac:dyDescent="0.2">
      <c r="A229" t="s">
        <v>2128</v>
      </c>
    </row>
    <row r="230" spans="1:1" x14ac:dyDescent="0.2">
      <c r="A230" t="s">
        <v>2235</v>
      </c>
    </row>
    <row r="231" spans="1:1" x14ac:dyDescent="0.2">
      <c r="A231" t="s">
        <v>2449</v>
      </c>
    </row>
    <row r="232" spans="1:1" x14ac:dyDescent="0.2">
      <c r="A232" t="s">
        <v>2342</v>
      </c>
    </row>
    <row r="233" spans="1:1" x14ac:dyDescent="0.2">
      <c r="A233" t="s">
        <v>2556</v>
      </c>
    </row>
    <row r="234" spans="1:1" x14ac:dyDescent="0.2">
      <c r="A234" t="s">
        <v>2665</v>
      </c>
    </row>
    <row r="235" spans="1:1" x14ac:dyDescent="0.2">
      <c r="A235" t="s">
        <v>2130</v>
      </c>
    </row>
    <row r="236" spans="1:1" x14ac:dyDescent="0.2">
      <c r="A236" t="s">
        <v>2237</v>
      </c>
    </row>
    <row r="237" spans="1:1" x14ac:dyDescent="0.2">
      <c r="A237" t="s">
        <v>2451</v>
      </c>
    </row>
    <row r="238" spans="1:1" x14ac:dyDescent="0.2">
      <c r="A238" t="s">
        <v>2344</v>
      </c>
    </row>
    <row r="239" spans="1:1" x14ac:dyDescent="0.2">
      <c r="A239" t="s">
        <v>2558</v>
      </c>
    </row>
    <row r="240" spans="1:1" x14ac:dyDescent="0.2">
      <c r="A240" t="s">
        <v>2666</v>
      </c>
    </row>
    <row r="241" spans="1:1" x14ac:dyDescent="0.2">
      <c r="A241" t="s">
        <v>2131</v>
      </c>
    </row>
    <row r="242" spans="1:1" x14ac:dyDescent="0.2">
      <c r="A242" t="s">
        <v>2238</v>
      </c>
    </row>
    <row r="243" spans="1:1" x14ac:dyDescent="0.2">
      <c r="A243" t="s">
        <v>2452</v>
      </c>
    </row>
    <row r="244" spans="1:1" x14ac:dyDescent="0.2">
      <c r="A244" t="s">
        <v>2345</v>
      </c>
    </row>
    <row r="245" spans="1:1" x14ac:dyDescent="0.2">
      <c r="A245" t="s">
        <v>2559</v>
      </c>
    </row>
    <row r="246" spans="1:1" x14ac:dyDescent="0.2">
      <c r="A246" t="s">
        <v>2667</v>
      </c>
    </row>
    <row r="247" spans="1:1" x14ac:dyDescent="0.2">
      <c r="A247" t="s">
        <v>2132</v>
      </c>
    </row>
    <row r="248" spans="1:1" x14ac:dyDescent="0.2">
      <c r="A248" t="s">
        <v>2239</v>
      </c>
    </row>
    <row r="249" spans="1:1" x14ac:dyDescent="0.2">
      <c r="A249" t="s">
        <v>2453</v>
      </c>
    </row>
    <row r="250" spans="1:1" x14ac:dyDescent="0.2">
      <c r="A250" t="s">
        <v>2346</v>
      </c>
    </row>
    <row r="251" spans="1:1" x14ac:dyDescent="0.2">
      <c r="A251" t="s">
        <v>2560</v>
      </c>
    </row>
    <row r="252" spans="1:1" x14ac:dyDescent="0.2">
      <c r="A252" t="s">
        <v>2668</v>
      </c>
    </row>
    <row r="253" spans="1:1" x14ac:dyDescent="0.2">
      <c r="A253" t="s">
        <v>2133</v>
      </c>
    </row>
    <row r="254" spans="1:1" x14ac:dyDescent="0.2">
      <c r="A254" t="s">
        <v>2240</v>
      </c>
    </row>
    <row r="255" spans="1:1" x14ac:dyDescent="0.2">
      <c r="A255" t="s">
        <v>2454</v>
      </c>
    </row>
    <row r="256" spans="1:1" x14ac:dyDescent="0.2">
      <c r="A256" t="s">
        <v>2347</v>
      </c>
    </row>
    <row r="257" spans="1:1" x14ac:dyDescent="0.2">
      <c r="A257" t="s">
        <v>2561</v>
      </c>
    </row>
    <row r="258" spans="1:1" x14ac:dyDescent="0.2">
      <c r="A258" t="s">
        <v>2669</v>
      </c>
    </row>
    <row r="259" spans="1:1" x14ac:dyDescent="0.2">
      <c r="A259" t="s">
        <v>2134</v>
      </c>
    </row>
    <row r="260" spans="1:1" x14ac:dyDescent="0.2">
      <c r="A260" t="s">
        <v>2241</v>
      </c>
    </row>
    <row r="261" spans="1:1" x14ac:dyDescent="0.2">
      <c r="A261" t="s">
        <v>2455</v>
      </c>
    </row>
    <row r="262" spans="1:1" x14ac:dyDescent="0.2">
      <c r="A262" t="s">
        <v>2348</v>
      </c>
    </row>
    <row r="263" spans="1:1" x14ac:dyDescent="0.2">
      <c r="A263" t="s">
        <v>2562</v>
      </c>
    </row>
    <row r="264" spans="1:1" x14ac:dyDescent="0.2">
      <c r="A264" t="s">
        <v>2670</v>
      </c>
    </row>
    <row r="265" spans="1:1" x14ac:dyDescent="0.2">
      <c r="A265" t="s">
        <v>2135</v>
      </c>
    </row>
    <row r="266" spans="1:1" x14ac:dyDescent="0.2">
      <c r="A266" t="s">
        <v>2242</v>
      </c>
    </row>
    <row r="267" spans="1:1" x14ac:dyDescent="0.2">
      <c r="A267" t="s">
        <v>2456</v>
      </c>
    </row>
    <row r="268" spans="1:1" x14ac:dyDescent="0.2">
      <c r="A268" t="s">
        <v>2349</v>
      </c>
    </row>
    <row r="269" spans="1:1" x14ac:dyDescent="0.2">
      <c r="A269" t="s">
        <v>2563</v>
      </c>
    </row>
    <row r="270" spans="1:1" x14ac:dyDescent="0.2">
      <c r="A270" t="s">
        <v>2672</v>
      </c>
    </row>
    <row r="271" spans="1:1" x14ac:dyDescent="0.2">
      <c r="A271" t="s">
        <v>2137</v>
      </c>
    </row>
    <row r="272" spans="1:1" x14ac:dyDescent="0.2">
      <c r="A272" t="s">
        <v>2244</v>
      </c>
    </row>
    <row r="273" spans="1:1" x14ac:dyDescent="0.2">
      <c r="A273" t="s">
        <v>2458</v>
      </c>
    </row>
    <row r="274" spans="1:1" x14ac:dyDescent="0.2">
      <c r="A274" t="s">
        <v>2351</v>
      </c>
    </row>
    <row r="275" spans="1:1" x14ac:dyDescent="0.2">
      <c r="A275" t="s">
        <v>2565</v>
      </c>
    </row>
    <row r="276" spans="1:1" x14ac:dyDescent="0.2">
      <c r="A276" t="s">
        <v>2673</v>
      </c>
    </row>
    <row r="277" spans="1:1" x14ac:dyDescent="0.2">
      <c r="A277" t="s">
        <v>2138</v>
      </c>
    </row>
    <row r="278" spans="1:1" x14ac:dyDescent="0.2">
      <c r="A278" t="s">
        <v>2245</v>
      </c>
    </row>
    <row r="279" spans="1:1" x14ac:dyDescent="0.2">
      <c r="A279" t="s">
        <v>2459</v>
      </c>
    </row>
    <row r="280" spans="1:1" x14ac:dyDescent="0.2">
      <c r="A280" t="s">
        <v>2352</v>
      </c>
    </row>
    <row r="281" spans="1:1" x14ac:dyDescent="0.2">
      <c r="A281" t="s">
        <v>2566</v>
      </c>
    </row>
    <row r="282" spans="1:1" x14ac:dyDescent="0.2">
      <c r="A282" t="s">
        <v>2674</v>
      </c>
    </row>
    <row r="283" spans="1:1" x14ac:dyDescent="0.2">
      <c r="A283" t="s">
        <v>2139</v>
      </c>
    </row>
    <row r="284" spans="1:1" x14ac:dyDescent="0.2">
      <c r="A284" t="s">
        <v>2246</v>
      </c>
    </row>
    <row r="285" spans="1:1" x14ac:dyDescent="0.2">
      <c r="A285" t="s">
        <v>2460</v>
      </c>
    </row>
    <row r="286" spans="1:1" x14ac:dyDescent="0.2">
      <c r="A286" t="s">
        <v>2353</v>
      </c>
    </row>
    <row r="287" spans="1:1" x14ac:dyDescent="0.2">
      <c r="A287" t="s">
        <v>2567</v>
      </c>
    </row>
    <row r="288" spans="1:1" x14ac:dyDescent="0.2">
      <c r="A288" t="s">
        <v>2675</v>
      </c>
    </row>
    <row r="289" spans="1:1" x14ac:dyDescent="0.2">
      <c r="A289" t="s">
        <v>2140</v>
      </c>
    </row>
    <row r="290" spans="1:1" x14ac:dyDescent="0.2">
      <c r="A290" t="s">
        <v>2247</v>
      </c>
    </row>
    <row r="291" spans="1:1" x14ac:dyDescent="0.2">
      <c r="A291" t="s">
        <v>2461</v>
      </c>
    </row>
    <row r="292" spans="1:1" x14ac:dyDescent="0.2">
      <c r="A292" t="s">
        <v>2354</v>
      </c>
    </row>
    <row r="293" spans="1:1" x14ac:dyDescent="0.2">
      <c r="A293" t="s">
        <v>2568</v>
      </c>
    </row>
    <row r="294" spans="1:1" x14ac:dyDescent="0.2">
      <c r="A294" t="s">
        <v>2676</v>
      </c>
    </row>
    <row r="295" spans="1:1" x14ac:dyDescent="0.2">
      <c r="A295" t="s">
        <v>2141</v>
      </c>
    </row>
    <row r="296" spans="1:1" x14ac:dyDescent="0.2">
      <c r="A296" t="s">
        <v>2248</v>
      </c>
    </row>
    <row r="297" spans="1:1" x14ac:dyDescent="0.2">
      <c r="A297" t="s">
        <v>2462</v>
      </c>
    </row>
    <row r="298" spans="1:1" x14ac:dyDescent="0.2">
      <c r="A298" t="s">
        <v>2355</v>
      </c>
    </row>
    <row r="299" spans="1:1" x14ac:dyDescent="0.2">
      <c r="A299" t="s">
        <v>2569</v>
      </c>
    </row>
    <row r="300" spans="1:1" x14ac:dyDescent="0.2">
      <c r="A300" t="s">
        <v>2677</v>
      </c>
    </row>
    <row r="301" spans="1:1" x14ac:dyDescent="0.2">
      <c r="A301" t="s">
        <v>2142</v>
      </c>
    </row>
    <row r="302" spans="1:1" x14ac:dyDescent="0.2">
      <c r="A302" t="s">
        <v>2249</v>
      </c>
    </row>
    <row r="303" spans="1:1" x14ac:dyDescent="0.2">
      <c r="A303" t="s">
        <v>2463</v>
      </c>
    </row>
    <row r="304" spans="1:1" x14ac:dyDescent="0.2">
      <c r="A304" t="s">
        <v>2356</v>
      </c>
    </row>
    <row r="305" spans="1:1" x14ac:dyDescent="0.2">
      <c r="A305" t="s">
        <v>2570</v>
      </c>
    </row>
    <row r="306" spans="1:1" x14ac:dyDescent="0.2">
      <c r="A306" t="s">
        <v>2680</v>
      </c>
    </row>
    <row r="307" spans="1:1" x14ac:dyDescent="0.2">
      <c r="A307" t="s">
        <v>2145</v>
      </c>
    </row>
    <row r="308" spans="1:1" x14ac:dyDescent="0.2">
      <c r="A308" t="s">
        <v>2252</v>
      </c>
    </row>
    <row r="309" spans="1:1" x14ac:dyDescent="0.2">
      <c r="A309" t="s">
        <v>2466</v>
      </c>
    </row>
    <row r="310" spans="1:1" x14ac:dyDescent="0.2">
      <c r="A310" t="s">
        <v>2359</v>
      </c>
    </row>
    <row r="311" spans="1:1" x14ac:dyDescent="0.2">
      <c r="A311" t="s">
        <v>2573</v>
      </c>
    </row>
    <row r="312" spans="1:1" x14ac:dyDescent="0.2">
      <c r="A312" t="s">
        <v>2681</v>
      </c>
    </row>
    <row r="313" spans="1:1" x14ac:dyDescent="0.2">
      <c r="A313" t="s">
        <v>2146</v>
      </c>
    </row>
    <row r="314" spans="1:1" x14ac:dyDescent="0.2">
      <c r="A314" t="s">
        <v>2253</v>
      </c>
    </row>
    <row r="315" spans="1:1" x14ac:dyDescent="0.2">
      <c r="A315" t="s">
        <v>2467</v>
      </c>
    </row>
    <row r="316" spans="1:1" x14ac:dyDescent="0.2">
      <c r="A316" t="s">
        <v>2360</v>
      </c>
    </row>
    <row r="317" spans="1:1" x14ac:dyDescent="0.2">
      <c r="A317" t="s">
        <v>2574</v>
      </c>
    </row>
    <row r="318" spans="1:1" x14ac:dyDescent="0.2">
      <c r="A318" t="s">
        <v>2682</v>
      </c>
    </row>
    <row r="319" spans="1:1" x14ac:dyDescent="0.2">
      <c r="A319" t="s">
        <v>2147</v>
      </c>
    </row>
    <row r="320" spans="1:1" x14ac:dyDescent="0.2">
      <c r="A320" t="s">
        <v>2254</v>
      </c>
    </row>
    <row r="321" spans="1:1" x14ac:dyDescent="0.2">
      <c r="A321" t="s">
        <v>2468</v>
      </c>
    </row>
    <row r="322" spans="1:1" x14ac:dyDescent="0.2">
      <c r="A322" t="s">
        <v>2361</v>
      </c>
    </row>
    <row r="323" spans="1:1" x14ac:dyDescent="0.2">
      <c r="A323" t="s">
        <v>2575</v>
      </c>
    </row>
    <row r="324" spans="1:1" x14ac:dyDescent="0.2">
      <c r="A324" t="s">
        <v>2683</v>
      </c>
    </row>
    <row r="325" spans="1:1" x14ac:dyDescent="0.2">
      <c r="A325" t="s">
        <v>2148</v>
      </c>
    </row>
    <row r="326" spans="1:1" x14ac:dyDescent="0.2">
      <c r="A326" t="s">
        <v>2255</v>
      </c>
    </row>
    <row r="327" spans="1:1" x14ac:dyDescent="0.2">
      <c r="A327" t="s">
        <v>2469</v>
      </c>
    </row>
    <row r="328" spans="1:1" x14ac:dyDescent="0.2">
      <c r="A328" t="s">
        <v>2362</v>
      </c>
    </row>
    <row r="329" spans="1:1" x14ac:dyDescent="0.2">
      <c r="A329" t="s">
        <v>2576</v>
      </c>
    </row>
    <row r="330" spans="1:1" x14ac:dyDescent="0.2">
      <c r="A330" t="s">
        <v>2684</v>
      </c>
    </row>
    <row r="331" spans="1:1" x14ac:dyDescent="0.2">
      <c r="A331" t="s">
        <v>2149</v>
      </c>
    </row>
    <row r="332" spans="1:1" x14ac:dyDescent="0.2">
      <c r="A332" t="s">
        <v>2256</v>
      </c>
    </row>
    <row r="333" spans="1:1" x14ac:dyDescent="0.2">
      <c r="A333" t="s">
        <v>2470</v>
      </c>
    </row>
    <row r="334" spans="1:1" x14ac:dyDescent="0.2">
      <c r="A334" t="s">
        <v>2363</v>
      </c>
    </row>
    <row r="335" spans="1:1" x14ac:dyDescent="0.2">
      <c r="A335" t="s">
        <v>2577</v>
      </c>
    </row>
    <row r="336" spans="1:1" x14ac:dyDescent="0.2">
      <c r="A336" t="s">
        <v>2685</v>
      </c>
    </row>
    <row r="337" spans="1:1" x14ac:dyDescent="0.2">
      <c r="A337" t="s">
        <v>2150</v>
      </c>
    </row>
    <row r="338" spans="1:1" x14ac:dyDescent="0.2">
      <c r="A338" t="s">
        <v>2257</v>
      </c>
    </row>
    <row r="339" spans="1:1" x14ac:dyDescent="0.2">
      <c r="A339" t="s">
        <v>2471</v>
      </c>
    </row>
    <row r="340" spans="1:1" x14ac:dyDescent="0.2">
      <c r="A340" t="s">
        <v>2364</v>
      </c>
    </row>
    <row r="341" spans="1:1" x14ac:dyDescent="0.2">
      <c r="A341" t="s">
        <v>2578</v>
      </c>
    </row>
    <row r="342" spans="1:1" x14ac:dyDescent="0.2">
      <c r="A342" t="s">
        <v>2687</v>
      </c>
    </row>
    <row r="343" spans="1:1" x14ac:dyDescent="0.2">
      <c r="A343" t="s">
        <v>2152</v>
      </c>
    </row>
    <row r="344" spans="1:1" x14ac:dyDescent="0.2">
      <c r="A344" t="s">
        <v>2259</v>
      </c>
    </row>
    <row r="345" spans="1:1" x14ac:dyDescent="0.2">
      <c r="A345" t="s">
        <v>2473</v>
      </c>
    </row>
    <row r="346" spans="1:1" x14ac:dyDescent="0.2">
      <c r="A346" t="s">
        <v>2366</v>
      </c>
    </row>
    <row r="347" spans="1:1" x14ac:dyDescent="0.2">
      <c r="A347" t="s">
        <v>2580</v>
      </c>
    </row>
    <row r="348" spans="1:1" x14ac:dyDescent="0.2">
      <c r="A348" t="s">
        <v>2688</v>
      </c>
    </row>
    <row r="349" spans="1:1" x14ac:dyDescent="0.2">
      <c r="A349" t="s">
        <v>2153</v>
      </c>
    </row>
    <row r="350" spans="1:1" x14ac:dyDescent="0.2">
      <c r="A350" t="s">
        <v>2260</v>
      </c>
    </row>
    <row r="351" spans="1:1" x14ac:dyDescent="0.2">
      <c r="A351" t="s">
        <v>2474</v>
      </c>
    </row>
    <row r="352" spans="1:1" x14ac:dyDescent="0.2">
      <c r="A352" t="s">
        <v>2367</v>
      </c>
    </row>
    <row r="353" spans="1:1" x14ac:dyDescent="0.2">
      <c r="A353" t="s">
        <v>2581</v>
      </c>
    </row>
    <row r="354" spans="1:1" x14ac:dyDescent="0.2">
      <c r="A354" t="s">
        <v>2689</v>
      </c>
    </row>
    <row r="355" spans="1:1" x14ac:dyDescent="0.2">
      <c r="A355" t="s">
        <v>2154</v>
      </c>
    </row>
    <row r="356" spans="1:1" x14ac:dyDescent="0.2">
      <c r="A356" t="s">
        <v>2261</v>
      </c>
    </row>
    <row r="357" spans="1:1" x14ac:dyDescent="0.2">
      <c r="A357" t="s">
        <v>2475</v>
      </c>
    </row>
    <row r="358" spans="1:1" x14ac:dyDescent="0.2">
      <c r="A358" t="s">
        <v>2368</v>
      </c>
    </row>
    <row r="359" spans="1:1" x14ac:dyDescent="0.2">
      <c r="A359" t="s">
        <v>2582</v>
      </c>
    </row>
    <row r="360" spans="1:1" x14ac:dyDescent="0.2">
      <c r="A360" t="s">
        <v>2690</v>
      </c>
    </row>
    <row r="361" spans="1:1" x14ac:dyDescent="0.2">
      <c r="A361" t="s">
        <v>2155</v>
      </c>
    </row>
    <row r="362" spans="1:1" x14ac:dyDescent="0.2">
      <c r="A362" t="s">
        <v>2262</v>
      </c>
    </row>
    <row r="363" spans="1:1" x14ac:dyDescent="0.2">
      <c r="A363" t="s">
        <v>2476</v>
      </c>
    </row>
    <row r="364" spans="1:1" x14ac:dyDescent="0.2">
      <c r="A364" t="s">
        <v>2369</v>
      </c>
    </row>
    <row r="365" spans="1:1" x14ac:dyDescent="0.2">
      <c r="A365" t="s">
        <v>2583</v>
      </c>
    </row>
    <row r="366" spans="1:1" x14ac:dyDescent="0.2">
      <c r="A366" t="s">
        <v>2691</v>
      </c>
    </row>
    <row r="367" spans="1:1" x14ac:dyDescent="0.2">
      <c r="A367" t="s">
        <v>2156</v>
      </c>
    </row>
    <row r="368" spans="1:1" x14ac:dyDescent="0.2">
      <c r="A368" t="s">
        <v>2263</v>
      </c>
    </row>
    <row r="369" spans="1:1" x14ac:dyDescent="0.2">
      <c r="A369" t="s">
        <v>2477</v>
      </c>
    </row>
    <row r="370" spans="1:1" x14ac:dyDescent="0.2">
      <c r="A370" t="s">
        <v>2370</v>
      </c>
    </row>
    <row r="371" spans="1:1" x14ac:dyDescent="0.2">
      <c r="A371" t="s">
        <v>2584</v>
      </c>
    </row>
    <row r="372" spans="1:1" x14ac:dyDescent="0.2">
      <c r="A372" t="s">
        <v>2692</v>
      </c>
    </row>
    <row r="373" spans="1:1" x14ac:dyDescent="0.2">
      <c r="A373" t="s">
        <v>2157</v>
      </c>
    </row>
    <row r="374" spans="1:1" x14ac:dyDescent="0.2">
      <c r="A374" t="s">
        <v>2264</v>
      </c>
    </row>
    <row r="375" spans="1:1" x14ac:dyDescent="0.2">
      <c r="A375" t="s">
        <v>2478</v>
      </c>
    </row>
    <row r="376" spans="1:1" x14ac:dyDescent="0.2">
      <c r="A376" t="s">
        <v>2371</v>
      </c>
    </row>
    <row r="377" spans="1:1" x14ac:dyDescent="0.2">
      <c r="A377" t="s">
        <v>2585</v>
      </c>
    </row>
    <row r="378" spans="1:1" x14ac:dyDescent="0.2">
      <c r="A378" t="s">
        <v>2693</v>
      </c>
    </row>
    <row r="379" spans="1:1" x14ac:dyDescent="0.2">
      <c r="A379" t="s">
        <v>2158</v>
      </c>
    </row>
    <row r="380" spans="1:1" x14ac:dyDescent="0.2">
      <c r="A380" t="s">
        <v>2265</v>
      </c>
    </row>
    <row r="381" spans="1:1" x14ac:dyDescent="0.2">
      <c r="A381" t="s">
        <v>2479</v>
      </c>
    </row>
    <row r="382" spans="1:1" x14ac:dyDescent="0.2">
      <c r="A382" t="s">
        <v>2372</v>
      </c>
    </row>
    <row r="383" spans="1:1" x14ac:dyDescent="0.2">
      <c r="A383" t="s">
        <v>2586</v>
      </c>
    </row>
    <row r="384" spans="1:1" x14ac:dyDescent="0.2">
      <c r="A384" t="s">
        <v>2679</v>
      </c>
    </row>
    <row r="385" spans="1:1" x14ac:dyDescent="0.2">
      <c r="A385" t="s">
        <v>2144</v>
      </c>
    </row>
    <row r="386" spans="1:1" x14ac:dyDescent="0.2">
      <c r="A386" t="s">
        <v>2251</v>
      </c>
    </row>
    <row r="387" spans="1:1" x14ac:dyDescent="0.2">
      <c r="A387" t="s">
        <v>2465</v>
      </c>
    </row>
    <row r="388" spans="1:1" x14ac:dyDescent="0.2">
      <c r="A388" t="s">
        <v>2358</v>
      </c>
    </row>
    <row r="389" spans="1:1" x14ac:dyDescent="0.2">
      <c r="A389" t="s">
        <v>2572</v>
      </c>
    </row>
    <row r="390" spans="1:1" x14ac:dyDescent="0.2">
      <c r="A390" t="s">
        <v>2636</v>
      </c>
    </row>
    <row r="391" spans="1:1" x14ac:dyDescent="0.2">
      <c r="A391" t="s">
        <v>2101</v>
      </c>
    </row>
    <row r="392" spans="1:1" x14ac:dyDescent="0.2">
      <c r="A392" t="s">
        <v>2208</v>
      </c>
    </row>
    <row r="393" spans="1:1" x14ac:dyDescent="0.2">
      <c r="A393" t="s">
        <v>2422</v>
      </c>
    </row>
    <row r="394" spans="1:1" x14ac:dyDescent="0.2">
      <c r="A394" t="s">
        <v>2315</v>
      </c>
    </row>
    <row r="395" spans="1:1" x14ac:dyDescent="0.2">
      <c r="A395" t="s">
        <v>2529</v>
      </c>
    </row>
    <row r="396" spans="1:1" x14ac:dyDescent="0.2">
      <c r="A396" t="s">
        <v>2643</v>
      </c>
    </row>
    <row r="397" spans="1:1" x14ac:dyDescent="0.2">
      <c r="A397" t="s">
        <v>2108</v>
      </c>
    </row>
    <row r="398" spans="1:1" x14ac:dyDescent="0.2">
      <c r="A398" t="s">
        <v>2215</v>
      </c>
    </row>
    <row r="399" spans="1:1" x14ac:dyDescent="0.2">
      <c r="A399" t="s">
        <v>2429</v>
      </c>
    </row>
    <row r="400" spans="1:1" x14ac:dyDescent="0.2">
      <c r="A400" t="s">
        <v>2322</v>
      </c>
    </row>
    <row r="401" spans="1:1" x14ac:dyDescent="0.2">
      <c r="A401" t="s">
        <v>2536</v>
      </c>
    </row>
    <row r="402" spans="1:1" x14ac:dyDescent="0.2">
      <c r="A402" t="s">
        <v>2650</v>
      </c>
    </row>
    <row r="403" spans="1:1" x14ac:dyDescent="0.2">
      <c r="A403" t="s">
        <v>2115</v>
      </c>
    </row>
    <row r="404" spans="1:1" x14ac:dyDescent="0.2">
      <c r="A404" t="s">
        <v>2222</v>
      </c>
    </row>
    <row r="405" spans="1:1" x14ac:dyDescent="0.2">
      <c r="A405" t="s">
        <v>2436</v>
      </c>
    </row>
    <row r="406" spans="1:1" x14ac:dyDescent="0.2">
      <c r="A406" t="s">
        <v>2329</v>
      </c>
    </row>
    <row r="407" spans="1:1" x14ac:dyDescent="0.2">
      <c r="A407" t="s">
        <v>2543</v>
      </c>
    </row>
    <row r="408" spans="1:1" x14ac:dyDescent="0.2">
      <c r="A408" t="s">
        <v>2657</v>
      </c>
    </row>
    <row r="409" spans="1:1" x14ac:dyDescent="0.2">
      <c r="A409" t="s">
        <v>2122</v>
      </c>
    </row>
    <row r="410" spans="1:1" x14ac:dyDescent="0.2">
      <c r="A410" t="s">
        <v>2229</v>
      </c>
    </row>
    <row r="411" spans="1:1" x14ac:dyDescent="0.2">
      <c r="A411" t="s">
        <v>2443</v>
      </c>
    </row>
    <row r="412" spans="1:1" x14ac:dyDescent="0.2">
      <c r="A412" t="s">
        <v>2336</v>
      </c>
    </row>
    <row r="413" spans="1:1" x14ac:dyDescent="0.2">
      <c r="A413" t="s">
        <v>2550</v>
      </c>
    </row>
    <row r="414" spans="1:1" x14ac:dyDescent="0.2">
      <c r="A414" t="s">
        <v>2664</v>
      </c>
    </row>
    <row r="415" spans="1:1" x14ac:dyDescent="0.2">
      <c r="A415" t="s">
        <v>2129</v>
      </c>
    </row>
    <row r="416" spans="1:1" x14ac:dyDescent="0.2">
      <c r="A416" t="s">
        <v>2236</v>
      </c>
    </row>
    <row r="417" spans="1:1" x14ac:dyDescent="0.2">
      <c r="A417" t="s">
        <v>2450</v>
      </c>
    </row>
    <row r="418" spans="1:1" x14ac:dyDescent="0.2">
      <c r="A418" t="s">
        <v>2343</v>
      </c>
    </row>
    <row r="419" spans="1:1" x14ac:dyDescent="0.2">
      <c r="A419" t="s">
        <v>2557</v>
      </c>
    </row>
    <row r="420" spans="1:1" x14ac:dyDescent="0.2">
      <c r="A420" t="s">
        <v>2671</v>
      </c>
    </row>
    <row r="421" spans="1:1" x14ac:dyDescent="0.2">
      <c r="A421" t="s">
        <v>2136</v>
      </c>
    </row>
    <row r="422" spans="1:1" x14ac:dyDescent="0.2">
      <c r="A422" t="s">
        <v>2243</v>
      </c>
    </row>
    <row r="423" spans="1:1" x14ac:dyDescent="0.2">
      <c r="A423" t="s">
        <v>2457</v>
      </c>
    </row>
    <row r="424" spans="1:1" x14ac:dyDescent="0.2">
      <c r="A424" t="s">
        <v>2350</v>
      </c>
    </row>
    <row r="425" spans="1:1" x14ac:dyDescent="0.2">
      <c r="A425" t="s">
        <v>2564</v>
      </c>
    </row>
    <row r="426" spans="1:1" x14ac:dyDescent="0.2">
      <c r="A426" t="s">
        <v>2678</v>
      </c>
    </row>
    <row r="427" spans="1:1" x14ac:dyDescent="0.2">
      <c r="A427" t="s">
        <v>2143</v>
      </c>
    </row>
    <row r="428" spans="1:1" x14ac:dyDescent="0.2">
      <c r="A428" t="s">
        <v>2250</v>
      </c>
    </row>
    <row r="429" spans="1:1" x14ac:dyDescent="0.2">
      <c r="A429" t="s">
        <v>2464</v>
      </c>
    </row>
    <row r="430" spans="1:1" x14ac:dyDescent="0.2">
      <c r="A430" t="s">
        <v>2357</v>
      </c>
    </row>
    <row r="431" spans="1:1" x14ac:dyDescent="0.2">
      <c r="A431" t="s">
        <v>2571</v>
      </c>
    </row>
    <row r="432" spans="1:1" x14ac:dyDescent="0.2">
      <c r="A432" t="s">
        <v>2686</v>
      </c>
    </row>
    <row r="433" spans="1:1" x14ac:dyDescent="0.2">
      <c r="A433" t="s">
        <v>2151</v>
      </c>
    </row>
    <row r="434" spans="1:1" x14ac:dyDescent="0.2">
      <c r="A434" t="s">
        <v>2258</v>
      </c>
    </row>
    <row r="435" spans="1:1" x14ac:dyDescent="0.2">
      <c r="A435" t="s">
        <v>2472</v>
      </c>
    </row>
    <row r="436" spans="1:1" x14ac:dyDescent="0.2">
      <c r="A436" t="s">
        <v>2365</v>
      </c>
    </row>
    <row r="437" spans="1:1" x14ac:dyDescent="0.2">
      <c r="A437" t="s">
        <v>2579</v>
      </c>
    </row>
    <row r="438" spans="1:1" x14ac:dyDescent="0.2">
      <c r="A438" t="s">
        <v>2694</v>
      </c>
    </row>
    <row r="439" spans="1:1" x14ac:dyDescent="0.2">
      <c r="A439" t="s">
        <v>2159</v>
      </c>
    </row>
    <row r="440" spans="1:1" x14ac:dyDescent="0.2">
      <c r="A440" t="s">
        <v>2266</v>
      </c>
    </row>
    <row r="441" spans="1:1" x14ac:dyDescent="0.2">
      <c r="A441" t="s">
        <v>2480</v>
      </c>
    </row>
    <row r="442" spans="1:1" x14ac:dyDescent="0.2">
      <c r="A442" t="s">
        <v>2373</v>
      </c>
    </row>
    <row r="443" spans="1:1" x14ac:dyDescent="0.2">
      <c r="A443" t="s">
        <v>2587</v>
      </c>
    </row>
    <row r="444" spans="1:1" x14ac:dyDescent="0.2">
      <c r="A444" t="s">
        <v>2695</v>
      </c>
    </row>
    <row r="445" spans="1:1" x14ac:dyDescent="0.2">
      <c r="A445" t="s">
        <v>2160</v>
      </c>
    </row>
    <row r="446" spans="1:1" x14ac:dyDescent="0.2">
      <c r="A446" t="s">
        <v>2267</v>
      </c>
    </row>
    <row r="447" spans="1:1" x14ac:dyDescent="0.2">
      <c r="A447" t="s">
        <v>2481</v>
      </c>
    </row>
    <row r="448" spans="1:1" x14ac:dyDescent="0.2">
      <c r="A448" t="s">
        <v>2374</v>
      </c>
    </row>
    <row r="449" spans="1:1" x14ac:dyDescent="0.2">
      <c r="A449" t="s">
        <v>2588</v>
      </c>
    </row>
    <row r="450" spans="1:1" x14ac:dyDescent="0.2">
      <c r="A450" t="s">
        <v>2696</v>
      </c>
    </row>
    <row r="451" spans="1:1" x14ac:dyDescent="0.2">
      <c r="A451" t="s">
        <v>2161</v>
      </c>
    </row>
    <row r="452" spans="1:1" x14ac:dyDescent="0.2">
      <c r="A452" t="s">
        <v>2268</v>
      </c>
    </row>
    <row r="453" spans="1:1" x14ac:dyDescent="0.2">
      <c r="A453" t="s">
        <v>2482</v>
      </c>
    </row>
    <row r="454" spans="1:1" x14ac:dyDescent="0.2">
      <c r="A454" t="s">
        <v>2375</v>
      </c>
    </row>
    <row r="455" spans="1:1" x14ac:dyDescent="0.2">
      <c r="A455" t="s">
        <v>2589</v>
      </c>
    </row>
    <row r="456" spans="1:1" x14ac:dyDescent="0.2">
      <c r="A456" t="s">
        <v>2697</v>
      </c>
    </row>
    <row r="457" spans="1:1" x14ac:dyDescent="0.2">
      <c r="A457" t="s">
        <v>2162</v>
      </c>
    </row>
    <row r="458" spans="1:1" x14ac:dyDescent="0.2">
      <c r="A458" t="s">
        <v>2269</v>
      </c>
    </row>
    <row r="459" spans="1:1" x14ac:dyDescent="0.2">
      <c r="A459" t="s">
        <v>2483</v>
      </c>
    </row>
    <row r="460" spans="1:1" x14ac:dyDescent="0.2">
      <c r="A460" t="s">
        <v>2376</v>
      </c>
    </row>
    <row r="461" spans="1:1" x14ac:dyDescent="0.2">
      <c r="A461" t="s">
        <v>2590</v>
      </c>
    </row>
    <row r="462" spans="1:1" x14ac:dyDescent="0.2">
      <c r="A462" t="s">
        <v>2698</v>
      </c>
    </row>
    <row r="463" spans="1:1" x14ac:dyDescent="0.2">
      <c r="A463" t="s">
        <v>2163</v>
      </c>
    </row>
    <row r="464" spans="1:1" x14ac:dyDescent="0.2">
      <c r="A464" t="s">
        <v>2270</v>
      </c>
    </row>
    <row r="465" spans="1:1" x14ac:dyDescent="0.2">
      <c r="A465" t="s">
        <v>2484</v>
      </c>
    </row>
    <row r="466" spans="1:1" x14ac:dyDescent="0.2">
      <c r="A466" t="s">
        <v>2377</v>
      </c>
    </row>
    <row r="467" spans="1:1" x14ac:dyDescent="0.2">
      <c r="A467" t="s">
        <v>2591</v>
      </c>
    </row>
    <row r="468" spans="1:1" x14ac:dyDescent="0.2">
      <c r="A468" t="s">
        <v>2699</v>
      </c>
    </row>
    <row r="469" spans="1:1" x14ac:dyDescent="0.2">
      <c r="A469" t="s">
        <v>2164</v>
      </c>
    </row>
    <row r="470" spans="1:1" x14ac:dyDescent="0.2">
      <c r="A470" t="s">
        <v>2271</v>
      </c>
    </row>
    <row r="471" spans="1:1" x14ac:dyDescent="0.2">
      <c r="A471" t="s">
        <v>2485</v>
      </c>
    </row>
    <row r="472" spans="1:1" x14ac:dyDescent="0.2">
      <c r="A472" t="s">
        <v>2378</v>
      </c>
    </row>
    <row r="473" spans="1:1" x14ac:dyDescent="0.2">
      <c r="A473" t="s">
        <v>2592</v>
      </c>
    </row>
    <row r="474" spans="1:1" x14ac:dyDescent="0.2">
      <c r="A474" t="s">
        <v>2701</v>
      </c>
    </row>
    <row r="475" spans="1:1" x14ac:dyDescent="0.2">
      <c r="A475" t="s">
        <v>2166</v>
      </c>
    </row>
    <row r="476" spans="1:1" x14ac:dyDescent="0.2">
      <c r="A476" t="s">
        <v>2273</v>
      </c>
    </row>
    <row r="477" spans="1:1" x14ac:dyDescent="0.2">
      <c r="A477" t="s">
        <v>2487</v>
      </c>
    </row>
    <row r="478" spans="1:1" x14ac:dyDescent="0.2">
      <c r="A478" t="s">
        <v>2380</v>
      </c>
    </row>
    <row r="479" spans="1:1" x14ac:dyDescent="0.2">
      <c r="A479" t="s">
        <v>2594</v>
      </c>
    </row>
    <row r="480" spans="1:1" x14ac:dyDescent="0.2">
      <c r="A480" t="s">
        <v>2702</v>
      </c>
    </row>
    <row r="481" spans="1:1" x14ac:dyDescent="0.2">
      <c r="A481" t="s">
        <v>2167</v>
      </c>
    </row>
    <row r="482" spans="1:1" x14ac:dyDescent="0.2">
      <c r="A482" t="s">
        <v>2274</v>
      </c>
    </row>
    <row r="483" spans="1:1" x14ac:dyDescent="0.2">
      <c r="A483" t="s">
        <v>2488</v>
      </c>
    </row>
    <row r="484" spans="1:1" x14ac:dyDescent="0.2">
      <c r="A484" t="s">
        <v>2381</v>
      </c>
    </row>
    <row r="485" spans="1:1" x14ac:dyDescent="0.2">
      <c r="A485" t="s">
        <v>2595</v>
      </c>
    </row>
    <row r="486" spans="1:1" x14ac:dyDescent="0.2">
      <c r="A486" t="s">
        <v>2703</v>
      </c>
    </row>
    <row r="487" spans="1:1" x14ac:dyDescent="0.2">
      <c r="A487" t="s">
        <v>2168</v>
      </c>
    </row>
    <row r="488" spans="1:1" x14ac:dyDescent="0.2">
      <c r="A488" t="s">
        <v>2275</v>
      </c>
    </row>
    <row r="489" spans="1:1" x14ac:dyDescent="0.2">
      <c r="A489" t="s">
        <v>2489</v>
      </c>
    </row>
    <row r="490" spans="1:1" x14ac:dyDescent="0.2">
      <c r="A490" t="s">
        <v>2382</v>
      </c>
    </row>
    <row r="491" spans="1:1" x14ac:dyDescent="0.2">
      <c r="A491" t="s">
        <v>2596</v>
      </c>
    </row>
    <row r="492" spans="1:1" x14ac:dyDescent="0.2">
      <c r="A492" t="s">
        <v>2704</v>
      </c>
    </row>
    <row r="493" spans="1:1" x14ac:dyDescent="0.2">
      <c r="A493" t="s">
        <v>2169</v>
      </c>
    </row>
    <row r="494" spans="1:1" x14ac:dyDescent="0.2">
      <c r="A494" t="s">
        <v>2276</v>
      </c>
    </row>
    <row r="495" spans="1:1" x14ac:dyDescent="0.2">
      <c r="A495" t="s">
        <v>2490</v>
      </c>
    </row>
    <row r="496" spans="1:1" x14ac:dyDescent="0.2">
      <c r="A496" t="s">
        <v>2383</v>
      </c>
    </row>
    <row r="497" spans="1:1" x14ac:dyDescent="0.2">
      <c r="A497" t="s">
        <v>2597</v>
      </c>
    </row>
    <row r="498" spans="1:1" x14ac:dyDescent="0.2">
      <c r="A498" t="s">
        <v>2705</v>
      </c>
    </row>
    <row r="499" spans="1:1" x14ac:dyDescent="0.2">
      <c r="A499" t="s">
        <v>2170</v>
      </c>
    </row>
    <row r="500" spans="1:1" x14ac:dyDescent="0.2">
      <c r="A500" t="s">
        <v>2277</v>
      </c>
    </row>
    <row r="501" spans="1:1" x14ac:dyDescent="0.2">
      <c r="A501" t="s">
        <v>2491</v>
      </c>
    </row>
    <row r="502" spans="1:1" x14ac:dyDescent="0.2">
      <c r="A502" t="s">
        <v>2384</v>
      </c>
    </row>
    <row r="503" spans="1:1" x14ac:dyDescent="0.2">
      <c r="A503" t="s">
        <v>2598</v>
      </c>
    </row>
    <row r="504" spans="1:1" x14ac:dyDescent="0.2">
      <c r="A504" t="s">
        <v>2706</v>
      </c>
    </row>
    <row r="505" spans="1:1" x14ac:dyDescent="0.2">
      <c r="A505" t="s">
        <v>2171</v>
      </c>
    </row>
    <row r="506" spans="1:1" x14ac:dyDescent="0.2">
      <c r="A506" t="s">
        <v>2278</v>
      </c>
    </row>
    <row r="507" spans="1:1" x14ac:dyDescent="0.2">
      <c r="A507" t="s">
        <v>2492</v>
      </c>
    </row>
    <row r="508" spans="1:1" x14ac:dyDescent="0.2">
      <c r="A508" t="s">
        <v>2385</v>
      </c>
    </row>
    <row r="509" spans="1:1" x14ac:dyDescent="0.2">
      <c r="A509" t="s">
        <v>2599</v>
      </c>
    </row>
    <row r="510" spans="1:1" x14ac:dyDescent="0.2">
      <c r="A510" t="s">
        <v>2708</v>
      </c>
    </row>
    <row r="511" spans="1:1" x14ac:dyDescent="0.2">
      <c r="A511" t="s">
        <v>2173</v>
      </c>
    </row>
    <row r="512" spans="1:1" x14ac:dyDescent="0.2">
      <c r="A512" t="s">
        <v>2280</v>
      </c>
    </row>
    <row r="513" spans="1:1" x14ac:dyDescent="0.2">
      <c r="A513" t="s">
        <v>2494</v>
      </c>
    </row>
    <row r="514" spans="1:1" x14ac:dyDescent="0.2">
      <c r="A514" t="s">
        <v>2387</v>
      </c>
    </row>
    <row r="515" spans="1:1" x14ac:dyDescent="0.2">
      <c r="A515" t="s">
        <v>2601</v>
      </c>
    </row>
    <row r="516" spans="1:1" x14ac:dyDescent="0.2">
      <c r="A516" t="s">
        <v>2709</v>
      </c>
    </row>
    <row r="517" spans="1:1" x14ac:dyDescent="0.2">
      <c r="A517" t="s">
        <v>2174</v>
      </c>
    </row>
    <row r="518" spans="1:1" x14ac:dyDescent="0.2">
      <c r="A518" t="s">
        <v>2281</v>
      </c>
    </row>
    <row r="519" spans="1:1" x14ac:dyDescent="0.2">
      <c r="A519" t="s">
        <v>2495</v>
      </c>
    </row>
    <row r="520" spans="1:1" x14ac:dyDescent="0.2">
      <c r="A520" t="s">
        <v>2388</v>
      </c>
    </row>
    <row r="521" spans="1:1" x14ac:dyDescent="0.2">
      <c r="A521" t="s">
        <v>2602</v>
      </c>
    </row>
    <row r="522" spans="1:1" x14ac:dyDescent="0.2">
      <c r="A522" t="s">
        <v>2710</v>
      </c>
    </row>
    <row r="523" spans="1:1" x14ac:dyDescent="0.2">
      <c r="A523" t="s">
        <v>2175</v>
      </c>
    </row>
    <row r="524" spans="1:1" x14ac:dyDescent="0.2">
      <c r="A524" t="s">
        <v>2282</v>
      </c>
    </row>
    <row r="525" spans="1:1" x14ac:dyDescent="0.2">
      <c r="A525" t="s">
        <v>2496</v>
      </c>
    </row>
    <row r="526" spans="1:1" x14ac:dyDescent="0.2">
      <c r="A526" t="s">
        <v>2389</v>
      </c>
    </row>
    <row r="527" spans="1:1" x14ac:dyDescent="0.2">
      <c r="A527" t="s">
        <v>2603</v>
      </c>
    </row>
    <row r="528" spans="1:1" x14ac:dyDescent="0.2">
      <c r="A528" t="s">
        <v>2711</v>
      </c>
    </row>
    <row r="529" spans="1:1" x14ac:dyDescent="0.2">
      <c r="A529" t="s">
        <v>2176</v>
      </c>
    </row>
    <row r="530" spans="1:1" x14ac:dyDescent="0.2">
      <c r="A530" t="s">
        <v>2283</v>
      </c>
    </row>
    <row r="531" spans="1:1" x14ac:dyDescent="0.2">
      <c r="A531" t="s">
        <v>2497</v>
      </c>
    </row>
    <row r="532" spans="1:1" x14ac:dyDescent="0.2">
      <c r="A532" t="s">
        <v>2390</v>
      </c>
    </row>
    <row r="533" spans="1:1" x14ac:dyDescent="0.2">
      <c r="A533" t="s">
        <v>2604</v>
      </c>
    </row>
    <row r="534" spans="1:1" x14ac:dyDescent="0.2">
      <c r="A534" t="s">
        <v>2712</v>
      </c>
    </row>
    <row r="535" spans="1:1" x14ac:dyDescent="0.2">
      <c r="A535" t="s">
        <v>2177</v>
      </c>
    </row>
    <row r="536" spans="1:1" x14ac:dyDescent="0.2">
      <c r="A536" t="s">
        <v>2284</v>
      </c>
    </row>
    <row r="537" spans="1:1" x14ac:dyDescent="0.2">
      <c r="A537" t="s">
        <v>2498</v>
      </c>
    </row>
    <row r="538" spans="1:1" x14ac:dyDescent="0.2">
      <c r="A538" t="s">
        <v>2391</v>
      </c>
    </row>
    <row r="539" spans="1:1" x14ac:dyDescent="0.2">
      <c r="A539" t="s">
        <v>2605</v>
      </c>
    </row>
    <row r="540" spans="1:1" x14ac:dyDescent="0.2">
      <c r="A540" t="s">
        <v>2713</v>
      </c>
    </row>
    <row r="541" spans="1:1" x14ac:dyDescent="0.2">
      <c r="A541" t="s">
        <v>2178</v>
      </c>
    </row>
    <row r="542" spans="1:1" x14ac:dyDescent="0.2">
      <c r="A542" t="s">
        <v>2285</v>
      </c>
    </row>
    <row r="543" spans="1:1" x14ac:dyDescent="0.2">
      <c r="A543" t="s">
        <v>2499</v>
      </c>
    </row>
    <row r="544" spans="1:1" x14ac:dyDescent="0.2">
      <c r="A544" t="s">
        <v>2392</v>
      </c>
    </row>
    <row r="545" spans="1:1" x14ac:dyDescent="0.2">
      <c r="A545" t="s">
        <v>2606</v>
      </c>
    </row>
    <row r="546" spans="1:1" x14ac:dyDescent="0.2">
      <c r="A546" t="s">
        <v>2715</v>
      </c>
    </row>
    <row r="547" spans="1:1" x14ac:dyDescent="0.2">
      <c r="A547" t="s">
        <v>2180</v>
      </c>
    </row>
    <row r="548" spans="1:1" x14ac:dyDescent="0.2">
      <c r="A548" t="s">
        <v>2287</v>
      </c>
    </row>
    <row r="549" spans="1:1" x14ac:dyDescent="0.2">
      <c r="A549" t="s">
        <v>2501</v>
      </c>
    </row>
    <row r="550" spans="1:1" x14ac:dyDescent="0.2">
      <c r="A550" t="s">
        <v>2394</v>
      </c>
    </row>
    <row r="551" spans="1:1" x14ac:dyDescent="0.2">
      <c r="A551" t="s">
        <v>2608</v>
      </c>
    </row>
    <row r="552" spans="1:1" x14ac:dyDescent="0.2">
      <c r="A552" t="s">
        <v>2716</v>
      </c>
    </row>
    <row r="553" spans="1:1" x14ac:dyDescent="0.2">
      <c r="A553" t="s">
        <v>2181</v>
      </c>
    </row>
    <row r="554" spans="1:1" x14ac:dyDescent="0.2">
      <c r="A554" t="s">
        <v>2288</v>
      </c>
    </row>
    <row r="555" spans="1:1" x14ac:dyDescent="0.2">
      <c r="A555" t="s">
        <v>2502</v>
      </c>
    </row>
    <row r="556" spans="1:1" x14ac:dyDescent="0.2">
      <c r="A556" t="s">
        <v>2395</v>
      </c>
    </row>
    <row r="557" spans="1:1" x14ac:dyDescent="0.2">
      <c r="A557" t="s">
        <v>2609</v>
      </c>
    </row>
    <row r="558" spans="1:1" x14ac:dyDescent="0.2">
      <c r="A558" t="s">
        <v>2717</v>
      </c>
    </row>
    <row r="559" spans="1:1" x14ac:dyDescent="0.2">
      <c r="A559" t="s">
        <v>2182</v>
      </c>
    </row>
    <row r="560" spans="1:1" x14ac:dyDescent="0.2">
      <c r="A560" t="s">
        <v>2289</v>
      </c>
    </row>
    <row r="561" spans="1:1" x14ac:dyDescent="0.2">
      <c r="A561" t="s">
        <v>2503</v>
      </c>
    </row>
    <row r="562" spans="1:1" x14ac:dyDescent="0.2">
      <c r="A562" t="s">
        <v>2396</v>
      </c>
    </row>
    <row r="563" spans="1:1" x14ac:dyDescent="0.2">
      <c r="A563" t="s">
        <v>2610</v>
      </c>
    </row>
    <row r="564" spans="1:1" x14ac:dyDescent="0.2">
      <c r="A564" t="s">
        <v>2718</v>
      </c>
    </row>
    <row r="565" spans="1:1" x14ac:dyDescent="0.2">
      <c r="A565" t="s">
        <v>2183</v>
      </c>
    </row>
    <row r="566" spans="1:1" x14ac:dyDescent="0.2">
      <c r="A566" t="s">
        <v>2290</v>
      </c>
    </row>
    <row r="567" spans="1:1" x14ac:dyDescent="0.2">
      <c r="A567" t="s">
        <v>2504</v>
      </c>
    </row>
    <row r="568" spans="1:1" x14ac:dyDescent="0.2">
      <c r="A568" t="s">
        <v>2397</v>
      </c>
    </row>
    <row r="569" spans="1:1" x14ac:dyDescent="0.2">
      <c r="A569" t="s">
        <v>2611</v>
      </c>
    </row>
    <row r="570" spans="1:1" x14ac:dyDescent="0.2">
      <c r="A570" t="s">
        <v>2719</v>
      </c>
    </row>
    <row r="571" spans="1:1" x14ac:dyDescent="0.2">
      <c r="A571" t="s">
        <v>2184</v>
      </c>
    </row>
    <row r="572" spans="1:1" x14ac:dyDescent="0.2">
      <c r="A572" t="s">
        <v>2291</v>
      </c>
    </row>
    <row r="573" spans="1:1" x14ac:dyDescent="0.2">
      <c r="A573" t="s">
        <v>2505</v>
      </c>
    </row>
    <row r="574" spans="1:1" x14ac:dyDescent="0.2">
      <c r="A574" t="s">
        <v>2398</v>
      </c>
    </row>
    <row r="575" spans="1:1" x14ac:dyDescent="0.2">
      <c r="A575" t="s">
        <v>2612</v>
      </c>
    </row>
    <row r="576" spans="1:1" x14ac:dyDescent="0.2">
      <c r="A576" t="s">
        <v>2720</v>
      </c>
    </row>
    <row r="577" spans="1:1" x14ac:dyDescent="0.2">
      <c r="A577" t="s">
        <v>2185</v>
      </c>
    </row>
    <row r="578" spans="1:1" x14ac:dyDescent="0.2">
      <c r="A578" t="s">
        <v>2292</v>
      </c>
    </row>
    <row r="579" spans="1:1" x14ac:dyDescent="0.2">
      <c r="A579" t="s">
        <v>2506</v>
      </c>
    </row>
    <row r="580" spans="1:1" x14ac:dyDescent="0.2">
      <c r="A580" t="s">
        <v>2399</v>
      </c>
    </row>
    <row r="581" spans="1:1" x14ac:dyDescent="0.2">
      <c r="A581" t="s">
        <v>2613</v>
      </c>
    </row>
    <row r="582" spans="1:1" x14ac:dyDescent="0.2">
      <c r="A582" t="s">
        <v>2722</v>
      </c>
    </row>
    <row r="583" spans="1:1" x14ac:dyDescent="0.2">
      <c r="A583" t="s">
        <v>2187</v>
      </c>
    </row>
    <row r="584" spans="1:1" x14ac:dyDescent="0.2">
      <c r="A584" t="s">
        <v>2294</v>
      </c>
    </row>
    <row r="585" spans="1:1" x14ac:dyDescent="0.2">
      <c r="A585" t="s">
        <v>2508</v>
      </c>
    </row>
    <row r="586" spans="1:1" x14ac:dyDescent="0.2">
      <c r="A586" t="s">
        <v>2401</v>
      </c>
    </row>
    <row r="587" spans="1:1" x14ac:dyDescent="0.2">
      <c r="A587" t="s">
        <v>2615</v>
      </c>
    </row>
    <row r="588" spans="1:1" x14ac:dyDescent="0.2">
      <c r="A588" t="s">
        <v>2723</v>
      </c>
    </row>
    <row r="589" spans="1:1" x14ac:dyDescent="0.2">
      <c r="A589" t="s">
        <v>2188</v>
      </c>
    </row>
    <row r="590" spans="1:1" x14ac:dyDescent="0.2">
      <c r="A590" t="s">
        <v>2295</v>
      </c>
    </row>
    <row r="591" spans="1:1" x14ac:dyDescent="0.2">
      <c r="A591" t="s">
        <v>2509</v>
      </c>
    </row>
    <row r="592" spans="1:1" x14ac:dyDescent="0.2">
      <c r="A592" t="s">
        <v>2402</v>
      </c>
    </row>
    <row r="593" spans="1:1" x14ac:dyDescent="0.2">
      <c r="A593" t="s">
        <v>2616</v>
      </c>
    </row>
    <row r="594" spans="1:1" x14ac:dyDescent="0.2">
      <c r="A594" t="s">
        <v>2724</v>
      </c>
    </row>
    <row r="595" spans="1:1" x14ac:dyDescent="0.2">
      <c r="A595" t="s">
        <v>2189</v>
      </c>
    </row>
    <row r="596" spans="1:1" x14ac:dyDescent="0.2">
      <c r="A596" t="s">
        <v>2296</v>
      </c>
    </row>
    <row r="597" spans="1:1" x14ac:dyDescent="0.2">
      <c r="A597" t="s">
        <v>2510</v>
      </c>
    </row>
    <row r="598" spans="1:1" x14ac:dyDescent="0.2">
      <c r="A598" t="s">
        <v>2403</v>
      </c>
    </row>
    <row r="599" spans="1:1" x14ac:dyDescent="0.2">
      <c r="A599" t="s">
        <v>2617</v>
      </c>
    </row>
    <row r="600" spans="1:1" x14ac:dyDescent="0.2">
      <c r="A600" t="s">
        <v>2725</v>
      </c>
    </row>
    <row r="601" spans="1:1" x14ac:dyDescent="0.2">
      <c r="A601" t="s">
        <v>2190</v>
      </c>
    </row>
    <row r="602" spans="1:1" x14ac:dyDescent="0.2">
      <c r="A602" t="s">
        <v>2297</v>
      </c>
    </row>
    <row r="603" spans="1:1" x14ac:dyDescent="0.2">
      <c r="A603" t="s">
        <v>2511</v>
      </c>
    </row>
    <row r="604" spans="1:1" x14ac:dyDescent="0.2">
      <c r="A604" t="s">
        <v>2404</v>
      </c>
    </row>
    <row r="605" spans="1:1" x14ac:dyDescent="0.2">
      <c r="A605" t="s">
        <v>2618</v>
      </c>
    </row>
    <row r="606" spans="1:1" x14ac:dyDescent="0.2">
      <c r="A606" t="s">
        <v>2726</v>
      </c>
    </row>
    <row r="607" spans="1:1" x14ac:dyDescent="0.2">
      <c r="A607" t="s">
        <v>2191</v>
      </c>
    </row>
    <row r="608" spans="1:1" x14ac:dyDescent="0.2">
      <c r="A608" t="s">
        <v>2298</v>
      </c>
    </row>
    <row r="609" spans="1:1" x14ac:dyDescent="0.2">
      <c r="A609" t="s">
        <v>2512</v>
      </c>
    </row>
    <row r="610" spans="1:1" x14ac:dyDescent="0.2">
      <c r="A610" t="s">
        <v>2405</v>
      </c>
    </row>
    <row r="611" spans="1:1" x14ac:dyDescent="0.2">
      <c r="A611" t="s">
        <v>2619</v>
      </c>
    </row>
    <row r="612" spans="1:1" x14ac:dyDescent="0.2">
      <c r="A612" t="s">
        <v>2727</v>
      </c>
    </row>
    <row r="613" spans="1:1" x14ac:dyDescent="0.2">
      <c r="A613" t="s">
        <v>2192</v>
      </c>
    </row>
    <row r="614" spans="1:1" x14ac:dyDescent="0.2">
      <c r="A614" t="s">
        <v>2299</v>
      </c>
    </row>
    <row r="615" spans="1:1" x14ac:dyDescent="0.2">
      <c r="A615" t="s">
        <v>2513</v>
      </c>
    </row>
    <row r="616" spans="1:1" x14ac:dyDescent="0.2">
      <c r="A616" t="s">
        <v>2406</v>
      </c>
    </row>
    <row r="617" spans="1:1" x14ac:dyDescent="0.2">
      <c r="A617" t="s">
        <v>2620</v>
      </c>
    </row>
    <row r="618" spans="1:1" x14ac:dyDescent="0.2">
      <c r="A618" t="s">
        <v>2729</v>
      </c>
    </row>
    <row r="619" spans="1:1" x14ac:dyDescent="0.2">
      <c r="A619" t="s">
        <v>2194</v>
      </c>
    </row>
    <row r="620" spans="1:1" x14ac:dyDescent="0.2">
      <c r="A620" t="s">
        <v>2301</v>
      </c>
    </row>
    <row r="621" spans="1:1" x14ac:dyDescent="0.2">
      <c r="A621" t="s">
        <v>2515</v>
      </c>
    </row>
    <row r="622" spans="1:1" x14ac:dyDescent="0.2">
      <c r="A622" t="s">
        <v>2408</v>
      </c>
    </row>
    <row r="623" spans="1:1" x14ac:dyDescent="0.2">
      <c r="A623" t="s">
        <v>2622</v>
      </c>
    </row>
    <row r="624" spans="1:1" x14ac:dyDescent="0.2">
      <c r="A624" t="s">
        <v>2730</v>
      </c>
    </row>
    <row r="625" spans="1:1" x14ac:dyDescent="0.2">
      <c r="A625" t="s">
        <v>2195</v>
      </c>
    </row>
    <row r="626" spans="1:1" x14ac:dyDescent="0.2">
      <c r="A626" t="s">
        <v>2302</v>
      </c>
    </row>
    <row r="627" spans="1:1" x14ac:dyDescent="0.2">
      <c r="A627" t="s">
        <v>2516</v>
      </c>
    </row>
    <row r="628" spans="1:1" x14ac:dyDescent="0.2">
      <c r="A628" t="s">
        <v>2409</v>
      </c>
    </row>
    <row r="629" spans="1:1" x14ac:dyDescent="0.2">
      <c r="A629" t="s">
        <v>2623</v>
      </c>
    </row>
    <row r="630" spans="1:1" x14ac:dyDescent="0.2">
      <c r="A630" t="s">
        <v>2731</v>
      </c>
    </row>
    <row r="631" spans="1:1" x14ac:dyDescent="0.2">
      <c r="A631" t="s">
        <v>2196</v>
      </c>
    </row>
    <row r="632" spans="1:1" x14ac:dyDescent="0.2">
      <c r="A632" t="s">
        <v>2303</v>
      </c>
    </row>
    <row r="633" spans="1:1" x14ac:dyDescent="0.2">
      <c r="A633" t="s">
        <v>2517</v>
      </c>
    </row>
    <row r="634" spans="1:1" x14ac:dyDescent="0.2">
      <c r="A634" t="s">
        <v>2410</v>
      </c>
    </row>
    <row r="635" spans="1:1" x14ac:dyDescent="0.2">
      <c r="A635" t="s">
        <v>2624</v>
      </c>
    </row>
    <row r="636" spans="1:1" x14ac:dyDescent="0.2">
      <c r="A636" t="s">
        <v>2732</v>
      </c>
    </row>
    <row r="637" spans="1:1" x14ac:dyDescent="0.2">
      <c r="A637" t="s">
        <v>2197</v>
      </c>
    </row>
    <row r="638" spans="1:1" x14ac:dyDescent="0.2">
      <c r="A638" t="s">
        <v>2304</v>
      </c>
    </row>
    <row r="639" spans="1:1" x14ac:dyDescent="0.2">
      <c r="A639" t="s">
        <v>2518</v>
      </c>
    </row>
    <row r="640" spans="1:1" x14ac:dyDescent="0.2">
      <c r="A640" t="s">
        <v>2411</v>
      </c>
    </row>
    <row r="641" spans="1:1" x14ac:dyDescent="0.2">
      <c r="A641" t="s">
        <v>2625</v>
      </c>
    </row>
    <row r="642" spans="1:1" x14ac:dyDescent="0.2">
      <c r="A642" t="s">
        <v>2733</v>
      </c>
    </row>
    <row r="643" spans="1:1" x14ac:dyDescent="0.2">
      <c r="A643" t="s">
        <v>2198</v>
      </c>
    </row>
    <row r="644" spans="1:1" x14ac:dyDescent="0.2">
      <c r="A644" t="s">
        <v>2305</v>
      </c>
    </row>
    <row r="645" spans="1:1" x14ac:dyDescent="0.2">
      <c r="A645" t="s">
        <v>2519</v>
      </c>
    </row>
    <row r="646" spans="1:1" x14ac:dyDescent="0.2">
      <c r="A646" t="s">
        <v>2412</v>
      </c>
    </row>
    <row r="647" spans="1:1" x14ac:dyDescent="0.2">
      <c r="A647" t="s">
        <v>2626</v>
      </c>
    </row>
    <row r="648" spans="1:1" x14ac:dyDescent="0.2">
      <c r="A648" t="s">
        <v>2734</v>
      </c>
    </row>
    <row r="649" spans="1:1" x14ac:dyDescent="0.2">
      <c r="A649" t="s">
        <v>2199</v>
      </c>
    </row>
    <row r="650" spans="1:1" x14ac:dyDescent="0.2">
      <c r="A650" t="s">
        <v>2306</v>
      </c>
    </row>
    <row r="651" spans="1:1" x14ac:dyDescent="0.2">
      <c r="A651" t="s">
        <v>2520</v>
      </c>
    </row>
    <row r="652" spans="1:1" x14ac:dyDescent="0.2">
      <c r="A652" t="s">
        <v>2413</v>
      </c>
    </row>
    <row r="653" spans="1:1" x14ac:dyDescent="0.2">
      <c r="A653" t="s">
        <v>2627</v>
      </c>
    </row>
    <row r="654" spans="1:1" x14ac:dyDescent="0.2">
      <c r="A654" t="s">
        <v>2735</v>
      </c>
    </row>
    <row r="655" spans="1:1" x14ac:dyDescent="0.2">
      <c r="A655" t="s">
        <v>2200</v>
      </c>
    </row>
    <row r="656" spans="1:1" x14ac:dyDescent="0.2">
      <c r="A656" t="s">
        <v>2307</v>
      </c>
    </row>
    <row r="657" spans="1:1" x14ac:dyDescent="0.2">
      <c r="A657" t="s">
        <v>2521</v>
      </c>
    </row>
    <row r="658" spans="1:1" x14ac:dyDescent="0.2">
      <c r="A658" t="s">
        <v>2414</v>
      </c>
    </row>
    <row r="659" spans="1:1" x14ac:dyDescent="0.2">
      <c r="A659" t="s">
        <v>2628</v>
      </c>
    </row>
    <row r="660" spans="1:1" x14ac:dyDescent="0.2">
      <c r="A660" t="s">
        <v>2700</v>
      </c>
    </row>
    <row r="661" spans="1:1" x14ac:dyDescent="0.2">
      <c r="A661" t="s">
        <v>2165</v>
      </c>
    </row>
    <row r="662" spans="1:1" x14ac:dyDescent="0.2">
      <c r="A662" t="s">
        <v>2272</v>
      </c>
    </row>
    <row r="663" spans="1:1" x14ac:dyDescent="0.2">
      <c r="A663" t="s">
        <v>2486</v>
      </c>
    </row>
    <row r="664" spans="1:1" x14ac:dyDescent="0.2">
      <c r="A664" t="s">
        <v>2379</v>
      </c>
    </row>
    <row r="665" spans="1:1" x14ac:dyDescent="0.2">
      <c r="A665" t="s">
        <v>2593</v>
      </c>
    </row>
    <row r="666" spans="1:1" x14ac:dyDescent="0.2">
      <c r="A666" t="s">
        <v>2707</v>
      </c>
    </row>
    <row r="667" spans="1:1" x14ac:dyDescent="0.2">
      <c r="A667" t="s">
        <v>2172</v>
      </c>
    </row>
    <row r="668" spans="1:1" x14ac:dyDescent="0.2">
      <c r="A668" t="s">
        <v>2279</v>
      </c>
    </row>
    <row r="669" spans="1:1" x14ac:dyDescent="0.2">
      <c r="A669" t="s">
        <v>2493</v>
      </c>
    </row>
    <row r="670" spans="1:1" x14ac:dyDescent="0.2">
      <c r="A670" t="s">
        <v>2386</v>
      </c>
    </row>
    <row r="671" spans="1:1" x14ac:dyDescent="0.2">
      <c r="A671" t="s">
        <v>2600</v>
      </c>
    </row>
    <row r="672" spans="1:1" x14ac:dyDescent="0.2">
      <c r="A672" t="s">
        <v>2714</v>
      </c>
    </row>
    <row r="673" spans="1:1" x14ac:dyDescent="0.2">
      <c r="A673" t="s">
        <v>2179</v>
      </c>
    </row>
    <row r="674" spans="1:1" x14ac:dyDescent="0.2">
      <c r="A674" t="s">
        <v>2286</v>
      </c>
    </row>
    <row r="675" spans="1:1" x14ac:dyDescent="0.2">
      <c r="A675" t="s">
        <v>2500</v>
      </c>
    </row>
    <row r="676" spans="1:1" x14ac:dyDescent="0.2">
      <c r="A676" t="s">
        <v>2393</v>
      </c>
    </row>
    <row r="677" spans="1:1" x14ac:dyDescent="0.2">
      <c r="A677" t="s">
        <v>2607</v>
      </c>
    </row>
    <row r="678" spans="1:1" x14ac:dyDescent="0.2">
      <c r="A678" t="s">
        <v>2721</v>
      </c>
    </row>
    <row r="679" spans="1:1" x14ac:dyDescent="0.2">
      <c r="A679" t="s">
        <v>2186</v>
      </c>
    </row>
    <row r="680" spans="1:1" x14ac:dyDescent="0.2">
      <c r="A680" t="s">
        <v>2293</v>
      </c>
    </row>
    <row r="681" spans="1:1" x14ac:dyDescent="0.2">
      <c r="A681" t="s">
        <v>2507</v>
      </c>
    </row>
    <row r="682" spans="1:1" x14ac:dyDescent="0.2">
      <c r="A682" t="s">
        <v>2400</v>
      </c>
    </row>
    <row r="683" spans="1:1" x14ac:dyDescent="0.2">
      <c r="A683" t="s">
        <v>2614</v>
      </c>
    </row>
    <row r="684" spans="1:1" x14ac:dyDescent="0.2">
      <c r="A684" t="s">
        <v>2728</v>
      </c>
    </row>
    <row r="685" spans="1:1" x14ac:dyDescent="0.2">
      <c r="A685" t="s">
        <v>2193</v>
      </c>
    </row>
    <row r="686" spans="1:1" x14ac:dyDescent="0.2">
      <c r="A686" t="s">
        <v>2300</v>
      </c>
    </row>
    <row r="687" spans="1:1" x14ac:dyDescent="0.2">
      <c r="A687" t="s">
        <v>2514</v>
      </c>
    </row>
    <row r="688" spans="1:1" x14ac:dyDescent="0.2">
      <c r="A688" t="s">
        <v>2407</v>
      </c>
    </row>
    <row r="689" spans="1:1" x14ac:dyDescent="0.2">
      <c r="A689" t="s">
        <v>2621</v>
      </c>
    </row>
    <row r="690" spans="1:1" x14ac:dyDescent="0.2">
      <c r="A690" t="s">
        <v>29</v>
      </c>
    </row>
    <row r="691" spans="1:1" x14ac:dyDescent="0.2">
      <c r="A691" t="s">
        <v>30</v>
      </c>
    </row>
    <row r="692" spans="1:1" x14ac:dyDescent="0.2">
      <c r="A692" t="s">
        <v>35</v>
      </c>
    </row>
    <row r="693" spans="1:1" x14ac:dyDescent="0.2">
      <c r="A693" t="s">
        <v>36</v>
      </c>
    </row>
    <row r="694" spans="1:1" x14ac:dyDescent="0.2">
      <c r="A694" t="s">
        <v>37</v>
      </c>
    </row>
    <row r="695" spans="1:1" x14ac:dyDescent="0.2">
      <c r="A695" t="s">
        <v>38</v>
      </c>
    </row>
    <row r="696" spans="1:1" x14ac:dyDescent="0.2">
      <c r="A696" t="s">
        <v>39</v>
      </c>
    </row>
    <row r="697" spans="1:1" x14ac:dyDescent="0.2">
      <c r="A697" t="s">
        <v>40</v>
      </c>
    </row>
    <row r="698" spans="1:1" x14ac:dyDescent="0.2">
      <c r="A698" t="s">
        <v>42</v>
      </c>
    </row>
    <row r="699" spans="1:1" x14ac:dyDescent="0.2">
      <c r="A699" t="s">
        <v>43</v>
      </c>
    </row>
    <row r="700" spans="1:1" x14ac:dyDescent="0.2">
      <c r="A700" t="s">
        <v>44</v>
      </c>
    </row>
    <row r="701" spans="1:1" x14ac:dyDescent="0.2">
      <c r="A701" t="s">
        <v>45</v>
      </c>
    </row>
    <row r="702" spans="1:1" x14ac:dyDescent="0.2">
      <c r="A702" t="s">
        <v>46</v>
      </c>
    </row>
    <row r="703" spans="1:1" x14ac:dyDescent="0.2">
      <c r="A703" t="s">
        <v>47</v>
      </c>
    </row>
    <row r="704" spans="1:1" x14ac:dyDescent="0.2">
      <c r="A704" t="s">
        <v>49</v>
      </c>
    </row>
    <row r="705" spans="1:1" x14ac:dyDescent="0.2">
      <c r="A705" t="s">
        <v>50</v>
      </c>
    </row>
    <row r="706" spans="1:1" x14ac:dyDescent="0.2">
      <c r="A706" t="s">
        <v>51</v>
      </c>
    </row>
    <row r="707" spans="1:1" x14ac:dyDescent="0.2">
      <c r="A707" t="s">
        <v>52</v>
      </c>
    </row>
    <row r="708" spans="1:1" x14ac:dyDescent="0.2">
      <c r="A708" t="s">
        <v>53</v>
      </c>
    </row>
    <row r="709" spans="1:1" x14ac:dyDescent="0.2">
      <c r="A709" t="s">
        <v>54</v>
      </c>
    </row>
    <row r="710" spans="1:1" x14ac:dyDescent="0.2">
      <c r="A710" t="s">
        <v>56</v>
      </c>
    </row>
    <row r="711" spans="1:1" x14ac:dyDescent="0.2">
      <c r="A711" t="s">
        <v>57</v>
      </c>
    </row>
    <row r="712" spans="1:1" x14ac:dyDescent="0.2">
      <c r="A712" t="s">
        <v>58</v>
      </c>
    </row>
    <row r="713" spans="1:1" x14ac:dyDescent="0.2">
      <c r="A713" t="s">
        <v>59</v>
      </c>
    </row>
    <row r="714" spans="1:1" x14ac:dyDescent="0.2">
      <c r="A714" t="s">
        <v>60</v>
      </c>
    </row>
    <row r="715" spans="1:1" x14ac:dyDescent="0.2">
      <c r="A715" t="s">
        <v>61</v>
      </c>
    </row>
    <row r="716" spans="1:1" x14ac:dyDescent="0.2">
      <c r="A716" t="s">
        <v>63</v>
      </c>
    </row>
    <row r="717" spans="1:1" x14ac:dyDescent="0.2">
      <c r="A717" t="s">
        <v>64</v>
      </c>
    </row>
    <row r="718" spans="1:1" x14ac:dyDescent="0.2">
      <c r="A718" t="s">
        <v>65</v>
      </c>
    </row>
    <row r="719" spans="1:1" x14ac:dyDescent="0.2">
      <c r="A719" t="s">
        <v>66</v>
      </c>
    </row>
    <row r="720" spans="1:1" x14ac:dyDescent="0.2">
      <c r="A720" t="s">
        <v>67</v>
      </c>
    </row>
    <row r="721" spans="1:1" x14ac:dyDescent="0.2">
      <c r="A721" t="s">
        <v>68</v>
      </c>
    </row>
    <row r="722" spans="1:1" x14ac:dyDescent="0.2">
      <c r="A722" t="s">
        <v>70</v>
      </c>
    </row>
    <row r="723" spans="1:1" x14ac:dyDescent="0.2">
      <c r="A723" t="s">
        <v>71</v>
      </c>
    </row>
    <row r="724" spans="1:1" x14ac:dyDescent="0.2">
      <c r="A724" t="s">
        <v>72</v>
      </c>
    </row>
    <row r="725" spans="1:1" x14ac:dyDescent="0.2">
      <c r="A725" t="s">
        <v>73</v>
      </c>
    </row>
    <row r="726" spans="1:1" x14ac:dyDescent="0.2">
      <c r="A726" t="s">
        <v>74</v>
      </c>
    </row>
    <row r="727" spans="1:1" x14ac:dyDescent="0.2">
      <c r="A727" t="s">
        <v>75</v>
      </c>
    </row>
    <row r="728" spans="1:1" x14ac:dyDescent="0.2">
      <c r="A728" t="s">
        <v>32</v>
      </c>
    </row>
    <row r="729" spans="1:1" x14ac:dyDescent="0.2">
      <c r="A729" t="s">
        <v>31</v>
      </c>
    </row>
    <row r="730" spans="1:1" x14ac:dyDescent="0.2">
      <c r="A730" t="s">
        <v>34</v>
      </c>
    </row>
    <row r="731" spans="1:1" x14ac:dyDescent="0.2">
      <c r="A731" t="s">
        <v>33</v>
      </c>
    </row>
    <row r="732" spans="1:1" x14ac:dyDescent="0.2">
      <c r="A732" t="s">
        <v>77</v>
      </c>
    </row>
    <row r="733" spans="1:1" x14ac:dyDescent="0.2">
      <c r="A733" t="s">
        <v>78</v>
      </c>
    </row>
    <row r="734" spans="1:1" x14ac:dyDescent="0.2">
      <c r="A734" t="s">
        <v>79</v>
      </c>
    </row>
    <row r="735" spans="1:1" x14ac:dyDescent="0.2">
      <c r="A735" t="s">
        <v>80</v>
      </c>
    </row>
    <row r="736" spans="1:1" x14ac:dyDescent="0.2">
      <c r="A736" t="s">
        <v>81</v>
      </c>
    </row>
    <row r="737" spans="1:1" x14ac:dyDescent="0.2">
      <c r="A737" t="s">
        <v>82</v>
      </c>
    </row>
    <row r="738" spans="1:1" x14ac:dyDescent="0.2">
      <c r="A738" t="s">
        <v>83</v>
      </c>
    </row>
    <row r="739" spans="1:1" x14ac:dyDescent="0.2">
      <c r="A739" t="s">
        <v>41</v>
      </c>
    </row>
    <row r="740" spans="1:1" x14ac:dyDescent="0.2">
      <c r="A740" t="s">
        <v>48</v>
      </c>
    </row>
    <row r="741" spans="1:1" x14ac:dyDescent="0.2">
      <c r="A741" t="s">
        <v>55</v>
      </c>
    </row>
    <row r="742" spans="1:1" x14ac:dyDescent="0.2">
      <c r="A742" t="s">
        <v>62</v>
      </c>
    </row>
    <row r="743" spans="1:1" x14ac:dyDescent="0.2">
      <c r="A743" t="s">
        <v>69</v>
      </c>
    </row>
    <row r="744" spans="1:1" x14ac:dyDescent="0.2">
      <c r="A744" t="s">
        <v>76</v>
      </c>
    </row>
    <row r="745" spans="1:1" x14ac:dyDescent="0.2">
      <c r="A745" t="s">
        <v>84</v>
      </c>
    </row>
    <row r="746" spans="1:1" x14ac:dyDescent="0.2">
      <c r="A746" t="s">
        <v>85</v>
      </c>
    </row>
    <row r="747" spans="1:1" x14ac:dyDescent="0.2">
      <c r="A747" t="s">
        <v>86</v>
      </c>
    </row>
    <row r="748" spans="1:1" x14ac:dyDescent="0.2">
      <c r="A748" t="s">
        <v>87</v>
      </c>
    </row>
    <row r="749" spans="1:1" x14ac:dyDescent="0.2">
      <c r="A749" t="s">
        <v>88</v>
      </c>
    </row>
    <row r="750" spans="1:1" x14ac:dyDescent="0.2">
      <c r="A750" t="s">
        <v>89</v>
      </c>
    </row>
    <row r="751" spans="1:1" x14ac:dyDescent="0.2">
      <c r="A751" t="s">
        <v>91</v>
      </c>
    </row>
    <row r="752" spans="1:1" x14ac:dyDescent="0.2">
      <c r="A752" t="s">
        <v>92</v>
      </c>
    </row>
    <row r="753" spans="1:1" x14ac:dyDescent="0.2">
      <c r="A753" t="s">
        <v>93</v>
      </c>
    </row>
    <row r="754" spans="1:1" x14ac:dyDescent="0.2">
      <c r="A754" t="s">
        <v>94</v>
      </c>
    </row>
    <row r="755" spans="1:1" x14ac:dyDescent="0.2">
      <c r="A755" t="s">
        <v>95</v>
      </c>
    </row>
    <row r="756" spans="1:1" x14ac:dyDescent="0.2">
      <c r="A756" t="s">
        <v>96</v>
      </c>
    </row>
    <row r="757" spans="1:1" x14ac:dyDescent="0.2">
      <c r="A757" t="s">
        <v>98</v>
      </c>
    </row>
    <row r="758" spans="1:1" x14ac:dyDescent="0.2">
      <c r="A758" t="s">
        <v>99</v>
      </c>
    </row>
    <row r="759" spans="1:1" x14ac:dyDescent="0.2">
      <c r="A759" t="s">
        <v>100</v>
      </c>
    </row>
    <row r="760" spans="1:1" x14ac:dyDescent="0.2">
      <c r="A760" t="s">
        <v>101</v>
      </c>
    </row>
    <row r="761" spans="1:1" x14ac:dyDescent="0.2">
      <c r="A761" t="s">
        <v>102</v>
      </c>
    </row>
    <row r="762" spans="1:1" x14ac:dyDescent="0.2">
      <c r="A762" t="s">
        <v>103</v>
      </c>
    </row>
    <row r="763" spans="1:1" x14ac:dyDescent="0.2">
      <c r="A763" t="s">
        <v>105</v>
      </c>
    </row>
    <row r="764" spans="1:1" x14ac:dyDescent="0.2">
      <c r="A764" t="s">
        <v>106</v>
      </c>
    </row>
    <row r="765" spans="1:1" x14ac:dyDescent="0.2">
      <c r="A765" t="s">
        <v>107</v>
      </c>
    </row>
    <row r="766" spans="1:1" x14ac:dyDescent="0.2">
      <c r="A766" t="s">
        <v>108</v>
      </c>
    </row>
    <row r="767" spans="1:1" x14ac:dyDescent="0.2">
      <c r="A767" t="s">
        <v>109</v>
      </c>
    </row>
    <row r="768" spans="1:1" x14ac:dyDescent="0.2">
      <c r="A768" t="s">
        <v>110</v>
      </c>
    </row>
    <row r="769" spans="1:1" x14ac:dyDescent="0.2">
      <c r="A769" t="s">
        <v>112</v>
      </c>
    </row>
    <row r="770" spans="1:1" x14ac:dyDescent="0.2">
      <c r="A770" t="s">
        <v>113</v>
      </c>
    </row>
    <row r="771" spans="1:1" x14ac:dyDescent="0.2">
      <c r="A771" t="s">
        <v>114</v>
      </c>
    </row>
    <row r="772" spans="1:1" x14ac:dyDescent="0.2">
      <c r="A772" t="s">
        <v>115</v>
      </c>
    </row>
    <row r="773" spans="1:1" x14ac:dyDescent="0.2">
      <c r="A773" t="s">
        <v>116</v>
      </c>
    </row>
    <row r="774" spans="1:1" x14ac:dyDescent="0.2">
      <c r="A774" t="s">
        <v>117</v>
      </c>
    </row>
    <row r="775" spans="1:1" x14ac:dyDescent="0.2">
      <c r="A775" t="s">
        <v>119</v>
      </c>
    </row>
    <row r="776" spans="1:1" x14ac:dyDescent="0.2">
      <c r="A776" t="s">
        <v>120</v>
      </c>
    </row>
    <row r="777" spans="1:1" x14ac:dyDescent="0.2">
      <c r="A777" t="s">
        <v>121</v>
      </c>
    </row>
    <row r="778" spans="1:1" x14ac:dyDescent="0.2">
      <c r="A778" t="s">
        <v>122</v>
      </c>
    </row>
    <row r="779" spans="1:1" x14ac:dyDescent="0.2">
      <c r="A779" t="s">
        <v>123</v>
      </c>
    </row>
    <row r="780" spans="1:1" x14ac:dyDescent="0.2">
      <c r="A780" t="s">
        <v>124</v>
      </c>
    </row>
    <row r="781" spans="1:1" x14ac:dyDescent="0.2">
      <c r="A781" t="s">
        <v>126</v>
      </c>
    </row>
    <row r="782" spans="1:1" x14ac:dyDescent="0.2">
      <c r="A782" t="s">
        <v>127</v>
      </c>
    </row>
    <row r="783" spans="1:1" x14ac:dyDescent="0.2">
      <c r="A783" t="s">
        <v>128</v>
      </c>
    </row>
    <row r="784" spans="1:1" x14ac:dyDescent="0.2">
      <c r="A784" t="s">
        <v>129</v>
      </c>
    </row>
    <row r="785" spans="1:1" x14ac:dyDescent="0.2">
      <c r="A785" t="s">
        <v>130</v>
      </c>
    </row>
    <row r="786" spans="1:1" x14ac:dyDescent="0.2">
      <c r="A786" t="s">
        <v>131</v>
      </c>
    </row>
    <row r="787" spans="1:1" x14ac:dyDescent="0.2">
      <c r="A787" t="s">
        <v>132</v>
      </c>
    </row>
    <row r="788" spans="1:1" x14ac:dyDescent="0.2">
      <c r="A788" t="s">
        <v>90</v>
      </c>
    </row>
    <row r="789" spans="1:1" x14ac:dyDescent="0.2">
      <c r="A789" t="s">
        <v>97</v>
      </c>
    </row>
    <row r="790" spans="1:1" x14ac:dyDescent="0.2">
      <c r="A790" t="s">
        <v>104</v>
      </c>
    </row>
    <row r="791" spans="1:1" x14ac:dyDescent="0.2">
      <c r="A791" t="s">
        <v>111</v>
      </c>
    </row>
    <row r="792" spans="1:1" x14ac:dyDescent="0.2">
      <c r="A792" t="s">
        <v>118</v>
      </c>
    </row>
    <row r="793" spans="1:1" x14ac:dyDescent="0.2">
      <c r="A793" t="s">
        <v>125</v>
      </c>
    </row>
    <row r="794" spans="1:1" x14ac:dyDescent="0.2">
      <c r="A794" t="s">
        <v>169</v>
      </c>
    </row>
    <row r="795" spans="1:1" x14ac:dyDescent="0.2">
      <c r="A795" t="s">
        <v>170</v>
      </c>
    </row>
    <row r="796" spans="1:1" x14ac:dyDescent="0.2">
      <c r="A796" t="s">
        <v>171</v>
      </c>
    </row>
    <row r="797" spans="1:1" x14ac:dyDescent="0.2">
      <c r="A797" t="s">
        <v>172</v>
      </c>
    </row>
    <row r="798" spans="1:1" x14ac:dyDescent="0.2">
      <c r="A798" t="s">
        <v>173</v>
      </c>
    </row>
    <row r="799" spans="1:1" x14ac:dyDescent="0.2">
      <c r="A799" t="s">
        <v>174</v>
      </c>
    </row>
    <row r="800" spans="1:1" x14ac:dyDescent="0.2">
      <c r="A800" t="s">
        <v>176</v>
      </c>
    </row>
    <row r="801" spans="1:1" x14ac:dyDescent="0.2">
      <c r="A801" t="s">
        <v>177</v>
      </c>
    </row>
    <row r="802" spans="1:1" x14ac:dyDescent="0.2">
      <c r="A802" t="s">
        <v>178</v>
      </c>
    </row>
    <row r="803" spans="1:1" x14ac:dyDescent="0.2">
      <c r="A803" t="s">
        <v>179</v>
      </c>
    </row>
    <row r="804" spans="1:1" x14ac:dyDescent="0.2">
      <c r="A804" t="s">
        <v>180</v>
      </c>
    </row>
    <row r="805" spans="1:1" x14ac:dyDescent="0.2">
      <c r="A805" t="s">
        <v>181</v>
      </c>
    </row>
    <row r="806" spans="1:1" x14ac:dyDescent="0.2">
      <c r="A806" t="s">
        <v>183</v>
      </c>
    </row>
    <row r="807" spans="1:1" x14ac:dyDescent="0.2">
      <c r="A807" t="s">
        <v>184</v>
      </c>
    </row>
    <row r="808" spans="1:1" x14ac:dyDescent="0.2">
      <c r="A808" t="s">
        <v>185</v>
      </c>
    </row>
    <row r="809" spans="1:1" x14ac:dyDescent="0.2">
      <c r="A809" t="s">
        <v>186</v>
      </c>
    </row>
    <row r="810" spans="1:1" x14ac:dyDescent="0.2">
      <c r="A810" t="s">
        <v>187</v>
      </c>
    </row>
    <row r="811" spans="1:1" x14ac:dyDescent="0.2">
      <c r="A811" t="s">
        <v>188</v>
      </c>
    </row>
    <row r="812" spans="1:1" x14ac:dyDescent="0.2">
      <c r="A812" t="s">
        <v>190</v>
      </c>
    </row>
    <row r="813" spans="1:1" x14ac:dyDescent="0.2">
      <c r="A813" t="s">
        <v>191</v>
      </c>
    </row>
    <row r="814" spans="1:1" x14ac:dyDescent="0.2">
      <c r="A814" t="s">
        <v>192</v>
      </c>
    </row>
    <row r="815" spans="1:1" x14ac:dyDescent="0.2">
      <c r="A815" t="s">
        <v>193</v>
      </c>
    </row>
    <row r="816" spans="1:1" x14ac:dyDescent="0.2">
      <c r="A816" t="s">
        <v>194</v>
      </c>
    </row>
    <row r="817" spans="1:1" x14ac:dyDescent="0.2">
      <c r="A817" t="s">
        <v>195</v>
      </c>
    </row>
    <row r="818" spans="1:1" x14ac:dyDescent="0.2">
      <c r="A818" t="s">
        <v>197</v>
      </c>
    </row>
    <row r="819" spans="1:1" x14ac:dyDescent="0.2">
      <c r="A819" t="s">
        <v>198</v>
      </c>
    </row>
    <row r="820" spans="1:1" x14ac:dyDescent="0.2">
      <c r="A820" t="s">
        <v>199</v>
      </c>
    </row>
    <row r="821" spans="1:1" x14ac:dyDescent="0.2">
      <c r="A821" t="s">
        <v>200</v>
      </c>
    </row>
    <row r="822" spans="1:1" x14ac:dyDescent="0.2">
      <c r="A822" t="s">
        <v>201</v>
      </c>
    </row>
    <row r="823" spans="1:1" x14ac:dyDescent="0.2">
      <c r="A823" t="s">
        <v>202</v>
      </c>
    </row>
    <row r="824" spans="1:1" x14ac:dyDescent="0.2">
      <c r="A824" t="s">
        <v>204</v>
      </c>
    </row>
    <row r="825" spans="1:1" x14ac:dyDescent="0.2">
      <c r="A825" t="s">
        <v>205</v>
      </c>
    </row>
    <row r="826" spans="1:1" x14ac:dyDescent="0.2">
      <c r="A826" t="s">
        <v>206</v>
      </c>
    </row>
    <row r="827" spans="1:1" x14ac:dyDescent="0.2">
      <c r="A827" t="s">
        <v>207</v>
      </c>
    </row>
    <row r="828" spans="1:1" x14ac:dyDescent="0.2">
      <c r="A828" t="s">
        <v>208</v>
      </c>
    </row>
    <row r="829" spans="1:1" x14ac:dyDescent="0.2">
      <c r="A829" t="s">
        <v>209</v>
      </c>
    </row>
    <row r="830" spans="1:1" x14ac:dyDescent="0.2">
      <c r="A830" t="s">
        <v>211</v>
      </c>
    </row>
    <row r="831" spans="1:1" x14ac:dyDescent="0.2">
      <c r="A831" t="s">
        <v>212</v>
      </c>
    </row>
    <row r="832" spans="1:1" x14ac:dyDescent="0.2">
      <c r="A832" t="s">
        <v>213</v>
      </c>
    </row>
    <row r="833" spans="1:1" x14ac:dyDescent="0.2">
      <c r="A833" t="s">
        <v>214</v>
      </c>
    </row>
    <row r="834" spans="1:1" x14ac:dyDescent="0.2">
      <c r="A834" t="s">
        <v>215</v>
      </c>
    </row>
    <row r="835" spans="1:1" x14ac:dyDescent="0.2">
      <c r="A835" t="s">
        <v>216</v>
      </c>
    </row>
    <row r="836" spans="1:1" x14ac:dyDescent="0.2">
      <c r="A836" t="s">
        <v>219</v>
      </c>
    </row>
    <row r="837" spans="1:1" x14ac:dyDescent="0.2">
      <c r="A837" t="s">
        <v>220</v>
      </c>
    </row>
    <row r="838" spans="1:1" x14ac:dyDescent="0.2">
      <c r="A838" t="s">
        <v>221</v>
      </c>
    </row>
    <row r="839" spans="1:1" x14ac:dyDescent="0.2">
      <c r="A839" t="s">
        <v>222</v>
      </c>
    </row>
    <row r="840" spans="1:1" x14ac:dyDescent="0.2">
      <c r="A840" t="s">
        <v>223</v>
      </c>
    </row>
    <row r="841" spans="1:1" x14ac:dyDescent="0.2">
      <c r="A841" t="s">
        <v>224</v>
      </c>
    </row>
    <row r="842" spans="1:1" x14ac:dyDescent="0.2">
      <c r="A842" t="s">
        <v>226</v>
      </c>
    </row>
    <row r="843" spans="1:1" x14ac:dyDescent="0.2">
      <c r="A843" t="s">
        <v>227</v>
      </c>
    </row>
    <row r="844" spans="1:1" x14ac:dyDescent="0.2">
      <c r="A844" t="s">
        <v>228</v>
      </c>
    </row>
    <row r="845" spans="1:1" x14ac:dyDescent="0.2">
      <c r="A845" t="s">
        <v>229</v>
      </c>
    </row>
    <row r="846" spans="1:1" x14ac:dyDescent="0.2">
      <c r="A846" t="s">
        <v>230</v>
      </c>
    </row>
    <row r="847" spans="1:1" x14ac:dyDescent="0.2">
      <c r="A847" t="s">
        <v>231</v>
      </c>
    </row>
    <row r="848" spans="1:1" x14ac:dyDescent="0.2">
      <c r="A848" t="s">
        <v>232</v>
      </c>
    </row>
    <row r="849" spans="1:1" x14ac:dyDescent="0.2">
      <c r="A849" t="s">
        <v>218</v>
      </c>
    </row>
    <row r="850" spans="1:1" x14ac:dyDescent="0.2">
      <c r="A850" t="s">
        <v>175</v>
      </c>
    </row>
    <row r="851" spans="1:1" x14ac:dyDescent="0.2">
      <c r="A851" t="s">
        <v>182</v>
      </c>
    </row>
    <row r="852" spans="1:1" x14ac:dyDescent="0.2">
      <c r="A852" t="s">
        <v>189</v>
      </c>
    </row>
    <row r="853" spans="1:1" x14ac:dyDescent="0.2">
      <c r="A853" t="s">
        <v>196</v>
      </c>
    </row>
    <row r="854" spans="1:1" x14ac:dyDescent="0.2">
      <c r="A854" t="s">
        <v>203</v>
      </c>
    </row>
    <row r="855" spans="1:1" x14ac:dyDescent="0.2">
      <c r="A855" t="s">
        <v>210</v>
      </c>
    </row>
    <row r="856" spans="1:1" x14ac:dyDescent="0.2">
      <c r="A856" t="s">
        <v>217</v>
      </c>
    </row>
    <row r="857" spans="1:1" x14ac:dyDescent="0.2">
      <c r="A857" t="s">
        <v>225</v>
      </c>
    </row>
    <row r="858" spans="1:1" x14ac:dyDescent="0.2">
      <c r="A858" t="s">
        <v>233</v>
      </c>
    </row>
    <row r="859" spans="1:1" x14ac:dyDescent="0.2">
      <c r="A859" t="s">
        <v>234</v>
      </c>
    </row>
    <row r="860" spans="1:1" x14ac:dyDescent="0.2">
      <c r="A860" t="s">
        <v>235</v>
      </c>
    </row>
    <row r="861" spans="1:1" x14ac:dyDescent="0.2">
      <c r="A861" t="s">
        <v>236</v>
      </c>
    </row>
    <row r="862" spans="1:1" x14ac:dyDescent="0.2">
      <c r="A862" t="s">
        <v>237</v>
      </c>
    </row>
    <row r="863" spans="1:1" x14ac:dyDescent="0.2">
      <c r="A863" t="s">
        <v>238</v>
      </c>
    </row>
    <row r="864" spans="1:1" x14ac:dyDescent="0.2">
      <c r="A864" t="s">
        <v>240</v>
      </c>
    </row>
    <row r="865" spans="1:1" x14ac:dyDescent="0.2">
      <c r="A865" t="s">
        <v>241</v>
      </c>
    </row>
    <row r="866" spans="1:1" x14ac:dyDescent="0.2">
      <c r="A866" t="s">
        <v>242</v>
      </c>
    </row>
    <row r="867" spans="1:1" x14ac:dyDescent="0.2">
      <c r="A867" t="s">
        <v>243</v>
      </c>
    </row>
    <row r="868" spans="1:1" x14ac:dyDescent="0.2">
      <c r="A868" t="s">
        <v>244</v>
      </c>
    </row>
    <row r="869" spans="1:1" x14ac:dyDescent="0.2">
      <c r="A869" t="s">
        <v>245</v>
      </c>
    </row>
    <row r="870" spans="1:1" x14ac:dyDescent="0.2">
      <c r="A870" t="s">
        <v>247</v>
      </c>
    </row>
    <row r="871" spans="1:1" x14ac:dyDescent="0.2">
      <c r="A871" t="s">
        <v>248</v>
      </c>
    </row>
    <row r="872" spans="1:1" x14ac:dyDescent="0.2">
      <c r="A872" t="s">
        <v>249</v>
      </c>
    </row>
    <row r="873" spans="1:1" x14ac:dyDescent="0.2">
      <c r="A873" t="s">
        <v>250</v>
      </c>
    </row>
    <row r="874" spans="1:1" x14ac:dyDescent="0.2">
      <c r="A874" t="s">
        <v>251</v>
      </c>
    </row>
    <row r="875" spans="1:1" x14ac:dyDescent="0.2">
      <c r="A875" t="s">
        <v>252</v>
      </c>
    </row>
    <row r="876" spans="1:1" x14ac:dyDescent="0.2">
      <c r="A876" t="s">
        <v>254</v>
      </c>
    </row>
    <row r="877" spans="1:1" x14ac:dyDescent="0.2">
      <c r="A877" t="s">
        <v>255</v>
      </c>
    </row>
    <row r="878" spans="1:1" x14ac:dyDescent="0.2">
      <c r="A878" t="s">
        <v>256</v>
      </c>
    </row>
    <row r="879" spans="1:1" x14ac:dyDescent="0.2">
      <c r="A879" t="s">
        <v>257</v>
      </c>
    </row>
    <row r="880" spans="1:1" x14ac:dyDescent="0.2">
      <c r="A880" t="s">
        <v>258</v>
      </c>
    </row>
    <row r="881" spans="1:1" x14ac:dyDescent="0.2">
      <c r="A881" t="s">
        <v>259</v>
      </c>
    </row>
    <row r="882" spans="1:1" x14ac:dyDescent="0.2">
      <c r="A882" t="s">
        <v>261</v>
      </c>
    </row>
    <row r="883" spans="1:1" x14ac:dyDescent="0.2">
      <c r="A883" t="s">
        <v>262</v>
      </c>
    </row>
    <row r="884" spans="1:1" x14ac:dyDescent="0.2">
      <c r="A884" t="s">
        <v>263</v>
      </c>
    </row>
    <row r="885" spans="1:1" x14ac:dyDescent="0.2">
      <c r="A885" t="s">
        <v>264</v>
      </c>
    </row>
    <row r="886" spans="1:1" x14ac:dyDescent="0.2">
      <c r="A886" t="s">
        <v>265</v>
      </c>
    </row>
    <row r="887" spans="1:1" x14ac:dyDescent="0.2">
      <c r="A887" t="s">
        <v>266</v>
      </c>
    </row>
    <row r="888" spans="1:1" x14ac:dyDescent="0.2">
      <c r="A888" t="s">
        <v>268</v>
      </c>
    </row>
    <row r="889" spans="1:1" x14ac:dyDescent="0.2">
      <c r="A889" t="s">
        <v>269</v>
      </c>
    </row>
    <row r="890" spans="1:1" x14ac:dyDescent="0.2">
      <c r="A890" t="s">
        <v>270</v>
      </c>
    </row>
    <row r="891" spans="1:1" x14ac:dyDescent="0.2">
      <c r="A891" t="s">
        <v>271</v>
      </c>
    </row>
    <row r="892" spans="1:1" x14ac:dyDescent="0.2">
      <c r="A892" t="s">
        <v>272</v>
      </c>
    </row>
    <row r="893" spans="1:1" x14ac:dyDescent="0.2">
      <c r="A893" t="s">
        <v>273</v>
      </c>
    </row>
    <row r="894" spans="1:1" x14ac:dyDescent="0.2">
      <c r="A894" t="s">
        <v>274</v>
      </c>
    </row>
    <row r="895" spans="1:1" x14ac:dyDescent="0.2">
      <c r="A895" t="s">
        <v>239</v>
      </c>
    </row>
    <row r="896" spans="1:1" x14ac:dyDescent="0.2">
      <c r="A896" t="s">
        <v>246</v>
      </c>
    </row>
    <row r="897" spans="1:1" x14ac:dyDescent="0.2">
      <c r="A897" t="s">
        <v>253</v>
      </c>
    </row>
    <row r="898" spans="1:1" x14ac:dyDescent="0.2">
      <c r="A898" t="s">
        <v>260</v>
      </c>
    </row>
    <row r="899" spans="1:1" x14ac:dyDescent="0.2">
      <c r="A899" t="s">
        <v>267</v>
      </c>
    </row>
    <row r="900" spans="1:1" x14ac:dyDescent="0.2">
      <c r="A900" t="s">
        <v>275</v>
      </c>
    </row>
    <row r="901" spans="1:1" x14ac:dyDescent="0.2">
      <c r="A901" t="s">
        <v>276</v>
      </c>
    </row>
    <row r="902" spans="1:1" x14ac:dyDescent="0.2">
      <c r="A902" t="s">
        <v>277</v>
      </c>
    </row>
    <row r="903" spans="1:1" x14ac:dyDescent="0.2">
      <c r="A903" t="s">
        <v>279</v>
      </c>
    </row>
    <row r="904" spans="1:1" x14ac:dyDescent="0.2">
      <c r="A904" t="s">
        <v>278</v>
      </c>
    </row>
    <row r="905" spans="1:1" x14ac:dyDescent="0.2">
      <c r="A905" t="s">
        <v>280</v>
      </c>
    </row>
    <row r="906" spans="1:1" x14ac:dyDescent="0.2">
      <c r="A906" t="s">
        <v>281</v>
      </c>
    </row>
    <row r="907" spans="1:1" x14ac:dyDescent="0.2">
      <c r="A907" t="s">
        <v>282</v>
      </c>
    </row>
    <row r="908" spans="1:1" x14ac:dyDescent="0.2">
      <c r="A908" t="s">
        <v>21</v>
      </c>
    </row>
    <row r="909" spans="1:1" x14ac:dyDescent="0.2">
      <c r="A909" t="s">
        <v>25</v>
      </c>
    </row>
    <row r="910" spans="1:1" x14ac:dyDescent="0.2">
      <c r="A910" t="s">
        <v>26</v>
      </c>
    </row>
    <row r="911" spans="1:1" x14ac:dyDescent="0.2">
      <c r="A911" t="s">
        <v>27</v>
      </c>
    </row>
    <row r="912" spans="1:1" x14ac:dyDescent="0.2">
      <c r="A912" t="s">
        <v>23</v>
      </c>
    </row>
    <row r="913" spans="1:1" x14ac:dyDescent="0.2">
      <c r="A913" t="s">
        <v>22</v>
      </c>
    </row>
    <row r="914" spans="1:1" x14ac:dyDescent="0.2">
      <c r="A914" t="s">
        <v>20</v>
      </c>
    </row>
    <row r="915" spans="1:1" x14ac:dyDescent="0.2">
      <c r="A915" t="s">
        <v>24</v>
      </c>
    </row>
    <row r="916" spans="1:1" x14ac:dyDescent="0.2">
      <c r="A916" t="s">
        <v>16</v>
      </c>
    </row>
    <row r="917" spans="1:1" x14ac:dyDescent="0.2">
      <c r="A917" t="s">
        <v>3479</v>
      </c>
    </row>
    <row r="918" spans="1:1" x14ac:dyDescent="0.2">
      <c r="A918" t="s">
        <v>3481</v>
      </c>
    </row>
    <row r="919" spans="1:1" x14ac:dyDescent="0.2">
      <c r="A919" t="s">
        <v>3483</v>
      </c>
    </row>
    <row r="920" spans="1:1" x14ac:dyDescent="0.2">
      <c r="A920" t="s">
        <v>3485</v>
      </c>
    </row>
    <row r="921" spans="1:1" x14ac:dyDescent="0.2">
      <c r="A921" t="s">
        <v>3487</v>
      </c>
    </row>
    <row r="922" spans="1:1" x14ac:dyDescent="0.2">
      <c r="A922" t="s">
        <v>3489</v>
      </c>
    </row>
    <row r="923" spans="1:1" x14ac:dyDescent="0.2">
      <c r="A923" t="s">
        <v>15</v>
      </c>
    </row>
    <row r="924" spans="1:1" x14ac:dyDescent="0.2">
      <c r="A924" t="s">
        <v>11</v>
      </c>
    </row>
    <row r="925" spans="1:1" x14ac:dyDescent="0.2">
      <c r="A925" t="s">
        <v>10</v>
      </c>
    </row>
    <row r="926" spans="1:1" x14ac:dyDescent="0.2">
      <c r="A926" t="s">
        <v>13</v>
      </c>
    </row>
    <row r="927" spans="1:1" x14ac:dyDescent="0.2">
      <c r="A927" t="s">
        <v>12</v>
      </c>
    </row>
    <row r="928" spans="1:1" x14ac:dyDescent="0.2">
      <c r="A928" t="s">
        <v>14</v>
      </c>
    </row>
    <row r="929" spans="1:1" x14ac:dyDescent="0.2">
      <c r="A929" t="s">
        <v>3493</v>
      </c>
    </row>
    <row r="930" spans="1:1" x14ac:dyDescent="0.2">
      <c r="A930" t="s">
        <v>0</v>
      </c>
    </row>
    <row r="931" spans="1:1" x14ac:dyDescent="0.2">
      <c r="A931" t="s">
        <v>19</v>
      </c>
    </row>
  </sheetData>
  <autoFilter ref="A1:A931" xr:uid="{1130E482-DE66-429C-9BEB-CC924B12A9E7}">
    <sortState xmlns:xlrd2="http://schemas.microsoft.com/office/spreadsheetml/2017/richdata2" ref="A2:A931">
      <sortCondition ref="A1:A931"/>
    </sortState>
  </autoFilter>
  <pageMargins left="0.7" right="0.7" top="0.75" bottom="0.75" header="0.3" footer="0.3"/>
  <customProperties>
    <customPr name="layoutContexts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43B7BF9FADC24383D9D34D924723C9" ma:contentTypeVersion="18" ma:contentTypeDescription="Create a new document." ma:contentTypeScope="" ma:versionID="0af0ab1328f6c7f80245755c2c06e719">
  <xsd:schema xmlns:xsd="http://www.w3.org/2001/XMLSchema" xmlns:xs="http://www.w3.org/2001/XMLSchema" xmlns:p="http://schemas.microsoft.com/office/2006/metadata/properties" xmlns:ns2="61f97334-ae98-4ddf-87ee-81edeebb5d8e" xmlns:ns3="3cacb1fb-8034-49eb-92fa-02e9d9e8c610" targetNamespace="http://schemas.microsoft.com/office/2006/metadata/properties" ma:root="true" ma:fieldsID="c91a455e3f6a0c94bf68d199800a786c" ns2:_="" ns3:_="">
    <xsd:import namespace="61f97334-ae98-4ddf-87ee-81edeebb5d8e"/>
    <xsd:import namespace="3cacb1fb-8034-49eb-92fa-02e9d9e8c6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f97334-ae98-4ddf-87ee-81edeebb5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_Flow_SignoffStatus" ma:index="13" nillable="true" ma:displayName="Sign-off status" ma:internalName="_x0024_Resources_x003a_core_x002c_Signoff_Status_x003b_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78df0fa-3822-4368-8bf3-00f7616829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cb1fb-8034-49eb-92fa-02e9d9e8c61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151472ca-fc9d-4c1c-8c51-4fe053b30565}" ma:internalName="TaxCatchAll" ma:showField="CatchAllData" ma:web="3cacb1fb-8034-49eb-92fa-02e9d9e8c6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61f97334-ae98-4ddf-87ee-81edeebb5d8e" xsi:nil="true"/>
    <TaxCatchAll xmlns="3cacb1fb-8034-49eb-92fa-02e9d9e8c610" xsi:nil="true"/>
    <lcf76f155ced4ddcb4097134ff3c332f xmlns="61f97334-ae98-4ddf-87ee-81edeebb5d8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7F54BA-522C-45F4-AC0C-F19DBB96B96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AE0A3EB-6ABE-4112-9866-A56C2D487D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f97334-ae98-4ddf-87ee-81edeebb5d8e"/>
    <ds:schemaRef ds:uri="3cacb1fb-8034-49eb-92fa-02e9d9e8c6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11EF41-14BC-4B0D-A2C4-75BA5F0E0E0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8113767-5CF5-4D93-A5FE-5BF3C6CA6E06}">
  <ds:schemaRefs>
    <ds:schemaRef ds:uri="http://schemas.microsoft.com/office/2006/metadata/properties"/>
    <ds:schemaRef ds:uri="http://schemas.microsoft.com/office/infopath/2007/PartnerControls"/>
    <ds:schemaRef ds:uri="61f97334-ae98-4ddf-87ee-81edeebb5d8e"/>
    <ds:schemaRef ds:uri="3cacb1fb-8034-49eb-92fa-02e9d9e8c6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DataCompleted</vt:lpstr>
      <vt:lpstr>cr_2019_question_map</vt:lpstr>
      <vt:lpstr>cr_2019_answer_map</vt:lpstr>
      <vt:lpstr>DataMap</vt:lpstr>
      <vt:lpstr>DataCompletedRaw</vt:lpstr>
      <vt:lpstr>DataMapRaw</vt:lpstr>
      <vt:lpstr>Sheet1</vt:lpstr>
      <vt:lpstr>Sheet3</vt:lpstr>
      <vt:lpstr>Sheet4</vt:lpstr>
      <vt:lpstr>Sheet2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Kalinaki</dc:creator>
  <cp:lastModifiedBy>Alexandros Valetopoulos</cp:lastModifiedBy>
  <dcterms:created xsi:type="dcterms:W3CDTF">2020-12-01T12:52:38Z</dcterms:created>
  <dcterms:modified xsi:type="dcterms:W3CDTF">2023-01-30T12:12:06Z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0x010100FB43B7BF9FADC24383D9D34D924723C9</vt:lpwstr>
  </property>
  <property fmtid="{D5CDD505-2E9C-101B-9397-08002B2CF9AE}" pid="3" name="checksum">
    <vt:filetime>2021-06-28T19:15:29Z</vt:filetime>
  </property>
  <property fmtid="{D5CDD505-2E9C-101B-9397-08002B2CF9AE}" pid="4" name="MediaServiceImageTags">
    <vt:lpwstr/>
  </property>
</Properties>
</file>